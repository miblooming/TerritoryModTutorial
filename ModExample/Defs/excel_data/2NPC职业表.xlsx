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EF2720DB-8EE6-4157-83A2-6815F773C642}" xr6:coauthVersionLast="47" xr6:coauthVersionMax="47" xr10:uidLastSave="{00000000-0000-0000-0000-000000000000}"/>
  <bookViews>
    <workbookView xWindow="2010" yWindow="1275" windowWidth="23850" windowHeight="13425" xr2:uid="{00000000-000D-0000-FFFF-FFFF00000000}"/>
  </bookViews>
  <sheets>
    <sheet name="career" sheetId="1" r:id="rId1"/>
    <sheet name="!" sheetId="2" r:id="rId2"/>
  </sheets>
  <definedNames>
    <definedName name="_xlnm._FilterDatabase" localSheetId="0" hidden="1">career!$J$1:$J$100</definedName>
  </definedNames>
  <calcPr calcId="181029"/>
</workbook>
</file>

<file path=xl/calcChain.xml><?xml version="1.0" encoding="utf-8"?>
<calcChain xmlns="http://schemas.openxmlformats.org/spreadsheetml/2006/main">
  <c r="AI59" i="1" l="1"/>
  <c r="X59" i="1"/>
  <c r="J59" i="1"/>
  <c r="AI58" i="1"/>
  <c r="X58" i="1"/>
  <c r="J58" i="1"/>
  <c r="AI57" i="1"/>
  <c r="X57" i="1"/>
  <c r="J57" i="1"/>
  <c r="AI56" i="1"/>
  <c r="X56" i="1"/>
  <c r="J56" i="1"/>
  <c r="AI63" i="1"/>
  <c r="X63" i="1"/>
  <c r="J63" i="1"/>
  <c r="F63" i="1"/>
  <c r="E63" i="1"/>
  <c r="E60" i="1"/>
  <c r="F60" i="1"/>
  <c r="AI55" i="1"/>
  <c r="X55" i="1"/>
  <c r="J55" i="1"/>
  <c r="AI49" i="1" l="1"/>
  <c r="X49" i="1"/>
  <c r="J49" i="1"/>
  <c r="AI52" i="1"/>
  <c r="J52" i="1"/>
  <c r="X18" i="1"/>
  <c r="E18" i="1"/>
  <c r="F18" i="1"/>
  <c r="F40" i="1"/>
  <c r="E40" i="1"/>
  <c r="AI3" i="1"/>
  <c r="X3" i="1"/>
  <c r="AI48" i="1"/>
  <c r="X48" i="1"/>
  <c r="J48" i="1"/>
  <c r="E36" i="1" l="1"/>
  <c r="F36" i="1"/>
  <c r="AI67" i="1"/>
  <c r="F67" i="1"/>
  <c r="E67" i="1"/>
  <c r="J50" i="1"/>
  <c r="AI22" i="1"/>
  <c r="X22" i="1"/>
  <c r="J22" i="1"/>
  <c r="AI46" i="1"/>
  <c r="X46" i="1"/>
  <c r="J46" i="1"/>
  <c r="AI51" i="1" l="1"/>
  <c r="J51" i="1"/>
  <c r="AI100" i="1"/>
  <c r="F100" i="1"/>
  <c r="E100" i="1"/>
  <c r="AI99" i="1"/>
  <c r="F99" i="1"/>
  <c r="E99" i="1"/>
  <c r="AI98" i="1"/>
  <c r="F98" i="1"/>
  <c r="E98" i="1"/>
  <c r="AI97" i="1"/>
  <c r="F97" i="1"/>
  <c r="E97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68" i="1"/>
  <c r="F68" i="1"/>
  <c r="AI18" i="1" l="1"/>
  <c r="X54" i="1"/>
  <c r="J54" i="1"/>
  <c r="AI54" i="1"/>
  <c r="F54" i="1"/>
  <c r="E54" i="1"/>
  <c r="AI7" i="1"/>
  <c r="X7" i="1"/>
  <c r="AI4" i="1"/>
  <c r="X4" i="1"/>
  <c r="AI5" i="1"/>
  <c r="X5" i="1"/>
  <c r="AI6" i="1"/>
  <c r="X6" i="1"/>
  <c r="AI8" i="1"/>
  <c r="X8" i="1"/>
  <c r="AI53" i="1"/>
  <c r="X53" i="1"/>
  <c r="J53" i="1"/>
  <c r="AI62" i="1" l="1"/>
  <c r="F62" i="1"/>
  <c r="E62" i="1"/>
  <c r="J65" i="1"/>
  <c r="F16" i="1" l="1"/>
  <c r="F17" i="1"/>
  <c r="F19" i="1"/>
  <c r="F20" i="1"/>
  <c r="F23" i="1"/>
  <c r="F24" i="1"/>
  <c r="F25" i="1"/>
  <c r="F26" i="1"/>
  <c r="F27" i="1"/>
  <c r="F29" i="1"/>
  <c r="F30" i="1"/>
  <c r="F31" i="1"/>
  <c r="F33" i="1"/>
  <c r="F34" i="1"/>
  <c r="F37" i="1"/>
  <c r="F38" i="1"/>
  <c r="F39" i="1"/>
  <c r="F41" i="1"/>
  <c r="F43" i="1"/>
  <c r="F50" i="1"/>
  <c r="F61" i="1"/>
  <c r="F64" i="1"/>
  <c r="F65" i="1"/>
  <c r="F66" i="1"/>
  <c r="F15" i="1"/>
  <c r="E16" i="1"/>
  <c r="E17" i="1"/>
  <c r="E19" i="1"/>
  <c r="E20" i="1"/>
  <c r="E23" i="1"/>
  <c r="E24" i="1"/>
  <c r="E25" i="1"/>
  <c r="E26" i="1"/>
  <c r="E27" i="1"/>
  <c r="E29" i="1"/>
  <c r="E30" i="1"/>
  <c r="E31" i="1"/>
  <c r="E33" i="1"/>
  <c r="E34" i="1"/>
  <c r="E37" i="1"/>
  <c r="E38" i="1"/>
  <c r="E39" i="1"/>
  <c r="E41" i="1"/>
  <c r="E43" i="1"/>
  <c r="E50" i="1"/>
  <c r="E61" i="1"/>
  <c r="E64" i="1"/>
  <c r="E65" i="1"/>
  <c r="E66" i="1"/>
  <c r="E15" i="1"/>
  <c r="X66" i="1"/>
  <c r="J66" i="1"/>
  <c r="AI66" i="1"/>
  <c r="X9" i="1"/>
  <c r="X10" i="1"/>
  <c r="X11" i="1"/>
  <c r="X12" i="1"/>
  <c r="X13" i="1"/>
  <c r="X14" i="1"/>
  <c r="X15" i="1"/>
  <c r="X16" i="1"/>
  <c r="X17" i="1"/>
  <c r="X19" i="1"/>
  <c r="X20" i="1"/>
  <c r="X21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7" i="1"/>
  <c r="X50" i="1"/>
  <c r="X60" i="1"/>
  <c r="X61" i="1"/>
  <c r="X64" i="1"/>
  <c r="X65" i="1"/>
  <c r="J10" i="1"/>
  <c r="J11" i="1"/>
  <c r="J12" i="1"/>
  <c r="J13" i="1"/>
  <c r="J14" i="1"/>
  <c r="J15" i="1"/>
  <c r="J16" i="1"/>
  <c r="J17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7" i="1"/>
  <c r="J60" i="1"/>
  <c r="J61" i="1"/>
  <c r="J64" i="1"/>
  <c r="J9" i="1"/>
  <c r="AI42" i="1" l="1"/>
  <c r="AI47" i="1" l="1"/>
  <c r="AI61" i="1" l="1"/>
  <c r="AI40" i="1" l="1"/>
  <c r="AI34" i="1" l="1"/>
  <c r="AI45" i="1" l="1"/>
  <c r="AI32" i="1" l="1"/>
  <c r="AI10" i="1" l="1"/>
  <c r="AI11" i="1"/>
  <c r="AI12" i="1"/>
  <c r="AI13" i="1"/>
  <c r="AI14" i="1"/>
  <c r="AI15" i="1"/>
  <c r="AI16" i="1"/>
  <c r="AI17" i="1"/>
  <c r="AI19" i="1"/>
  <c r="AI20" i="1"/>
  <c r="AI21" i="1"/>
  <c r="AI23" i="1"/>
  <c r="AI24" i="1"/>
  <c r="AI25" i="1"/>
  <c r="AI26" i="1"/>
  <c r="AI27" i="1"/>
  <c r="AI28" i="1"/>
  <c r="AI29" i="1"/>
  <c r="AI30" i="1"/>
  <c r="AI31" i="1"/>
  <c r="AI33" i="1"/>
  <c r="AI35" i="1"/>
  <c r="AI36" i="1"/>
  <c r="AI37" i="1"/>
  <c r="AI38" i="1"/>
  <c r="AI39" i="1"/>
  <c r="AI41" i="1"/>
  <c r="AI43" i="1"/>
  <c r="AI44" i="1"/>
  <c r="AI50" i="1"/>
  <c r="AI60" i="1"/>
  <c r="AI64" i="1"/>
  <c r="AI65" i="1"/>
  <c r="AI9" i="1"/>
</calcChain>
</file>

<file path=xl/sharedStrings.xml><?xml version="1.0" encoding="utf-8"?>
<sst xmlns="http://schemas.openxmlformats.org/spreadsheetml/2006/main" count="972" uniqueCount="576">
  <si>
    <t>农田</t>
  </si>
  <si>
    <t>果树</t>
  </si>
  <si>
    <t>牧场</t>
  </si>
  <si>
    <t>裁缝店</t>
  </si>
  <si>
    <t>矿井</t>
    <phoneticPr fontId="5" type="noConversion"/>
  </si>
  <si>
    <t>采石场</t>
  </si>
  <si>
    <t>!name#str</t>
    <phoneticPr fontId="4" type="noConversion"/>
  </si>
  <si>
    <t>职业名称</t>
    <phoneticPr fontId="4" type="noConversion"/>
  </si>
  <si>
    <t>职业设施名称</t>
    <phoneticPr fontId="4" type="noConversion"/>
  </si>
  <si>
    <t>无</t>
    <phoneticPr fontId="4" type="noConversion"/>
  </si>
  <si>
    <t>农民</t>
  </si>
  <si>
    <t>牧民</t>
  </si>
  <si>
    <t>采集者</t>
  </si>
  <si>
    <t>渔民</t>
  </si>
  <si>
    <t>矿工</t>
  </si>
  <si>
    <t>猎人</t>
  </si>
  <si>
    <t>石匠</t>
  </si>
  <si>
    <t>facility_id#int</t>
    <phoneticPr fontId="4" type="noConversion"/>
  </si>
  <si>
    <t>architect</t>
  </si>
  <si>
    <t>blacksmith</t>
  </si>
  <si>
    <t>brewer</t>
  </si>
  <si>
    <t>farmer</t>
  </si>
  <si>
    <t>tailor</t>
  </si>
  <si>
    <t>gatherer</t>
  </si>
  <si>
    <t>fisherman</t>
  </si>
  <si>
    <t>miner</t>
  </si>
  <si>
    <t>stonemason</t>
  </si>
  <si>
    <t>teacher</t>
  </si>
  <si>
    <t>doctor</t>
  </si>
  <si>
    <t>采集小屋</t>
    <phoneticPr fontId="4" type="noConversion"/>
  </si>
  <si>
    <t>npc_type_code#str</t>
    <phoneticPr fontId="4" type="noConversion"/>
  </si>
  <si>
    <t>npc_type#int</t>
    <phoneticPr fontId="4" type="noConversion"/>
  </si>
  <si>
    <t>职业类型编号</t>
    <phoneticPr fontId="4" type="noConversion"/>
  </si>
  <si>
    <t>职业类型编码</t>
    <phoneticPr fontId="4" type="noConversion"/>
  </si>
  <si>
    <t>woodcutter</t>
    <phoneticPr fontId="4" type="noConversion"/>
  </si>
  <si>
    <t>劈柴工</t>
    <phoneticPr fontId="4" type="noConversion"/>
  </si>
  <si>
    <t>herdsman</t>
    <phoneticPr fontId="4" type="noConversion"/>
  </si>
  <si>
    <t>hunter</t>
    <phoneticPr fontId="4" type="noConversion"/>
  </si>
  <si>
    <t>货架</t>
    <phoneticPr fontId="4" type="noConversion"/>
  </si>
  <si>
    <t>布道台</t>
    <phoneticPr fontId="4" type="noConversion"/>
  </si>
  <si>
    <t>讲台</t>
    <phoneticPr fontId="4" type="noConversion"/>
  </si>
  <si>
    <t>渔人码头</t>
    <phoneticPr fontId="4" type="noConversion"/>
  </si>
  <si>
    <t>猎人营地</t>
    <phoneticPr fontId="4" type="noConversion"/>
  </si>
  <si>
    <t>护林营地</t>
    <phoneticPr fontId="4" type="noConversion"/>
  </si>
  <si>
    <t>诊断台</t>
    <phoneticPr fontId="4" type="noConversion"/>
  </si>
  <si>
    <t>无</t>
    <phoneticPr fontId="4" type="noConversion"/>
  </si>
  <si>
    <t>流民</t>
    <phoneticPr fontId="4" type="noConversion"/>
  </si>
  <si>
    <t>采药营地</t>
    <phoneticPr fontId="4" type="noConversion"/>
  </si>
  <si>
    <t>职业图标</t>
    <phoneticPr fontId="4" type="noConversion"/>
  </si>
  <si>
    <t>无</t>
    <phoneticPr fontId="4" type="noConversion"/>
  </si>
  <si>
    <t>商人</t>
    <phoneticPr fontId="4" type="noConversion"/>
  </si>
  <si>
    <t>护林人</t>
    <phoneticPr fontId="4" type="noConversion"/>
  </si>
  <si>
    <t>学者</t>
    <phoneticPr fontId="4" type="noConversion"/>
  </si>
  <si>
    <t>teacher</t>
    <phoneticPr fontId="4" type="noConversion"/>
  </si>
  <si>
    <t>研究台</t>
    <phoneticPr fontId="4" type="noConversion"/>
  </si>
  <si>
    <t>医生</t>
    <phoneticPr fontId="4" type="noConversion"/>
  </si>
  <si>
    <t>child</t>
    <phoneticPr fontId="4" type="noConversion"/>
  </si>
  <si>
    <t>儿童</t>
    <phoneticPr fontId="4" type="noConversion"/>
  </si>
  <si>
    <t>student</t>
    <phoneticPr fontId="4" type="noConversion"/>
  </si>
  <si>
    <t>学生</t>
    <phoneticPr fontId="4" type="noConversion"/>
  </si>
  <si>
    <t>婴儿</t>
    <phoneticPr fontId="4" type="noConversion"/>
  </si>
  <si>
    <r>
      <t>b</t>
    </r>
    <r>
      <rPr>
        <sz val="11"/>
        <color theme="1"/>
        <rFont val="宋体"/>
        <family val="3"/>
        <charset val="134"/>
        <scheme val="minor"/>
      </rPr>
      <t>aby</t>
    </r>
    <phoneticPr fontId="4" type="noConversion"/>
  </si>
  <si>
    <t>is_main_facility#int</t>
    <phoneticPr fontId="4" type="noConversion"/>
  </si>
  <si>
    <t>主设施,多设施共用一个职业时</t>
    <phoneticPr fontId="4" type="noConversion"/>
  </si>
  <si>
    <r>
      <t>0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</si>
  <si>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r>
      <t>0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</t>
    </r>
    <phoneticPr fontId="4" type="noConversion"/>
  </si>
  <si>
    <t>0</t>
    <phoneticPr fontId="4" type="noConversion"/>
  </si>
  <si>
    <t>forester</t>
    <phoneticPr fontId="4" type="noConversion"/>
  </si>
  <si>
    <t>身体</t>
    <phoneticPr fontId="4" type="noConversion"/>
  </si>
  <si>
    <t>头</t>
    <phoneticPr fontId="4" type="noConversion"/>
  </si>
  <si>
    <t>head#str</t>
    <phoneticPr fontId="4" type="noConversion"/>
  </si>
  <si>
    <t>body_red</t>
  </si>
  <si>
    <t>human_hair_7_13</t>
  </si>
  <si>
    <t>body_brown</t>
  </si>
  <si>
    <t>human_head_skin_3_28</t>
  </si>
  <si>
    <t>body_green</t>
  </si>
  <si>
    <t>hat_red_6</t>
  </si>
  <si>
    <t>hat_red_46</t>
  </si>
  <si>
    <t>body_black</t>
  </si>
  <si>
    <t>body_yellow</t>
  </si>
  <si>
    <t>body_gold</t>
  </si>
  <si>
    <t>facial_hair_m#str</t>
    <phoneticPr fontId="4" type="noConversion"/>
  </si>
  <si>
    <t>body#str</t>
    <phoneticPr fontId="4" type="noConversion"/>
  </si>
  <si>
    <t>头发男</t>
    <phoneticPr fontId="4" type="noConversion"/>
  </si>
  <si>
    <t>胡子男</t>
    <phoneticPr fontId="4" type="noConversion"/>
  </si>
  <si>
    <t>帽子男</t>
    <phoneticPr fontId="4" type="noConversion"/>
  </si>
  <si>
    <t>hair_f#str</t>
    <phoneticPr fontId="4" type="noConversion"/>
  </si>
  <si>
    <t>facial_hair_f#str</t>
    <phoneticPr fontId="4" type="noConversion"/>
  </si>
  <si>
    <t>hat_f#str</t>
    <phoneticPr fontId="4" type="noConversion"/>
  </si>
  <si>
    <t>头发女</t>
    <phoneticPr fontId="4" type="noConversion"/>
  </si>
  <si>
    <t>胡子女</t>
    <phoneticPr fontId="4" type="noConversion"/>
  </si>
  <si>
    <t>帽子女</t>
    <phoneticPr fontId="4" type="noConversion"/>
  </si>
  <si>
    <t>hair_m#str</t>
    <phoneticPr fontId="4" type="noConversion"/>
  </si>
  <si>
    <t>hat_m#str</t>
    <phoneticPr fontId="4" type="noConversion"/>
  </si>
  <si>
    <t>cook</t>
    <phoneticPr fontId="4" type="noConversion"/>
  </si>
  <si>
    <t>厨师</t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</si>
  <si>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</si>
  <si>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t>hat_career_0</t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</si>
  <si>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3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</si>
  <si>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2</t>
    </r>
    <phoneticPr fontId="4" type="noConversion"/>
  </si>
  <si>
    <t>hat_career_4</t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</si>
  <si>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5</t>
    </r>
    <phoneticPr fontId="4" type="noConversion"/>
  </si>
  <si>
    <t>hat_career_10</t>
  </si>
  <si>
    <t>hat_career_6</t>
    <phoneticPr fontId="4" type="noConversion"/>
  </si>
  <si>
    <t>制造台</t>
    <phoneticPr fontId="4" type="noConversion"/>
  </si>
  <si>
    <t>body_red</t>
    <phoneticPr fontId="4" type="noConversion"/>
  </si>
  <si>
    <t>refugee</t>
    <phoneticPr fontId="4" type="noConversion"/>
  </si>
  <si>
    <t>hat_career_16</t>
    <phoneticPr fontId="4" type="noConversion"/>
  </si>
  <si>
    <t>hat_career_17</t>
    <phoneticPr fontId="4" type="noConversion"/>
  </si>
  <si>
    <t>hat_career_18</t>
    <phoneticPr fontId="4" type="noConversion"/>
  </si>
  <si>
    <t>hat_career_19</t>
    <phoneticPr fontId="4" type="noConversion"/>
  </si>
  <si>
    <t>hat_career_20</t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</si>
  <si>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22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</si>
  <si>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23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</si>
  <si>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26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</si>
  <si>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27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</si>
  <si>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28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</si>
  <si>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29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</si>
  <si>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30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</si>
  <si>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31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</si>
  <si>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32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</si>
  <si>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33</t>
    </r>
    <phoneticPr fontId="4" type="noConversion"/>
  </si>
  <si>
    <r>
      <t>hat_career_</t>
    </r>
    <r>
      <rPr>
        <sz val="11"/>
        <color theme="1"/>
        <rFont val="宋体"/>
        <family val="3"/>
        <charset val="134"/>
        <scheme val="minor"/>
      </rPr>
      <t>34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</si>
  <si>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38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</si>
  <si>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40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</si>
  <si>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42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</si>
  <si>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35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</si>
  <si>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39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</si>
  <si>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41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</si>
  <si>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43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</si>
  <si>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44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</si>
  <si>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46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</si>
  <si>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45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</si>
  <si>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47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</si>
  <si>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49</t>
    </r>
    <r>
      <rPr>
        <sz val="11"/>
        <color theme="1"/>
        <rFont val="宋体"/>
        <family val="2"/>
        <charset val="134"/>
        <scheme val="minor"/>
      </rPr>
      <t/>
    </r>
  </si>
  <si>
    <r>
      <t>hat_career_</t>
    </r>
    <r>
      <rPr>
        <sz val="11"/>
        <color theme="1"/>
        <rFont val="宋体"/>
        <family val="3"/>
        <charset val="134"/>
        <scheme val="minor"/>
      </rPr>
      <t>48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</si>
  <si>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t>hat_career_21</t>
    <phoneticPr fontId="4" type="noConversion"/>
  </si>
  <si>
    <t>manpower_factor#int</t>
    <phoneticPr fontId="4" type="noConversion"/>
  </si>
  <si>
    <t>transporter</t>
    <phoneticPr fontId="4" type="noConversion"/>
  </si>
  <si>
    <t>elf</t>
    <phoneticPr fontId="4" type="noConversion"/>
  </si>
  <si>
    <t>小精灵</t>
    <phoneticPr fontId="4" type="noConversion"/>
  </si>
  <si>
    <t>蟹笼</t>
    <phoneticPr fontId="4" type="noConversion"/>
  </si>
  <si>
    <t>单个设施的人员上限</t>
    <phoneticPr fontId="4" type="noConversion"/>
  </si>
  <si>
    <t>human_head_skin_1_0</t>
    <phoneticPr fontId="4" type="noConversion"/>
  </si>
  <si>
    <t>human_facialhair_1_7</t>
    <phoneticPr fontId="4" type="noConversion"/>
  </si>
  <si>
    <t>hat_red_30</t>
    <phoneticPr fontId="4" type="noConversion"/>
  </si>
  <si>
    <t>human_facialhair_1_22</t>
    <phoneticPr fontId="4" type="noConversion"/>
  </si>
  <si>
    <t>hat_red_36</t>
    <phoneticPr fontId="4" type="noConversion"/>
  </si>
  <si>
    <t>human_hair_7_2</t>
    <phoneticPr fontId="4" type="noConversion"/>
  </si>
  <si>
    <t>hat_red_3</t>
  </si>
  <si>
    <t>商人头领</t>
    <phoneticPr fontId="4" type="noConversion"/>
  </si>
  <si>
    <t>hat_career_7</t>
    <phoneticPr fontId="4" type="noConversion"/>
  </si>
  <si>
    <t>hat_career_8</t>
  </si>
  <si>
    <t>hat_career_12</t>
  </si>
  <si>
    <t>hat_career_14</t>
  </si>
  <si>
    <r>
      <t>hat_career_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2"/>
        <charset val="134"/>
        <scheme val="minor"/>
      </rPr>
      <t/>
    </r>
  </si>
  <si>
    <t>hat_career_11</t>
  </si>
  <si>
    <r>
      <t>hat_career_</t>
    </r>
    <r>
      <rPr>
        <sz val="11"/>
        <color theme="1"/>
        <rFont val="宋体"/>
        <family val="3"/>
        <charset val="134"/>
        <scheme val="minor"/>
      </rPr>
      <t>13</t>
    </r>
    <r>
      <rPr>
        <sz val="11"/>
        <color theme="1"/>
        <rFont val="宋体"/>
        <family val="2"/>
        <charset val="134"/>
        <scheme val="minor"/>
      </rPr>
      <t/>
    </r>
  </si>
  <si>
    <t>hat_career_15</t>
  </si>
  <si>
    <t>交易台</t>
    <phoneticPr fontId="4" type="noConversion"/>
  </si>
  <si>
    <t>临时</t>
    <phoneticPr fontId="4" type="noConversion"/>
  </si>
  <si>
    <t>!code</t>
    <phoneticPr fontId="4" type="noConversion"/>
  </si>
  <si>
    <t>士兵</t>
    <phoneticPr fontId="4" type="noConversion"/>
  </si>
  <si>
    <t>敌兵</t>
    <phoneticPr fontId="4" type="noConversion"/>
  </si>
  <si>
    <r>
      <t>human_head_skin_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_2</t>
    </r>
    <r>
      <rPr>
        <sz val="11"/>
        <color theme="1"/>
        <rFont val="宋体"/>
        <family val="3"/>
        <charset val="134"/>
        <scheme val="minor"/>
      </rPr>
      <t>3</t>
    </r>
    <phoneticPr fontId="4" type="noConversion"/>
  </si>
  <si>
    <t>soldier_enemy</t>
    <phoneticPr fontId="4" type="noConversion"/>
  </si>
  <si>
    <t>body_blue</t>
    <phoneticPr fontId="4" type="noConversion"/>
  </si>
  <si>
    <t>先知</t>
    <phoneticPr fontId="4" type="noConversion"/>
  </si>
  <si>
    <t>采石点</t>
    <phoneticPr fontId="4" type="noConversion"/>
  </si>
  <si>
    <t>人员计算因子</t>
    <phoneticPr fontId="4" type="noConversion"/>
  </si>
  <si>
    <t>manpower_limit#int</t>
    <phoneticPr fontId="4" type="noConversion"/>
  </si>
  <si>
    <t>默认：空闲时充当闲杂工</t>
    <phoneticPr fontId="4" type="noConversion"/>
  </si>
  <si>
    <t>默认：自动补满</t>
    <phoneticPr fontId="4" type="noConversion"/>
  </si>
  <si>
    <t>default_alternate_handyman#int</t>
    <phoneticPr fontId="4" type="noConversion"/>
  </si>
  <si>
    <t>default_auto_replenish#int</t>
    <phoneticPr fontId="4" type="noConversion"/>
  </si>
  <si>
    <t>马车站</t>
    <phoneticPr fontId="4" type="noConversion"/>
  </si>
  <si>
    <t>马车夫</t>
    <phoneticPr fontId="4" type="noConversion"/>
  </si>
  <si>
    <t>hat_career_14</t>
    <phoneticPr fontId="4" type="noConversion"/>
  </si>
  <si>
    <t>蜂房</t>
    <phoneticPr fontId="4" type="noConversion"/>
  </si>
  <si>
    <t>蜂农</t>
    <phoneticPr fontId="4" type="noConversion"/>
  </si>
  <si>
    <t>hat_career_36</t>
    <phoneticPr fontId="4" type="noConversion"/>
  </si>
  <si>
    <t>hat_career_37</t>
    <phoneticPr fontId="4" type="noConversion"/>
  </si>
  <si>
    <r>
      <t>body_gr</t>
    </r>
    <r>
      <rPr>
        <sz val="11"/>
        <color theme="1"/>
        <rFont val="宋体"/>
        <family val="3"/>
        <charset val="134"/>
        <scheme val="minor"/>
      </rPr>
      <t>een</t>
    </r>
    <phoneticPr fontId="4" type="noConversion"/>
  </si>
  <si>
    <t>beekeeper</t>
    <phoneticPr fontId="4" type="noConversion"/>
  </si>
  <si>
    <t>炼药锅</t>
    <phoneticPr fontId="4" type="noConversion"/>
  </si>
  <si>
    <t>职业设施ID
士兵号段1001~1002
贵族号段60~79
工作NPC-4~49</t>
    <phoneticPr fontId="4" type="noConversion"/>
  </si>
  <si>
    <t>soldier</t>
    <phoneticPr fontId="4" type="noConversion"/>
  </si>
  <si>
    <t>prisoner</t>
    <phoneticPr fontId="4" type="noConversion"/>
  </si>
  <si>
    <t>minister</t>
    <phoneticPr fontId="4" type="noConversion"/>
  </si>
  <si>
    <t>俘虏</t>
    <phoneticPr fontId="4" type="noConversion"/>
  </si>
  <si>
    <t>说明</t>
    <phoneticPr fontId="4" type="noConversion"/>
  </si>
  <si>
    <t>酿酒桶</t>
    <phoneticPr fontId="5" type="noConversion"/>
  </si>
  <si>
    <t>铁匠</t>
    <phoneticPr fontId="4" type="noConversion"/>
  </si>
  <si>
    <t>铁匠负责在“制造台”上，制造工具、武器及其它生活用品。</t>
    <phoneticPr fontId="4" type="noConversion"/>
  </si>
  <si>
    <t>酿造师</t>
    <phoneticPr fontId="4" type="noConversion"/>
  </si>
  <si>
    <t>酿造师负责用“酿酒桶”酿酒，水果可酿果酒，小麦可酿烈酒。</t>
    <phoneticPr fontId="4" type="noConversion"/>
  </si>
  <si>
    <t>裁缝</t>
    <phoneticPr fontId="4" type="noConversion"/>
  </si>
  <si>
    <t>裁缝负责制造衣服和雨伞，满足居民保暖和避雨之需。</t>
    <phoneticPr fontId="4" type="noConversion"/>
  </si>
  <si>
    <t>牧民在牧场养殖牲畜或家禽，生产肉类、皮革和羊毛等。</t>
    <phoneticPr fontId="4" type="noConversion"/>
  </si>
  <si>
    <t>搬运工</t>
    <phoneticPr fontId="4" type="noConversion"/>
  </si>
  <si>
    <t>国库</t>
    <phoneticPr fontId="4" type="noConversion"/>
  </si>
  <si>
    <t>transporter</t>
  </si>
  <si>
    <t>贸易口岸</t>
    <phoneticPr fontId="4" type="noConversion"/>
  </si>
  <si>
    <t>烹饪台</t>
    <phoneticPr fontId="4" type="noConversion"/>
  </si>
  <si>
    <t>渔民负责捕鱼，或养殖虾蟹。</t>
    <phoneticPr fontId="4" type="noConversion"/>
  </si>
  <si>
    <t>采集者负责在森林中采集蘑菇浆果野菜等。</t>
    <phoneticPr fontId="4" type="noConversion"/>
  </si>
  <si>
    <t>矿工负责在矿井中挖铁矿或煤。</t>
    <phoneticPr fontId="4" type="noConversion"/>
  </si>
  <si>
    <t>石匠负责开口采石，可在采石场挖掘地下的石头，或在采石点挖掘山中的石头。</t>
    <phoneticPr fontId="4" type="noConversion"/>
  </si>
  <si>
    <t>劈材工负责将原木劈开，以备日常取暖生火之用。</t>
    <phoneticPr fontId="4" type="noConversion"/>
  </si>
  <si>
    <t>蜂农负责养蜂，并收集蜂蜜。</t>
    <phoneticPr fontId="4" type="noConversion"/>
  </si>
  <si>
    <t>马车夫负责驾驭马车，大批量长途运输货物。</t>
    <phoneticPr fontId="4" type="noConversion"/>
  </si>
  <si>
    <t>猎人会在营地附近寻找，并捕获动物，获得肉类和皮革。</t>
    <phoneticPr fontId="4" type="noConversion"/>
  </si>
  <si>
    <r>
      <t>统计数值字段I</t>
    </r>
    <r>
      <rPr>
        <sz val="11"/>
        <color theme="1"/>
        <rFont val="宋体"/>
        <family val="3"/>
        <charset val="134"/>
        <scheme val="minor"/>
      </rPr>
      <t>D</t>
    </r>
    <phoneticPr fontId="4" type="noConversion"/>
  </si>
  <si>
    <r>
      <t>0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</si>
  <si>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t>牢房</t>
    <phoneticPr fontId="4" type="noConversion"/>
  </si>
  <si>
    <t>劈材桩</t>
    <phoneticPr fontId="5" type="noConversion"/>
  </si>
  <si>
    <t>coachman</t>
    <phoneticPr fontId="4" type="noConversion"/>
  </si>
  <si>
    <t>zh-CN</t>
  </si>
  <si>
    <t>desc_zh-CN#str</t>
  </si>
  <si>
    <t>!npc_type_name#str</t>
    <phoneticPr fontId="4" type="noConversion"/>
  </si>
  <si>
    <t>!desc#str</t>
    <phoneticPr fontId="4" type="noConversion"/>
  </si>
  <si>
    <t>建筑工</t>
    <phoneticPr fontId="4" type="noConversion"/>
  </si>
  <si>
    <t>响应召唤出现，可帮忙干杂活。</t>
    <phoneticPr fontId="4" type="noConversion"/>
  </si>
  <si>
    <t>被活捉的敌人士兵。</t>
    <phoneticPr fontId="4" type="noConversion"/>
  </si>
  <si>
    <t>敌人士兵。</t>
    <phoneticPr fontId="4" type="noConversion"/>
  </si>
  <si>
    <t>士兵负责战斗，保卫家园。</t>
    <phoneticPr fontId="4" type="noConversion"/>
  </si>
  <si>
    <t>商队的头领，负责组织交易。</t>
    <phoneticPr fontId="4" type="noConversion"/>
  </si>
  <si>
    <t>商队成员，跟随头领。</t>
    <phoneticPr fontId="4" type="noConversion"/>
  </si>
  <si>
    <t>逃难的人，寻求收留。</t>
    <phoneticPr fontId="4" type="noConversion"/>
  </si>
  <si>
    <t>婴儿躺在床上，需要人照顾。</t>
    <phoneticPr fontId="4" type="noConversion"/>
  </si>
  <si>
    <t>儿童成天玩耍，不需要工作。</t>
    <phoneticPr fontId="4" type="noConversion"/>
  </si>
  <si>
    <t>学生学业完成后，成长为有文化的成年人，工作效率更高。</t>
    <phoneticPr fontId="4" type="noConversion"/>
  </si>
  <si>
    <t>建筑工负责建造或拆除设施。</t>
    <phoneticPr fontId="4" type="noConversion"/>
  </si>
  <si>
    <t>zh-CN</t>
    <phoneticPr fontId="4" type="noConversion"/>
  </si>
  <si>
    <t>npc_type_name_zh-CN#str</t>
    <phoneticPr fontId="4" type="noConversion"/>
  </si>
  <si>
    <t>医生负责为居民提供诊断，并指导居民用药。
当传染病发生时，医生会清理传染源。</t>
    <phoneticPr fontId="4" type="noConversion"/>
  </si>
  <si>
    <t>学者负责组织学生学习知识，或者在研究台搞研究。</t>
    <phoneticPr fontId="4" type="noConversion"/>
  </si>
  <si>
    <t>护林人负责在伐木营地附近，种树和砍树。</t>
    <phoneticPr fontId="4" type="noConversion"/>
  </si>
  <si>
    <t>先知负责组织居民精神信仰活动，劝降抓获的俘虏。</t>
    <phoneticPr fontId="4" type="noConversion"/>
  </si>
  <si>
    <t>0,3</t>
    <phoneticPr fontId="4" type="noConversion"/>
  </si>
  <si>
    <t>贵族</t>
    <phoneticPr fontId="4" type="noConversion"/>
  </si>
  <si>
    <t>body_green</t>
    <phoneticPr fontId="4" type="noConversion"/>
  </si>
  <si>
    <t>贵族，特权阶级。</t>
    <phoneticPr fontId="4" type="noConversion"/>
  </si>
  <si>
    <t>career_icon_m#str</t>
    <phoneticPr fontId="4" type="noConversion"/>
  </si>
  <si>
    <t>career_icon_f#str</t>
    <phoneticPr fontId="4" type="noConversion"/>
  </si>
  <si>
    <t>ic_caravan_m</t>
    <phoneticPr fontId="4" type="noConversion"/>
  </si>
  <si>
    <t>ic_refugee_m</t>
    <phoneticPr fontId="4" type="noConversion"/>
  </si>
  <si>
    <t>ic_baby_m</t>
    <phoneticPr fontId="4" type="noConversion"/>
  </si>
  <si>
    <t>ic_child_m</t>
    <phoneticPr fontId="4" type="noConversion"/>
  </si>
  <si>
    <t>ic_student_m</t>
    <phoneticPr fontId="4" type="noConversion"/>
  </si>
  <si>
    <t>ic_caravan_f</t>
    <phoneticPr fontId="4" type="noConversion"/>
  </si>
  <si>
    <t>ic_refugee_f</t>
    <phoneticPr fontId="4" type="noConversion"/>
  </si>
  <si>
    <t>ic_baby_f</t>
    <phoneticPr fontId="4" type="noConversion"/>
  </si>
  <si>
    <t>ic_child_f</t>
    <phoneticPr fontId="4" type="noConversion"/>
  </si>
  <si>
    <t>ic_student_f</t>
    <phoneticPr fontId="4" type="noConversion"/>
  </si>
  <si>
    <t>data_id#int</t>
    <phoneticPr fontId="4" type="noConversion"/>
  </si>
  <si>
    <t>搬运工负责大批量货物运输，为&lt;color=green&gt;货架&lt;/color&gt;，&lt;color=green&gt;马车站&lt;/color&gt;，&lt;color=green&gt;交易台&lt;/color&gt;，&lt;color=green&gt;贸易口岸&lt;/color&gt;，&lt;color=green&gt;国库&lt;/color&gt;搬出或搬入物品。单次运输物品数量上限，比普通居民多很多。</t>
    <phoneticPr fontId="4" type="noConversion"/>
  </si>
  <si>
    <t>水手</t>
    <phoneticPr fontId="4" type="noConversion"/>
  </si>
  <si>
    <t>随船出行。</t>
    <phoneticPr fontId="4" type="noConversion"/>
  </si>
  <si>
    <t>水手</t>
    <phoneticPr fontId="4" type="noConversion"/>
  </si>
  <si>
    <t>body_green</t>
    <phoneticPr fontId="4" type="noConversion"/>
  </si>
  <si>
    <t>noble</t>
    <phoneticPr fontId="4" type="noConversion"/>
  </si>
  <si>
    <t>码头</t>
    <phoneticPr fontId="4" type="noConversion"/>
  </si>
  <si>
    <t>sailor</t>
    <phoneticPr fontId="4" type="noConversion"/>
  </si>
  <si>
    <t>body_green</t>
    <phoneticPr fontId="4" type="noConversion"/>
  </si>
  <si>
    <t>body_silver</t>
    <phoneticPr fontId="4" type="noConversion"/>
  </si>
  <si>
    <t>旅客</t>
    <phoneticPr fontId="4" type="noConversion"/>
  </si>
  <si>
    <t>旅客</t>
    <phoneticPr fontId="4" type="noConversion"/>
  </si>
  <si>
    <t>路过的旅行者。</t>
    <phoneticPr fontId="4" type="noConversion"/>
  </si>
  <si>
    <t>无</t>
    <phoneticPr fontId="4" type="noConversion"/>
  </si>
  <si>
    <t>traveller</t>
    <phoneticPr fontId="4" type="noConversion"/>
  </si>
  <si>
    <t>ic_traveller_m</t>
    <phoneticPr fontId="4" type="noConversion"/>
  </si>
  <si>
    <t>ic_traveller_f</t>
    <phoneticPr fontId="4" type="noConversion"/>
  </si>
  <si>
    <t>_npc_type_group#str</t>
    <phoneticPr fontId="4" type="noConversion"/>
  </si>
  <si>
    <t>流浪者</t>
    <phoneticPr fontId="4" type="noConversion"/>
  </si>
  <si>
    <t>赏金猎人</t>
    <phoneticPr fontId="4" type="noConversion"/>
  </si>
  <si>
    <t>刺客</t>
    <phoneticPr fontId="4" type="noConversion"/>
  </si>
  <si>
    <t>wanderer</t>
    <phoneticPr fontId="4" type="noConversion"/>
  </si>
  <si>
    <t>bounty_hunter</t>
    <phoneticPr fontId="4" type="noConversion"/>
  </si>
  <si>
    <t>assassin</t>
    <phoneticPr fontId="4" type="noConversion"/>
  </si>
  <si>
    <t>ic_wanderer_m</t>
    <phoneticPr fontId="4" type="noConversion"/>
  </si>
  <si>
    <t>ic_bounty_hunter_m</t>
    <phoneticPr fontId="4" type="noConversion"/>
  </si>
  <si>
    <t>ic_assassin_m</t>
    <phoneticPr fontId="4" type="noConversion"/>
  </si>
  <si>
    <t>ic_wanderer_f</t>
    <phoneticPr fontId="4" type="noConversion"/>
  </si>
  <si>
    <t>ic_bounty_hunter_f</t>
    <phoneticPr fontId="4" type="noConversion"/>
  </si>
  <si>
    <t>ic_assassin_f</t>
    <phoneticPr fontId="4" type="noConversion"/>
  </si>
  <si>
    <t>treasure_hunter</t>
    <phoneticPr fontId="4" type="noConversion"/>
  </si>
  <si>
    <t>treasure_hunter_m</t>
    <phoneticPr fontId="4" type="noConversion"/>
  </si>
  <si>
    <t>treasure_hunter_f</t>
    <phoneticPr fontId="4" type="noConversion"/>
  </si>
  <si>
    <t>接受酬金打击强盗或怪物。</t>
    <phoneticPr fontId="4" type="noConversion"/>
  </si>
  <si>
    <t>接受酬金实施暗杀。</t>
    <phoneticPr fontId="4" type="noConversion"/>
  </si>
  <si>
    <t>满世界寻找宝藏。</t>
    <phoneticPr fontId="4" type="noConversion"/>
  </si>
  <si>
    <t>四海为家，四处漫游的人。</t>
    <phoneticPr fontId="4" type="noConversion"/>
  </si>
  <si>
    <t>接待台</t>
    <phoneticPr fontId="4" type="noConversion"/>
  </si>
  <si>
    <t>waiter</t>
    <phoneticPr fontId="4" type="noConversion"/>
  </si>
  <si>
    <t>caravan_leader</t>
    <phoneticPr fontId="4" type="noConversion"/>
  </si>
  <si>
    <t>caravan</t>
    <phoneticPr fontId="4" type="noConversion"/>
  </si>
  <si>
    <t>服务员</t>
    <phoneticPr fontId="4" type="noConversion"/>
  </si>
  <si>
    <t>服务员负责接待旅客。</t>
    <phoneticPr fontId="4" type="noConversion"/>
  </si>
  <si>
    <r>
      <t>-</t>
    </r>
    <r>
      <rPr>
        <sz val="11"/>
        <color theme="1"/>
        <rFont val="宋体"/>
        <family val="3"/>
        <charset val="134"/>
        <scheme val="minor"/>
      </rPr>
      <t>7</t>
    </r>
    <phoneticPr fontId="4" type="noConversion"/>
  </si>
  <si>
    <t>-9</t>
    <phoneticPr fontId="4" type="noConversion"/>
  </si>
  <si>
    <r>
      <t>-</t>
    </r>
    <r>
      <rPr>
        <sz val="11"/>
        <color theme="1"/>
        <rFont val="宋体"/>
        <family val="3"/>
        <charset val="134"/>
        <scheme val="minor"/>
      </rPr>
      <t>5</t>
    </r>
    <phoneticPr fontId="4" type="noConversion"/>
  </si>
  <si>
    <t>0</t>
    <phoneticPr fontId="4" type="noConversion"/>
  </si>
  <si>
    <t>-10</t>
    <phoneticPr fontId="4" type="noConversion"/>
  </si>
  <si>
    <t>寻宝者</t>
    <phoneticPr fontId="4" type="noConversion"/>
  </si>
  <si>
    <t>杂工</t>
    <phoneticPr fontId="4" type="noConversion"/>
  </si>
  <si>
    <t>杂工负责采集地面资源，搬运零碎物品，救援村民，搬运尸体等杂活。</t>
    <phoneticPr fontId="4" type="noConversion"/>
  </si>
  <si>
    <t>熔炉</t>
    <phoneticPr fontId="4" type="noConversion"/>
  </si>
  <si>
    <t>鼠人</t>
  </si>
  <si>
    <t>猫人</t>
  </si>
  <si>
    <t>羊人</t>
  </si>
  <si>
    <t>狼人</t>
  </si>
  <si>
    <t>猪人</t>
  </si>
  <si>
    <t>精灵族</t>
  </si>
  <si>
    <t>三眼人</t>
  </si>
  <si>
    <t>蜥蜴人</t>
  </si>
  <si>
    <t>蚁人儿童</t>
    <phoneticPr fontId="4" type="noConversion"/>
  </si>
  <si>
    <t>鼠人儿童</t>
    <phoneticPr fontId="4" type="noConversion"/>
  </si>
  <si>
    <t>猫人儿童</t>
    <phoneticPr fontId="4" type="noConversion"/>
  </si>
  <si>
    <t>羊人儿童</t>
    <phoneticPr fontId="4" type="noConversion"/>
  </si>
  <si>
    <t>狼人儿童</t>
    <phoneticPr fontId="4" type="noConversion"/>
  </si>
  <si>
    <t>猪人儿童</t>
    <phoneticPr fontId="4" type="noConversion"/>
  </si>
  <si>
    <t>精灵族儿童</t>
    <phoneticPr fontId="4" type="noConversion"/>
  </si>
  <si>
    <t>三眼人儿童</t>
    <phoneticPr fontId="4" type="noConversion"/>
  </si>
  <si>
    <t>蜥蜴人儿童</t>
    <phoneticPr fontId="4" type="noConversion"/>
  </si>
  <si>
    <t>三眼人学生</t>
    <phoneticPr fontId="4" type="noConversion"/>
  </si>
  <si>
    <t>蜥蜴人学生</t>
    <phoneticPr fontId="4" type="noConversion"/>
  </si>
  <si>
    <t>蚁人杂工</t>
    <phoneticPr fontId="4" type="noConversion"/>
  </si>
  <si>
    <t>鼠人杂工</t>
    <phoneticPr fontId="4" type="noConversion"/>
  </si>
  <si>
    <t>猫人杂工</t>
    <phoneticPr fontId="4" type="noConversion"/>
  </si>
  <si>
    <t>羊人杂工</t>
    <phoneticPr fontId="4" type="noConversion"/>
  </si>
  <si>
    <t>猪人杂工</t>
    <phoneticPr fontId="4" type="noConversion"/>
  </si>
  <si>
    <t>精灵族成人</t>
    <phoneticPr fontId="4" type="noConversion"/>
  </si>
  <si>
    <t>三眼人成人</t>
    <phoneticPr fontId="4" type="noConversion"/>
  </si>
  <si>
    <t>蜥蜴人成人</t>
    <phoneticPr fontId="4" type="noConversion"/>
  </si>
  <si>
    <t>蚁人搬运工</t>
    <phoneticPr fontId="4" type="noConversion"/>
  </si>
  <si>
    <t>鼠人矿工</t>
    <phoneticPr fontId="4" type="noConversion"/>
  </si>
  <si>
    <t>猫人渔民</t>
    <phoneticPr fontId="4" type="noConversion"/>
  </si>
  <si>
    <t>羊人牧民</t>
    <phoneticPr fontId="4" type="noConversion"/>
  </si>
  <si>
    <t>猪人农民</t>
    <phoneticPr fontId="4" type="noConversion"/>
  </si>
  <si>
    <t>三眼人先知</t>
    <phoneticPr fontId="4" type="noConversion"/>
  </si>
  <si>
    <t>蜥蜴人学者</t>
    <phoneticPr fontId="4" type="noConversion"/>
  </si>
  <si>
    <t>race_2#int</t>
  </si>
  <si>
    <t>race_3#int</t>
  </si>
  <si>
    <t>race_4#int</t>
  </si>
  <si>
    <t>race_5#int</t>
  </si>
  <si>
    <t>race_6#int</t>
  </si>
  <si>
    <t>race_7#int</t>
  </si>
  <si>
    <t>race_8#int</t>
  </si>
  <si>
    <t>race_9#int</t>
  </si>
  <si>
    <t>蚁人</t>
    <phoneticPr fontId="4" type="noConversion"/>
  </si>
  <si>
    <t>类别分组
0人民
1工人
2士兵
3贵族
-10旅客
9外观形象</t>
    <phoneticPr fontId="4" type="noConversion"/>
  </si>
  <si>
    <t>9</t>
    <phoneticPr fontId="4" type="noConversion"/>
  </si>
  <si>
    <t>child9001</t>
    <phoneticPr fontId="4" type="noConversion"/>
  </si>
  <si>
    <t>child9002</t>
  </si>
  <si>
    <t>child9003</t>
  </si>
  <si>
    <t>child9004</t>
  </si>
  <si>
    <t>child9005</t>
  </si>
  <si>
    <t>child9006</t>
  </si>
  <si>
    <t>child9007</t>
  </si>
  <si>
    <t>child9008</t>
  </si>
  <si>
    <t>child9009</t>
  </si>
  <si>
    <t>student9101</t>
    <phoneticPr fontId="4" type="noConversion"/>
  </si>
  <si>
    <t>student9102</t>
    <phoneticPr fontId="4" type="noConversion"/>
  </si>
  <si>
    <t>handyman</t>
    <phoneticPr fontId="4" type="noConversion"/>
  </si>
  <si>
    <t>handyman9201</t>
    <phoneticPr fontId="4" type="noConversion"/>
  </si>
  <si>
    <t>handyman9202</t>
  </si>
  <si>
    <t>handyman9203</t>
  </si>
  <si>
    <t>handyman9204</t>
  </si>
  <si>
    <t>handyman9205</t>
  </si>
  <si>
    <t>handyman9206</t>
  </si>
  <si>
    <t>handyman9207</t>
  </si>
  <si>
    <t>handyman9208</t>
  </si>
  <si>
    <t>handyman9209</t>
  </si>
  <si>
    <t>transporter</t>
    <phoneticPr fontId="4" type="noConversion"/>
  </si>
  <si>
    <t>transporter9301</t>
    <phoneticPr fontId="4" type="noConversion"/>
  </si>
  <si>
    <t>miner9302</t>
    <phoneticPr fontId="4" type="noConversion"/>
  </si>
  <si>
    <t>fisherman</t>
    <phoneticPr fontId="4" type="noConversion"/>
  </si>
  <si>
    <t>fisherman9303</t>
    <phoneticPr fontId="4" type="noConversion"/>
  </si>
  <si>
    <t>herdsman9304</t>
    <phoneticPr fontId="4" type="noConversion"/>
  </si>
  <si>
    <t>farmer</t>
    <phoneticPr fontId="4" type="noConversion"/>
  </si>
  <si>
    <t>farmer9305</t>
    <phoneticPr fontId="4" type="noConversion"/>
  </si>
  <si>
    <t>soldier9305</t>
    <phoneticPr fontId="4" type="noConversion"/>
  </si>
  <si>
    <t>minister9307</t>
    <phoneticPr fontId="4" type="noConversion"/>
  </si>
  <si>
    <t>soldier9307</t>
    <phoneticPr fontId="4" type="noConversion"/>
  </si>
  <si>
    <t>teacher_9309</t>
    <phoneticPr fontId="4" type="noConversion"/>
  </si>
  <si>
    <t>狼人成人</t>
    <phoneticPr fontId="4" type="noConversion"/>
  </si>
  <si>
    <t>狼人士兵</t>
    <phoneticPr fontId="4" type="noConversion"/>
  </si>
  <si>
    <t>race_1#int</t>
    <phoneticPr fontId="4" type="noConversion"/>
  </si>
  <si>
    <t>hat_career_78</t>
    <phoneticPr fontId="4" type="noConversion"/>
  </si>
  <si>
    <t>hat_career_79</t>
    <phoneticPr fontId="4" type="noConversion"/>
  </si>
  <si>
    <t>hat_career_81</t>
    <phoneticPr fontId="4" type="noConversion"/>
  </si>
  <si>
    <t>hat_career_83</t>
    <phoneticPr fontId="4" type="noConversion"/>
  </si>
  <si>
    <t>hat_career_85</t>
    <phoneticPr fontId="4" type="noConversion"/>
  </si>
  <si>
    <t>hat_career_87</t>
    <phoneticPr fontId="4" type="noConversion"/>
  </si>
  <si>
    <t>hat_career_53</t>
    <phoneticPr fontId="4" type="noConversion"/>
  </si>
  <si>
    <t>hat_career_89</t>
    <phoneticPr fontId="4" type="noConversion"/>
  </si>
  <si>
    <t>hat_career_77</t>
    <phoneticPr fontId="4" type="noConversion"/>
  </si>
  <si>
    <t>hat_career_55</t>
    <phoneticPr fontId="4" type="noConversion"/>
  </si>
  <si>
    <t>hat_career_54</t>
    <phoneticPr fontId="4" type="noConversion"/>
  </si>
  <si>
    <t>hat_career_76</t>
    <phoneticPr fontId="4" type="noConversion"/>
  </si>
  <si>
    <t>hat_career_88</t>
    <phoneticPr fontId="4" type="noConversion"/>
  </si>
  <si>
    <t>hat_career_52</t>
    <phoneticPr fontId="4" type="noConversion"/>
  </si>
  <si>
    <t>hat_career_80</t>
    <phoneticPr fontId="4" type="noConversion"/>
  </si>
  <si>
    <t>hat_career_82</t>
    <phoneticPr fontId="4" type="noConversion"/>
  </si>
  <si>
    <t>hat_career_84</t>
    <phoneticPr fontId="4" type="noConversion"/>
  </si>
  <si>
    <t>hat_career_86</t>
    <phoneticPr fontId="4" type="noConversion"/>
  </si>
  <si>
    <t>body_blue</t>
    <phoneticPr fontId="4" type="noConversion"/>
  </si>
  <si>
    <t>hat_career_90</t>
    <phoneticPr fontId="4" type="noConversion"/>
  </si>
  <si>
    <t>hat_career_91</t>
    <phoneticPr fontId="4" type="noConversion"/>
  </si>
  <si>
    <t>hat_career_92</t>
    <phoneticPr fontId="4" type="noConversion"/>
  </si>
  <si>
    <t>hat_career_93</t>
    <phoneticPr fontId="4" type="noConversion"/>
  </si>
  <si>
    <t>hat_career_94</t>
    <phoneticPr fontId="4" type="noConversion"/>
  </si>
  <si>
    <t>hat_career_95</t>
    <phoneticPr fontId="4" type="noConversion"/>
  </si>
  <si>
    <t>hat_career_96</t>
    <phoneticPr fontId="4" type="noConversion"/>
  </si>
  <si>
    <t>hat_career_97</t>
    <phoneticPr fontId="4" type="noConversion"/>
  </si>
  <si>
    <t>hat_career_98</t>
    <phoneticPr fontId="4" type="noConversion"/>
  </si>
  <si>
    <t>hat_career_99</t>
    <phoneticPr fontId="4" type="noConversion"/>
  </si>
  <si>
    <t>hat_career_100</t>
    <phoneticPr fontId="4" type="noConversion"/>
  </si>
  <si>
    <t>hat_career_101</t>
    <phoneticPr fontId="4" type="noConversion"/>
  </si>
  <si>
    <t>hat_career_102</t>
    <phoneticPr fontId="4" type="noConversion"/>
  </si>
  <si>
    <t>hat_career_103</t>
    <phoneticPr fontId="4" type="noConversion"/>
  </si>
  <si>
    <t>hat_career_104</t>
    <phoneticPr fontId="4" type="noConversion"/>
  </si>
  <si>
    <t>hat_career_105</t>
    <phoneticPr fontId="4" type="noConversion"/>
  </si>
  <si>
    <t>hat_career_106</t>
    <phoneticPr fontId="4" type="noConversion"/>
  </si>
  <si>
    <t>hat_career_107</t>
    <phoneticPr fontId="4" type="noConversion"/>
  </si>
  <si>
    <t>hat_career_108</t>
    <phoneticPr fontId="4" type="noConversion"/>
  </si>
  <si>
    <t>hat_career_109</t>
    <phoneticPr fontId="4" type="noConversion"/>
  </si>
  <si>
    <t>hat_career_110</t>
    <phoneticPr fontId="4" type="noConversion"/>
  </si>
  <si>
    <t>hat_career_111</t>
    <phoneticPr fontId="4" type="noConversion"/>
  </si>
  <si>
    <t>hat_career_112</t>
    <phoneticPr fontId="4" type="noConversion"/>
  </si>
  <si>
    <t>hat_career_113</t>
    <phoneticPr fontId="4" type="noConversion"/>
  </si>
  <si>
    <t>hat_career_114</t>
    <phoneticPr fontId="4" type="noConversion"/>
  </si>
  <si>
    <t>hat_career_115</t>
    <phoneticPr fontId="4" type="noConversion"/>
  </si>
  <si>
    <t>hat_career_116</t>
    <phoneticPr fontId="4" type="noConversion"/>
  </si>
  <si>
    <t>hat_career_117</t>
    <phoneticPr fontId="4" type="noConversion"/>
  </si>
  <si>
    <t>hat_career_118</t>
    <phoneticPr fontId="4" type="noConversion"/>
  </si>
  <si>
    <t>hat_career_119</t>
    <phoneticPr fontId="4" type="noConversion"/>
  </si>
  <si>
    <t>hat_career_120</t>
    <phoneticPr fontId="4" type="noConversion"/>
  </si>
  <si>
    <t>hat_career_121</t>
    <phoneticPr fontId="4" type="noConversion"/>
  </si>
  <si>
    <t>hat_career_122</t>
    <phoneticPr fontId="4" type="noConversion"/>
  </si>
  <si>
    <t>hat_career_123</t>
    <phoneticPr fontId="4" type="noConversion"/>
  </si>
  <si>
    <t>hat_career_124</t>
    <phoneticPr fontId="4" type="noConversion"/>
  </si>
  <si>
    <t>hat_career_125</t>
    <phoneticPr fontId="4" type="noConversion"/>
  </si>
  <si>
    <t>hat_career_126</t>
    <phoneticPr fontId="4" type="noConversion"/>
  </si>
  <si>
    <t>hat_career_127</t>
    <phoneticPr fontId="4" type="noConversion"/>
  </si>
  <si>
    <t>hat_career_128</t>
    <phoneticPr fontId="4" type="noConversion"/>
  </si>
  <si>
    <t>hat_career_129</t>
    <phoneticPr fontId="4" type="noConversion"/>
  </si>
  <si>
    <t>hat_career_130</t>
    <phoneticPr fontId="4" type="noConversion"/>
  </si>
  <si>
    <t>hat_career_131</t>
    <phoneticPr fontId="4" type="noConversion"/>
  </si>
  <si>
    <t>hat_career_132</t>
    <phoneticPr fontId="4" type="noConversion"/>
  </si>
  <si>
    <t>hat_career_133</t>
    <phoneticPr fontId="4" type="noConversion"/>
  </si>
  <si>
    <t>hat_career_134</t>
    <phoneticPr fontId="4" type="noConversion"/>
  </si>
  <si>
    <t>hat_career_135</t>
    <phoneticPr fontId="4" type="noConversion"/>
  </si>
  <si>
    <t>hat_career_136</t>
    <phoneticPr fontId="4" type="noConversion"/>
  </si>
  <si>
    <t>hat_career_137</t>
    <phoneticPr fontId="4" type="noConversion"/>
  </si>
  <si>
    <t>hat_career_138</t>
    <phoneticPr fontId="4" type="noConversion"/>
  </si>
  <si>
    <t>hat_career_139</t>
    <phoneticPr fontId="4" type="noConversion"/>
  </si>
  <si>
    <t>hat_career_140</t>
    <phoneticPr fontId="4" type="noConversion"/>
  </si>
  <si>
    <t>hat_career_141</t>
    <phoneticPr fontId="4" type="noConversion"/>
  </si>
  <si>
    <t>hat_career_142</t>
    <phoneticPr fontId="4" type="noConversion"/>
  </si>
  <si>
    <t>hat_career_143</t>
    <phoneticPr fontId="4" type="noConversion"/>
  </si>
  <si>
    <t>human_head_skin_3_28</t>
    <phoneticPr fontId="4" type="noConversion"/>
  </si>
  <si>
    <t>三眼法师</t>
    <phoneticPr fontId="4" type="noConversion"/>
  </si>
  <si>
    <t>敌人三眼法师</t>
    <phoneticPr fontId="4" type="noConversion"/>
  </si>
  <si>
    <t>敌人狼人士兵</t>
    <phoneticPr fontId="4" type="noConversion"/>
  </si>
  <si>
    <t>敌人精灵法师</t>
    <phoneticPr fontId="4" type="noConversion"/>
  </si>
  <si>
    <t>精灵法师</t>
    <phoneticPr fontId="4" type="noConversion"/>
  </si>
  <si>
    <t>hat_career_144</t>
    <phoneticPr fontId="4" type="noConversion"/>
  </si>
  <si>
    <t>hat_career_145</t>
    <phoneticPr fontId="4" type="noConversion"/>
  </si>
  <si>
    <t>hat_career_146</t>
    <phoneticPr fontId="4" type="noConversion"/>
  </si>
  <si>
    <t>hat_career_147</t>
    <phoneticPr fontId="4" type="noConversion"/>
  </si>
  <si>
    <t>hat_career_148</t>
    <phoneticPr fontId="4" type="noConversion"/>
  </si>
  <si>
    <t>hat_career_149</t>
    <phoneticPr fontId="4" type="noConversion"/>
  </si>
  <si>
    <t>soldier9310</t>
    <phoneticPr fontId="4" type="noConversion"/>
  </si>
  <si>
    <t>soldier9311</t>
    <phoneticPr fontId="4" type="noConversion"/>
  </si>
  <si>
    <t>soldier9312</t>
    <phoneticPr fontId="4" type="noConversion"/>
  </si>
  <si>
    <t>soldier9313</t>
    <phoneticPr fontId="4" type="noConversion"/>
  </si>
  <si>
    <t>磨坊</t>
    <phoneticPr fontId="4" type="noConversion"/>
  </si>
  <si>
    <t>career_105016_m</t>
  </si>
  <si>
    <t>career_105016_f</t>
    <phoneticPr fontId="4" type="noConversion"/>
  </si>
  <si>
    <t>餐桌</t>
  </si>
  <si>
    <t>蘑菇箱</t>
    <phoneticPr fontId="4" type="noConversion"/>
  </si>
  <si>
    <t>career_105001_m</t>
  </si>
  <si>
    <t>career_105001_f</t>
  </si>
  <si>
    <t>农民负责在农田中种植庄稼，在果园培育果树，或培育蘑菇。</t>
    <phoneticPr fontId="4" type="noConversion"/>
  </si>
  <si>
    <t>领主</t>
    <phoneticPr fontId="4" type="noConversion"/>
  </si>
  <si>
    <t>hat_career_150</t>
    <phoneticPr fontId="4" type="noConversion"/>
  </si>
  <si>
    <t>hat_career_151</t>
    <phoneticPr fontId="4" type="noConversion"/>
  </si>
  <si>
    <t>lord</t>
    <phoneticPr fontId="4" type="noConversion"/>
  </si>
  <si>
    <t>是否预先合成</t>
    <phoneticPr fontId="4" type="noConversion"/>
  </si>
  <si>
    <t>pre_composed#int</t>
    <phoneticPr fontId="4" type="noConversion"/>
  </si>
  <si>
    <t>hat_career_170</t>
    <phoneticPr fontId="4" type="noConversion"/>
  </si>
  <si>
    <t>career_104004_m</t>
  </si>
  <si>
    <t>career_104004_f</t>
  </si>
  <si>
    <t>career_103003_m</t>
  </si>
  <si>
    <t>career_103003_f</t>
  </si>
  <si>
    <t>career_104017_m</t>
  </si>
  <si>
    <t>career_104017_f</t>
  </si>
  <si>
    <t>career_105014_m</t>
  </si>
  <si>
    <t>career_105014_f</t>
  </si>
  <si>
    <t>career_105004_m</t>
  </si>
  <si>
    <t>career_105004_f</t>
  </si>
  <si>
    <t>冰窖</t>
    <phoneticPr fontId="4" type="noConversion"/>
  </si>
  <si>
    <t>outsider</t>
    <phoneticPr fontId="4" type="noConversion"/>
  </si>
  <si>
    <t>ic_outsider_m</t>
    <phoneticPr fontId="4" type="noConversion"/>
  </si>
  <si>
    <t>ic_outsider_f</t>
    <phoneticPr fontId="4" type="noConversion"/>
  </si>
  <si>
    <t>外乡人</t>
    <phoneticPr fontId="4" type="noConversion"/>
  </si>
  <si>
    <t>外乡人</t>
    <phoneticPr fontId="4" type="noConversion"/>
  </si>
  <si>
    <t>来自其它地方的人，临时路过此地。</t>
    <phoneticPr fontId="4" type="noConversion"/>
  </si>
  <si>
    <t>炼药师</t>
    <phoneticPr fontId="4" type="noConversion"/>
  </si>
  <si>
    <t>药师负责在森林中采集草药</t>
    <phoneticPr fontId="4" type="noConversion"/>
  </si>
  <si>
    <t>炼药师负责熬制成药物</t>
    <phoneticPr fontId="4" type="noConversion"/>
  </si>
  <si>
    <t>hat_career_173</t>
    <phoneticPr fontId="4" type="noConversion"/>
  </si>
  <si>
    <t>hat_career_174</t>
    <phoneticPr fontId="4" type="noConversion"/>
  </si>
  <si>
    <t>采药师</t>
    <phoneticPr fontId="4" type="noConversion"/>
  </si>
  <si>
    <t>冶炼工</t>
    <phoneticPr fontId="4" type="noConversion"/>
  </si>
  <si>
    <t>冶炼工负责将矿石冶炼成金属。</t>
    <phoneticPr fontId="4" type="noConversion"/>
  </si>
  <si>
    <t>冶炼工</t>
    <phoneticPr fontId="4" type="noConversion"/>
  </si>
  <si>
    <t>hat_career_171</t>
    <phoneticPr fontId="4" type="noConversion"/>
  </si>
  <si>
    <t>hat_career_172</t>
    <phoneticPr fontId="4" type="noConversion"/>
  </si>
  <si>
    <t>smelter</t>
    <phoneticPr fontId="4" type="noConversion"/>
  </si>
  <si>
    <t>herbalist</t>
    <phoneticPr fontId="4" type="noConversion"/>
  </si>
  <si>
    <t>alchemist</t>
    <phoneticPr fontId="4" type="noConversion"/>
  </si>
  <si>
    <t>公共浴场</t>
    <phoneticPr fontId="4" type="noConversion"/>
  </si>
  <si>
    <t>career_104019_m</t>
  </si>
  <si>
    <t>career_104019_f</t>
  </si>
  <si>
    <t>stoneman</t>
    <phoneticPr fontId="4" type="noConversion"/>
  </si>
  <si>
    <t>石头人</t>
    <phoneticPr fontId="4" type="noConversion"/>
  </si>
  <si>
    <t>智慧之心赋予生命的石头，可帮忙干杂活。</t>
    <phoneticPr fontId="4" type="noConversion"/>
  </si>
  <si>
    <t>扑克桌</t>
    <phoneticPr fontId="4" type="noConversion"/>
  </si>
  <si>
    <t>高级扑克桌</t>
    <phoneticPr fontId="4" type="noConversion"/>
  </si>
  <si>
    <t>豪华扑克桌</t>
    <phoneticPr fontId="4" type="noConversion"/>
  </si>
  <si>
    <t>幸运轮盘</t>
    <phoneticPr fontId="4" type="noConversion"/>
  </si>
  <si>
    <t>厨师负责烹饪食物，将生食食材加工成简单食物或精致的食物。也负责打理磨坊，生产面粉。</t>
    <phoneticPr fontId="4" type="noConversion"/>
  </si>
  <si>
    <t>是否在职业面板上显示</t>
    <phoneticPr fontId="4" type="noConversion"/>
  </si>
  <si>
    <t>show_on_manpower_panel#int</t>
    <phoneticPr fontId="4" type="noConversion"/>
  </si>
  <si>
    <t>外乡人</t>
  </si>
  <si>
    <t>流浪者</t>
  </si>
  <si>
    <t>赏金猎人</t>
  </si>
  <si>
    <t>刺客</t>
  </si>
  <si>
    <t>寻宝者</t>
  </si>
  <si>
    <t>旅客</t>
  </si>
  <si>
    <t>商人头领</t>
  </si>
  <si>
    <t>商人</t>
  </si>
  <si>
    <t>流民</t>
  </si>
  <si>
    <t>婴儿</t>
  </si>
  <si>
    <t>儿童</t>
  </si>
  <si>
    <t>学生</t>
  </si>
  <si>
    <t>杂工</t>
  </si>
  <si>
    <t>建筑工</t>
  </si>
  <si>
    <t>铁匠</t>
  </si>
  <si>
    <t>冶炼工</t>
  </si>
  <si>
    <t>酿造师</t>
  </si>
  <si>
    <t>裁缝</t>
  </si>
  <si>
    <t>搬运工</t>
  </si>
  <si>
    <t>劈柴工</t>
  </si>
  <si>
    <t>蜂农</t>
  </si>
  <si>
    <t>学者</t>
  </si>
  <si>
    <t>护林人</t>
  </si>
  <si>
    <t>医生</t>
  </si>
  <si>
    <t>采药师</t>
  </si>
  <si>
    <t>炼药师</t>
  </si>
  <si>
    <t>先知</t>
  </si>
  <si>
    <t>马车夫</t>
  </si>
  <si>
    <t>厨师</t>
  </si>
  <si>
    <t>服务员</t>
  </si>
  <si>
    <t>小精灵</t>
  </si>
  <si>
    <t>俘虏</t>
  </si>
  <si>
    <t>水手</t>
  </si>
  <si>
    <t>石头人</t>
  </si>
  <si>
    <t>士兵</t>
  </si>
  <si>
    <t>敌兵</t>
  </si>
  <si>
    <t>贵族</t>
  </si>
  <si>
    <t>领主</t>
  </si>
  <si>
    <t>三眼法师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</si>
</sst>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8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</cellStyleXfs>
  <cellXfs count="33">
    <xf numFmtId="0" fontId="0" fillId="0" borderId="0" xfId="0"/>
    <xf numFmtId="0" fontId="0" fillId="0" borderId="1" xfId="0" applyBorder="1"/>
    <xf numFmtId="0" fontId="6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6" fillId="2" borderId="1" xfId="0" applyFont="1" applyFill="1" applyBorder="1"/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3" borderId="1" xfId="0" applyFont="1" applyFill="1" applyBorder="1"/>
    <xf numFmtId="49" fontId="6" fillId="0" borderId="1" xfId="0" applyNumberFormat="1" applyFont="1" applyBorder="1" applyAlignment="1">
      <alignment wrapText="1"/>
    </xf>
    <xf numFmtId="49" fontId="6" fillId="0" borderId="1" xfId="0" applyNumberFormat="1" applyFont="1" applyBorder="1"/>
    <xf numFmtId="49" fontId="0" fillId="0" borderId="0" xfId="0" applyNumberFormat="1"/>
    <xf numFmtId="0" fontId="6" fillId="4" borderId="1" xfId="0" applyFont="1" applyFill="1" applyBorder="1"/>
    <xf numFmtId="0" fontId="7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3" borderId="1" xfId="0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3" fillId="0" borderId="1" xfId="2" applyBorder="1"/>
    <xf numFmtId="0" fontId="0" fillId="0" borderId="2" xfId="0" applyBorder="1"/>
    <xf numFmtId="0" fontId="6" fillId="0" borderId="2" xfId="0" applyFont="1" applyBorder="1"/>
    <xf numFmtId="0" fontId="9" fillId="0" borderId="1" xfId="1" applyFont="1" applyFill="1" applyBorder="1" applyAlignment="1"/>
    <xf numFmtId="0" fontId="6" fillId="0" borderId="3" xfId="0" applyFont="1" applyBorder="1"/>
    <xf numFmtId="49" fontId="0" fillId="0" borderId="1" xfId="0" applyNumberFormat="1" applyBorder="1"/>
    <xf numFmtId="0" fontId="3" fillId="0" borderId="1" xfId="4" applyBorder="1"/>
    <xf numFmtId="0" fontId="0" fillId="0" borderId="4" xfId="0" applyBorder="1"/>
    <xf numFmtId="0" fontId="3" fillId="6" borderId="1" xfId="2" applyFill="1" applyBorder="1"/>
    <xf numFmtId="0" fontId="0" fillId="6" borderId="1" xfId="0" applyFill="1" applyBorder="1"/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</cellXfs>
  <cellStyles count="44">
    <cellStyle name="常规" xfId="0" builtinId="0"/>
    <cellStyle name="常规 10" xfId="8" xr:uid="{00000000-0005-0000-0000-000001000000}"/>
    <cellStyle name="常规 11" xfId="9" xr:uid="{00000000-0005-0000-0000-000002000000}"/>
    <cellStyle name="常规 12" xfId="12" xr:uid="{00000000-0005-0000-0000-000003000000}"/>
    <cellStyle name="常规 13" xfId="30" xr:uid="{00000000-0005-0000-0000-000004000000}"/>
    <cellStyle name="常规 14" xfId="33" xr:uid="{00000000-0005-0000-0000-000005000000}"/>
    <cellStyle name="常规 15" xfId="31" xr:uid="{00000000-0005-0000-0000-000006000000}"/>
    <cellStyle name="常规 2" xfId="2" xr:uid="{00000000-0005-0000-0000-000007000000}"/>
    <cellStyle name="常规 2 2" xfId="7" xr:uid="{00000000-0005-0000-0000-000008000000}"/>
    <cellStyle name="常规 2 2 2" xfId="43" xr:uid="{00000000-0005-0000-0000-000009000000}"/>
    <cellStyle name="常规 2 3" xfId="10" xr:uid="{00000000-0005-0000-0000-00000A000000}"/>
    <cellStyle name="常规 2 4" xfId="13" xr:uid="{00000000-0005-0000-0000-00000B000000}"/>
    <cellStyle name="常规 2 5" xfId="16" xr:uid="{00000000-0005-0000-0000-00000C000000}"/>
    <cellStyle name="常规 2 6" xfId="19" xr:uid="{00000000-0005-0000-0000-00000D000000}"/>
    <cellStyle name="常规 2 7" xfId="22" xr:uid="{00000000-0005-0000-0000-00000E000000}"/>
    <cellStyle name="常规 2 8" xfId="40" xr:uid="{00000000-0005-0000-0000-00000F000000}"/>
    <cellStyle name="常规 3" xfId="28" xr:uid="{00000000-0005-0000-0000-000010000000}"/>
    <cellStyle name="常规 3 10" xfId="34" xr:uid="{00000000-0005-0000-0000-000011000000}"/>
    <cellStyle name="常规 3 11" xfId="36" xr:uid="{00000000-0005-0000-0000-000012000000}"/>
    <cellStyle name="常规 3 12" xfId="38" xr:uid="{00000000-0005-0000-0000-000013000000}"/>
    <cellStyle name="常规 3 13" xfId="41" xr:uid="{00000000-0005-0000-0000-000014000000}"/>
    <cellStyle name="常规 3 2" xfId="3" xr:uid="{00000000-0005-0000-0000-000015000000}"/>
    <cellStyle name="常规 3 2 2" xfId="11" xr:uid="{00000000-0005-0000-0000-000016000000}"/>
    <cellStyle name="常规 3 2 3" xfId="25" xr:uid="{00000000-0005-0000-0000-000017000000}"/>
    <cellStyle name="常规 3 2 4" xfId="26" xr:uid="{00000000-0005-0000-0000-000018000000}"/>
    <cellStyle name="常规 3 2 5" xfId="32" xr:uid="{00000000-0005-0000-0000-000019000000}"/>
    <cellStyle name="常规 3 2 6" xfId="35" xr:uid="{00000000-0005-0000-0000-00001A000000}"/>
    <cellStyle name="常规 3 2 7" xfId="37" xr:uid="{00000000-0005-0000-0000-00001B000000}"/>
    <cellStyle name="常规 3 2 8" xfId="39" xr:uid="{00000000-0005-0000-0000-00001C000000}"/>
    <cellStyle name="常规 3 3" xfId="14" xr:uid="{00000000-0005-0000-0000-00001D000000}"/>
    <cellStyle name="常规 3 4" xfId="17" xr:uid="{00000000-0005-0000-0000-00001E000000}"/>
    <cellStyle name="常规 3 5" xfId="20" xr:uid="{00000000-0005-0000-0000-00001F000000}"/>
    <cellStyle name="常规 3 6" xfId="23" xr:uid="{00000000-0005-0000-0000-000020000000}"/>
    <cellStyle name="常规 3 7" xfId="24" xr:uid="{00000000-0005-0000-0000-000021000000}"/>
    <cellStyle name="常规 3 8" xfId="27" xr:uid="{00000000-0005-0000-0000-000022000000}"/>
    <cellStyle name="常规 3 9" xfId="29" xr:uid="{00000000-0005-0000-0000-000023000000}"/>
    <cellStyle name="常规 4" xfId="15" xr:uid="{00000000-0005-0000-0000-000024000000}"/>
    <cellStyle name="常规 4 2" xfId="42" xr:uid="{00000000-0005-0000-0000-000025000000}"/>
    <cellStyle name="常规 5" xfId="18" xr:uid="{00000000-0005-0000-0000-000026000000}"/>
    <cellStyle name="常规 6" xfId="4" xr:uid="{00000000-0005-0000-0000-000027000000}"/>
    <cellStyle name="常规 7" xfId="21" xr:uid="{00000000-0005-0000-0000-000028000000}"/>
    <cellStyle name="常规 8" xfId="5" xr:uid="{00000000-0005-0000-0000-000029000000}"/>
    <cellStyle name="常规 9" xfId="6" xr:uid="{00000000-0005-0000-0000-00002A000000}"/>
    <cellStyle name="适中" xfId="1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"/>
  <sheetViews>
    <sheetView tabSelected="1" workbookViewId="0">
      <pane ySplit="1" topLeftCell="A51" activePane="bottomLeft" state="frozen"/>
      <selection pane="bottomLeft" activeCell="O69" sqref="O69"/>
    </sheetView>
  </sheetViews>
  <sheetFormatPr defaultRowHeight="13.5" x14ac:dyDescent="0.15"/>
  <cols>
    <col min="1" max="1" width="13.375" customWidth="1"/>
    <col min="2" max="2" width="13.125" customWidth="1"/>
    <col min="3" max="3" width="11.875" style="11" customWidth="1"/>
    <col min="4" max="4" width="17.625" customWidth="1"/>
    <col min="5" max="6" width="16.375" customWidth="1"/>
    <col min="7" max="7" width="6.625" customWidth="1"/>
    <col min="8" max="9" width="8.75" customWidth="1"/>
    <col min="10" max="10" width="10.875" customWidth="1"/>
    <col min="11" max="11" width="7.5" customWidth="1"/>
    <col min="12" max="13" width="8.625" customWidth="1"/>
    <col min="14" max="14" width="5.75" customWidth="1"/>
    <col min="15" max="16" width="10.875" customWidth="1"/>
    <col min="17" max="17" width="8.625" customWidth="1"/>
    <col min="18" max="19" width="10.875" customWidth="1"/>
    <col min="20" max="20" width="8.625" customWidth="1"/>
    <col min="21" max="22" width="10.875" customWidth="1"/>
    <col min="23" max="23" width="8.625" customWidth="1"/>
    <col min="24" max="24" width="35.625" style="15" customWidth="1"/>
    <col min="25" max="25" width="6.625" customWidth="1"/>
    <col min="26" max="26" width="5.75" customWidth="1"/>
    <col min="27" max="27" width="11.625" customWidth="1"/>
    <col min="28" max="29" width="9.875" customWidth="1"/>
    <col min="30" max="30" width="12.375" customWidth="1"/>
    <col min="31" max="31" width="15.75" customWidth="1"/>
    <col min="32" max="32" width="9.875" customWidth="1"/>
    <col min="34" max="34" width="23.375" customWidth="1"/>
    <col min="35" max="35" width="10.125" customWidth="1"/>
    <col min="37" max="37" width="44.875" customWidth="1"/>
  </cols>
  <sheetData>
    <row r="1" spans="1:37" s="15" customFormat="1" ht="112.5" customHeight="1" x14ac:dyDescent="0.15">
      <c r="A1" s="7" t="s">
        <v>185</v>
      </c>
      <c r="B1" s="7" t="s">
        <v>8</v>
      </c>
      <c r="C1" s="9" t="s">
        <v>351</v>
      </c>
      <c r="D1" s="14" t="s">
        <v>33</v>
      </c>
      <c r="E1" s="14" t="s">
        <v>48</v>
      </c>
      <c r="F1" s="14" t="s">
        <v>48</v>
      </c>
      <c r="G1" s="7" t="s">
        <v>63</v>
      </c>
      <c r="H1" s="14" t="s">
        <v>32</v>
      </c>
      <c r="I1" s="14" t="s">
        <v>212</v>
      </c>
      <c r="J1" s="14" t="s">
        <v>7</v>
      </c>
      <c r="K1" s="7" t="s">
        <v>535</v>
      </c>
      <c r="L1" s="7" t="s">
        <v>171</v>
      </c>
      <c r="M1" s="7" t="s">
        <v>172</v>
      </c>
      <c r="N1" s="7" t="s">
        <v>490</v>
      </c>
      <c r="O1" s="27" t="s">
        <v>350</v>
      </c>
      <c r="P1" s="21" t="s">
        <v>308</v>
      </c>
      <c r="Q1" s="21" t="s">
        <v>309</v>
      </c>
      <c r="R1" s="21" t="s">
        <v>310</v>
      </c>
      <c r="S1" s="21" t="s">
        <v>311</v>
      </c>
      <c r="T1" s="21" t="s">
        <v>312</v>
      </c>
      <c r="U1" s="21" t="s">
        <v>313</v>
      </c>
      <c r="V1" s="21" t="s">
        <v>314</v>
      </c>
      <c r="W1" s="21" t="s">
        <v>315</v>
      </c>
      <c r="X1" s="7" t="s">
        <v>190</v>
      </c>
      <c r="Y1" s="7" t="s">
        <v>142</v>
      </c>
      <c r="Z1" s="7" t="s">
        <v>169</v>
      </c>
      <c r="AA1" s="14" t="s">
        <v>68</v>
      </c>
      <c r="AB1" s="7" t="s">
        <v>69</v>
      </c>
      <c r="AC1" s="7" t="s">
        <v>83</v>
      </c>
      <c r="AD1" s="7" t="s">
        <v>84</v>
      </c>
      <c r="AE1" s="7" t="s">
        <v>85</v>
      </c>
      <c r="AF1" s="7" t="s">
        <v>89</v>
      </c>
      <c r="AG1" s="7" t="s">
        <v>90</v>
      </c>
      <c r="AH1" s="7" t="s">
        <v>91</v>
      </c>
      <c r="AI1" s="18" t="s">
        <v>160</v>
      </c>
      <c r="AJ1" s="19" t="s">
        <v>217</v>
      </c>
      <c r="AK1" s="20" t="s">
        <v>233</v>
      </c>
    </row>
    <row r="2" spans="1:37" x14ac:dyDescent="0.15">
      <c r="A2" s="1" t="s">
        <v>17</v>
      </c>
      <c r="B2" s="2" t="s">
        <v>6</v>
      </c>
      <c r="C2" s="10" t="s">
        <v>273</v>
      </c>
      <c r="D2" s="1" t="s">
        <v>30</v>
      </c>
      <c r="E2" s="2" t="s">
        <v>243</v>
      </c>
      <c r="F2" s="2" t="s">
        <v>244</v>
      </c>
      <c r="G2" s="2" t="s">
        <v>62</v>
      </c>
      <c r="H2" s="2" t="s">
        <v>31</v>
      </c>
      <c r="I2" s="2" t="s">
        <v>255</v>
      </c>
      <c r="J2" s="2" t="s">
        <v>219</v>
      </c>
      <c r="K2" s="2" t="s">
        <v>536</v>
      </c>
      <c r="L2" s="2" t="s">
        <v>173</v>
      </c>
      <c r="M2" s="2" t="s">
        <v>174</v>
      </c>
      <c r="N2" s="2" t="s">
        <v>491</v>
      </c>
      <c r="O2" s="2" t="s">
        <v>388</v>
      </c>
      <c r="P2" s="2" t="s">
        <v>342</v>
      </c>
      <c r="Q2" s="2" t="s">
        <v>343</v>
      </c>
      <c r="R2" s="2" t="s">
        <v>344</v>
      </c>
      <c r="S2" s="2" t="s">
        <v>345</v>
      </c>
      <c r="T2" s="2" t="s">
        <v>346</v>
      </c>
      <c r="U2" s="2" t="s">
        <v>347</v>
      </c>
      <c r="V2" s="2" t="s">
        <v>348</v>
      </c>
      <c r="W2" s="2" t="s">
        <v>349</v>
      </c>
      <c r="X2" s="7" t="s">
        <v>220</v>
      </c>
      <c r="Y2" s="2" t="s">
        <v>170</v>
      </c>
      <c r="Z2" s="2" t="s">
        <v>137</v>
      </c>
      <c r="AA2" s="2" t="s">
        <v>82</v>
      </c>
      <c r="AB2" s="2" t="s">
        <v>70</v>
      </c>
      <c r="AC2" s="2" t="s">
        <v>92</v>
      </c>
      <c r="AD2" s="2" t="s">
        <v>81</v>
      </c>
      <c r="AE2" s="2" t="s">
        <v>93</v>
      </c>
      <c r="AF2" s="2" t="s">
        <v>86</v>
      </c>
      <c r="AG2" s="2" t="s">
        <v>87</v>
      </c>
      <c r="AH2" s="2" t="s">
        <v>88</v>
      </c>
      <c r="AI2" s="10" t="s">
        <v>161</v>
      </c>
      <c r="AJ2" s="23" t="s">
        <v>234</v>
      </c>
      <c r="AK2" s="22" t="s">
        <v>218</v>
      </c>
    </row>
    <row r="3" spans="1:37" x14ac:dyDescent="0.15">
      <c r="A3" s="3">
        <v>-15</v>
      </c>
      <c r="B3" s="2" t="s">
        <v>9</v>
      </c>
      <c r="C3" s="10" t="s">
        <v>303</v>
      </c>
      <c r="D3" s="2" t="s">
        <v>504</v>
      </c>
      <c r="E3" s="2" t="s">
        <v>505</v>
      </c>
      <c r="F3" s="2" t="s">
        <v>506</v>
      </c>
      <c r="G3" s="2">
        <v>1</v>
      </c>
      <c r="H3" s="1">
        <v>-15</v>
      </c>
      <c r="I3" s="1">
        <v>30072</v>
      </c>
      <c r="J3" s="2" t="s">
        <v>507</v>
      </c>
      <c r="K3" s="2">
        <v>0</v>
      </c>
      <c r="L3" s="2">
        <v>0</v>
      </c>
      <c r="M3" s="2">
        <v>0</v>
      </c>
      <c r="N3" s="1">
        <v>0</v>
      </c>
      <c r="O3" s="1">
        <v>9201</v>
      </c>
      <c r="P3" s="1">
        <v>9202</v>
      </c>
      <c r="Q3" s="1">
        <v>9203</v>
      </c>
      <c r="R3" s="1">
        <v>9204</v>
      </c>
      <c r="S3" s="1">
        <v>9205</v>
      </c>
      <c r="T3" s="1">
        <v>9206</v>
      </c>
      <c r="U3" s="1">
        <v>9207</v>
      </c>
      <c r="V3" s="1">
        <v>9208</v>
      </c>
      <c r="W3" s="1">
        <v>9209</v>
      </c>
      <c r="X3" s="7" t="str">
        <f t="shared" ref="X3" si="0">AK3</f>
        <v>来自其它地方的人，临时路过此地。</v>
      </c>
      <c r="Y3" s="1">
        <v>0</v>
      </c>
      <c r="Z3" s="1">
        <v>0</v>
      </c>
      <c r="AA3" s="2" t="s">
        <v>75</v>
      </c>
      <c r="AB3" s="1"/>
      <c r="AC3" s="1"/>
      <c r="AD3" s="1"/>
      <c r="AE3" s="12" t="s">
        <v>103</v>
      </c>
      <c r="AF3" s="1"/>
      <c r="AG3" s="1"/>
      <c r="AH3" s="12" t="s">
        <v>151</v>
      </c>
      <c r="AI3" s="1" t="str">
        <f t="shared" ref="AI3:AI34" si="1">CONCATENATE("public const int ",D3," = ",H3,";")</f>
        <v>public const int outsider = -15;</v>
      </c>
      <c r="AJ3" s="2" t="s">
        <v>508</v>
      </c>
      <c r="AK3" s="2" t="s">
        <v>509</v>
      </c>
    </row>
    <row r="4" spans="1:37" x14ac:dyDescent="0.15">
      <c r="A4" s="3">
        <v>-14</v>
      </c>
      <c r="B4" s="2" t="s">
        <v>269</v>
      </c>
      <c r="C4" s="10" t="s">
        <v>303</v>
      </c>
      <c r="D4" s="2" t="s">
        <v>277</v>
      </c>
      <c r="E4" s="2" t="s">
        <v>280</v>
      </c>
      <c r="F4" s="2" t="s">
        <v>283</v>
      </c>
      <c r="G4" s="2">
        <v>1</v>
      </c>
      <c r="H4" s="1">
        <v>-14</v>
      </c>
      <c r="I4" s="1">
        <v>30070</v>
      </c>
      <c r="J4" s="2" t="s">
        <v>274</v>
      </c>
      <c r="K4" s="2">
        <v>0</v>
      </c>
      <c r="L4" s="2">
        <v>0</v>
      </c>
      <c r="M4" s="2">
        <v>0</v>
      </c>
      <c r="N4" s="1">
        <v>0</v>
      </c>
      <c r="O4" s="1">
        <v>9201</v>
      </c>
      <c r="P4" s="1">
        <v>9202</v>
      </c>
      <c r="Q4" s="1">
        <v>9203</v>
      </c>
      <c r="R4" s="1">
        <v>9204</v>
      </c>
      <c r="S4" s="1">
        <v>9205</v>
      </c>
      <c r="T4" s="1">
        <v>9206</v>
      </c>
      <c r="U4" s="1">
        <v>9207</v>
      </c>
      <c r="V4" s="1">
        <v>9208</v>
      </c>
      <c r="W4" s="1">
        <v>9209</v>
      </c>
      <c r="X4" s="7" t="str">
        <f t="shared" ref="X4:X18" si="2">AK4</f>
        <v>四海为家，四处漫游的人。</v>
      </c>
      <c r="Y4" s="1">
        <v>0</v>
      </c>
      <c r="Z4" s="1">
        <v>0</v>
      </c>
      <c r="AA4" s="1" t="s">
        <v>71</v>
      </c>
      <c r="AB4" s="1"/>
      <c r="AC4" s="1"/>
      <c r="AD4" s="1"/>
      <c r="AE4" s="12" t="s">
        <v>389</v>
      </c>
      <c r="AF4" s="1"/>
      <c r="AG4" s="1"/>
      <c r="AH4" s="12" t="s">
        <v>390</v>
      </c>
      <c r="AI4" s="1" t="str">
        <f t="shared" si="1"/>
        <v>public const int wanderer = -14;</v>
      </c>
      <c r="AJ4" s="2" t="s">
        <v>274</v>
      </c>
      <c r="AK4" s="2" t="s">
        <v>292</v>
      </c>
    </row>
    <row r="5" spans="1:37" x14ac:dyDescent="0.15">
      <c r="A5" s="3">
        <v>-13</v>
      </c>
      <c r="B5" s="2" t="s">
        <v>269</v>
      </c>
      <c r="C5" s="10" t="s">
        <v>303</v>
      </c>
      <c r="D5" s="2" t="s">
        <v>278</v>
      </c>
      <c r="E5" s="2" t="s">
        <v>281</v>
      </c>
      <c r="F5" s="2" t="s">
        <v>284</v>
      </c>
      <c r="G5" s="2">
        <v>1</v>
      </c>
      <c r="H5" s="1">
        <v>-13</v>
      </c>
      <c r="I5" s="1">
        <v>30069</v>
      </c>
      <c r="J5" s="2" t="s">
        <v>275</v>
      </c>
      <c r="K5" s="2">
        <v>0</v>
      </c>
      <c r="L5" s="2">
        <v>0</v>
      </c>
      <c r="M5" s="2">
        <v>0</v>
      </c>
      <c r="N5" s="1">
        <v>0</v>
      </c>
      <c r="O5" s="1">
        <v>9201</v>
      </c>
      <c r="P5" s="1">
        <v>9202</v>
      </c>
      <c r="Q5" s="1">
        <v>9203</v>
      </c>
      <c r="R5" s="1">
        <v>9204</v>
      </c>
      <c r="S5" s="1">
        <v>9205</v>
      </c>
      <c r="T5" s="1">
        <v>9206</v>
      </c>
      <c r="U5" s="1">
        <v>9207</v>
      </c>
      <c r="V5" s="1">
        <v>9208</v>
      </c>
      <c r="W5" s="1">
        <v>9209</v>
      </c>
      <c r="X5" s="7" t="str">
        <f t="shared" si="2"/>
        <v>接受酬金打击强盗或怪物。</v>
      </c>
      <c r="Y5" s="1">
        <v>0</v>
      </c>
      <c r="Z5" s="1">
        <v>0</v>
      </c>
      <c r="AA5" s="1" t="s">
        <v>71</v>
      </c>
      <c r="AB5" s="1"/>
      <c r="AC5" s="1"/>
      <c r="AD5" s="1"/>
      <c r="AE5" s="12" t="s">
        <v>403</v>
      </c>
      <c r="AF5" s="1"/>
      <c r="AG5" s="1"/>
      <c r="AH5" s="12" t="s">
        <v>391</v>
      </c>
      <c r="AI5" s="1" t="str">
        <f t="shared" si="1"/>
        <v>public const int bounty_hunter = -13;</v>
      </c>
      <c r="AJ5" s="2" t="s">
        <v>275</v>
      </c>
      <c r="AK5" s="2" t="s">
        <v>289</v>
      </c>
    </row>
    <row r="6" spans="1:37" x14ac:dyDescent="0.15">
      <c r="A6" s="3">
        <v>-12</v>
      </c>
      <c r="B6" s="2" t="s">
        <v>269</v>
      </c>
      <c r="C6" s="10" t="s">
        <v>303</v>
      </c>
      <c r="D6" s="2" t="s">
        <v>279</v>
      </c>
      <c r="E6" s="2" t="s">
        <v>282</v>
      </c>
      <c r="F6" s="2" t="s">
        <v>285</v>
      </c>
      <c r="G6" s="2">
        <v>1</v>
      </c>
      <c r="H6" s="1">
        <v>-12</v>
      </c>
      <c r="I6" s="1">
        <v>30068</v>
      </c>
      <c r="J6" s="2" t="s">
        <v>276</v>
      </c>
      <c r="K6" s="2">
        <v>0</v>
      </c>
      <c r="L6" s="2">
        <v>0</v>
      </c>
      <c r="M6" s="2">
        <v>0</v>
      </c>
      <c r="N6" s="1">
        <v>0</v>
      </c>
      <c r="O6" s="1">
        <v>9201</v>
      </c>
      <c r="P6" s="1">
        <v>9202</v>
      </c>
      <c r="Q6" s="1">
        <v>9203</v>
      </c>
      <c r="R6" s="1">
        <v>9204</v>
      </c>
      <c r="S6" s="1">
        <v>9205</v>
      </c>
      <c r="T6" s="1">
        <v>9206</v>
      </c>
      <c r="U6" s="1">
        <v>9207</v>
      </c>
      <c r="V6" s="1">
        <v>9208</v>
      </c>
      <c r="W6" s="1">
        <v>9209</v>
      </c>
      <c r="X6" s="7" t="str">
        <f t="shared" si="2"/>
        <v>接受酬金实施暗杀。</v>
      </c>
      <c r="Y6" s="1">
        <v>0</v>
      </c>
      <c r="Z6" s="1">
        <v>0</v>
      </c>
      <c r="AA6" s="1" t="s">
        <v>71</v>
      </c>
      <c r="AB6" s="1"/>
      <c r="AC6" s="1"/>
      <c r="AD6" s="1"/>
      <c r="AE6" s="12" t="s">
        <v>404</v>
      </c>
      <c r="AF6" s="1"/>
      <c r="AG6" s="1"/>
      <c r="AH6" s="12" t="s">
        <v>392</v>
      </c>
      <c r="AI6" s="1" t="str">
        <f t="shared" si="1"/>
        <v>public const int assassin = -12;</v>
      </c>
      <c r="AJ6" s="2" t="s">
        <v>276</v>
      </c>
      <c r="AK6" s="2" t="s">
        <v>290</v>
      </c>
    </row>
    <row r="7" spans="1:37" x14ac:dyDescent="0.15">
      <c r="A7" s="3">
        <v>-11</v>
      </c>
      <c r="B7" s="2" t="s">
        <v>269</v>
      </c>
      <c r="C7" s="10" t="s">
        <v>303</v>
      </c>
      <c r="D7" s="2" t="s">
        <v>286</v>
      </c>
      <c r="E7" s="2" t="s">
        <v>287</v>
      </c>
      <c r="F7" s="2" t="s">
        <v>288</v>
      </c>
      <c r="G7" s="2">
        <v>1</v>
      </c>
      <c r="H7" s="1">
        <v>-11</v>
      </c>
      <c r="I7" s="1">
        <v>30067</v>
      </c>
      <c r="J7" s="1" t="s">
        <v>304</v>
      </c>
      <c r="K7" s="2">
        <v>0</v>
      </c>
      <c r="L7" s="2">
        <v>0</v>
      </c>
      <c r="M7" s="2">
        <v>0</v>
      </c>
      <c r="N7" s="1">
        <v>0</v>
      </c>
      <c r="O7" s="1">
        <v>9201</v>
      </c>
      <c r="P7" s="1">
        <v>9202</v>
      </c>
      <c r="Q7" s="1">
        <v>9203</v>
      </c>
      <c r="R7" s="1">
        <v>9204</v>
      </c>
      <c r="S7" s="1">
        <v>9205</v>
      </c>
      <c r="T7" s="1">
        <v>9206</v>
      </c>
      <c r="U7" s="1">
        <v>9207</v>
      </c>
      <c r="V7" s="1">
        <v>9208</v>
      </c>
      <c r="W7" s="1">
        <v>9209</v>
      </c>
      <c r="X7" s="7" t="str">
        <f t="shared" si="2"/>
        <v>满世界寻找宝藏。</v>
      </c>
      <c r="Y7" s="1">
        <v>0</v>
      </c>
      <c r="Z7" s="1">
        <v>0</v>
      </c>
      <c r="AA7" s="1" t="s">
        <v>71</v>
      </c>
      <c r="AB7" s="1"/>
      <c r="AC7" s="1"/>
      <c r="AD7" s="1"/>
      <c r="AE7" s="12" t="s">
        <v>405</v>
      </c>
      <c r="AF7" s="1"/>
      <c r="AG7" s="1"/>
      <c r="AH7" s="12" t="s">
        <v>393</v>
      </c>
      <c r="AI7" s="1" t="str">
        <f t="shared" si="1"/>
        <v>public const int treasure_hunter = -11;</v>
      </c>
      <c r="AJ7" s="1" t="s">
        <v>304</v>
      </c>
      <c r="AK7" s="2" t="s">
        <v>291</v>
      </c>
    </row>
    <row r="8" spans="1:37" x14ac:dyDescent="0.15">
      <c r="A8" s="3">
        <v>-10</v>
      </c>
      <c r="B8" s="2" t="s">
        <v>269</v>
      </c>
      <c r="C8" s="10" t="s">
        <v>303</v>
      </c>
      <c r="D8" s="2" t="s">
        <v>270</v>
      </c>
      <c r="E8" s="2" t="s">
        <v>271</v>
      </c>
      <c r="F8" s="2" t="s">
        <v>272</v>
      </c>
      <c r="G8" s="2">
        <v>1</v>
      </c>
      <c r="H8" s="1">
        <v>-10</v>
      </c>
      <c r="I8" s="1">
        <v>30066</v>
      </c>
      <c r="J8" s="1" t="s">
        <v>266</v>
      </c>
      <c r="K8" s="2">
        <v>0</v>
      </c>
      <c r="L8" s="2">
        <v>0</v>
      </c>
      <c r="M8" s="2">
        <v>0</v>
      </c>
      <c r="N8" s="1">
        <v>0</v>
      </c>
      <c r="O8" s="1">
        <v>9201</v>
      </c>
      <c r="P8" s="1">
        <v>9202</v>
      </c>
      <c r="Q8" s="1">
        <v>9203</v>
      </c>
      <c r="R8" s="1">
        <v>9204</v>
      </c>
      <c r="S8" s="1">
        <v>9205</v>
      </c>
      <c r="T8" s="1">
        <v>9206</v>
      </c>
      <c r="U8" s="1">
        <v>9207</v>
      </c>
      <c r="V8" s="1">
        <v>9208</v>
      </c>
      <c r="W8" s="1">
        <v>9209</v>
      </c>
      <c r="X8" s="7" t="str">
        <f t="shared" si="2"/>
        <v>路过的旅行者。</v>
      </c>
      <c r="Y8" s="1">
        <v>0</v>
      </c>
      <c r="Z8" s="1">
        <v>0</v>
      </c>
      <c r="AA8" s="1" t="s">
        <v>71</v>
      </c>
      <c r="AB8" s="1"/>
      <c r="AC8" s="1"/>
      <c r="AD8" s="1"/>
      <c r="AE8" s="12" t="s">
        <v>406</v>
      </c>
      <c r="AF8" s="1"/>
      <c r="AG8" s="1"/>
      <c r="AH8" s="12" t="s">
        <v>394</v>
      </c>
      <c r="AI8" s="1" t="str">
        <f t="shared" si="1"/>
        <v>public const int traveller = -10;</v>
      </c>
      <c r="AJ8" s="1" t="s">
        <v>267</v>
      </c>
      <c r="AK8" s="2" t="s">
        <v>268</v>
      </c>
    </row>
    <row r="9" spans="1:37" x14ac:dyDescent="0.15">
      <c r="A9" s="3">
        <v>-9</v>
      </c>
      <c r="B9" s="4" t="s">
        <v>9</v>
      </c>
      <c r="C9" s="10" t="s">
        <v>300</v>
      </c>
      <c r="D9" s="2" t="s">
        <v>295</v>
      </c>
      <c r="E9" s="2" t="s">
        <v>245</v>
      </c>
      <c r="F9" s="2" t="s">
        <v>250</v>
      </c>
      <c r="G9" s="2">
        <v>1</v>
      </c>
      <c r="H9" s="1">
        <v>-9</v>
      </c>
      <c r="I9" s="1">
        <v>30001</v>
      </c>
      <c r="J9" s="2" t="str">
        <f t="shared" ref="J9:J61" si="3">AJ9</f>
        <v>商人头领</v>
      </c>
      <c r="K9" s="2">
        <v>0</v>
      </c>
      <c r="L9" s="2">
        <v>0</v>
      </c>
      <c r="M9" s="2">
        <v>0</v>
      </c>
      <c r="N9" s="1">
        <v>1</v>
      </c>
      <c r="O9" s="1">
        <v>9201</v>
      </c>
      <c r="P9" s="1">
        <v>9202</v>
      </c>
      <c r="Q9" s="1">
        <v>9203</v>
      </c>
      <c r="R9" s="1">
        <v>9204</v>
      </c>
      <c r="S9" s="1">
        <v>9205</v>
      </c>
      <c r="T9" s="1">
        <v>9206</v>
      </c>
      <c r="U9" s="1">
        <v>9207</v>
      </c>
      <c r="V9" s="1">
        <v>9208</v>
      </c>
      <c r="W9" s="1">
        <v>9209</v>
      </c>
      <c r="X9" s="7" t="str">
        <f t="shared" si="2"/>
        <v>商队的头领，负责组织交易。</v>
      </c>
      <c r="Y9" s="1">
        <v>0</v>
      </c>
      <c r="Z9" s="1">
        <v>0</v>
      </c>
      <c r="AA9" s="2" t="s">
        <v>105</v>
      </c>
      <c r="AB9" s="2" t="s">
        <v>143</v>
      </c>
      <c r="AC9" s="1"/>
      <c r="AD9" s="2" t="s">
        <v>144</v>
      </c>
      <c r="AE9" s="2" t="s">
        <v>145</v>
      </c>
      <c r="AF9" s="1"/>
      <c r="AG9" s="1"/>
      <c r="AH9" s="2" t="s">
        <v>145</v>
      </c>
      <c r="AI9" s="1" t="str">
        <f t="shared" si="1"/>
        <v>public const int caravan_leader = -9;</v>
      </c>
      <c r="AJ9" s="25" t="s">
        <v>150</v>
      </c>
      <c r="AK9" s="25" t="s">
        <v>226</v>
      </c>
    </row>
    <row r="10" spans="1:37" x14ac:dyDescent="0.15">
      <c r="A10" s="3">
        <v>-7</v>
      </c>
      <c r="B10" s="2" t="s">
        <v>49</v>
      </c>
      <c r="C10" s="10" t="s">
        <v>299</v>
      </c>
      <c r="D10" s="2" t="s">
        <v>296</v>
      </c>
      <c r="E10" s="2" t="s">
        <v>245</v>
      </c>
      <c r="F10" s="2" t="s">
        <v>250</v>
      </c>
      <c r="G10" s="2">
        <v>1</v>
      </c>
      <c r="H10" s="1">
        <v>-7</v>
      </c>
      <c r="I10" s="1">
        <v>30003</v>
      </c>
      <c r="J10" s="2" t="str">
        <f t="shared" si="3"/>
        <v>商人</v>
      </c>
      <c r="K10" s="2">
        <v>0</v>
      </c>
      <c r="L10" s="2">
        <v>0</v>
      </c>
      <c r="M10" s="2">
        <v>0</v>
      </c>
      <c r="N10" s="1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7" t="str">
        <f t="shared" si="2"/>
        <v>商队成员，跟随头领。</v>
      </c>
      <c r="Y10" s="1">
        <v>0</v>
      </c>
      <c r="Z10" s="1">
        <v>0</v>
      </c>
      <c r="AA10" s="2" t="s">
        <v>105</v>
      </c>
      <c r="AB10" s="2" t="s">
        <v>143</v>
      </c>
      <c r="AC10" s="1"/>
      <c r="AD10" s="2" t="s">
        <v>146</v>
      </c>
      <c r="AE10" s="2" t="s">
        <v>147</v>
      </c>
      <c r="AF10" s="2" t="s">
        <v>148</v>
      </c>
      <c r="AG10" s="1"/>
      <c r="AH10" s="2" t="s">
        <v>149</v>
      </c>
      <c r="AI10" s="1" t="str">
        <f t="shared" si="1"/>
        <v>public const int caravan = -7;</v>
      </c>
      <c r="AJ10" s="2" t="s">
        <v>50</v>
      </c>
      <c r="AK10" s="2" t="s">
        <v>227</v>
      </c>
    </row>
    <row r="11" spans="1:37" x14ac:dyDescent="0.15">
      <c r="A11" s="3">
        <v>-5</v>
      </c>
      <c r="B11" s="2" t="s">
        <v>45</v>
      </c>
      <c r="C11" s="10" t="s">
        <v>301</v>
      </c>
      <c r="D11" s="2" t="s">
        <v>106</v>
      </c>
      <c r="E11" s="2" t="s">
        <v>246</v>
      </c>
      <c r="F11" s="2" t="s">
        <v>251</v>
      </c>
      <c r="G11" s="2">
        <v>1</v>
      </c>
      <c r="H11" s="1">
        <v>-5</v>
      </c>
      <c r="I11" s="1">
        <v>30004</v>
      </c>
      <c r="J11" s="2" t="str">
        <f t="shared" si="3"/>
        <v>流民</v>
      </c>
      <c r="K11" s="2">
        <v>0</v>
      </c>
      <c r="L11" s="2">
        <v>0</v>
      </c>
      <c r="M11" s="2">
        <v>0</v>
      </c>
      <c r="N11" s="1">
        <v>1</v>
      </c>
      <c r="O11" s="1">
        <v>9201</v>
      </c>
      <c r="P11" s="1">
        <v>9202</v>
      </c>
      <c r="Q11" s="1">
        <v>9203</v>
      </c>
      <c r="R11" s="1">
        <v>9204</v>
      </c>
      <c r="S11" s="1">
        <v>9205</v>
      </c>
      <c r="T11" s="1">
        <v>9206</v>
      </c>
      <c r="U11" s="1">
        <v>9207</v>
      </c>
      <c r="V11" s="1">
        <v>9208</v>
      </c>
      <c r="W11" s="1">
        <v>9209</v>
      </c>
      <c r="X11" s="7" t="str">
        <f t="shared" si="2"/>
        <v>逃难的人，寻求收留。</v>
      </c>
      <c r="Y11" s="1">
        <v>0</v>
      </c>
      <c r="Z11" s="1">
        <v>0</v>
      </c>
      <c r="AA11" s="1" t="s">
        <v>71</v>
      </c>
      <c r="AB11" s="1" t="s">
        <v>74</v>
      </c>
      <c r="AC11" s="1"/>
      <c r="AD11" s="1"/>
      <c r="AE11" s="1" t="s">
        <v>77</v>
      </c>
      <c r="AF11" s="1" t="s">
        <v>72</v>
      </c>
      <c r="AG11" s="1"/>
      <c r="AH11" s="1" t="s">
        <v>76</v>
      </c>
      <c r="AI11" s="1" t="str">
        <f t="shared" si="1"/>
        <v>public const int refugee = -5;</v>
      </c>
      <c r="AJ11" s="1" t="s">
        <v>46</v>
      </c>
      <c r="AK11" s="2" t="s">
        <v>228</v>
      </c>
    </row>
    <row r="12" spans="1:37" x14ac:dyDescent="0.15">
      <c r="A12" s="3">
        <v>-3</v>
      </c>
      <c r="B12" s="4" t="s">
        <v>9</v>
      </c>
      <c r="C12" s="10" t="s">
        <v>302</v>
      </c>
      <c r="D12" s="2" t="s">
        <v>61</v>
      </c>
      <c r="E12" s="2" t="s">
        <v>247</v>
      </c>
      <c r="F12" s="2" t="s">
        <v>252</v>
      </c>
      <c r="G12" s="2">
        <v>1</v>
      </c>
      <c r="H12" s="1">
        <v>-3</v>
      </c>
      <c r="I12" s="1">
        <v>30006</v>
      </c>
      <c r="J12" s="2" t="str">
        <f t="shared" si="3"/>
        <v>婴儿</v>
      </c>
      <c r="K12" s="2">
        <v>0</v>
      </c>
      <c r="L12" s="2">
        <v>0</v>
      </c>
      <c r="M12" s="2">
        <v>0</v>
      </c>
      <c r="N12" s="1">
        <v>0</v>
      </c>
      <c r="O12" s="1">
        <v>9001</v>
      </c>
      <c r="P12" s="1">
        <v>9002</v>
      </c>
      <c r="Q12" s="1">
        <v>9003</v>
      </c>
      <c r="R12" s="1">
        <v>9004</v>
      </c>
      <c r="S12" s="1">
        <v>9005</v>
      </c>
      <c r="T12" s="1">
        <v>9006</v>
      </c>
      <c r="U12" s="1">
        <v>9007</v>
      </c>
      <c r="V12" s="1">
        <v>9008</v>
      </c>
      <c r="W12" s="1">
        <v>9009</v>
      </c>
      <c r="X12" s="7" t="str">
        <f t="shared" si="2"/>
        <v>婴儿躺在床上，需要人照顾。</v>
      </c>
      <c r="Y12" s="1">
        <v>0</v>
      </c>
      <c r="Z12" s="1">
        <v>0</v>
      </c>
      <c r="AA12" s="1" t="s">
        <v>71</v>
      </c>
      <c r="AB12" s="1"/>
      <c r="AC12" s="1"/>
      <c r="AD12" s="1"/>
      <c r="AE12" s="12" t="s">
        <v>97</v>
      </c>
      <c r="AF12" s="1"/>
      <c r="AG12" s="1"/>
      <c r="AH12" s="12" t="s">
        <v>96</v>
      </c>
      <c r="AI12" s="1" t="str">
        <f t="shared" si="1"/>
        <v>public const int baby = -3;</v>
      </c>
      <c r="AJ12" s="2" t="s">
        <v>60</v>
      </c>
      <c r="AK12" s="2" t="s">
        <v>229</v>
      </c>
    </row>
    <row r="13" spans="1:37" x14ac:dyDescent="0.15">
      <c r="A13" s="3">
        <v>-2</v>
      </c>
      <c r="B13" s="4" t="s">
        <v>9</v>
      </c>
      <c r="C13" s="10" t="s">
        <v>302</v>
      </c>
      <c r="D13" s="24" t="s">
        <v>56</v>
      </c>
      <c r="E13" s="2" t="s">
        <v>248</v>
      </c>
      <c r="F13" s="2" t="s">
        <v>253</v>
      </c>
      <c r="G13" s="2">
        <v>1</v>
      </c>
      <c r="H13" s="1">
        <v>-2</v>
      </c>
      <c r="I13" s="1">
        <v>30007</v>
      </c>
      <c r="J13" s="2" t="str">
        <f t="shared" si="3"/>
        <v>儿童</v>
      </c>
      <c r="K13" s="2">
        <v>0</v>
      </c>
      <c r="L13" s="2">
        <v>0</v>
      </c>
      <c r="M13" s="2">
        <v>0</v>
      </c>
      <c r="N13" s="1">
        <v>0</v>
      </c>
      <c r="O13" s="1">
        <v>9001</v>
      </c>
      <c r="P13" s="1">
        <v>9002</v>
      </c>
      <c r="Q13" s="1">
        <v>9003</v>
      </c>
      <c r="R13" s="1">
        <v>9004</v>
      </c>
      <c r="S13" s="1">
        <v>9005</v>
      </c>
      <c r="T13" s="1">
        <v>9006</v>
      </c>
      <c r="U13" s="1">
        <v>9007</v>
      </c>
      <c r="V13" s="1">
        <v>9008</v>
      </c>
      <c r="W13" s="1">
        <v>9009</v>
      </c>
      <c r="X13" s="7" t="str">
        <f t="shared" si="2"/>
        <v>儿童成天玩耍，不需要工作。</v>
      </c>
      <c r="Y13" s="1">
        <v>0</v>
      </c>
      <c r="Z13" s="1">
        <v>0</v>
      </c>
      <c r="AA13" s="1" t="s">
        <v>71</v>
      </c>
      <c r="AB13" s="1"/>
      <c r="AC13" s="1"/>
      <c r="AD13" s="1"/>
      <c r="AE13" s="12" t="s">
        <v>99</v>
      </c>
      <c r="AF13" s="1"/>
      <c r="AG13" s="1"/>
      <c r="AH13" s="12" t="s">
        <v>98</v>
      </c>
      <c r="AI13" s="1" t="str">
        <f t="shared" si="1"/>
        <v>public const int child = -2;</v>
      </c>
      <c r="AJ13" s="2" t="s">
        <v>57</v>
      </c>
      <c r="AK13" s="2" t="s">
        <v>230</v>
      </c>
    </row>
    <row r="14" spans="1:37" ht="27" x14ac:dyDescent="0.15">
      <c r="A14" s="3">
        <v>-1</v>
      </c>
      <c r="B14" s="4" t="s">
        <v>9</v>
      </c>
      <c r="C14" s="10" t="s">
        <v>302</v>
      </c>
      <c r="D14" s="2" t="s">
        <v>58</v>
      </c>
      <c r="E14" s="2" t="s">
        <v>249</v>
      </c>
      <c r="F14" s="2" t="s">
        <v>254</v>
      </c>
      <c r="G14" s="2">
        <v>1</v>
      </c>
      <c r="H14" s="1">
        <v>-1</v>
      </c>
      <c r="I14" s="1">
        <v>30008</v>
      </c>
      <c r="J14" s="2" t="str">
        <f t="shared" si="3"/>
        <v>学生</v>
      </c>
      <c r="K14" s="2">
        <v>0</v>
      </c>
      <c r="L14" s="2">
        <v>0</v>
      </c>
      <c r="M14" s="2">
        <v>0</v>
      </c>
      <c r="N14" s="1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1">
        <v>9101</v>
      </c>
      <c r="W14" s="1">
        <v>9102</v>
      </c>
      <c r="X14" s="7" t="str">
        <f t="shared" si="2"/>
        <v>学生学业完成后，成长为有文化的成年人，工作效率更高。</v>
      </c>
      <c r="Y14" s="1">
        <v>0</v>
      </c>
      <c r="Z14" s="1">
        <v>0</v>
      </c>
      <c r="AA14" s="1" t="s">
        <v>71</v>
      </c>
      <c r="AB14" s="1"/>
      <c r="AC14" s="1"/>
      <c r="AD14" s="1"/>
      <c r="AE14" s="12" t="s">
        <v>100</v>
      </c>
      <c r="AF14" s="1"/>
      <c r="AG14" s="1"/>
      <c r="AH14" s="12" t="s">
        <v>101</v>
      </c>
      <c r="AI14" s="1" t="str">
        <f t="shared" si="1"/>
        <v>public const int student = -1;</v>
      </c>
      <c r="AJ14" s="1" t="s">
        <v>59</v>
      </c>
      <c r="AK14" s="2" t="s">
        <v>231</v>
      </c>
    </row>
    <row r="15" spans="1:37" ht="27" x14ac:dyDescent="0.15">
      <c r="A15" s="3">
        <v>0</v>
      </c>
      <c r="B15" s="4" t="s">
        <v>9</v>
      </c>
      <c r="C15" s="10" t="s">
        <v>302</v>
      </c>
      <c r="D15" s="1" t="s">
        <v>364</v>
      </c>
      <c r="E15" s="2" t="str">
        <f t="shared" ref="E15:E20" si="4">CONCATENATE("career_",A15,"_m")</f>
        <v>career_0_m</v>
      </c>
      <c r="F15" s="2" t="str">
        <f t="shared" ref="F15:F20" si="5">CONCATENATE("career_",A15, "_f")</f>
        <v>career_0_f</v>
      </c>
      <c r="G15" s="2">
        <v>1</v>
      </c>
      <c r="H15" s="1">
        <v>0</v>
      </c>
      <c r="I15" s="1">
        <v>30009</v>
      </c>
      <c r="J15" s="2" t="str">
        <f t="shared" si="3"/>
        <v>杂工</v>
      </c>
      <c r="K15" s="2">
        <v>1</v>
      </c>
      <c r="L15" s="2">
        <v>0</v>
      </c>
      <c r="M15" s="2">
        <v>0</v>
      </c>
      <c r="N15" s="1">
        <v>0</v>
      </c>
      <c r="O15" s="1">
        <v>9201</v>
      </c>
      <c r="P15" s="1">
        <v>9202</v>
      </c>
      <c r="Q15" s="1">
        <v>9203</v>
      </c>
      <c r="R15" s="1">
        <v>9204</v>
      </c>
      <c r="S15" s="1">
        <v>9205</v>
      </c>
      <c r="T15" s="1">
        <v>9206</v>
      </c>
      <c r="U15" s="1">
        <v>9207</v>
      </c>
      <c r="V15" s="1">
        <v>9208</v>
      </c>
      <c r="W15" s="1">
        <v>9209</v>
      </c>
      <c r="X15" s="7" t="str">
        <f t="shared" si="2"/>
        <v>杂工负责采集地面资源，搬运零碎物品，救援村民，搬运尸体等杂活。</v>
      </c>
      <c r="Y15" s="1">
        <v>0</v>
      </c>
      <c r="Z15" s="1">
        <v>0</v>
      </c>
      <c r="AA15" s="2" t="s">
        <v>75</v>
      </c>
      <c r="AB15" s="1"/>
      <c r="AC15" s="1"/>
      <c r="AD15" s="1"/>
      <c r="AE15" s="12" t="s">
        <v>103</v>
      </c>
      <c r="AF15" s="1"/>
      <c r="AG15" s="1"/>
      <c r="AH15" s="12" t="s">
        <v>151</v>
      </c>
      <c r="AI15" s="1" t="str">
        <f t="shared" si="1"/>
        <v>public const int handyman = 0;</v>
      </c>
      <c r="AJ15" s="2" t="s">
        <v>305</v>
      </c>
      <c r="AK15" s="2" t="s">
        <v>306</v>
      </c>
    </row>
    <row r="16" spans="1:37" x14ac:dyDescent="0.15">
      <c r="A16" s="3">
        <v>1</v>
      </c>
      <c r="B16" s="4" t="s">
        <v>9</v>
      </c>
      <c r="C16" s="10" t="s">
        <v>302</v>
      </c>
      <c r="D16" s="1" t="s">
        <v>18</v>
      </c>
      <c r="E16" s="2" t="str">
        <f t="shared" si="4"/>
        <v>career_1_m</v>
      </c>
      <c r="F16" s="2" t="str">
        <f t="shared" si="5"/>
        <v>career_1_f</v>
      </c>
      <c r="G16" s="2">
        <v>1</v>
      </c>
      <c r="H16" s="1">
        <v>1</v>
      </c>
      <c r="I16" s="1">
        <v>30010</v>
      </c>
      <c r="J16" s="2" t="str">
        <f t="shared" si="3"/>
        <v>建筑工</v>
      </c>
      <c r="K16" s="2">
        <v>1</v>
      </c>
      <c r="L16" s="2">
        <v>0</v>
      </c>
      <c r="M16" s="2">
        <v>0</v>
      </c>
      <c r="N16" s="1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7" t="str">
        <f t="shared" si="2"/>
        <v>建筑工负责建造或拆除设施。</v>
      </c>
      <c r="Y16" s="1">
        <v>0</v>
      </c>
      <c r="Z16" s="1">
        <v>0</v>
      </c>
      <c r="AA16" s="1" t="s">
        <v>73</v>
      </c>
      <c r="AB16" s="1"/>
      <c r="AC16" s="1"/>
      <c r="AD16" s="1"/>
      <c r="AE16" s="12" t="s">
        <v>152</v>
      </c>
      <c r="AF16" s="1"/>
      <c r="AG16" s="1"/>
      <c r="AH16" s="12" t="s">
        <v>155</v>
      </c>
      <c r="AI16" s="1" t="str">
        <f t="shared" si="1"/>
        <v>public const int architect = 1;</v>
      </c>
      <c r="AJ16" s="2" t="s">
        <v>221</v>
      </c>
      <c r="AK16" s="2" t="s">
        <v>232</v>
      </c>
    </row>
    <row r="17" spans="1:37" ht="27" x14ac:dyDescent="0.15">
      <c r="A17" s="1">
        <v>105010</v>
      </c>
      <c r="B17" s="2" t="s">
        <v>104</v>
      </c>
      <c r="C17" s="10" t="s">
        <v>64</v>
      </c>
      <c r="D17" s="1" t="s">
        <v>19</v>
      </c>
      <c r="E17" s="2" t="str">
        <f t="shared" si="4"/>
        <v>career_105010_m</v>
      </c>
      <c r="F17" s="2" t="str">
        <f t="shared" si="5"/>
        <v>career_105010_f</v>
      </c>
      <c r="G17" s="2">
        <v>1</v>
      </c>
      <c r="H17" s="1">
        <v>2</v>
      </c>
      <c r="I17" s="1">
        <v>30011</v>
      </c>
      <c r="J17" s="2" t="str">
        <f t="shared" si="3"/>
        <v>铁匠</v>
      </c>
      <c r="K17" s="2">
        <v>1</v>
      </c>
      <c r="L17" s="2">
        <v>1</v>
      </c>
      <c r="M17" s="2">
        <v>0</v>
      </c>
      <c r="N17" s="1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7" t="str">
        <f t="shared" si="2"/>
        <v>铁匠负责在“制造台”上，制造工具、武器及其它生活用品。</v>
      </c>
      <c r="Y17" s="1">
        <v>1</v>
      </c>
      <c r="Z17" s="1">
        <v>0</v>
      </c>
      <c r="AA17" s="1" t="s">
        <v>73</v>
      </c>
      <c r="AB17" s="1"/>
      <c r="AC17" s="1"/>
      <c r="AD17" s="1"/>
      <c r="AE17" s="12" t="s">
        <v>102</v>
      </c>
      <c r="AF17" s="1"/>
      <c r="AG17" s="1"/>
      <c r="AH17" s="12" t="s">
        <v>156</v>
      </c>
      <c r="AI17" s="1" t="str">
        <f t="shared" si="1"/>
        <v>public const int blacksmith = 2;</v>
      </c>
      <c r="AJ17" s="2" t="s">
        <v>192</v>
      </c>
      <c r="AK17" s="7" t="s">
        <v>193</v>
      </c>
    </row>
    <row r="18" spans="1:37" x14ac:dyDescent="0.15">
      <c r="A18" s="1">
        <v>105028</v>
      </c>
      <c r="B18" s="2" t="s">
        <v>307</v>
      </c>
      <c r="C18" s="10" t="s">
        <v>64</v>
      </c>
      <c r="D18" s="2" t="s">
        <v>521</v>
      </c>
      <c r="E18" s="2" t="str">
        <f t="shared" si="4"/>
        <v>career_105028_m</v>
      </c>
      <c r="F18" s="2" t="str">
        <f t="shared" si="5"/>
        <v>career_105028_f</v>
      </c>
      <c r="G18" s="2">
        <v>1</v>
      </c>
      <c r="H18" s="1">
        <v>29</v>
      </c>
      <c r="I18" s="1">
        <v>30041</v>
      </c>
      <c r="J18" s="2" t="s">
        <v>516</v>
      </c>
      <c r="K18" s="2">
        <v>1</v>
      </c>
      <c r="L18" s="2">
        <v>0</v>
      </c>
      <c r="M18" s="2">
        <v>0</v>
      </c>
      <c r="N18" s="1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7" t="str">
        <f t="shared" si="2"/>
        <v>冶炼工负责将矿石冶炼成金属。</v>
      </c>
      <c r="Y18" s="1">
        <v>1</v>
      </c>
      <c r="Z18" s="1">
        <v>0</v>
      </c>
      <c r="AA18" s="1" t="s">
        <v>73</v>
      </c>
      <c r="AB18" s="1"/>
      <c r="AC18" s="1"/>
      <c r="AD18" s="1"/>
      <c r="AE18" s="12" t="s">
        <v>519</v>
      </c>
      <c r="AF18" s="1"/>
      <c r="AG18" s="1"/>
      <c r="AH18" s="12" t="s">
        <v>520</v>
      </c>
      <c r="AI18" s="1" t="str">
        <f t="shared" si="1"/>
        <v>public const int smelter = 29;</v>
      </c>
      <c r="AJ18" s="2" t="s">
        <v>518</v>
      </c>
      <c r="AK18" s="7" t="s">
        <v>517</v>
      </c>
    </row>
    <row r="19" spans="1:37" ht="27" x14ac:dyDescent="0.15">
      <c r="A19" s="1">
        <v>105012</v>
      </c>
      <c r="B19" s="2" t="s">
        <v>191</v>
      </c>
      <c r="C19" s="10" t="s">
        <v>64</v>
      </c>
      <c r="D19" s="1" t="s">
        <v>20</v>
      </c>
      <c r="E19" s="2" t="str">
        <f t="shared" si="4"/>
        <v>career_105012_m</v>
      </c>
      <c r="F19" s="2" t="str">
        <f t="shared" si="5"/>
        <v>career_105012_f</v>
      </c>
      <c r="G19" s="2">
        <v>1</v>
      </c>
      <c r="H19" s="1">
        <v>3</v>
      </c>
      <c r="I19" s="1">
        <v>30012</v>
      </c>
      <c r="J19" s="2" t="str">
        <f t="shared" si="3"/>
        <v>酿造师</v>
      </c>
      <c r="K19" s="2">
        <v>1</v>
      </c>
      <c r="L19" s="2">
        <v>0</v>
      </c>
      <c r="M19" s="2">
        <v>0</v>
      </c>
      <c r="N19" s="1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7" t="str">
        <f t="shared" ref="X19:X50" si="6">AK19</f>
        <v>酿造师负责用“酿酒桶”酿酒，水果可酿果酒，小麦可酿烈酒。</v>
      </c>
      <c r="Y19" s="1">
        <v>1</v>
      </c>
      <c r="Z19" s="1">
        <v>0</v>
      </c>
      <c r="AA19" s="1" t="s">
        <v>73</v>
      </c>
      <c r="AB19" s="1"/>
      <c r="AC19" s="1"/>
      <c r="AD19" s="1"/>
      <c r="AE19" s="12" t="s">
        <v>153</v>
      </c>
      <c r="AF19" s="1"/>
      <c r="AG19" s="1"/>
      <c r="AH19" s="12" t="s">
        <v>157</v>
      </c>
      <c r="AI19" s="1" t="str">
        <f t="shared" si="1"/>
        <v>public const int brewer = 3;</v>
      </c>
      <c r="AJ19" s="2" t="s">
        <v>194</v>
      </c>
      <c r="AK19" s="7" t="s">
        <v>195</v>
      </c>
    </row>
    <row r="20" spans="1:37" ht="27" x14ac:dyDescent="0.15">
      <c r="A20" s="1">
        <v>105001</v>
      </c>
      <c r="B20" s="1" t="s">
        <v>0</v>
      </c>
      <c r="C20" s="10" t="s">
        <v>64</v>
      </c>
      <c r="D20" s="3" t="s">
        <v>380</v>
      </c>
      <c r="E20" s="2" t="str">
        <f t="shared" si="4"/>
        <v>career_105001_m</v>
      </c>
      <c r="F20" s="2" t="str">
        <f t="shared" si="5"/>
        <v>career_105001_f</v>
      </c>
      <c r="G20" s="2">
        <v>1</v>
      </c>
      <c r="H20" s="3">
        <v>4</v>
      </c>
      <c r="I20" s="1">
        <v>30013</v>
      </c>
      <c r="J20" s="2" t="str">
        <f t="shared" si="3"/>
        <v>农民</v>
      </c>
      <c r="K20" s="2">
        <v>1</v>
      </c>
      <c r="L20" s="2">
        <v>1</v>
      </c>
      <c r="M20" s="2">
        <v>0</v>
      </c>
      <c r="N20" s="1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9306</v>
      </c>
      <c r="U20" s="2">
        <v>0</v>
      </c>
      <c r="V20" s="2">
        <v>0</v>
      </c>
      <c r="W20" s="2">
        <v>0</v>
      </c>
      <c r="X20" s="7" t="str">
        <f t="shared" si="6"/>
        <v>农民负责在农田中种植庄稼，在果园培育果树，或培育蘑菇。</v>
      </c>
      <c r="Y20" s="1">
        <v>1</v>
      </c>
      <c r="Z20" s="1">
        <v>45</v>
      </c>
      <c r="AA20" s="1" t="s">
        <v>73</v>
      </c>
      <c r="AB20" s="1"/>
      <c r="AC20" s="1"/>
      <c r="AD20" s="1"/>
      <c r="AE20" s="12" t="s">
        <v>177</v>
      </c>
      <c r="AF20" s="1"/>
      <c r="AG20" s="1"/>
      <c r="AH20" s="12" t="s">
        <v>158</v>
      </c>
      <c r="AI20" s="1" t="str">
        <f t="shared" si="1"/>
        <v>public const int farmer = 4;</v>
      </c>
      <c r="AJ20" s="3" t="s">
        <v>10</v>
      </c>
      <c r="AK20" s="17" t="s">
        <v>485</v>
      </c>
    </row>
    <row r="21" spans="1:37" x14ac:dyDescent="0.15">
      <c r="A21" s="1">
        <v>105002</v>
      </c>
      <c r="B21" s="1" t="s">
        <v>1</v>
      </c>
      <c r="C21" s="10" t="s">
        <v>64</v>
      </c>
      <c r="D21" s="3" t="s">
        <v>21</v>
      </c>
      <c r="E21" s="2" t="s">
        <v>483</v>
      </c>
      <c r="F21" s="2" t="s">
        <v>484</v>
      </c>
      <c r="G21" s="2">
        <v>0</v>
      </c>
      <c r="H21" s="3">
        <v>4</v>
      </c>
      <c r="I21" s="1">
        <v>30013</v>
      </c>
      <c r="J21" s="2" t="str">
        <f t="shared" si="3"/>
        <v>农民</v>
      </c>
      <c r="K21" s="2">
        <v>1</v>
      </c>
      <c r="L21" s="2">
        <v>1</v>
      </c>
      <c r="M21" s="2">
        <v>0</v>
      </c>
      <c r="N21" s="1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9306</v>
      </c>
      <c r="U21" s="2">
        <v>0</v>
      </c>
      <c r="V21" s="2">
        <v>0</v>
      </c>
      <c r="W21" s="2">
        <v>0</v>
      </c>
      <c r="X21" s="7">
        <f t="shared" si="6"/>
        <v>0</v>
      </c>
      <c r="Y21" s="1">
        <v>1</v>
      </c>
      <c r="Z21" s="1">
        <v>60</v>
      </c>
      <c r="AA21" s="1" t="s">
        <v>73</v>
      </c>
      <c r="AB21" s="1"/>
      <c r="AC21" s="1"/>
      <c r="AD21" s="1"/>
      <c r="AE21" s="12" t="s">
        <v>154</v>
      </c>
      <c r="AF21" s="1"/>
      <c r="AG21" s="1"/>
      <c r="AH21" s="12" t="s">
        <v>158</v>
      </c>
      <c r="AI21" s="1" t="str">
        <f t="shared" si="1"/>
        <v>public const int farmer = 4;</v>
      </c>
      <c r="AJ21" s="3" t="s">
        <v>10</v>
      </c>
      <c r="AK21" s="16"/>
    </row>
    <row r="22" spans="1:37" x14ac:dyDescent="0.15">
      <c r="A22" s="1">
        <v>105030</v>
      </c>
      <c r="B22" s="2" t="s">
        <v>482</v>
      </c>
      <c r="C22" s="10" t="s">
        <v>64</v>
      </c>
      <c r="D22" s="3" t="s">
        <v>21</v>
      </c>
      <c r="E22" s="2" t="s">
        <v>483</v>
      </c>
      <c r="F22" s="2" t="s">
        <v>484</v>
      </c>
      <c r="G22" s="2">
        <v>0</v>
      </c>
      <c r="H22" s="3">
        <v>4</v>
      </c>
      <c r="I22" s="1">
        <v>30013</v>
      </c>
      <c r="J22" s="2" t="str">
        <f t="shared" si="3"/>
        <v>农民</v>
      </c>
      <c r="K22" s="2">
        <v>1</v>
      </c>
      <c r="L22" s="2">
        <v>1</v>
      </c>
      <c r="M22" s="2">
        <v>0</v>
      </c>
      <c r="N22" s="1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9306</v>
      </c>
      <c r="U22" s="2">
        <v>0</v>
      </c>
      <c r="V22" s="2">
        <v>0</v>
      </c>
      <c r="W22" s="2">
        <v>0</v>
      </c>
      <c r="X22" s="7">
        <f t="shared" si="6"/>
        <v>0</v>
      </c>
      <c r="Y22" s="1">
        <v>1</v>
      </c>
      <c r="Z22" s="1">
        <v>0</v>
      </c>
      <c r="AA22" s="1" t="s">
        <v>73</v>
      </c>
      <c r="AB22" s="1"/>
      <c r="AC22" s="1"/>
      <c r="AD22" s="1"/>
      <c r="AE22" s="12" t="s">
        <v>154</v>
      </c>
      <c r="AF22" s="1"/>
      <c r="AG22" s="1"/>
      <c r="AH22" s="12" t="s">
        <v>158</v>
      </c>
      <c r="AI22" s="1" t="str">
        <f t="shared" si="1"/>
        <v>public const int farmer = 4;</v>
      </c>
      <c r="AJ22" s="3" t="s">
        <v>10</v>
      </c>
      <c r="AK22" s="16"/>
    </row>
    <row r="23" spans="1:37" ht="27" x14ac:dyDescent="0.15">
      <c r="A23" s="1">
        <v>105011</v>
      </c>
      <c r="B23" s="1" t="s">
        <v>3</v>
      </c>
      <c r="C23" s="10" t="s">
        <v>64</v>
      </c>
      <c r="D23" s="1" t="s">
        <v>22</v>
      </c>
      <c r="E23" s="2" t="str">
        <f>CONCATENATE("career_",A23,"_m")</f>
        <v>career_105011_m</v>
      </c>
      <c r="F23" s="2" t="str">
        <f>CONCATENATE("career_",A23, "_f")</f>
        <v>career_105011_f</v>
      </c>
      <c r="G23" s="2">
        <v>1</v>
      </c>
      <c r="H23" s="1">
        <v>5</v>
      </c>
      <c r="I23" s="1">
        <v>30015</v>
      </c>
      <c r="J23" s="2" t="str">
        <f t="shared" si="3"/>
        <v>裁缝</v>
      </c>
      <c r="K23" s="2">
        <v>1</v>
      </c>
      <c r="L23" s="2">
        <v>1</v>
      </c>
      <c r="M23" s="2">
        <v>0</v>
      </c>
      <c r="N23" s="1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7" t="str">
        <f t="shared" si="6"/>
        <v>裁缝负责制造衣服和雨伞，满足居民保暖和避雨之需。</v>
      </c>
      <c r="Y23" s="1">
        <v>1</v>
      </c>
      <c r="Z23" s="1">
        <v>0</v>
      </c>
      <c r="AA23" s="1" t="s">
        <v>73</v>
      </c>
      <c r="AB23" s="1"/>
      <c r="AC23" s="13"/>
      <c r="AD23" s="13"/>
      <c r="AE23" s="13" t="s">
        <v>107</v>
      </c>
      <c r="AF23" s="1"/>
      <c r="AG23" s="1"/>
      <c r="AH23" s="13" t="s">
        <v>108</v>
      </c>
      <c r="AI23" s="1" t="str">
        <f t="shared" si="1"/>
        <v>public const int tailor = 5;</v>
      </c>
      <c r="AJ23" s="2" t="s">
        <v>196</v>
      </c>
      <c r="AK23" s="7" t="s">
        <v>197</v>
      </c>
    </row>
    <row r="24" spans="1:37" ht="27" x14ac:dyDescent="0.15">
      <c r="A24" s="1">
        <v>105003</v>
      </c>
      <c r="B24" s="1" t="s">
        <v>2</v>
      </c>
      <c r="C24" s="10" t="s">
        <v>64</v>
      </c>
      <c r="D24" s="1" t="s">
        <v>36</v>
      </c>
      <c r="E24" s="2" t="str">
        <f>CONCATENATE("career_",A24,"_m")</f>
        <v>career_105003_m</v>
      </c>
      <c r="F24" s="2" t="str">
        <f>CONCATENATE("career_",A24, "_f")</f>
        <v>career_105003_f</v>
      </c>
      <c r="G24" s="2">
        <v>1</v>
      </c>
      <c r="H24" s="1">
        <v>6</v>
      </c>
      <c r="I24" s="1">
        <v>30016</v>
      </c>
      <c r="J24" s="2" t="str">
        <f t="shared" si="3"/>
        <v>牧民</v>
      </c>
      <c r="K24" s="2">
        <v>1</v>
      </c>
      <c r="L24" s="2">
        <v>0</v>
      </c>
      <c r="M24" s="2">
        <v>0</v>
      </c>
      <c r="N24" s="1">
        <v>0</v>
      </c>
      <c r="O24" s="2">
        <v>0</v>
      </c>
      <c r="P24" s="2">
        <v>0</v>
      </c>
      <c r="Q24" s="2">
        <v>0</v>
      </c>
      <c r="R24" s="2">
        <v>9304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7" t="str">
        <f t="shared" si="6"/>
        <v>牧民在牧场养殖牲畜或家禽，生产肉类、皮革和羊毛等。</v>
      </c>
      <c r="Y24" s="1">
        <v>1</v>
      </c>
      <c r="Z24" s="1">
        <v>60</v>
      </c>
      <c r="AA24" s="1" t="s">
        <v>73</v>
      </c>
      <c r="AB24" s="1"/>
      <c r="AC24" s="13"/>
      <c r="AD24" s="13"/>
      <c r="AE24" s="13" t="s">
        <v>109</v>
      </c>
      <c r="AF24" s="1"/>
      <c r="AG24" s="1"/>
      <c r="AH24" s="13" t="s">
        <v>110</v>
      </c>
      <c r="AI24" s="1" t="str">
        <f t="shared" si="1"/>
        <v>public const int herdsman = 6;</v>
      </c>
      <c r="AJ24" s="1" t="s">
        <v>11</v>
      </c>
      <c r="AK24" s="7" t="s">
        <v>198</v>
      </c>
    </row>
    <row r="25" spans="1:37" x14ac:dyDescent="0.15">
      <c r="A25" s="1">
        <v>103003</v>
      </c>
      <c r="B25" s="1" t="s">
        <v>38</v>
      </c>
      <c r="C25" s="10" t="s">
        <v>64</v>
      </c>
      <c r="D25" s="2" t="s">
        <v>138</v>
      </c>
      <c r="E25" s="2" t="str">
        <f>CONCATENATE("career_",A25,"_m")</f>
        <v>career_103003_m</v>
      </c>
      <c r="F25" s="2" t="str">
        <f>CONCATENATE("career_",A25, "_f")</f>
        <v>career_103003_f</v>
      </c>
      <c r="G25" s="2">
        <v>1</v>
      </c>
      <c r="H25" s="1">
        <v>7</v>
      </c>
      <c r="I25" s="1">
        <v>30017</v>
      </c>
      <c r="J25" s="2" t="str">
        <f t="shared" si="3"/>
        <v>搬运工</v>
      </c>
      <c r="K25" s="2">
        <v>1</v>
      </c>
      <c r="L25" s="2">
        <v>0</v>
      </c>
      <c r="M25" s="2">
        <v>0</v>
      </c>
      <c r="N25" s="1">
        <v>0</v>
      </c>
      <c r="O25" s="1">
        <v>9301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 t="str">
        <f t="shared" si="6"/>
        <v>搬运工负责大批量货物运输，为&lt;color=green&gt;货架&lt;/color&gt;，&lt;color=green&gt;马车站&lt;/color&gt;，&lt;color=green&gt;交易台&lt;/color&gt;，&lt;color=green&gt;贸易口岸&lt;/color&gt;，&lt;color=green&gt;国库&lt;/color&gt;搬出或搬入物品。单次运输物品数量上限，比普通居民多很多。</v>
      </c>
      <c r="Y25" s="1">
        <v>2</v>
      </c>
      <c r="Z25" s="1">
        <v>0</v>
      </c>
      <c r="AA25" s="1" t="s">
        <v>75</v>
      </c>
      <c r="AB25" s="1"/>
      <c r="AC25" s="13"/>
      <c r="AD25" s="13"/>
      <c r="AE25" s="13" t="s">
        <v>111</v>
      </c>
      <c r="AF25" s="1"/>
      <c r="AG25" s="1"/>
      <c r="AH25" s="13" t="s">
        <v>136</v>
      </c>
      <c r="AI25" s="1" t="str">
        <f t="shared" si="1"/>
        <v>public const int transporter = 7;</v>
      </c>
      <c r="AJ25" s="8" t="s">
        <v>199</v>
      </c>
      <c r="AK25" s="2" t="s">
        <v>256</v>
      </c>
    </row>
    <row r="26" spans="1:37" ht="27" x14ac:dyDescent="0.15">
      <c r="A26" s="1">
        <v>105006</v>
      </c>
      <c r="B26" s="1" t="s">
        <v>29</v>
      </c>
      <c r="C26" s="10" t="s">
        <v>64</v>
      </c>
      <c r="D26" s="1" t="s">
        <v>23</v>
      </c>
      <c r="E26" s="2" t="str">
        <f>CONCATENATE("career_",A26,"_m")</f>
        <v>career_105006_m</v>
      </c>
      <c r="F26" s="2" t="str">
        <f>CONCATENATE("career_",A26, "_f")</f>
        <v>career_105006_f</v>
      </c>
      <c r="G26" s="2">
        <v>1</v>
      </c>
      <c r="H26" s="1">
        <v>8</v>
      </c>
      <c r="I26" s="1">
        <v>30018</v>
      </c>
      <c r="J26" s="2" t="str">
        <f t="shared" si="3"/>
        <v>采集者</v>
      </c>
      <c r="K26" s="2">
        <v>1</v>
      </c>
      <c r="L26" s="2">
        <v>1</v>
      </c>
      <c r="M26" s="2">
        <v>0</v>
      </c>
      <c r="N26" s="1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7" t="str">
        <f t="shared" si="6"/>
        <v>采集者负责在森林中采集蘑菇浆果野菜等。</v>
      </c>
      <c r="Y26" s="1">
        <v>3</v>
      </c>
      <c r="Z26" s="1">
        <v>0</v>
      </c>
      <c r="AA26" s="1" t="s">
        <v>75</v>
      </c>
      <c r="AB26" s="1"/>
      <c r="AC26" s="1"/>
      <c r="AD26" s="1"/>
      <c r="AE26" s="2" t="s">
        <v>112</v>
      </c>
      <c r="AF26" s="1"/>
      <c r="AG26" s="1"/>
      <c r="AH26" s="2" t="s">
        <v>113</v>
      </c>
      <c r="AI26" s="1" t="str">
        <f t="shared" si="1"/>
        <v>public const int gatherer = 8;</v>
      </c>
      <c r="AJ26" s="1" t="s">
        <v>12</v>
      </c>
      <c r="AK26" s="7" t="s">
        <v>205</v>
      </c>
    </row>
    <row r="27" spans="1:37" x14ac:dyDescent="0.15">
      <c r="A27" s="1">
        <v>105004</v>
      </c>
      <c r="B27" s="1" t="s">
        <v>41</v>
      </c>
      <c r="C27" s="10" t="s">
        <v>64</v>
      </c>
      <c r="D27" s="5" t="s">
        <v>377</v>
      </c>
      <c r="E27" s="2" t="str">
        <f>CONCATENATE("career_",A27,"_m")</f>
        <v>career_105004_m</v>
      </c>
      <c r="F27" s="2" t="str">
        <f>CONCATENATE("career_",A27, "_f")</f>
        <v>career_105004_f</v>
      </c>
      <c r="G27" s="2">
        <v>1</v>
      </c>
      <c r="H27" s="3">
        <v>10</v>
      </c>
      <c r="I27" s="1">
        <v>30020</v>
      </c>
      <c r="J27" s="2" t="str">
        <f t="shared" si="3"/>
        <v>渔民</v>
      </c>
      <c r="K27" s="2">
        <v>1</v>
      </c>
      <c r="L27" s="2">
        <v>1</v>
      </c>
      <c r="M27" s="2">
        <v>0</v>
      </c>
      <c r="N27" s="1">
        <v>0</v>
      </c>
      <c r="O27" s="2">
        <v>0</v>
      </c>
      <c r="P27" s="2">
        <v>0</v>
      </c>
      <c r="Q27" s="2">
        <v>9303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7" t="str">
        <f t="shared" si="6"/>
        <v>渔民负责捕鱼，或养殖虾蟹。</v>
      </c>
      <c r="Y27" s="1">
        <v>4</v>
      </c>
      <c r="Z27" s="1">
        <v>0</v>
      </c>
      <c r="AA27" s="2" t="s">
        <v>260</v>
      </c>
      <c r="AB27" s="1"/>
      <c r="AC27" s="1"/>
      <c r="AD27" s="1"/>
      <c r="AE27" s="2" t="s">
        <v>114</v>
      </c>
      <c r="AF27" s="1"/>
      <c r="AG27" s="1"/>
      <c r="AH27" s="2" t="s">
        <v>115</v>
      </c>
      <c r="AI27" s="1" t="str">
        <f t="shared" si="1"/>
        <v>public const int fisherman = 10;</v>
      </c>
      <c r="AJ27" s="3" t="s">
        <v>13</v>
      </c>
      <c r="AK27" s="17" t="s">
        <v>204</v>
      </c>
    </row>
    <row r="28" spans="1:37" x14ac:dyDescent="0.15">
      <c r="A28" s="1">
        <v>105018</v>
      </c>
      <c r="B28" s="8" t="s">
        <v>141</v>
      </c>
      <c r="C28" s="10" t="s">
        <v>64</v>
      </c>
      <c r="D28" s="3" t="s">
        <v>24</v>
      </c>
      <c r="E28" s="2" t="s">
        <v>501</v>
      </c>
      <c r="F28" s="2" t="s">
        <v>502</v>
      </c>
      <c r="G28" s="2">
        <v>0</v>
      </c>
      <c r="H28" s="3">
        <v>10</v>
      </c>
      <c r="I28" s="1">
        <v>30020</v>
      </c>
      <c r="J28" s="2" t="str">
        <f t="shared" si="3"/>
        <v>渔民</v>
      </c>
      <c r="K28" s="2">
        <v>1</v>
      </c>
      <c r="L28" s="2">
        <v>1</v>
      </c>
      <c r="M28" s="2">
        <v>0</v>
      </c>
      <c r="N28" s="1">
        <v>0</v>
      </c>
      <c r="O28" s="2">
        <v>0</v>
      </c>
      <c r="P28" s="2">
        <v>0</v>
      </c>
      <c r="Q28" s="2">
        <v>9303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7">
        <f t="shared" si="6"/>
        <v>0</v>
      </c>
      <c r="Y28" s="1">
        <v>1</v>
      </c>
      <c r="Z28" s="1">
        <v>0</v>
      </c>
      <c r="AA28" s="1" t="s">
        <v>75</v>
      </c>
      <c r="AB28" s="1"/>
      <c r="AC28" s="1"/>
      <c r="AD28" s="1"/>
      <c r="AE28" s="2" t="s">
        <v>114</v>
      </c>
      <c r="AF28" s="1"/>
      <c r="AG28" s="1"/>
      <c r="AH28" s="2" t="s">
        <v>115</v>
      </c>
      <c r="AI28" s="1" t="str">
        <f t="shared" si="1"/>
        <v>public const int fisherman = 10;</v>
      </c>
      <c r="AJ28" s="3" t="s">
        <v>13</v>
      </c>
      <c r="AK28" s="16"/>
    </row>
    <row r="29" spans="1:37" x14ac:dyDescent="0.15">
      <c r="A29" s="1">
        <v>105013</v>
      </c>
      <c r="B29" s="1" t="s">
        <v>4</v>
      </c>
      <c r="C29" s="10" t="s">
        <v>64</v>
      </c>
      <c r="D29" s="1" t="s">
        <v>25</v>
      </c>
      <c r="E29" s="2" t="str">
        <f>CONCATENATE("career_",A29,"_m")</f>
        <v>career_105013_m</v>
      </c>
      <c r="F29" s="2" t="str">
        <f>CONCATENATE("career_",A29, "_f")</f>
        <v>career_105013_f</v>
      </c>
      <c r="G29" s="2">
        <v>1</v>
      </c>
      <c r="H29" s="1">
        <v>11</v>
      </c>
      <c r="I29" s="1">
        <v>30022</v>
      </c>
      <c r="J29" s="2" t="str">
        <f t="shared" si="3"/>
        <v>矿工</v>
      </c>
      <c r="K29" s="2">
        <v>1</v>
      </c>
      <c r="L29" s="2">
        <v>0</v>
      </c>
      <c r="M29" s="2">
        <v>0</v>
      </c>
      <c r="N29" s="1">
        <v>0</v>
      </c>
      <c r="O29" s="2">
        <v>0</v>
      </c>
      <c r="P29" s="2">
        <v>9302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7" t="str">
        <f t="shared" si="6"/>
        <v>矿工负责在矿井中挖铁矿或煤。</v>
      </c>
      <c r="Y29" s="1">
        <v>10</v>
      </c>
      <c r="Z29" s="1">
        <v>0</v>
      </c>
      <c r="AA29" s="1" t="s">
        <v>78</v>
      </c>
      <c r="AB29" s="1"/>
      <c r="AC29" s="1"/>
      <c r="AD29" s="1"/>
      <c r="AE29" s="2" t="s">
        <v>116</v>
      </c>
      <c r="AF29" s="1"/>
      <c r="AG29" s="1"/>
      <c r="AH29" s="2" t="s">
        <v>117</v>
      </c>
      <c r="AI29" s="1" t="str">
        <f t="shared" si="1"/>
        <v>public const int miner = 11;</v>
      </c>
      <c r="AJ29" s="1" t="s">
        <v>14</v>
      </c>
      <c r="AK29" s="7" t="s">
        <v>206</v>
      </c>
    </row>
    <row r="30" spans="1:37" ht="27" x14ac:dyDescent="0.15">
      <c r="A30" s="1">
        <v>105005</v>
      </c>
      <c r="B30" s="1" t="s">
        <v>42</v>
      </c>
      <c r="C30" s="10" t="s">
        <v>64</v>
      </c>
      <c r="D30" s="1" t="s">
        <v>37</v>
      </c>
      <c r="E30" s="2" t="str">
        <f>CONCATENATE("career_",A30,"_m")</f>
        <v>career_105005_m</v>
      </c>
      <c r="F30" s="2" t="str">
        <f>CONCATENATE("career_",A30, "_f")</f>
        <v>career_105005_f</v>
      </c>
      <c r="G30" s="2">
        <v>1</v>
      </c>
      <c r="H30" s="1">
        <v>12</v>
      </c>
      <c r="I30" s="1">
        <v>30023</v>
      </c>
      <c r="J30" s="2" t="str">
        <f t="shared" si="3"/>
        <v>猎人</v>
      </c>
      <c r="K30" s="2">
        <v>1</v>
      </c>
      <c r="L30" s="2">
        <v>0</v>
      </c>
      <c r="M30" s="2">
        <v>0</v>
      </c>
      <c r="N30" s="1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7" t="str">
        <f t="shared" si="6"/>
        <v>猎人会在营地附近寻找，并捕获动物，获得肉类和皮革。</v>
      </c>
      <c r="Y30" s="1">
        <v>1</v>
      </c>
      <c r="Z30" s="1">
        <v>0</v>
      </c>
      <c r="AA30" s="1" t="s">
        <v>78</v>
      </c>
      <c r="AB30" s="1"/>
      <c r="AC30" s="1"/>
      <c r="AD30" s="1"/>
      <c r="AE30" s="2" t="s">
        <v>118</v>
      </c>
      <c r="AF30" s="1"/>
      <c r="AG30" s="1"/>
      <c r="AH30" s="2" t="s">
        <v>119</v>
      </c>
      <c r="AI30" s="1" t="str">
        <f t="shared" si="1"/>
        <v>public const int hunter = 12;</v>
      </c>
      <c r="AJ30" s="1" t="s">
        <v>15</v>
      </c>
      <c r="AK30" s="7" t="s">
        <v>211</v>
      </c>
    </row>
    <row r="31" spans="1:37" ht="27" x14ac:dyDescent="0.15">
      <c r="A31" s="1">
        <v>105014</v>
      </c>
      <c r="B31" s="1" t="s">
        <v>5</v>
      </c>
      <c r="C31" s="10" t="s">
        <v>64</v>
      </c>
      <c r="D31" s="1" t="s">
        <v>26</v>
      </c>
      <c r="E31" s="2" t="str">
        <f>CONCATENATE("career_",A31,"_m")</f>
        <v>career_105014_m</v>
      </c>
      <c r="F31" s="2" t="str">
        <f>CONCATENATE("career_",A31, "_f")</f>
        <v>career_105014_f</v>
      </c>
      <c r="G31" s="2">
        <v>1</v>
      </c>
      <c r="H31" s="1">
        <v>13</v>
      </c>
      <c r="I31" s="1">
        <v>30024</v>
      </c>
      <c r="J31" s="2" t="str">
        <f t="shared" si="3"/>
        <v>石匠</v>
      </c>
      <c r="K31" s="2">
        <v>1</v>
      </c>
      <c r="L31" s="2">
        <v>0</v>
      </c>
      <c r="M31" s="2">
        <v>0</v>
      </c>
      <c r="N31" s="1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7" t="str">
        <f t="shared" si="6"/>
        <v>石匠负责开口采石，可在采石场挖掘地下的石头，或在采石点挖掘山中的石头。</v>
      </c>
      <c r="Y31" s="1">
        <v>6</v>
      </c>
      <c r="Z31" s="1">
        <v>0</v>
      </c>
      <c r="AA31" s="1" t="s">
        <v>79</v>
      </c>
      <c r="AB31" s="1"/>
      <c r="AC31" s="1"/>
      <c r="AD31" s="1"/>
      <c r="AE31" s="2" t="s">
        <v>120</v>
      </c>
      <c r="AF31" s="1"/>
      <c r="AG31" s="1"/>
      <c r="AH31" s="2" t="s">
        <v>121</v>
      </c>
      <c r="AI31" s="1" t="str">
        <f t="shared" si="1"/>
        <v>public const int stonemason = 13;</v>
      </c>
      <c r="AJ31" s="1" t="s">
        <v>16</v>
      </c>
      <c r="AK31" s="7" t="s">
        <v>207</v>
      </c>
    </row>
    <row r="32" spans="1:37" x14ac:dyDescent="0.15">
      <c r="A32" s="1">
        <v>105020</v>
      </c>
      <c r="B32" s="2" t="s">
        <v>168</v>
      </c>
      <c r="C32" s="10" t="s">
        <v>64</v>
      </c>
      <c r="D32" s="1" t="s">
        <v>26</v>
      </c>
      <c r="E32" s="2" t="s">
        <v>499</v>
      </c>
      <c r="F32" s="2" t="s">
        <v>500</v>
      </c>
      <c r="G32" s="2">
        <v>1</v>
      </c>
      <c r="H32" s="1">
        <v>13</v>
      </c>
      <c r="I32" s="1">
        <v>30024</v>
      </c>
      <c r="J32" s="2" t="str">
        <f t="shared" si="3"/>
        <v>石匠</v>
      </c>
      <c r="K32" s="2">
        <v>1</v>
      </c>
      <c r="L32" s="2">
        <v>0</v>
      </c>
      <c r="M32" s="2">
        <v>0</v>
      </c>
      <c r="N32" s="1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7">
        <f t="shared" si="6"/>
        <v>0</v>
      </c>
      <c r="Y32" s="1">
        <v>1</v>
      </c>
      <c r="Z32" s="1">
        <v>0</v>
      </c>
      <c r="AA32" s="1" t="s">
        <v>79</v>
      </c>
      <c r="AB32" s="1"/>
      <c r="AC32" s="1"/>
      <c r="AD32" s="1"/>
      <c r="AE32" s="2" t="s">
        <v>120</v>
      </c>
      <c r="AF32" s="1"/>
      <c r="AG32" s="1"/>
      <c r="AH32" s="2" t="s">
        <v>121</v>
      </c>
      <c r="AI32" s="1" t="str">
        <f t="shared" si="1"/>
        <v>public const int stonemason = 13;</v>
      </c>
      <c r="AJ32" s="1" t="s">
        <v>16</v>
      </c>
      <c r="AK32" s="14"/>
    </row>
    <row r="33" spans="1:37" ht="27" x14ac:dyDescent="0.15">
      <c r="A33" s="1">
        <v>105007</v>
      </c>
      <c r="B33" s="2" t="s">
        <v>215</v>
      </c>
      <c r="C33" s="10" t="s">
        <v>64</v>
      </c>
      <c r="D33" s="1" t="s">
        <v>34</v>
      </c>
      <c r="E33" s="2" t="str">
        <f>CONCATENATE("career_",A33,"_m")</f>
        <v>career_105007_m</v>
      </c>
      <c r="F33" s="2" t="str">
        <f>CONCATENATE("career_",A33, "_f")</f>
        <v>career_105007_f</v>
      </c>
      <c r="G33" s="2">
        <v>1</v>
      </c>
      <c r="H33" s="1">
        <v>14</v>
      </c>
      <c r="I33" s="1">
        <v>30025</v>
      </c>
      <c r="J33" s="2" t="str">
        <f t="shared" si="3"/>
        <v>劈柴工</v>
      </c>
      <c r="K33" s="2">
        <v>1</v>
      </c>
      <c r="L33" s="2">
        <v>1</v>
      </c>
      <c r="M33" s="2">
        <v>0</v>
      </c>
      <c r="N33" s="1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7" t="str">
        <f t="shared" si="6"/>
        <v>劈材工负责将原木劈开，以备日常取暖生火之用。</v>
      </c>
      <c r="Y33" s="1">
        <v>1</v>
      </c>
      <c r="Z33" s="1">
        <v>0</v>
      </c>
      <c r="AA33" s="1" t="s">
        <v>79</v>
      </c>
      <c r="AB33" s="1"/>
      <c r="AC33" s="1"/>
      <c r="AD33" s="1"/>
      <c r="AE33" s="2" t="s">
        <v>122</v>
      </c>
      <c r="AF33" s="1"/>
      <c r="AG33" s="1"/>
      <c r="AH33" s="2" t="s">
        <v>126</v>
      </c>
      <c r="AI33" s="1" t="str">
        <f t="shared" si="1"/>
        <v>public const int woodcutter = 14;</v>
      </c>
      <c r="AJ33" s="1" t="s">
        <v>35</v>
      </c>
      <c r="AK33" s="7" t="s">
        <v>208</v>
      </c>
    </row>
    <row r="34" spans="1:37" x14ac:dyDescent="0.15">
      <c r="A34" s="1">
        <v>105023</v>
      </c>
      <c r="B34" s="5" t="s">
        <v>178</v>
      </c>
      <c r="C34" s="10" t="s">
        <v>64</v>
      </c>
      <c r="D34" s="5" t="s">
        <v>183</v>
      </c>
      <c r="E34" s="2" t="str">
        <f>CONCATENATE("career_",A34,"_m")</f>
        <v>career_105023_m</v>
      </c>
      <c r="F34" s="2" t="str">
        <f>CONCATENATE("career_",A34, "_f")</f>
        <v>career_105023_f</v>
      </c>
      <c r="G34" s="2">
        <v>1</v>
      </c>
      <c r="H34" s="3">
        <v>24</v>
      </c>
      <c r="I34" s="1">
        <v>30027</v>
      </c>
      <c r="J34" s="2" t="str">
        <f t="shared" si="3"/>
        <v>蜂农</v>
      </c>
      <c r="K34" s="2">
        <v>1</v>
      </c>
      <c r="L34" s="2">
        <v>0</v>
      </c>
      <c r="M34" s="2">
        <v>0</v>
      </c>
      <c r="N34" s="1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7" t="str">
        <f t="shared" si="6"/>
        <v>蜂农负责养蜂，并收集蜂蜜。</v>
      </c>
      <c r="Y34" s="1">
        <v>1</v>
      </c>
      <c r="Z34" s="1">
        <v>0</v>
      </c>
      <c r="AA34" s="2" t="s">
        <v>182</v>
      </c>
      <c r="AB34" s="1"/>
      <c r="AC34" s="1"/>
      <c r="AD34" s="1"/>
      <c r="AE34" s="2" t="s">
        <v>180</v>
      </c>
      <c r="AF34" s="1"/>
      <c r="AG34" s="1"/>
      <c r="AH34" s="2" t="s">
        <v>181</v>
      </c>
      <c r="AI34" s="1" t="str">
        <f t="shared" si="1"/>
        <v>public const int beekeeper = 24;</v>
      </c>
      <c r="AJ34" s="5" t="s">
        <v>179</v>
      </c>
      <c r="AK34" s="17" t="s">
        <v>209</v>
      </c>
    </row>
    <row r="35" spans="1:37" x14ac:dyDescent="0.15">
      <c r="A35" s="1">
        <v>104002</v>
      </c>
      <c r="B35" s="3" t="s">
        <v>40</v>
      </c>
      <c r="C35" s="10" t="s">
        <v>64</v>
      </c>
      <c r="D35" s="3" t="s">
        <v>27</v>
      </c>
      <c r="E35" s="2" t="s">
        <v>497</v>
      </c>
      <c r="F35" s="2" t="s">
        <v>498</v>
      </c>
      <c r="G35" s="2">
        <v>0</v>
      </c>
      <c r="H35" s="3">
        <v>15</v>
      </c>
      <c r="I35" s="1">
        <v>30026</v>
      </c>
      <c r="J35" s="2" t="str">
        <f t="shared" si="3"/>
        <v>学者</v>
      </c>
      <c r="K35" s="2">
        <v>1</v>
      </c>
      <c r="L35" s="2">
        <v>0</v>
      </c>
      <c r="M35" s="2">
        <v>0</v>
      </c>
      <c r="N35" s="1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9309</v>
      </c>
      <c r="X35" s="7">
        <f t="shared" si="6"/>
        <v>0</v>
      </c>
      <c r="Y35" s="1">
        <v>1</v>
      </c>
      <c r="Z35" s="1">
        <v>0</v>
      </c>
      <c r="AA35" s="1" t="s">
        <v>73</v>
      </c>
      <c r="AB35" s="1"/>
      <c r="AC35" s="1"/>
      <c r="AD35" s="1"/>
      <c r="AE35" s="2" t="s">
        <v>123</v>
      </c>
      <c r="AF35" s="1"/>
      <c r="AG35" s="1"/>
      <c r="AH35" s="2" t="s">
        <v>127</v>
      </c>
      <c r="AI35" s="1" t="str">
        <f t="shared" ref="AI35:AI62" si="7">CONCATENATE("public const int ",D35," = ",H35,";")</f>
        <v>public const int teacher = 15;</v>
      </c>
      <c r="AJ35" s="5" t="s">
        <v>52</v>
      </c>
      <c r="AK35" s="17"/>
    </row>
    <row r="36" spans="1:37" ht="27" x14ac:dyDescent="0.15">
      <c r="A36" s="1">
        <v>104017</v>
      </c>
      <c r="B36" s="5" t="s">
        <v>54</v>
      </c>
      <c r="C36" s="10" t="s">
        <v>64</v>
      </c>
      <c r="D36" s="5" t="s">
        <v>53</v>
      </c>
      <c r="E36" s="2" t="str">
        <f t="shared" ref="E36:E41" si="8">CONCATENATE("career_",A36,"_m")</f>
        <v>career_104017_m</v>
      </c>
      <c r="F36" s="2" t="str">
        <f t="shared" ref="F36:F41" si="9">CONCATENATE("career_",A36, "_f")</f>
        <v>career_104017_f</v>
      </c>
      <c r="G36" s="2">
        <v>1</v>
      </c>
      <c r="H36" s="3">
        <v>15</v>
      </c>
      <c r="I36" s="1">
        <v>30026</v>
      </c>
      <c r="J36" s="2" t="str">
        <f t="shared" si="3"/>
        <v>学者</v>
      </c>
      <c r="K36" s="2">
        <v>1</v>
      </c>
      <c r="L36" s="2">
        <v>0</v>
      </c>
      <c r="M36" s="2">
        <v>0</v>
      </c>
      <c r="N36" s="1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9309</v>
      </c>
      <c r="X36" s="7" t="str">
        <f t="shared" si="6"/>
        <v>学者负责组织学生学习知识，或者在研究台搞研究。</v>
      </c>
      <c r="Y36" s="1">
        <v>1</v>
      </c>
      <c r="Z36" s="1">
        <v>0</v>
      </c>
      <c r="AA36" s="1" t="s">
        <v>73</v>
      </c>
      <c r="AB36" s="1"/>
      <c r="AC36" s="1"/>
      <c r="AD36" s="1"/>
      <c r="AE36" s="2" t="s">
        <v>123</v>
      </c>
      <c r="AF36" s="1"/>
      <c r="AG36" s="1"/>
      <c r="AH36" s="2" t="s">
        <v>127</v>
      </c>
      <c r="AI36" s="1" t="str">
        <f t="shared" si="7"/>
        <v>public const int teacher = 15;</v>
      </c>
      <c r="AJ36" s="5" t="s">
        <v>52</v>
      </c>
      <c r="AK36" s="17" t="s">
        <v>236</v>
      </c>
    </row>
    <row r="37" spans="1:37" ht="27" x14ac:dyDescent="0.15">
      <c r="A37" s="1">
        <v>105008</v>
      </c>
      <c r="B37" s="2" t="s">
        <v>43</v>
      </c>
      <c r="C37" s="10" t="s">
        <v>64</v>
      </c>
      <c r="D37" s="1" t="s">
        <v>67</v>
      </c>
      <c r="E37" s="2" t="str">
        <f t="shared" si="8"/>
        <v>career_105008_m</v>
      </c>
      <c r="F37" s="2" t="str">
        <f t="shared" si="9"/>
        <v>career_105008_f</v>
      </c>
      <c r="G37" s="2">
        <v>1</v>
      </c>
      <c r="H37" s="1">
        <v>16</v>
      </c>
      <c r="I37" s="1">
        <v>30028</v>
      </c>
      <c r="J37" s="2" t="str">
        <f t="shared" si="3"/>
        <v>护林人</v>
      </c>
      <c r="K37" s="2">
        <v>1</v>
      </c>
      <c r="L37" s="2">
        <v>0</v>
      </c>
      <c r="M37" s="2">
        <v>0</v>
      </c>
      <c r="N37" s="1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7" t="str">
        <f t="shared" si="6"/>
        <v>护林人负责在伐木营地附近，种树和砍树。</v>
      </c>
      <c r="Y37" s="1">
        <v>2</v>
      </c>
      <c r="Z37" s="1">
        <v>0</v>
      </c>
      <c r="AA37" s="1" t="s">
        <v>80</v>
      </c>
      <c r="AB37" s="1"/>
      <c r="AC37" s="1"/>
      <c r="AD37" s="1"/>
      <c r="AE37" s="2" t="s">
        <v>124</v>
      </c>
      <c r="AF37" s="1"/>
      <c r="AG37" s="1"/>
      <c r="AH37" s="2" t="s">
        <v>128</v>
      </c>
      <c r="AI37" s="1" t="str">
        <f t="shared" si="7"/>
        <v>public const int forester = 16;</v>
      </c>
      <c r="AJ37" s="2" t="s">
        <v>51</v>
      </c>
      <c r="AK37" s="7" t="s">
        <v>237</v>
      </c>
    </row>
    <row r="38" spans="1:37" ht="44.25" customHeight="1" x14ac:dyDescent="0.15">
      <c r="A38" s="1">
        <v>104007</v>
      </c>
      <c r="B38" s="1" t="s">
        <v>44</v>
      </c>
      <c r="C38" s="10" t="s">
        <v>64</v>
      </c>
      <c r="D38" s="1" t="s">
        <v>28</v>
      </c>
      <c r="E38" s="2" t="str">
        <f t="shared" si="8"/>
        <v>career_104007_m</v>
      </c>
      <c r="F38" s="2" t="str">
        <f t="shared" si="9"/>
        <v>career_104007_f</v>
      </c>
      <c r="G38" s="2">
        <v>1</v>
      </c>
      <c r="H38" s="1">
        <v>17</v>
      </c>
      <c r="I38" s="1">
        <v>30029</v>
      </c>
      <c r="J38" s="2" t="str">
        <f t="shared" si="3"/>
        <v>医生</v>
      </c>
      <c r="K38" s="2">
        <v>1</v>
      </c>
      <c r="L38" s="2">
        <v>0</v>
      </c>
      <c r="M38" s="2">
        <v>0</v>
      </c>
      <c r="N38" s="1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7" t="str">
        <f t="shared" si="6"/>
        <v>医生负责为居民提供诊断，并指导居民用药。
当传染病发生时，医生会清理传染源。</v>
      </c>
      <c r="Y38" s="1">
        <v>3</v>
      </c>
      <c r="Z38" s="1">
        <v>0</v>
      </c>
      <c r="AA38" s="1" t="s">
        <v>71</v>
      </c>
      <c r="AB38" s="1"/>
      <c r="AC38" s="1"/>
      <c r="AD38" s="1"/>
      <c r="AE38" s="2" t="s">
        <v>125</v>
      </c>
      <c r="AF38" s="1"/>
      <c r="AG38" s="1"/>
      <c r="AH38" s="2" t="s">
        <v>129</v>
      </c>
      <c r="AI38" s="1" t="str">
        <f t="shared" si="7"/>
        <v>public const int doctor = 17;</v>
      </c>
      <c r="AJ38" s="2" t="s">
        <v>55</v>
      </c>
      <c r="AK38" s="7" t="s">
        <v>235</v>
      </c>
    </row>
    <row r="39" spans="1:37" x14ac:dyDescent="0.15">
      <c r="A39" s="1">
        <v>105009</v>
      </c>
      <c r="B39" s="2" t="s">
        <v>47</v>
      </c>
      <c r="C39" s="10" t="s">
        <v>64</v>
      </c>
      <c r="D39" s="2" t="s">
        <v>522</v>
      </c>
      <c r="E39" s="2" t="str">
        <f t="shared" si="8"/>
        <v>career_105009_m</v>
      </c>
      <c r="F39" s="2" t="str">
        <f t="shared" si="9"/>
        <v>career_105009_f</v>
      </c>
      <c r="G39" s="2">
        <v>1</v>
      </c>
      <c r="H39" s="1">
        <v>18</v>
      </c>
      <c r="I39" s="1">
        <v>30030</v>
      </c>
      <c r="J39" s="2" t="str">
        <f t="shared" si="3"/>
        <v>采药师</v>
      </c>
      <c r="K39" s="2">
        <v>1</v>
      </c>
      <c r="L39" s="2">
        <v>0</v>
      </c>
      <c r="M39" s="2">
        <v>0</v>
      </c>
      <c r="N39" s="1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7" t="str">
        <f t="shared" si="6"/>
        <v>药师负责在森林中采集草药</v>
      </c>
      <c r="Y39" s="1">
        <v>1</v>
      </c>
      <c r="Z39" s="1">
        <v>0</v>
      </c>
      <c r="AA39" s="1" t="s">
        <v>80</v>
      </c>
      <c r="AB39" s="1"/>
      <c r="AC39" s="1"/>
      <c r="AD39" s="1"/>
      <c r="AE39" s="2" t="s">
        <v>130</v>
      </c>
      <c r="AF39" s="1"/>
      <c r="AG39" s="1"/>
      <c r="AH39" s="2" t="s">
        <v>132</v>
      </c>
      <c r="AI39" s="1" t="str">
        <f t="shared" si="7"/>
        <v>public const int herbalist = 18;</v>
      </c>
      <c r="AJ39" s="2" t="s">
        <v>515</v>
      </c>
      <c r="AK39" s="7" t="s">
        <v>511</v>
      </c>
    </row>
    <row r="40" spans="1:37" x14ac:dyDescent="0.15">
      <c r="A40" s="1">
        <v>105025</v>
      </c>
      <c r="B40" s="2" t="s">
        <v>184</v>
      </c>
      <c r="C40" s="10" t="s">
        <v>64</v>
      </c>
      <c r="D40" s="2" t="s">
        <v>523</v>
      </c>
      <c r="E40" s="2" t="str">
        <f t="shared" si="8"/>
        <v>career_105025_m</v>
      </c>
      <c r="F40" s="2" t="str">
        <f t="shared" si="9"/>
        <v>career_105025_f</v>
      </c>
      <c r="G40" s="2">
        <v>1</v>
      </c>
      <c r="H40" s="1">
        <v>28</v>
      </c>
      <c r="I40" s="1">
        <v>30040</v>
      </c>
      <c r="J40" s="2" t="str">
        <f t="shared" si="3"/>
        <v>炼药师</v>
      </c>
      <c r="K40" s="2">
        <v>1</v>
      </c>
      <c r="L40" s="2">
        <v>0</v>
      </c>
      <c r="M40" s="2">
        <v>0</v>
      </c>
      <c r="N40" s="1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7" t="str">
        <f t="shared" si="6"/>
        <v>炼药师负责熬制成药物</v>
      </c>
      <c r="Y40" s="1">
        <v>1</v>
      </c>
      <c r="Z40" s="1">
        <v>0</v>
      </c>
      <c r="AA40" s="1" t="s">
        <v>80</v>
      </c>
      <c r="AB40" s="1"/>
      <c r="AC40" s="1"/>
      <c r="AD40" s="1"/>
      <c r="AE40" s="2" t="s">
        <v>513</v>
      </c>
      <c r="AF40" s="1"/>
      <c r="AG40" s="1"/>
      <c r="AH40" s="2" t="s">
        <v>514</v>
      </c>
      <c r="AI40" s="1" t="str">
        <f t="shared" si="7"/>
        <v>public const int alchemist = 28;</v>
      </c>
      <c r="AJ40" s="2" t="s">
        <v>510</v>
      </c>
      <c r="AK40" s="7" t="s">
        <v>512</v>
      </c>
    </row>
    <row r="41" spans="1:37" ht="27" x14ac:dyDescent="0.15">
      <c r="A41" s="1">
        <v>104004</v>
      </c>
      <c r="B41" s="3" t="s">
        <v>39</v>
      </c>
      <c r="C41" s="10" t="s">
        <v>64</v>
      </c>
      <c r="D41" s="2" t="s">
        <v>188</v>
      </c>
      <c r="E41" s="2" t="str">
        <f t="shared" si="8"/>
        <v>career_104004_m</v>
      </c>
      <c r="F41" s="2" t="str">
        <f t="shared" si="9"/>
        <v>career_104004_f</v>
      </c>
      <c r="G41" s="2">
        <v>1</v>
      </c>
      <c r="H41" s="1">
        <v>19</v>
      </c>
      <c r="I41" s="1">
        <v>30031</v>
      </c>
      <c r="J41" s="2" t="str">
        <f t="shared" si="3"/>
        <v>先知</v>
      </c>
      <c r="K41" s="2">
        <v>1</v>
      </c>
      <c r="L41" s="2">
        <v>0</v>
      </c>
      <c r="M41" s="2">
        <v>0</v>
      </c>
      <c r="N41" s="1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9308</v>
      </c>
      <c r="W41" s="2">
        <v>0</v>
      </c>
      <c r="X41" s="7" t="str">
        <f t="shared" si="6"/>
        <v>先知负责组织居民精神信仰活动，劝降抓获的俘虏。</v>
      </c>
      <c r="Y41" s="1">
        <v>1</v>
      </c>
      <c r="Z41" s="1">
        <v>0</v>
      </c>
      <c r="AA41" s="1" t="s">
        <v>71</v>
      </c>
      <c r="AB41" s="1"/>
      <c r="AC41" s="1"/>
      <c r="AD41" s="1"/>
      <c r="AE41" s="2" t="s">
        <v>131</v>
      </c>
      <c r="AF41" s="1"/>
      <c r="AG41" s="1"/>
      <c r="AH41" s="2" t="s">
        <v>133</v>
      </c>
      <c r="AI41" s="1" t="str">
        <f t="shared" si="7"/>
        <v>public const int minister = 19;</v>
      </c>
      <c r="AJ41" s="2" t="s">
        <v>167</v>
      </c>
      <c r="AK41" s="7" t="s">
        <v>238</v>
      </c>
    </row>
    <row r="42" spans="1:37" x14ac:dyDescent="0.15">
      <c r="A42" s="1">
        <v>106002</v>
      </c>
      <c r="B42" s="5" t="s">
        <v>214</v>
      </c>
      <c r="C42" s="10" t="s">
        <v>213</v>
      </c>
      <c r="D42" s="1" t="s">
        <v>188</v>
      </c>
      <c r="E42" s="2" t="s">
        <v>493</v>
      </c>
      <c r="F42" s="2" t="s">
        <v>494</v>
      </c>
      <c r="G42" s="2">
        <v>0</v>
      </c>
      <c r="H42" s="1">
        <v>19</v>
      </c>
      <c r="I42" s="1">
        <v>30031</v>
      </c>
      <c r="J42" s="2" t="str">
        <f t="shared" si="3"/>
        <v>先知</v>
      </c>
      <c r="K42" s="2">
        <v>1</v>
      </c>
      <c r="L42" s="2">
        <v>0</v>
      </c>
      <c r="M42" s="2">
        <v>0</v>
      </c>
      <c r="N42" s="1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9308</v>
      </c>
      <c r="W42" s="2">
        <v>0</v>
      </c>
      <c r="X42" s="7">
        <f t="shared" si="6"/>
        <v>0</v>
      </c>
      <c r="Y42" s="1">
        <v>1</v>
      </c>
      <c r="Z42" s="1">
        <v>50</v>
      </c>
      <c r="AA42" s="1" t="s">
        <v>71</v>
      </c>
      <c r="AB42" s="1"/>
      <c r="AC42" s="1"/>
      <c r="AD42" s="1"/>
      <c r="AE42" s="2" t="s">
        <v>131</v>
      </c>
      <c r="AF42" s="1"/>
      <c r="AG42" s="1"/>
      <c r="AH42" s="2" t="s">
        <v>133</v>
      </c>
      <c r="AI42" s="1" t="str">
        <f t="shared" si="7"/>
        <v>public const int minister = 19;</v>
      </c>
      <c r="AJ42" s="2" t="s">
        <v>167</v>
      </c>
      <c r="AK42" s="7"/>
    </row>
    <row r="43" spans="1:37" ht="27" x14ac:dyDescent="0.15">
      <c r="A43" s="1">
        <v>103012</v>
      </c>
      <c r="B43" s="2" t="s">
        <v>175</v>
      </c>
      <c r="C43" s="10" t="s">
        <v>64</v>
      </c>
      <c r="D43" s="2" t="s">
        <v>216</v>
      </c>
      <c r="E43" s="2" t="str">
        <f>CONCATENATE("career_",A43,"_m")</f>
        <v>career_103012_m</v>
      </c>
      <c r="F43" s="2" t="str">
        <f>CONCATENATE("career_",A43, "_f")</f>
        <v>career_103012_f</v>
      </c>
      <c r="G43" s="2">
        <v>1</v>
      </c>
      <c r="H43" s="1">
        <v>20</v>
      </c>
      <c r="I43" s="1">
        <v>30032</v>
      </c>
      <c r="J43" s="2" t="str">
        <f t="shared" si="3"/>
        <v>马车夫</v>
      </c>
      <c r="K43" s="2">
        <v>1</v>
      </c>
      <c r="L43" s="2">
        <v>0</v>
      </c>
      <c r="M43" s="2">
        <v>0</v>
      </c>
      <c r="N43" s="1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7" t="str">
        <f t="shared" si="6"/>
        <v>马车夫负责驾驭马车，大批量长途运输货物。</v>
      </c>
      <c r="Y43" s="1">
        <v>1</v>
      </c>
      <c r="Z43" s="1">
        <v>9</v>
      </c>
      <c r="AA43" s="1" t="s">
        <v>78</v>
      </c>
      <c r="AB43" s="1"/>
      <c r="AC43" s="1"/>
      <c r="AD43" s="1"/>
      <c r="AE43" s="2" t="s">
        <v>135</v>
      </c>
      <c r="AF43" s="1"/>
      <c r="AG43" s="1"/>
      <c r="AH43" s="2" t="s">
        <v>134</v>
      </c>
      <c r="AI43" s="1" t="str">
        <f t="shared" si="7"/>
        <v>public const int coachman = 20;</v>
      </c>
      <c r="AJ43" s="2" t="s">
        <v>176</v>
      </c>
      <c r="AK43" s="7" t="s">
        <v>210</v>
      </c>
    </row>
    <row r="44" spans="1:37" x14ac:dyDescent="0.15">
      <c r="A44" s="1">
        <v>103004</v>
      </c>
      <c r="B44" s="2" t="s">
        <v>159</v>
      </c>
      <c r="C44" s="10" t="s">
        <v>64</v>
      </c>
      <c r="D44" s="2" t="s">
        <v>374</v>
      </c>
      <c r="E44" s="2" t="s">
        <v>495</v>
      </c>
      <c r="F44" s="2" t="s">
        <v>496</v>
      </c>
      <c r="G44" s="2">
        <v>0</v>
      </c>
      <c r="H44" s="1">
        <v>7</v>
      </c>
      <c r="I44" s="1">
        <v>30017</v>
      </c>
      <c r="J44" s="2" t="str">
        <f t="shared" si="3"/>
        <v>搬运工</v>
      </c>
      <c r="K44" s="2">
        <v>1</v>
      </c>
      <c r="L44" s="2">
        <v>1</v>
      </c>
      <c r="M44" s="2">
        <v>0</v>
      </c>
      <c r="N44" s="1">
        <v>0</v>
      </c>
      <c r="O44" s="1">
        <v>9301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7">
        <f t="shared" si="6"/>
        <v>0</v>
      </c>
      <c r="Y44" s="1">
        <v>2</v>
      </c>
      <c r="Z44" s="1">
        <v>0</v>
      </c>
      <c r="AA44" s="2" t="s">
        <v>241</v>
      </c>
      <c r="AB44" s="1"/>
      <c r="AC44" s="13"/>
      <c r="AD44" s="13"/>
      <c r="AE44" s="13" t="s">
        <v>111</v>
      </c>
      <c r="AF44" s="1"/>
      <c r="AG44" s="1"/>
      <c r="AH44" s="13" t="s">
        <v>136</v>
      </c>
      <c r="AI44" s="1" t="str">
        <f t="shared" si="7"/>
        <v>public const int transporter = 7;</v>
      </c>
      <c r="AJ44" s="8" t="s">
        <v>199</v>
      </c>
      <c r="AK44" s="7"/>
    </row>
    <row r="45" spans="1:37" x14ac:dyDescent="0.15">
      <c r="A45" s="1">
        <v>103005</v>
      </c>
      <c r="B45" s="2" t="s">
        <v>202</v>
      </c>
      <c r="C45" s="10" t="s">
        <v>64</v>
      </c>
      <c r="D45" s="2" t="s">
        <v>201</v>
      </c>
      <c r="E45" s="2" t="s">
        <v>495</v>
      </c>
      <c r="F45" s="2" t="s">
        <v>496</v>
      </c>
      <c r="G45" s="2">
        <v>0</v>
      </c>
      <c r="H45" s="1">
        <v>7</v>
      </c>
      <c r="I45" s="1">
        <v>30017</v>
      </c>
      <c r="J45" s="2" t="str">
        <f t="shared" si="3"/>
        <v>搬运工</v>
      </c>
      <c r="K45" s="2">
        <v>1</v>
      </c>
      <c r="L45" s="2">
        <v>1</v>
      </c>
      <c r="M45" s="2">
        <v>0</v>
      </c>
      <c r="N45" s="1">
        <v>0</v>
      </c>
      <c r="O45" s="1">
        <v>9301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7">
        <f t="shared" si="6"/>
        <v>0</v>
      </c>
      <c r="Y45" s="1">
        <v>2</v>
      </c>
      <c r="Z45" s="1">
        <v>0</v>
      </c>
      <c r="AA45" s="1" t="s">
        <v>75</v>
      </c>
      <c r="AB45" s="1"/>
      <c r="AC45" s="13"/>
      <c r="AD45" s="13"/>
      <c r="AE45" s="13" t="s">
        <v>111</v>
      </c>
      <c r="AF45" s="1"/>
      <c r="AG45" s="1"/>
      <c r="AH45" s="13" t="s">
        <v>136</v>
      </c>
      <c r="AI45" s="1" t="str">
        <f t="shared" si="7"/>
        <v>public const int transporter = 7;</v>
      </c>
      <c r="AJ45" s="8" t="s">
        <v>199</v>
      </c>
      <c r="AK45" s="7"/>
    </row>
    <row r="46" spans="1:37" x14ac:dyDescent="0.15">
      <c r="A46" s="1">
        <v>104016</v>
      </c>
      <c r="B46" s="28" t="s">
        <v>481</v>
      </c>
      <c r="C46" s="10" t="s">
        <v>64</v>
      </c>
      <c r="D46" s="2" t="s">
        <v>201</v>
      </c>
      <c r="E46" s="2" t="s">
        <v>495</v>
      </c>
      <c r="F46" s="2" t="s">
        <v>496</v>
      </c>
      <c r="G46" s="2">
        <v>0</v>
      </c>
      <c r="H46" s="1">
        <v>7</v>
      </c>
      <c r="I46" s="1">
        <v>30017</v>
      </c>
      <c r="J46" s="2" t="str">
        <f t="shared" si="3"/>
        <v>搬运工</v>
      </c>
      <c r="K46" s="2">
        <v>1</v>
      </c>
      <c r="L46" s="2">
        <v>1</v>
      </c>
      <c r="M46" s="2">
        <v>0</v>
      </c>
      <c r="N46" s="1">
        <v>0</v>
      </c>
      <c r="O46" s="1">
        <v>9301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7">
        <f t="shared" si="6"/>
        <v>0</v>
      </c>
      <c r="Y46" s="1">
        <v>2</v>
      </c>
      <c r="Z46" s="1">
        <v>0</v>
      </c>
      <c r="AA46" s="1" t="s">
        <v>75</v>
      </c>
      <c r="AB46" s="1"/>
      <c r="AC46" s="13"/>
      <c r="AD46" s="13"/>
      <c r="AE46" s="13" t="s">
        <v>111</v>
      </c>
      <c r="AF46" s="1"/>
      <c r="AG46" s="1"/>
      <c r="AH46" s="13" t="s">
        <v>136</v>
      </c>
      <c r="AI46" s="1" t="str">
        <f t="shared" si="7"/>
        <v>public const int transporter = 7;</v>
      </c>
      <c r="AJ46" s="8" t="s">
        <v>199</v>
      </c>
      <c r="AK46" s="7"/>
    </row>
    <row r="47" spans="1:37" x14ac:dyDescent="0.15">
      <c r="A47" s="1">
        <v>109005</v>
      </c>
      <c r="B47" s="2" t="s">
        <v>200</v>
      </c>
      <c r="C47" s="10" t="s">
        <v>64</v>
      </c>
      <c r="D47" s="2" t="s">
        <v>201</v>
      </c>
      <c r="E47" s="2" t="s">
        <v>495</v>
      </c>
      <c r="F47" s="2" t="s">
        <v>496</v>
      </c>
      <c r="G47" s="2">
        <v>0</v>
      </c>
      <c r="H47" s="1">
        <v>7</v>
      </c>
      <c r="I47" s="1">
        <v>30017</v>
      </c>
      <c r="J47" s="2" t="str">
        <f t="shared" si="3"/>
        <v>搬运工</v>
      </c>
      <c r="K47" s="2">
        <v>1</v>
      </c>
      <c r="L47" s="2">
        <v>1</v>
      </c>
      <c r="M47" s="2">
        <v>0</v>
      </c>
      <c r="N47" s="1">
        <v>0</v>
      </c>
      <c r="O47" s="1">
        <v>9301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7">
        <f t="shared" si="6"/>
        <v>0</v>
      </c>
      <c r="Y47" s="1">
        <v>2</v>
      </c>
      <c r="Z47" s="1">
        <v>0</v>
      </c>
      <c r="AA47" s="1" t="s">
        <v>75</v>
      </c>
      <c r="AB47" s="1"/>
      <c r="AC47" s="13"/>
      <c r="AD47" s="13"/>
      <c r="AE47" s="13" t="s">
        <v>111</v>
      </c>
      <c r="AF47" s="1"/>
      <c r="AG47" s="1"/>
      <c r="AH47" s="13" t="s">
        <v>136</v>
      </c>
      <c r="AI47" s="1" t="str">
        <f t="shared" si="7"/>
        <v>public const int transporter = 7;</v>
      </c>
      <c r="AJ47" s="8" t="s">
        <v>199</v>
      </c>
      <c r="AK47" s="7"/>
    </row>
    <row r="48" spans="1:37" x14ac:dyDescent="0.15">
      <c r="A48" s="1">
        <v>103007</v>
      </c>
      <c r="B48" s="2" t="s">
        <v>503</v>
      </c>
      <c r="C48" s="10" t="s">
        <v>64</v>
      </c>
      <c r="D48" s="2" t="s">
        <v>201</v>
      </c>
      <c r="E48" s="2" t="s">
        <v>495</v>
      </c>
      <c r="F48" s="2" t="s">
        <v>496</v>
      </c>
      <c r="G48" s="2">
        <v>0</v>
      </c>
      <c r="H48" s="1">
        <v>7</v>
      </c>
      <c r="I48" s="1">
        <v>30017</v>
      </c>
      <c r="J48" s="2" t="str">
        <f t="shared" ref="J48" si="10">AJ48</f>
        <v>搬运工</v>
      </c>
      <c r="K48" s="2">
        <v>1</v>
      </c>
      <c r="L48" s="2">
        <v>1</v>
      </c>
      <c r="M48" s="2">
        <v>0</v>
      </c>
      <c r="N48" s="1">
        <v>0</v>
      </c>
      <c r="O48" s="1">
        <v>9301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7">
        <f t="shared" ref="X48" si="11">AK48</f>
        <v>0</v>
      </c>
      <c r="Y48" s="1">
        <v>2</v>
      </c>
      <c r="Z48" s="1">
        <v>0</v>
      </c>
      <c r="AA48" s="1" t="s">
        <v>75</v>
      </c>
      <c r="AB48" s="1"/>
      <c r="AC48" s="13"/>
      <c r="AD48" s="13"/>
      <c r="AE48" s="13" t="s">
        <v>111</v>
      </c>
      <c r="AF48" s="1"/>
      <c r="AG48" s="1"/>
      <c r="AH48" s="13" t="s">
        <v>136</v>
      </c>
      <c r="AI48" s="1" t="str">
        <f t="shared" si="7"/>
        <v>public const int transporter = 7;</v>
      </c>
      <c r="AJ48" s="8" t="s">
        <v>199</v>
      </c>
      <c r="AK48" s="7"/>
    </row>
    <row r="49" spans="1:37" x14ac:dyDescent="0.15">
      <c r="A49" s="1">
        <v>103009</v>
      </c>
      <c r="B49" s="2" t="s">
        <v>503</v>
      </c>
      <c r="C49" s="10" t="s">
        <v>64</v>
      </c>
      <c r="D49" s="2" t="s">
        <v>201</v>
      </c>
      <c r="E49" s="2" t="s">
        <v>495</v>
      </c>
      <c r="F49" s="2" t="s">
        <v>496</v>
      </c>
      <c r="G49" s="2">
        <v>0</v>
      </c>
      <c r="H49" s="1">
        <v>7</v>
      </c>
      <c r="I49" s="1">
        <v>30017</v>
      </c>
      <c r="J49" s="2" t="str">
        <f t="shared" ref="J49" si="12">AJ49</f>
        <v>搬运工</v>
      </c>
      <c r="K49" s="2">
        <v>1</v>
      </c>
      <c r="L49" s="2">
        <v>1</v>
      </c>
      <c r="M49" s="2">
        <v>0</v>
      </c>
      <c r="N49" s="1">
        <v>0</v>
      </c>
      <c r="O49" s="1">
        <v>9301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7">
        <f t="shared" ref="X49" si="13">AK49</f>
        <v>0</v>
      </c>
      <c r="Y49" s="1">
        <v>2</v>
      </c>
      <c r="Z49" s="1">
        <v>0</v>
      </c>
      <c r="AA49" s="1" t="s">
        <v>75</v>
      </c>
      <c r="AB49" s="1"/>
      <c r="AC49" s="13"/>
      <c r="AD49" s="13"/>
      <c r="AE49" s="13" t="s">
        <v>111</v>
      </c>
      <c r="AF49" s="1"/>
      <c r="AG49" s="1"/>
      <c r="AH49" s="13" t="s">
        <v>136</v>
      </c>
      <c r="AI49" s="1" t="str">
        <f t="shared" si="7"/>
        <v>public const int transporter = 7;</v>
      </c>
      <c r="AJ49" s="8" t="s">
        <v>199</v>
      </c>
      <c r="AK49" s="7"/>
    </row>
    <row r="50" spans="1:37" ht="40.5" x14ac:dyDescent="0.15">
      <c r="A50" s="1">
        <v>105016</v>
      </c>
      <c r="B50" s="2" t="s">
        <v>203</v>
      </c>
      <c r="C50" s="10" t="s">
        <v>64</v>
      </c>
      <c r="D50" s="2" t="s">
        <v>94</v>
      </c>
      <c r="E50" s="2" t="str">
        <f>CONCATENATE("career_",A50,"_m")</f>
        <v>career_105016_m</v>
      </c>
      <c r="F50" s="2" t="str">
        <f>CONCATENATE("career_",A50, "_f")</f>
        <v>career_105016_f</v>
      </c>
      <c r="G50" s="2">
        <v>1</v>
      </c>
      <c r="H50" s="1">
        <v>22</v>
      </c>
      <c r="I50" s="1">
        <v>30034</v>
      </c>
      <c r="J50" s="2" t="str">
        <f t="shared" si="3"/>
        <v>厨师</v>
      </c>
      <c r="K50" s="2">
        <v>1</v>
      </c>
      <c r="L50" s="2">
        <v>0</v>
      </c>
      <c r="M50" s="2">
        <v>0</v>
      </c>
      <c r="N50" s="1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7" t="str">
        <f t="shared" si="6"/>
        <v>厨师负责烹饪食物，将生食食材加工成简单食物或精致的食物。也负责打理磨坊，生产面粉。</v>
      </c>
      <c r="Y50" s="1">
        <v>1</v>
      </c>
      <c r="Z50" s="1">
        <v>0</v>
      </c>
      <c r="AA50" s="1" t="s">
        <v>75</v>
      </c>
      <c r="AB50" s="1"/>
      <c r="AC50" s="1"/>
      <c r="AD50" s="1"/>
      <c r="AE50" s="2" t="s">
        <v>402</v>
      </c>
      <c r="AF50" s="1"/>
      <c r="AG50" s="1"/>
      <c r="AH50" s="2" t="s">
        <v>395</v>
      </c>
      <c r="AI50" s="1" t="str">
        <f t="shared" si="7"/>
        <v>public const int cook = 22;</v>
      </c>
      <c r="AJ50" s="2" t="s">
        <v>95</v>
      </c>
      <c r="AK50" s="7" t="s">
        <v>534</v>
      </c>
    </row>
    <row r="51" spans="1:37" ht="27" x14ac:dyDescent="0.15">
      <c r="A51" s="1">
        <v>105029</v>
      </c>
      <c r="B51" s="2" t="s">
        <v>478</v>
      </c>
      <c r="C51" s="10" t="s">
        <v>64</v>
      </c>
      <c r="D51" s="2" t="s">
        <v>94</v>
      </c>
      <c r="E51" s="2" t="s">
        <v>479</v>
      </c>
      <c r="F51" s="2" t="s">
        <v>480</v>
      </c>
      <c r="G51" s="2">
        <v>0</v>
      </c>
      <c r="H51" s="1">
        <v>22</v>
      </c>
      <c r="I51" s="1">
        <v>30034</v>
      </c>
      <c r="J51" s="2" t="str">
        <f t="shared" si="3"/>
        <v>厨师</v>
      </c>
      <c r="K51" s="2">
        <v>1</v>
      </c>
      <c r="L51" s="2">
        <v>0</v>
      </c>
      <c r="M51" s="2">
        <v>0</v>
      </c>
      <c r="N51" s="1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7"/>
      <c r="Y51" s="1">
        <v>1</v>
      </c>
      <c r="Z51" s="1">
        <v>0</v>
      </c>
      <c r="AA51" s="1" t="s">
        <v>75</v>
      </c>
      <c r="AB51" s="1"/>
      <c r="AC51" s="1"/>
      <c r="AD51" s="1"/>
      <c r="AE51" s="2" t="s">
        <v>402</v>
      </c>
      <c r="AF51" s="1"/>
      <c r="AG51" s="1"/>
      <c r="AH51" s="2" t="s">
        <v>395</v>
      </c>
      <c r="AI51" s="1" t="str">
        <f t="shared" si="7"/>
        <v>public const int cook = 22;</v>
      </c>
      <c r="AJ51" s="2" t="s">
        <v>95</v>
      </c>
      <c r="AK51" s="7" t="s">
        <v>534</v>
      </c>
    </row>
    <row r="52" spans="1:37" ht="27" x14ac:dyDescent="0.15">
      <c r="A52" s="1">
        <v>105032</v>
      </c>
      <c r="B52" s="2" t="s">
        <v>478</v>
      </c>
      <c r="C52" s="10" t="s">
        <v>64</v>
      </c>
      <c r="D52" s="2" t="s">
        <v>94</v>
      </c>
      <c r="E52" s="2" t="s">
        <v>479</v>
      </c>
      <c r="F52" s="2" t="s">
        <v>480</v>
      </c>
      <c r="G52" s="2">
        <v>0</v>
      </c>
      <c r="H52" s="1">
        <v>22</v>
      </c>
      <c r="I52" s="1">
        <v>30034</v>
      </c>
      <c r="J52" s="2" t="str">
        <f t="shared" ref="J52" si="14">AJ52</f>
        <v>厨师</v>
      </c>
      <c r="K52" s="2">
        <v>1</v>
      </c>
      <c r="L52" s="2">
        <v>0</v>
      </c>
      <c r="M52" s="2">
        <v>0</v>
      </c>
      <c r="N52" s="1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7"/>
      <c r="Y52" s="1">
        <v>2</v>
      </c>
      <c r="Z52" s="1">
        <v>0</v>
      </c>
      <c r="AA52" s="1" t="s">
        <v>75</v>
      </c>
      <c r="AB52" s="1"/>
      <c r="AC52" s="1"/>
      <c r="AD52" s="1"/>
      <c r="AE52" s="2" t="s">
        <v>402</v>
      </c>
      <c r="AF52" s="1"/>
      <c r="AG52" s="1"/>
      <c r="AH52" s="2" t="s">
        <v>395</v>
      </c>
      <c r="AI52" s="1" t="str">
        <f t="shared" si="7"/>
        <v>public const int cook = 22;</v>
      </c>
      <c r="AJ52" s="2" t="s">
        <v>95</v>
      </c>
      <c r="AK52" s="7" t="s">
        <v>534</v>
      </c>
    </row>
    <row r="53" spans="1:37" x14ac:dyDescent="0.15">
      <c r="A53" s="1">
        <v>105026</v>
      </c>
      <c r="B53" s="2" t="s">
        <v>262</v>
      </c>
      <c r="C53" s="10" t="s">
        <v>64</v>
      </c>
      <c r="D53" s="2" t="s">
        <v>201</v>
      </c>
      <c r="E53" s="2" t="s">
        <v>495</v>
      </c>
      <c r="F53" s="2" t="s">
        <v>496</v>
      </c>
      <c r="G53" s="2">
        <v>0</v>
      </c>
      <c r="H53" s="1">
        <v>7</v>
      </c>
      <c r="I53" s="1">
        <v>30017</v>
      </c>
      <c r="J53" s="2" t="str">
        <f t="shared" si="3"/>
        <v>搬运工</v>
      </c>
      <c r="K53" s="2">
        <v>1</v>
      </c>
      <c r="L53" s="2">
        <v>1</v>
      </c>
      <c r="M53" s="2">
        <v>0</v>
      </c>
      <c r="N53" s="1">
        <v>0</v>
      </c>
      <c r="O53" s="1">
        <v>9301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7">
        <f t="shared" ref="X53:X61" si="15">AK53</f>
        <v>0</v>
      </c>
      <c r="Y53" s="1">
        <v>3</v>
      </c>
      <c r="Z53" s="1">
        <v>0</v>
      </c>
      <c r="AA53" s="2" t="s">
        <v>241</v>
      </c>
      <c r="AB53" s="1"/>
      <c r="AC53" s="13"/>
      <c r="AD53" s="13"/>
      <c r="AE53" s="13" t="s">
        <v>111</v>
      </c>
      <c r="AF53" s="1"/>
      <c r="AG53" s="1"/>
      <c r="AH53" s="13" t="s">
        <v>136</v>
      </c>
      <c r="AI53" s="1" t="str">
        <f t="shared" si="7"/>
        <v>public const int transporter = 7;</v>
      </c>
      <c r="AJ53" s="8" t="s">
        <v>199</v>
      </c>
      <c r="AK53" s="7"/>
    </row>
    <row r="54" spans="1:37" x14ac:dyDescent="0.15">
      <c r="A54" s="1">
        <v>104019</v>
      </c>
      <c r="B54" s="2" t="s">
        <v>293</v>
      </c>
      <c r="C54" s="10" t="s">
        <v>64</v>
      </c>
      <c r="D54" s="2" t="s">
        <v>294</v>
      </c>
      <c r="E54" s="2" t="str">
        <f t="shared" ref="E54:E91" si="16">CONCATENATE("career_",A54,"_m")</f>
        <v>career_104019_m</v>
      </c>
      <c r="F54" s="2" t="str">
        <f t="shared" ref="F54:F91" si="17">CONCATENATE("career_",A54, "_f")</f>
        <v>career_104019_f</v>
      </c>
      <c r="G54" s="2">
        <v>1</v>
      </c>
      <c r="H54" s="1">
        <v>27</v>
      </c>
      <c r="I54" s="1">
        <v>30039</v>
      </c>
      <c r="J54" s="2" t="str">
        <f t="shared" si="3"/>
        <v>服务员</v>
      </c>
      <c r="K54" s="2">
        <v>1</v>
      </c>
      <c r="L54" s="2">
        <v>1</v>
      </c>
      <c r="M54" s="2">
        <v>0</v>
      </c>
      <c r="N54" s="1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7" t="str">
        <f t="shared" si="15"/>
        <v>服务员负责接待旅客。</v>
      </c>
      <c r="Y54" s="1">
        <v>3</v>
      </c>
      <c r="Z54" s="1">
        <v>0</v>
      </c>
      <c r="AA54" s="2" t="s">
        <v>241</v>
      </c>
      <c r="AB54" s="1"/>
      <c r="AC54" s="13"/>
      <c r="AD54" s="13"/>
      <c r="AE54" s="13" t="s">
        <v>401</v>
      </c>
      <c r="AF54" s="1"/>
      <c r="AG54" s="1"/>
      <c r="AH54" s="13" t="s">
        <v>396</v>
      </c>
      <c r="AI54" s="1" t="str">
        <f t="shared" si="7"/>
        <v>public const int waiter = 27;</v>
      </c>
      <c r="AJ54" s="2" t="s">
        <v>297</v>
      </c>
      <c r="AK54" s="7" t="s">
        <v>298</v>
      </c>
    </row>
    <row r="55" spans="1:37" x14ac:dyDescent="0.15">
      <c r="A55" s="1">
        <v>104027</v>
      </c>
      <c r="B55" s="2" t="s">
        <v>524</v>
      </c>
      <c r="C55" s="10" t="s">
        <v>64</v>
      </c>
      <c r="D55" s="2" t="s">
        <v>294</v>
      </c>
      <c r="E55" s="2" t="s">
        <v>525</v>
      </c>
      <c r="F55" s="2" t="s">
        <v>526</v>
      </c>
      <c r="G55" s="2">
        <v>0</v>
      </c>
      <c r="H55" s="1">
        <v>27</v>
      </c>
      <c r="I55" s="1">
        <v>30039</v>
      </c>
      <c r="J55" s="2" t="str">
        <f t="shared" ref="J55" si="18">AJ55</f>
        <v>服务员</v>
      </c>
      <c r="K55" s="2">
        <v>1</v>
      </c>
      <c r="L55" s="2">
        <v>1</v>
      </c>
      <c r="M55" s="2">
        <v>0</v>
      </c>
      <c r="N55" s="1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7" t="str">
        <f t="shared" si="15"/>
        <v>服务员负责接待旅客。</v>
      </c>
      <c r="Y55" s="1">
        <v>5</v>
      </c>
      <c r="Z55" s="1">
        <v>0</v>
      </c>
      <c r="AA55" s="2" t="s">
        <v>241</v>
      </c>
      <c r="AB55" s="1"/>
      <c r="AC55" s="13"/>
      <c r="AD55" s="13"/>
      <c r="AE55" s="13" t="s">
        <v>401</v>
      </c>
      <c r="AF55" s="1"/>
      <c r="AG55" s="1"/>
      <c r="AH55" s="13" t="s">
        <v>396</v>
      </c>
      <c r="AI55" s="1" t="str">
        <f t="shared" si="7"/>
        <v>public const int waiter = 27;</v>
      </c>
      <c r="AJ55" s="2" t="s">
        <v>297</v>
      </c>
      <c r="AK55" s="7" t="s">
        <v>298</v>
      </c>
    </row>
    <row r="56" spans="1:37" x14ac:dyDescent="0.15">
      <c r="A56" s="1">
        <v>104023</v>
      </c>
      <c r="B56" s="2" t="s">
        <v>530</v>
      </c>
      <c r="C56" s="10" t="s">
        <v>64</v>
      </c>
      <c r="D56" s="2" t="s">
        <v>294</v>
      </c>
      <c r="E56" s="2" t="s">
        <v>525</v>
      </c>
      <c r="F56" s="2" t="s">
        <v>526</v>
      </c>
      <c r="G56" s="2">
        <v>0</v>
      </c>
      <c r="H56" s="1">
        <v>27</v>
      </c>
      <c r="I56" s="1">
        <v>30039</v>
      </c>
      <c r="J56" s="2" t="str">
        <f t="shared" ref="J56:J59" si="19">AJ56</f>
        <v>服务员</v>
      </c>
      <c r="K56" s="2">
        <v>1</v>
      </c>
      <c r="L56" s="2">
        <v>1</v>
      </c>
      <c r="M56" s="2">
        <v>0</v>
      </c>
      <c r="N56" s="1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7" t="str">
        <f t="shared" si="15"/>
        <v>服务员负责接待旅客。</v>
      </c>
      <c r="Y56" s="1">
        <v>1</v>
      </c>
      <c r="Z56" s="1">
        <v>0</v>
      </c>
      <c r="AA56" s="2" t="s">
        <v>241</v>
      </c>
      <c r="AB56" s="1"/>
      <c r="AC56" s="13"/>
      <c r="AD56" s="13"/>
      <c r="AE56" s="13" t="s">
        <v>401</v>
      </c>
      <c r="AF56" s="1"/>
      <c r="AG56" s="1"/>
      <c r="AH56" s="13" t="s">
        <v>396</v>
      </c>
      <c r="AI56" s="1" t="str">
        <f t="shared" ref="AI56:AI59" si="20">CONCATENATE("public const int ",D56," = ",H56,";")</f>
        <v>public const int waiter = 27;</v>
      </c>
      <c r="AJ56" s="2" t="s">
        <v>297</v>
      </c>
      <c r="AK56" s="7" t="s">
        <v>298</v>
      </c>
    </row>
    <row r="57" spans="1:37" x14ac:dyDescent="0.15">
      <c r="A57" s="1">
        <v>104024</v>
      </c>
      <c r="B57" s="2" t="s">
        <v>531</v>
      </c>
      <c r="C57" s="10" t="s">
        <v>64</v>
      </c>
      <c r="D57" s="2" t="s">
        <v>294</v>
      </c>
      <c r="E57" s="2" t="s">
        <v>525</v>
      </c>
      <c r="F57" s="2" t="s">
        <v>526</v>
      </c>
      <c r="G57" s="2">
        <v>0</v>
      </c>
      <c r="H57" s="1">
        <v>27</v>
      </c>
      <c r="I57" s="1">
        <v>30039</v>
      </c>
      <c r="J57" s="2" t="str">
        <f t="shared" si="19"/>
        <v>服务员</v>
      </c>
      <c r="K57" s="2">
        <v>1</v>
      </c>
      <c r="L57" s="2">
        <v>1</v>
      </c>
      <c r="M57" s="2">
        <v>0</v>
      </c>
      <c r="N57" s="1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7" t="str">
        <f t="shared" si="15"/>
        <v>服务员负责接待旅客。</v>
      </c>
      <c r="Y57" s="1">
        <v>1</v>
      </c>
      <c r="Z57" s="1">
        <v>0</v>
      </c>
      <c r="AA57" s="2" t="s">
        <v>241</v>
      </c>
      <c r="AB57" s="1"/>
      <c r="AC57" s="13"/>
      <c r="AD57" s="13"/>
      <c r="AE57" s="13" t="s">
        <v>401</v>
      </c>
      <c r="AF57" s="1"/>
      <c r="AG57" s="1"/>
      <c r="AH57" s="13" t="s">
        <v>396</v>
      </c>
      <c r="AI57" s="1" t="str">
        <f t="shared" si="20"/>
        <v>public const int waiter = 27;</v>
      </c>
      <c r="AJ57" s="2" t="s">
        <v>297</v>
      </c>
      <c r="AK57" s="7" t="s">
        <v>298</v>
      </c>
    </row>
    <row r="58" spans="1:37" x14ac:dyDescent="0.15">
      <c r="A58" s="1">
        <v>104025</v>
      </c>
      <c r="B58" s="2" t="s">
        <v>532</v>
      </c>
      <c r="C58" s="10" t="s">
        <v>64</v>
      </c>
      <c r="D58" s="2" t="s">
        <v>294</v>
      </c>
      <c r="E58" s="2" t="s">
        <v>525</v>
      </c>
      <c r="F58" s="2" t="s">
        <v>526</v>
      </c>
      <c r="G58" s="2">
        <v>0</v>
      </c>
      <c r="H58" s="1">
        <v>27</v>
      </c>
      <c r="I58" s="1">
        <v>30039</v>
      </c>
      <c r="J58" s="2" t="str">
        <f t="shared" si="19"/>
        <v>服务员</v>
      </c>
      <c r="K58" s="2">
        <v>1</v>
      </c>
      <c r="L58" s="2">
        <v>1</v>
      </c>
      <c r="M58" s="2">
        <v>0</v>
      </c>
      <c r="N58" s="1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7" t="str">
        <f t="shared" si="15"/>
        <v>服务员负责接待旅客。</v>
      </c>
      <c r="Y58" s="1">
        <v>1</v>
      </c>
      <c r="Z58" s="1">
        <v>0</v>
      </c>
      <c r="AA58" s="2" t="s">
        <v>241</v>
      </c>
      <c r="AB58" s="1"/>
      <c r="AC58" s="13"/>
      <c r="AD58" s="13"/>
      <c r="AE58" s="13" t="s">
        <v>401</v>
      </c>
      <c r="AF58" s="1"/>
      <c r="AG58" s="1"/>
      <c r="AH58" s="13" t="s">
        <v>396</v>
      </c>
      <c r="AI58" s="1" t="str">
        <f t="shared" si="20"/>
        <v>public const int waiter = 27;</v>
      </c>
      <c r="AJ58" s="2" t="s">
        <v>297</v>
      </c>
      <c r="AK58" s="7" t="s">
        <v>298</v>
      </c>
    </row>
    <row r="59" spans="1:37" x14ac:dyDescent="0.15">
      <c r="A59" s="1">
        <v>104026</v>
      </c>
      <c r="B59" s="2" t="s">
        <v>533</v>
      </c>
      <c r="C59" s="10" t="s">
        <v>64</v>
      </c>
      <c r="D59" s="2" t="s">
        <v>294</v>
      </c>
      <c r="E59" s="2" t="s">
        <v>525</v>
      </c>
      <c r="F59" s="2" t="s">
        <v>526</v>
      </c>
      <c r="G59" s="2">
        <v>0</v>
      </c>
      <c r="H59" s="1">
        <v>27</v>
      </c>
      <c r="I59" s="1">
        <v>30039</v>
      </c>
      <c r="J59" s="2" t="str">
        <f t="shared" si="19"/>
        <v>服务员</v>
      </c>
      <c r="K59" s="2">
        <v>1</v>
      </c>
      <c r="L59" s="2">
        <v>1</v>
      </c>
      <c r="M59" s="2">
        <v>0</v>
      </c>
      <c r="N59" s="1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7" t="str">
        <f t="shared" si="15"/>
        <v>服务员负责接待旅客。</v>
      </c>
      <c r="Y59" s="1">
        <v>1</v>
      </c>
      <c r="Z59" s="1">
        <v>0</v>
      </c>
      <c r="AA59" s="2" t="s">
        <v>241</v>
      </c>
      <c r="AB59" s="1"/>
      <c r="AC59" s="13"/>
      <c r="AD59" s="13"/>
      <c r="AE59" s="13" t="s">
        <v>401</v>
      </c>
      <c r="AF59" s="1"/>
      <c r="AG59" s="1"/>
      <c r="AH59" s="13" t="s">
        <v>396</v>
      </c>
      <c r="AI59" s="1" t="str">
        <f t="shared" si="20"/>
        <v>public const int waiter = 27;</v>
      </c>
      <c r="AJ59" s="2" t="s">
        <v>297</v>
      </c>
      <c r="AK59" s="7" t="s">
        <v>298</v>
      </c>
    </row>
    <row r="60" spans="1:37" x14ac:dyDescent="0.15">
      <c r="A60" s="3">
        <v>23</v>
      </c>
      <c r="B60" s="4" t="s">
        <v>9</v>
      </c>
      <c r="C60" s="10" t="s">
        <v>66</v>
      </c>
      <c r="D60" s="2" t="s">
        <v>139</v>
      </c>
      <c r="E60" s="2" t="str">
        <f t="shared" si="16"/>
        <v>career_23_m</v>
      </c>
      <c r="F60" s="2" t="str">
        <f t="shared" si="17"/>
        <v>career_23_f</v>
      </c>
      <c r="G60" s="2">
        <v>1</v>
      </c>
      <c r="H60" s="1">
        <v>23</v>
      </c>
      <c r="I60" s="1">
        <v>30035</v>
      </c>
      <c r="J60" s="2" t="str">
        <f t="shared" si="3"/>
        <v>小精灵</v>
      </c>
      <c r="K60" s="2">
        <v>1</v>
      </c>
      <c r="L60" s="2">
        <v>0</v>
      </c>
      <c r="M60" s="2">
        <v>0</v>
      </c>
      <c r="N60" s="1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7" t="str">
        <f t="shared" si="15"/>
        <v>响应召唤出现，可帮忙干杂活。</v>
      </c>
      <c r="Y60" s="1">
        <v>0</v>
      </c>
      <c r="Z60" s="1">
        <v>0</v>
      </c>
      <c r="AA60" s="1" t="s">
        <v>264</v>
      </c>
      <c r="AB60" s="1"/>
      <c r="AC60" s="1"/>
      <c r="AD60" s="1"/>
      <c r="AE60" s="12" t="s">
        <v>492</v>
      </c>
      <c r="AF60" s="1"/>
      <c r="AG60" s="1"/>
      <c r="AH60" s="12" t="s">
        <v>492</v>
      </c>
      <c r="AI60" s="1" t="str">
        <f t="shared" si="7"/>
        <v>public const int elf = 23;</v>
      </c>
      <c r="AJ60" s="2" t="s">
        <v>140</v>
      </c>
      <c r="AK60" s="7" t="s">
        <v>222</v>
      </c>
    </row>
    <row r="61" spans="1:37" x14ac:dyDescent="0.15">
      <c r="A61" s="3">
        <v>25</v>
      </c>
      <c r="B61" s="4" t="s">
        <v>9</v>
      </c>
      <c r="C61" s="10" t="s">
        <v>66</v>
      </c>
      <c r="D61" s="2" t="s">
        <v>187</v>
      </c>
      <c r="E61" s="2" t="str">
        <f t="shared" si="16"/>
        <v>career_25_m</v>
      </c>
      <c r="F61" s="2" t="str">
        <f t="shared" si="17"/>
        <v>career_25_f</v>
      </c>
      <c r="G61" s="2">
        <v>1</v>
      </c>
      <c r="H61" s="1">
        <v>25</v>
      </c>
      <c r="I61" s="1">
        <v>30065</v>
      </c>
      <c r="J61" s="2" t="str">
        <f t="shared" si="3"/>
        <v>俘虏</v>
      </c>
      <c r="K61" s="2">
        <v>0</v>
      </c>
      <c r="L61" s="2">
        <v>0</v>
      </c>
      <c r="M61" s="2">
        <v>0</v>
      </c>
      <c r="N61" s="1">
        <v>1</v>
      </c>
      <c r="O61" s="1">
        <v>9201</v>
      </c>
      <c r="P61" s="1">
        <v>9202</v>
      </c>
      <c r="Q61" s="1">
        <v>9203</v>
      </c>
      <c r="R61" s="1">
        <v>9204</v>
      </c>
      <c r="S61" s="1">
        <v>9205</v>
      </c>
      <c r="T61" s="1">
        <v>9206</v>
      </c>
      <c r="U61" s="1">
        <v>9207</v>
      </c>
      <c r="V61" s="1">
        <v>9208</v>
      </c>
      <c r="W61" s="1">
        <v>9209</v>
      </c>
      <c r="X61" s="7" t="str">
        <f t="shared" si="15"/>
        <v>被活捉的敌人士兵。</v>
      </c>
      <c r="Y61" s="1">
        <v>0</v>
      </c>
      <c r="Z61" s="1">
        <v>0</v>
      </c>
      <c r="AA61" s="1" t="s">
        <v>73</v>
      </c>
      <c r="AB61" s="2" t="s">
        <v>143</v>
      </c>
      <c r="AC61" s="1"/>
      <c r="AD61" s="2" t="s">
        <v>146</v>
      </c>
      <c r="AE61" s="2" t="s">
        <v>147</v>
      </c>
      <c r="AF61" s="2" t="s">
        <v>148</v>
      </c>
      <c r="AG61" s="1"/>
      <c r="AH61" s="2" t="s">
        <v>149</v>
      </c>
      <c r="AI61" s="22" t="str">
        <f t="shared" si="7"/>
        <v>public const int prisoner = 25;</v>
      </c>
      <c r="AJ61" s="23" t="s">
        <v>189</v>
      </c>
      <c r="AK61" s="23" t="s">
        <v>223</v>
      </c>
    </row>
    <row r="62" spans="1:37" x14ac:dyDescent="0.15">
      <c r="A62" s="3">
        <v>26</v>
      </c>
      <c r="B62" s="4" t="s">
        <v>9</v>
      </c>
      <c r="C62" s="10" t="s">
        <v>66</v>
      </c>
      <c r="D62" s="2" t="s">
        <v>263</v>
      </c>
      <c r="E62" s="2" t="str">
        <f t="shared" si="16"/>
        <v>career_26_m</v>
      </c>
      <c r="F62" s="2" t="str">
        <f t="shared" si="17"/>
        <v>career_26_f</v>
      </c>
      <c r="G62" s="2">
        <v>1</v>
      </c>
      <c r="H62" s="1">
        <v>26</v>
      </c>
      <c r="I62" s="1">
        <v>30038</v>
      </c>
      <c r="J62" s="2" t="s">
        <v>257</v>
      </c>
      <c r="K62" s="2">
        <v>1</v>
      </c>
      <c r="L62" s="2">
        <v>0</v>
      </c>
      <c r="M62" s="2">
        <v>0</v>
      </c>
      <c r="N62" s="1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7" t="s">
        <v>258</v>
      </c>
      <c r="Y62" s="1">
        <v>0</v>
      </c>
      <c r="Z62" s="1">
        <v>0</v>
      </c>
      <c r="AA62" s="1" t="s">
        <v>265</v>
      </c>
      <c r="AB62" s="1"/>
      <c r="AC62" s="1"/>
      <c r="AD62" s="1"/>
      <c r="AE62" s="2" t="s">
        <v>400</v>
      </c>
      <c r="AF62" s="1"/>
      <c r="AG62" s="1"/>
      <c r="AH62" s="2" t="s">
        <v>397</v>
      </c>
      <c r="AI62" s="1" t="str">
        <f t="shared" si="7"/>
        <v>public const int sailor = 26;</v>
      </c>
      <c r="AJ62" s="2" t="s">
        <v>259</v>
      </c>
      <c r="AK62" s="7" t="s">
        <v>258</v>
      </c>
    </row>
    <row r="63" spans="1:37" ht="27" x14ac:dyDescent="0.15">
      <c r="A63" s="3">
        <v>30</v>
      </c>
      <c r="B63" s="32" t="s">
        <v>9</v>
      </c>
      <c r="C63" s="10" t="s">
        <v>66</v>
      </c>
      <c r="D63" s="2" t="s">
        <v>527</v>
      </c>
      <c r="E63" s="2" t="str">
        <f t="shared" ref="E63" si="21">CONCATENATE("career_",A63,"_m")</f>
        <v>career_30_m</v>
      </c>
      <c r="F63" s="2" t="str">
        <f t="shared" ref="F63" si="22">CONCATENATE("career_",A63, "_f")</f>
        <v>career_30_f</v>
      </c>
      <c r="G63" s="2">
        <v>1</v>
      </c>
      <c r="H63" s="1">
        <v>30</v>
      </c>
      <c r="I63" s="1">
        <v>30042</v>
      </c>
      <c r="J63" s="2" t="str">
        <f t="shared" ref="J63" si="23">AJ63</f>
        <v>石头人</v>
      </c>
      <c r="K63" s="2">
        <v>1</v>
      </c>
      <c r="L63" s="2">
        <v>0</v>
      </c>
      <c r="M63" s="2">
        <v>0</v>
      </c>
      <c r="N63" s="1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7" t="str">
        <f>AK63</f>
        <v>智慧之心赋予生命的石头，可帮忙干杂活。</v>
      </c>
      <c r="Y63" s="1">
        <v>0</v>
      </c>
      <c r="Z63" s="1">
        <v>0</v>
      </c>
      <c r="AA63" s="1" t="s">
        <v>241</v>
      </c>
      <c r="AB63" s="1"/>
      <c r="AC63" s="1"/>
      <c r="AD63" s="1"/>
      <c r="AE63" s="12" t="s">
        <v>492</v>
      </c>
      <c r="AF63" s="1"/>
      <c r="AG63" s="1"/>
      <c r="AH63" s="12" t="s">
        <v>492</v>
      </c>
      <c r="AI63" s="1" t="str">
        <f t="shared" ref="AI63" si="24">CONCATENATE("public const int ",D63," = ",H63,";")</f>
        <v>public const int stoneman = 30;</v>
      </c>
      <c r="AJ63" s="2" t="s">
        <v>528</v>
      </c>
      <c r="AK63" s="7" t="s">
        <v>529</v>
      </c>
    </row>
    <row r="64" spans="1:37" x14ac:dyDescent="0.15">
      <c r="A64" s="1">
        <v>1001</v>
      </c>
      <c r="B64" s="31" t="s">
        <v>9</v>
      </c>
      <c r="C64" s="10" t="s">
        <v>65</v>
      </c>
      <c r="D64" s="2" t="s">
        <v>186</v>
      </c>
      <c r="E64" s="2" t="str">
        <f t="shared" si="16"/>
        <v>career_1001_m</v>
      </c>
      <c r="F64" s="2" t="str">
        <f t="shared" si="17"/>
        <v>career_1001_f</v>
      </c>
      <c r="G64" s="2">
        <v>1</v>
      </c>
      <c r="H64" s="1">
        <v>1001</v>
      </c>
      <c r="I64" s="1">
        <v>30036</v>
      </c>
      <c r="J64" s="2" t="str">
        <f>AJ64</f>
        <v>士兵</v>
      </c>
      <c r="K64" s="2">
        <v>0</v>
      </c>
      <c r="L64" s="2">
        <v>0</v>
      </c>
      <c r="M64" s="2">
        <v>0</v>
      </c>
      <c r="N64" s="1">
        <v>1</v>
      </c>
      <c r="O64" s="2">
        <v>0</v>
      </c>
      <c r="P64" s="2">
        <v>0</v>
      </c>
      <c r="Q64" s="2">
        <v>0</v>
      </c>
      <c r="R64" s="2">
        <v>0</v>
      </c>
      <c r="S64" s="2">
        <v>9305</v>
      </c>
      <c r="T64" s="2">
        <v>0</v>
      </c>
      <c r="U64" s="2">
        <v>9307</v>
      </c>
      <c r="V64" s="2">
        <v>9312</v>
      </c>
      <c r="W64" s="2">
        <v>0</v>
      </c>
      <c r="X64" s="7" t="str">
        <f>AK64</f>
        <v>士兵负责战斗，保卫家园。</v>
      </c>
      <c r="Y64" s="1">
        <v>0</v>
      </c>
      <c r="Z64" s="1">
        <v>0</v>
      </c>
      <c r="AA64" s="2" t="s">
        <v>71</v>
      </c>
      <c r="AB64" s="2" t="s">
        <v>462</v>
      </c>
      <c r="AC64" s="1"/>
      <c r="AD64" s="1"/>
      <c r="AE64" s="1"/>
      <c r="AF64" s="1"/>
      <c r="AG64" s="1"/>
      <c r="AH64" s="1"/>
      <c r="AI64" s="1" t="str">
        <f t="shared" ref="AI64:AI77" si="25">CONCATENATE("public const int ",D64," = ",H64,";")</f>
        <v>public const int soldier = 1001;</v>
      </c>
      <c r="AJ64" s="2" t="s">
        <v>162</v>
      </c>
      <c r="AK64" s="2" t="s">
        <v>225</v>
      </c>
    </row>
    <row r="65" spans="1:37" x14ac:dyDescent="0.15">
      <c r="A65" s="1">
        <v>1901</v>
      </c>
      <c r="B65" s="6" t="s">
        <v>9</v>
      </c>
      <c r="C65" s="10" t="s">
        <v>65</v>
      </c>
      <c r="D65" s="2" t="s">
        <v>165</v>
      </c>
      <c r="E65" s="2" t="str">
        <f t="shared" si="16"/>
        <v>career_1901_m</v>
      </c>
      <c r="F65" s="2" t="str">
        <f t="shared" si="17"/>
        <v>career_1901_f</v>
      </c>
      <c r="G65" s="2">
        <v>1</v>
      </c>
      <c r="H65" s="1">
        <v>1901</v>
      </c>
      <c r="I65" s="1">
        <v>30036</v>
      </c>
      <c r="J65" s="2" t="str">
        <f>AJ65</f>
        <v>敌兵</v>
      </c>
      <c r="K65" s="2">
        <v>0</v>
      </c>
      <c r="L65" s="2">
        <v>0</v>
      </c>
      <c r="M65" s="2">
        <v>0</v>
      </c>
      <c r="N65" s="1">
        <v>1</v>
      </c>
      <c r="O65" s="2">
        <v>0</v>
      </c>
      <c r="P65" s="2">
        <v>0</v>
      </c>
      <c r="Q65" s="2">
        <v>0</v>
      </c>
      <c r="R65" s="2">
        <v>0</v>
      </c>
      <c r="S65" s="2">
        <v>9310</v>
      </c>
      <c r="T65" s="2">
        <v>0</v>
      </c>
      <c r="U65" s="2">
        <v>9311</v>
      </c>
      <c r="V65" s="2">
        <v>9313</v>
      </c>
      <c r="W65" s="2">
        <v>0</v>
      </c>
      <c r="X65" s="7" t="str">
        <f>AK65</f>
        <v>敌人士兵。</v>
      </c>
      <c r="Y65" s="1">
        <v>0</v>
      </c>
      <c r="Z65" s="1">
        <v>0</v>
      </c>
      <c r="AA65" s="2" t="s">
        <v>166</v>
      </c>
      <c r="AB65" s="2" t="s">
        <v>164</v>
      </c>
      <c r="AC65" s="1"/>
      <c r="AD65" s="1"/>
      <c r="AE65" s="1"/>
      <c r="AF65" s="1"/>
      <c r="AG65" s="1"/>
      <c r="AH65" s="1"/>
      <c r="AI65" s="1" t="str">
        <f t="shared" si="25"/>
        <v>public const int soldier_enemy = 1901;</v>
      </c>
      <c r="AJ65" s="2" t="s">
        <v>163</v>
      </c>
      <c r="AK65" s="2" t="s">
        <v>224</v>
      </c>
    </row>
    <row r="66" spans="1:37" x14ac:dyDescent="0.15">
      <c r="A66" s="1">
        <v>61</v>
      </c>
      <c r="B66" s="6" t="s">
        <v>9</v>
      </c>
      <c r="C66" s="10" t="s">
        <v>239</v>
      </c>
      <c r="D66" s="2" t="s">
        <v>261</v>
      </c>
      <c r="E66" s="2" t="str">
        <f t="shared" si="16"/>
        <v>career_61_m</v>
      </c>
      <c r="F66" s="2" t="str">
        <f t="shared" si="17"/>
        <v>career_61_f</v>
      </c>
      <c r="G66" s="1">
        <v>1</v>
      </c>
      <c r="H66" s="1">
        <v>61</v>
      </c>
      <c r="I66" s="1">
        <v>30037</v>
      </c>
      <c r="J66" s="2" t="str">
        <f>AJ66</f>
        <v>贵族</v>
      </c>
      <c r="K66" s="2">
        <v>0</v>
      </c>
      <c r="L66" s="2">
        <v>0</v>
      </c>
      <c r="M66" s="2">
        <v>0</v>
      </c>
      <c r="N66" s="1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7" t="str">
        <f>AK66</f>
        <v>贵族，特权阶级。</v>
      </c>
      <c r="Y66" s="1">
        <v>0</v>
      </c>
      <c r="Z66" s="1">
        <v>0</v>
      </c>
      <c r="AA66" s="2" t="s">
        <v>105</v>
      </c>
      <c r="AB66" s="1"/>
      <c r="AC66" s="1"/>
      <c r="AD66" s="1"/>
      <c r="AE66" s="2" t="s">
        <v>399</v>
      </c>
      <c r="AF66" s="1"/>
      <c r="AG66" s="1"/>
      <c r="AH66" s="2" t="s">
        <v>398</v>
      </c>
      <c r="AI66" s="1" t="str">
        <f t="shared" si="25"/>
        <v>public const int noble = 61;</v>
      </c>
      <c r="AJ66" s="2" t="s">
        <v>240</v>
      </c>
      <c r="AK66" s="2" t="s">
        <v>242</v>
      </c>
    </row>
    <row r="67" spans="1:37" x14ac:dyDescent="0.15">
      <c r="A67" s="1">
        <v>70</v>
      </c>
      <c r="B67" s="6" t="s">
        <v>9</v>
      </c>
      <c r="C67" s="10" t="s">
        <v>239</v>
      </c>
      <c r="D67" s="2" t="s">
        <v>489</v>
      </c>
      <c r="E67" s="2" t="str">
        <f t="shared" si="16"/>
        <v>career_70_m</v>
      </c>
      <c r="F67" s="2" t="str">
        <f t="shared" si="17"/>
        <v>career_70_f</v>
      </c>
      <c r="G67" s="1">
        <v>1</v>
      </c>
      <c r="H67" s="1">
        <v>70</v>
      </c>
      <c r="I67" s="1">
        <v>30071</v>
      </c>
      <c r="J67" s="2" t="s">
        <v>486</v>
      </c>
      <c r="K67" s="2">
        <v>0</v>
      </c>
      <c r="L67" s="2">
        <v>0</v>
      </c>
      <c r="M67" s="2">
        <v>0</v>
      </c>
      <c r="N67" s="1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7"/>
      <c r="Y67" s="1">
        <v>0</v>
      </c>
      <c r="Z67" s="1">
        <v>0</v>
      </c>
      <c r="AA67" s="1" t="s">
        <v>71</v>
      </c>
      <c r="AB67" s="1"/>
      <c r="AC67" s="1"/>
      <c r="AD67" s="1"/>
      <c r="AE67" s="2" t="s">
        <v>487</v>
      </c>
      <c r="AF67" s="1"/>
      <c r="AG67" s="1"/>
      <c r="AH67" s="2" t="s">
        <v>488</v>
      </c>
      <c r="AI67" s="1" t="str">
        <f t="shared" si="25"/>
        <v>public const int lord = 70;</v>
      </c>
      <c r="AJ67" s="2" t="s">
        <v>486</v>
      </c>
      <c r="AK67" s="2"/>
    </row>
    <row r="68" spans="1:37" x14ac:dyDescent="0.15">
      <c r="A68" s="1">
        <v>9001</v>
      </c>
      <c r="B68" s="6" t="s">
        <v>9</v>
      </c>
      <c r="C68" s="26" t="s">
        <v>352</v>
      </c>
      <c r="D68" s="2" t="s">
        <v>353</v>
      </c>
      <c r="E68" s="2" t="str">
        <f t="shared" si="16"/>
        <v>career_9001_m</v>
      </c>
      <c r="F68" s="2" t="str">
        <f t="shared" si="17"/>
        <v>career_9001_f</v>
      </c>
      <c r="G68" s="1">
        <v>1</v>
      </c>
      <c r="H68" s="1">
        <v>9001</v>
      </c>
      <c r="I68" s="3">
        <v>0</v>
      </c>
      <c r="J68" s="27" t="s">
        <v>316</v>
      </c>
      <c r="K68" s="2">
        <v>0</v>
      </c>
      <c r="L68" s="2">
        <v>0</v>
      </c>
      <c r="M68" s="2">
        <v>0</v>
      </c>
      <c r="N68" s="1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14"/>
      <c r="Y68" s="1">
        <v>0</v>
      </c>
      <c r="Z68" s="1">
        <v>0</v>
      </c>
      <c r="AA68" s="2" t="s">
        <v>105</v>
      </c>
      <c r="AB68" s="1"/>
      <c r="AC68" s="1"/>
      <c r="AD68" s="1"/>
      <c r="AE68" s="1" t="s">
        <v>426</v>
      </c>
      <c r="AF68" s="1"/>
      <c r="AG68" s="28"/>
      <c r="AH68" s="1" t="s">
        <v>427</v>
      </c>
      <c r="AI68" s="1" t="str">
        <f t="shared" si="25"/>
        <v>public const int child9001 = 9001;</v>
      </c>
      <c r="AJ68" s="27" t="s">
        <v>316</v>
      </c>
      <c r="AK68" s="1"/>
    </row>
    <row r="69" spans="1:37" x14ac:dyDescent="0.15">
      <c r="A69" s="1">
        <v>9002</v>
      </c>
      <c r="B69" s="6" t="s">
        <v>9</v>
      </c>
      <c r="C69" s="26" t="s">
        <v>352</v>
      </c>
      <c r="D69" s="2" t="s">
        <v>354</v>
      </c>
      <c r="E69" s="2" t="str">
        <f t="shared" si="16"/>
        <v>career_9002_m</v>
      </c>
      <c r="F69" s="2" t="str">
        <f t="shared" si="17"/>
        <v>career_9002_f</v>
      </c>
      <c r="G69" s="1">
        <v>1</v>
      </c>
      <c r="H69" s="1">
        <v>9002</v>
      </c>
      <c r="I69" s="3">
        <v>0</v>
      </c>
      <c r="J69" s="21" t="s">
        <v>317</v>
      </c>
      <c r="K69" s="2">
        <v>0</v>
      </c>
      <c r="L69" s="2">
        <v>0</v>
      </c>
      <c r="M69" s="2">
        <v>0</v>
      </c>
      <c r="N69" s="1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14"/>
      <c r="Y69" s="1">
        <v>0</v>
      </c>
      <c r="Z69" s="1">
        <v>0</v>
      </c>
      <c r="AA69" s="1" t="s">
        <v>78</v>
      </c>
      <c r="AB69" s="1"/>
      <c r="AC69" s="1"/>
      <c r="AD69" s="1"/>
      <c r="AE69" s="1" t="s">
        <v>428</v>
      </c>
      <c r="AF69" s="1"/>
      <c r="AG69" s="28"/>
      <c r="AH69" s="1" t="s">
        <v>429</v>
      </c>
      <c r="AI69" s="1" t="str">
        <f t="shared" si="25"/>
        <v>public const int child9002 = 9002;</v>
      </c>
      <c r="AJ69" s="21" t="s">
        <v>317</v>
      </c>
      <c r="AK69" s="1"/>
    </row>
    <row r="70" spans="1:37" x14ac:dyDescent="0.15">
      <c r="A70" s="1">
        <v>9003</v>
      </c>
      <c r="B70" s="6" t="s">
        <v>9</v>
      </c>
      <c r="C70" s="26" t="s">
        <v>352</v>
      </c>
      <c r="D70" s="2" t="s">
        <v>355</v>
      </c>
      <c r="E70" s="2" t="str">
        <f t="shared" si="16"/>
        <v>career_9003_m</v>
      </c>
      <c r="F70" s="2" t="str">
        <f t="shared" si="17"/>
        <v>career_9003_f</v>
      </c>
      <c r="G70" s="1">
        <v>1</v>
      </c>
      <c r="H70" s="1">
        <v>9003</v>
      </c>
      <c r="I70" s="3">
        <v>0</v>
      </c>
      <c r="J70" s="21" t="s">
        <v>318</v>
      </c>
      <c r="K70" s="2">
        <v>0</v>
      </c>
      <c r="L70" s="2">
        <v>0</v>
      </c>
      <c r="M70" s="2">
        <v>0</v>
      </c>
      <c r="N70" s="1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14"/>
      <c r="Y70" s="1">
        <v>0</v>
      </c>
      <c r="Z70" s="1">
        <v>0</v>
      </c>
      <c r="AA70" s="1" t="s">
        <v>79</v>
      </c>
      <c r="AB70" s="1"/>
      <c r="AC70" s="1"/>
      <c r="AD70" s="1"/>
      <c r="AE70" s="1" t="s">
        <v>430</v>
      </c>
      <c r="AF70" s="1"/>
      <c r="AG70" s="28"/>
      <c r="AH70" s="1" t="s">
        <v>431</v>
      </c>
      <c r="AI70" s="1" t="str">
        <f t="shared" si="25"/>
        <v>public const int child9003 = 9003;</v>
      </c>
      <c r="AJ70" s="21" t="s">
        <v>318</v>
      </c>
      <c r="AK70" s="1"/>
    </row>
    <row r="71" spans="1:37" x14ac:dyDescent="0.15">
      <c r="A71" s="1">
        <v>9004</v>
      </c>
      <c r="B71" s="6" t="s">
        <v>9</v>
      </c>
      <c r="C71" s="26" t="s">
        <v>352</v>
      </c>
      <c r="D71" s="2" t="s">
        <v>356</v>
      </c>
      <c r="E71" s="2" t="str">
        <f t="shared" si="16"/>
        <v>career_9004_m</v>
      </c>
      <c r="F71" s="2" t="str">
        <f t="shared" si="17"/>
        <v>career_9004_f</v>
      </c>
      <c r="G71" s="1">
        <v>1</v>
      </c>
      <c r="H71" s="1">
        <v>9004</v>
      </c>
      <c r="I71" s="3">
        <v>0</v>
      </c>
      <c r="J71" s="21" t="s">
        <v>319</v>
      </c>
      <c r="K71" s="2">
        <v>0</v>
      </c>
      <c r="L71" s="2">
        <v>0</v>
      </c>
      <c r="M71" s="2">
        <v>0</v>
      </c>
      <c r="N71" s="1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14"/>
      <c r="Y71" s="1">
        <v>0</v>
      </c>
      <c r="Z71" s="1">
        <v>0</v>
      </c>
      <c r="AA71" s="1" t="s">
        <v>265</v>
      </c>
      <c r="AB71" s="1"/>
      <c r="AC71" s="1"/>
      <c r="AD71" s="1"/>
      <c r="AE71" s="1" t="s">
        <v>432</v>
      </c>
      <c r="AF71" s="1"/>
      <c r="AG71" s="28"/>
      <c r="AH71" s="1" t="s">
        <v>433</v>
      </c>
      <c r="AI71" s="1" t="str">
        <f t="shared" si="25"/>
        <v>public const int child9004 = 9004;</v>
      </c>
      <c r="AJ71" s="21" t="s">
        <v>319</v>
      </c>
      <c r="AK71" s="1"/>
    </row>
    <row r="72" spans="1:37" x14ac:dyDescent="0.15">
      <c r="A72" s="1">
        <v>9005</v>
      </c>
      <c r="B72" s="6" t="s">
        <v>9</v>
      </c>
      <c r="C72" s="26" t="s">
        <v>352</v>
      </c>
      <c r="D72" s="2" t="s">
        <v>357</v>
      </c>
      <c r="E72" s="2" t="str">
        <f t="shared" si="16"/>
        <v>career_9005_m</v>
      </c>
      <c r="F72" s="2" t="str">
        <f t="shared" si="17"/>
        <v>career_9005_f</v>
      </c>
      <c r="G72" s="1">
        <v>1</v>
      </c>
      <c r="H72" s="1">
        <v>9005</v>
      </c>
      <c r="I72" s="3">
        <v>0</v>
      </c>
      <c r="J72" s="21" t="s">
        <v>320</v>
      </c>
      <c r="K72" s="2">
        <v>0</v>
      </c>
      <c r="L72" s="2">
        <v>0</v>
      </c>
      <c r="M72" s="2">
        <v>0</v>
      </c>
      <c r="N72" s="1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14"/>
      <c r="Y72" s="1">
        <v>0</v>
      </c>
      <c r="Z72" s="1">
        <v>0</v>
      </c>
      <c r="AA72" s="1" t="s">
        <v>73</v>
      </c>
      <c r="AB72" s="1"/>
      <c r="AC72" s="1"/>
      <c r="AD72" s="1"/>
      <c r="AE72" s="1" t="s">
        <v>434</v>
      </c>
      <c r="AF72" s="1"/>
      <c r="AG72" s="28"/>
      <c r="AH72" s="1" t="s">
        <v>435</v>
      </c>
      <c r="AI72" s="1" t="str">
        <f t="shared" si="25"/>
        <v>public const int child9005 = 9005;</v>
      </c>
      <c r="AJ72" s="21" t="s">
        <v>320</v>
      </c>
      <c r="AK72" s="1"/>
    </row>
    <row r="73" spans="1:37" x14ac:dyDescent="0.15">
      <c r="A73" s="1">
        <v>9006</v>
      </c>
      <c r="B73" s="6" t="s">
        <v>9</v>
      </c>
      <c r="C73" s="26" t="s">
        <v>352</v>
      </c>
      <c r="D73" s="2" t="s">
        <v>358</v>
      </c>
      <c r="E73" s="2" t="str">
        <f t="shared" si="16"/>
        <v>career_9006_m</v>
      </c>
      <c r="F73" s="2" t="str">
        <f t="shared" si="17"/>
        <v>career_9006_f</v>
      </c>
      <c r="G73" s="1">
        <v>1</v>
      </c>
      <c r="H73" s="1">
        <v>9006</v>
      </c>
      <c r="I73" s="3">
        <v>0</v>
      </c>
      <c r="J73" s="21" t="s">
        <v>321</v>
      </c>
      <c r="K73" s="2">
        <v>0</v>
      </c>
      <c r="L73" s="2">
        <v>0</v>
      </c>
      <c r="M73" s="2">
        <v>0</v>
      </c>
      <c r="N73" s="1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14"/>
      <c r="Y73" s="1">
        <v>0</v>
      </c>
      <c r="Z73" s="1">
        <v>0</v>
      </c>
      <c r="AA73" s="1" t="s">
        <v>71</v>
      </c>
      <c r="AB73" s="1"/>
      <c r="AC73" s="1"/>
      <c r="AD73" s="1"/>
      <c r="AE73" s="1" t="s">
        <v>436</v>
      </c>
      <c r="AF73" s="1"/>
      <c r="AG73" s="28"/>
      <c r="AH73" s="1" t="s">
        <v>437</v>
      </c>
      <c r="AI73" s="1" t="str">
        <f t="shared" si="25"/>
        <v>public const int child9006 = 9006;</v>
      </c>
      <c r="AJ73" s="21" t="s">
        <v>321</v>
      </c>
      <c r="AK73" s="1"/>
    </row>
    <row r="74" spans="1:37" x14ac:dyDescent="0.15">
      <c r="A74" s="1">
        <v>9007</v>
      </c>
      <c r="B74" s="6" t="s">
        <v>9</v>
      </c>
      <c r="C74" s="26" t="s">
        <v>352</v>
      </c>
      <c r="D74" s="2" t="s">
        <v>359</v>
      </c>
      <c r="E74" s="2" t="str">
        <f t="shared" si="16"/>
        <v>career_9007_m</v>
      </c>
      <c r="F74" s="2" t="str">
        <f t="shared" si="17"/>
        <v>career_9007_f</v>
      </c>
      <c r="G74" s="1">
        <v>1</v>
      </c>
      <c r="H74" s="1">
        <v>9007</v>
      </c>
      <c r="I74" s="3">
        <v>0</v>
      </c>
      <c r="J74" s="21" t="s">
        <v>322</v>
      </c>
      <c r="K74" s="2">
        <v>0</v>
      </c>
      <c r="L74" s="2">
        <v>0</v>
      </c>
      <c r="M74" s="2">
        <v>0</v>
      </c>
      <c r="N74" s="1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14"/>
      <c r="Y74" s="1">
        <v>0</v>
      </c>
      <c r="Z74" s="1">
        <v>0</v>
      </c>
      <c r="AA74" s="2" t="s">
        <v>71</v>
      </c>
      <c r="AB74" s="1"/>
      <c r="AC74" s="1"/>
      <c r="AD74" s="1"/>
      <c r="AE74" s="1" t="s">
        <v>438</v>
      </c>
      <c r="AF74" s="1"/>
      <c r="AG74" s="28"/>
      <c r="AH74" s="1" t="s">
        <v>439</v>
      </c>
      <c r="AI74" s="1" t="str">
        <f t="shared" si="25"/>
        <v>public const int child9007 = 9007;</v>
      </c>
      <c r="AJ74" s="21" t="s">
        <v>322</v>
      </c>
      <c r="AK74" s="1"/>
    </row>
    <row r="75" spans="1:37" x14ac:dyDescent="0.15">
      <c r="A75" s="1">
        <v>9008</v>
      </c>
      <c r="B75" s="6" t="s">
        <v>9</v>
      </c>
      <c r="C75" s="26" t="s">
        <v>352</v>
      </c>
      <c r="D75" s="2" t="s">
        <v>360</v>
      </c>
      <c r="E75" s="2" t="str">
        <f t="shared" si="16"/>
        <v>career_9008_m</v>
      </c>
      <c r="F75" s="2" t="str">
        <f t="shared" si="17"/>
        <v>career_9008_f</v>
      </c>
      <c r="G75" s="1">
        <v>1</v>
      </c>
      <c r="H75" s="1">
        <v>9008</v>
      </c>
      <c r="I75" s="3">
        <v>0</v>
      </c>
      <c r="J75" s="21" t="s">
        <v>323</v>
      </c>
      <c r="K75" s="2">
        <v>0</v>
      </c>
      <c r="L75" s="2">
        <v>0</v>
      </c>
      <c r="M75" s="2">
        <v>0</v>
      </c>
      <c r="N75" s="1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14"/>
      <c r="Y75" s="1">
        <v>0</v>
      </c>
      <c r="Z75" s="1">
        <v>0</v>
      </c>
      <c r="AA75" s="1" t="s">
        <v>80</v>
      </c>
      <c r="AB75" s="1"/>
      <c r="AC75" s="1"/>
      <c r="AD75" s="1"/>
      <c r="AE75" s="1" t="s">
        <v>440</v>
      </c>
      <c r="AF75" s="1"/>
      <c r="AG75" s="28"/>
      <c r="AH75" s="1" t="s">
        <v>441</v>
      </c>
      <c r="AI75" s="1" t="str">
        <f t="shared" si="25"/>
        <v>public const int child9008 = 9008;</v>
      </c>
      <c r="AJ75" s="21" t="s">
        <v>323</v>
      </c>
      <c r="AK75" s="1"/>
    </row>
    <row r="76" spans="1:37" x14ac:dyDescent="0.15">
      <c r="A76" s="1">
        <v>9009</v>
      </c>
      <c r="B76" s="6" t="s">
        <v>9</v>
      </c>
      <c r="C76" s="26" t="s">
        <v>352</v>
      </c>
      <c r="D76" s="2" t="s">
        <v>361</v>
      </c>
      <c r="E76" s="2" t="str">
        <f t="shared" si="16"/>
        <v>career_9009_m</v>
      </c>
      <c r="F76" s="2" t="str">
        <f t="shared" si="17"/>
        <v>career_9009_f</v>
      </c>
      <c r="G76" s="1">
        <v>1</v>
      </c>
      <c r="H76" s="1">
        <v>9009</v>
      </c>
      <c r="I76" s="3">
        <v>0</v>
      </c>
      <c r="J76" s="21" t="s">
        <v>324</v>
      </c>
      <c r="K76" s="2">
        <v>0</v>
      </c>
      <c r="L76" s="2">
        <v>0</v>
      </c>
      <c r="M76" s="2">
        <v>0</v>
      </c>
      <c r="N76" s="1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14"/>
      <c r="Y76" s="1">
        <v>0</v>
      </c>
      <c r="Z76" s="1">
        <v>0</v>
      </c>
      <c r="AA76" s="1" t="s">
        <v>241</v>
      </c>
      <c r="AB76" s="1"/>
      <c r="AC76" s="1"/>
      <c r="AD76" s="1"/>
      <c r="AE76" s="1" t="s">
        <v>442</v>
      </c>
      <c r="AF76" s="1"/>
      <c r="AG76" s="28"/>
      <c r="AH76" s="1" t="s">
        <v>443</v>
      </c>
      <c r="AI76" s="1" t="str">
        <f t="shared" si="25"/>
        <v>public const int child9009 = 9009;</v>
      </c>
      <c r="AJ76" s="21" t="s">
        <v>324</v>
      </c>
      <c r="AK76" s="1"/>
    </row>
    <row r="77" spans="1:37" x14ac:dyDescent="0.15">
      <c r="A77" s="1">
        <v>9101</v>
      </c>
      <c r="B77" s="6" t="s">
        <v>9</v>
      </c>
      <c r="C77" s="26" t="s">
        <v>352</v>
      </c>
      <c r="D77" s="2" t="s">
        <v>362</v>
      </c>
      <c r="E77" s="2" t="str">
        <f t="shared" si="16"/>
        <v>career_9101_m</v>
      </c>
      <c r="F77" s="2" t="str">
        <f t="shared" si="17"/>
        <v>career_9101_f</v>
      </c>
      <c r="G77" s="1">
        <v>1</v>
      </c>
      <c r="H77" s="1">
        <v>9101</v>
      </c>
      <c r="I77" s="3">
        <v>0</v>
      </c>
      <c r="J77" s="21" t="s">
        <v>325</v>
      </c>
      <c r="K77" s="2">
        <v>0</v>
      </c>
      <c r="L77" s="2">
        <v>0</v>
      </c>
      <c r="M77" s="2">
        <v>0</v>
      </c>
      <c r="N77" s="1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14"/>
      <c r="Y77" s="1">
        <v>0</v>
      </c>
      <c r="Z77" s="1">
        <v>0</v>
      </c>
      <c r="AA77" s="1" t="s">
        <v>80</v>
      </c>
      <c r="AB77" s="1"/>
      <c r="AC77" s="1"/>
      <c r="AD77" s="1"/>
      <c r="AE77" s="1" t="s">
        <v>444</v>
      </c>
      <c r="AF77" s="1"/>
      <c r="AG77" s="28"/>
      <c r="AH77" s="1" t="s">
        <v>445</v>
      </c>
      <c r="AI77" s="1" t="str">
        <f t="shared" si="25"/>
        <v>public const int student9101 = 9101;</v>
      </c>
      <c r="AJ77" s="21" t="s">
        <v>325</v>
      </c>
      <c r="AK77" s="1"/>
    </row>
    <row r="78" spans="1:37" x14ac:dyDescent="0.15">
      <c r="A78" s="1">
        <v>9102</v>
      </c>
      <c r="B78" s="6" t="s">
        <v>9</v>
      </c>
      <c r="C78" s="26" t="s">
        <v>352</v>
      </c>
      <c r="D78" s="2" t="s">
        <v>363</v>
      </c>
      <c r="E78" s="2" t="str">
        <f t="shared" si="16"/>
        <v>career_9102_m</v>
      </c>
      <c r="F78" s="2" t="str">
        <f t="shared" si="17"/>
        <v>career_9102_f</v>
      </c>
      <c r="G78" s="1">
        <v>1</v>
      </c>
      <c r="H78" s="1">
        <v>9102</v>
      </c>
      <c r="I78" s="3">
        <v>0</v>
      </c>
      <c r="J78" s="21" t="s">
        <v>326</v>
      </c>
      <c r="K78" s="2">
        <v>0</v>
      </c>
      <c r="L78" s="2">
        <v>0</v>
      </c>
      <c r="M78" s="2">
        <v>0</v>
      </c>
      <c r="N78" s="1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14"/>
      <c r="Y78" s="1">
        <v>0</v>
      </c>
      <c r="Z78" s="1">
        <v>0</v>
      </c>
      <c r="AA78" s="1" t="s">
        <v>241</v>
      </c>
      <c r="AB78" s="1"/>
      <c r="AC78" s="1"/>
      <c r="AD78" s="1"/>
      <c r="AE78" s="1" t="s">
        <v>446</v>
      </c>
      <c r="AF78" s="1"/>
      <c r="AG78" s="28"/>
      <c r="AH78" s="1" t="s">
        <v>447</v>
      </c>
      <c r="AI78" s="1" t="str">
        <f t="shared" ref="AI78:AI100" si="26">CONCATENATE("public const int ",D78," = ",H78,";")</f>
        <v>public const int student9102 = 9102;</v>
      </c>
      <c r="AJ78" s="21" t="s">
        <v>326</v>
      </c>
      <c r="AK78" s="1"/>
    </row>
    <row r="79" spans="1:37" x14ac:dyDescent="0.15">
      <c r="A79" s="1">
        <v>9201</v>
      </c>
      <c r="B79" s="6" t="s">
        <v>9</v>
      </c>
      <c r="C79" s="26" t="s">
        <v>352</v>
      </c>
      <c r="D79" s="2" t="s">
        <v>365</v>
      </c>
      <c r="E79" s="2" t="str">
        <f t="shared" si="16"/>
        <v>career_9201_m</v>
      </c>
      <c r="F79" s="2" t="str">
        <f t="shared" si="17"/>
        <v>career_9201_f</v>
      </c>
      <c r="G79" s="1">
        <v>1</v>
      </c>
      <c r="H79" s="1">
        <v>9201</v>
      </c>
      <c r="I79" s="3">
        <v>0</v>
      </c>
      <c r="J79" s="27" t="s">
        <v>327</v>
      </c>
      <c r="K79" s="2">
        <v>0</v>
      </c>
      <c r="L79" s="2">
        <v>0</v>
      </c>
      <c r="M79" s="2">
        <v>0</v>
      </c>
      <c r="N79" s="1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14"/>
      <c r="Y79" s="1">
        <v>0</v>
      </c>
      <c r="Z79" s="1">
        <v>0</v>
      </c>
      <c r="AA79" s="2" t="s">
        <v>105</v>
      </c>
      <c r="AB79" s="1"/>
      <c r="AC79" s="1"/>
      <c r="AD79" s="1"/>
      <c r="AE79" s="2" t="s">
        <v>408</v>
      </c>
      <c r="AF79" s="1"/>
      <c r="AG79" s="28"/>
      <c r="AH79" s="2" t="s">
        <v>409</v>
      </c>
      <c r="AI79" s="1" t="str">
        <f t="shared" si="26"/>
        <v>public const int handyman9201 = 9201;</v>
      </c>
      <c r="AJ79" s="27" t="s">
        <v>327</v>
      </c>
      <c r="AK79" s="1"/>
    </row>
    <row r="80" spans="1:37" x14ac:dyDescent="0.15">
      <c r="A80" s="1">
        <v>9202</v>
      </c>
      <c r="B80" s="6" t="s">
        <v>9</v>
      </c>
      <c r="C80" s="26" t="s">
        <v>352</v>
      </c>
      <c r="D80" s="2" t="s">
        <v>366</v>
      </c>
      <c r="E80" s="2" t="str">
        <f t="shared" si="16"/>
        <v>career_9202_m</v>
      </c>
      <c r="F80" s="2" t="str">
        <f t="shared" si="17"/>
        <v>career_9202_f</v>
      </c>
      <c r="G80" s="1">
        <v>1</v>
      </c>
      <c r="H80" s="1">
        <v>9202</v>
      </c>
      <c r="I80" s="3">
        <v>0</v>
      </c>
      <c r="J80" s="21" t="s">
        <v>328</v>
      </c>
      <c r="K80" s="2">
        <v>0</v>
      </c>
      <c r="L80" s="2">
        <v>0</v>
      </c>
      <c r="M80" s="2">
        <v>0</v>
      </c>
      <c r="N80" s="1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14"/>
      <c r="Y80" s="1">
        <v>0</v>
      </c>
      <c r="Z80" s="1">
        <v>0</v>
      </c>
      <c r="AA80" s="1" t="s">
        <v>78</v>
      </c>
      <c r="AB80" s="1"/>
      <c r="AC80" s="1"/>
      <c r="AD80" s="1"/>
      <c r="AE80" s="2" t="s">
        <v>410</v>
      </c>
      <c r="AF80" s="1"/>
      <c r="AG80" s="28"/>
      <c r="AH80" s="2" t="s">
        <v>411</v>
      </c>
      <c r="AI80" s="1" t="str">
        <f t="shared" si="26"/>
        <v>public const int handyman9202 = 9202;</v>
      </c>
      <c r="AJ80" s="21" t="s">
        <v>328</v>
      </c>
      <c r="AK80" s="1"/>
    </row>
    <row r="81" spans="1:37" x14ac:dyDescent="0.15">
      <c r="A81" s="1">
        <v>9203</v>
      </c>
      <c r="B81" s="6" t="s">
        <v>9</v>
      </c>
      <c r="C81" s="26" t="s">
        <v>352</v>
      </c>
      <c r="D81" s="2" t="s">
        <v>367</v>
      </c>
      <c r="E81" s="2" t="str">
        <f t="shared" si="16"/>
        <v>career_9203_m</v>
      </c>
      <c r="F81" s="2" t="str">
        <f t="shared" si="17"/>
        <v>career_9203_f</v>
      </c>
      <c r="G81" s="1">
        <v>1</v>
      </c>
      <c r="H81" s="1">
        <v>9203</v>
      </c>
      <c r="I81" s="3">
        <v>0</v>
      </c>
      <c r="J81" s="21" t="s">
        <v>329</v>
      </c>
      <c r="K81" s="2">
        <v>0</v>
      </c>
      <c r="L81" s="2">
        <v>0</v>
      </c>
      <c r="M81" s="2">
        <v>0</v>
      </c>
      <c r="N81" s="1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14"/>
      <c r="Y81" s="1">
        <v>0</v>
      </c>
      <c r="Z81" s="1">
        <v>0</v>
      </c>
      <c r="AA81" s="1" t="s">
        <v>79</v>
      </c>
      <c r="AB81" s="1"/>
      <c r="AC81" s="1"/>
      <c r="AD81" s="1"/>
      <c r="AE81" s="1" t="s">
        <v>412</v>
      </c>
      <c r="AF81" s="1"/>
      <c r="AG81" s="28"/>
      <c r="AH81" s="1" t="s">
        <v>413</v>
      </c>
      <c r="AI81" s="1" t="str">
        <f t="shared" si="26"/>
        <v>public const int handyman9203 = 9203;</v>
      </c>
      <c r="AJ81" s="21" t="s">
        <v>329</v>
      </c>
      <c r="AK81" s="1"/>
    </row>
    <row r="82" spans="1:37" x14ac:dyDescent="0.15">
      <c r="A82" s="1">
        <v>9204</v>
      </c>
      <c r="B82" s="6" t="s">
        <v>9</v>
      </c>
      <c r="C82" s="26" t="s">
        <v>352</v>
      </c>
      <c r="D82" s="2" t="s">
        <v>368</v>
      </c>
      <c r="E82" s="2" t="str">
        <f t="shared" si="16"/>
        <v>career_9204_m</v>
      </c>
      <c r="F82" s="2" t="str">
        <f t="shared" si="17"/>
        <v>career_9204_f</v>
      </c>
      <c r="G82" s="1">
        <v>1</v>
      </c>
      <c r="H82" s="1">
        <v>9204</v>
      </c>
      <c r="I82" s="3">
        <v>0</v>
      </c>
      <c r="J82" s="21" t="s">
        <v>330</v>
      </c>
      <c r="K82" s="2">
        <v>0</v>
      </c>
      <c r="L82" s="2">
        <v>0</v>
      </c>
      <c r="M82" s="2">
        <v>0</v>
      </c>
      <c r="N82" s="1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14"/>
      <c r="Y82" s="1">
        <v>0</v>
      </c>
      <c r="Z82" s="1">
        <v>0</v>
      </c>
      <c r="AA82" s="1" t="s">
        <v>265</v>
      </c>
      <c r="AB82" s="1"/>
      <c r="AC82" s="1"/>
      <c r="AD82" s="1"/>
      <c r="AE82" s="1" t="s">
        <v>414</v>
      </c>
      <c r="AF82" s="1"/>
      <c r="AG82" s="28"/>
      <c r="AH82" s="1" t="s">
        <v>415</v>
      </c>
      <c r="AI82" s="1" t="str">
        <f t="shared" si="26"/>
        <v>public const int handyman9204 = 9204;</v>
      </c>
      <c r="AJ82" s="21" t="s">
        <v>330</v>
      </c>
      <c r="AK82" s="1"/>
    </row>
    <row r="83" spans="1:37" x14ac:dyDescent="0.15">
      <c r="A83" s="1">
        <v>9205</v>
      </c>
      <c r="B83" s="6" t="s">
        <v>9</v>
      </c>
      <c r="C83" s="26" t="s">
        <v>352</v>
      </c>
      <c r="D83" s="2" t="s">
        <v>369</v>
      </c>
      <c r="E83" s="2" t="str">
        <f t="shared" si="16"/>
        <v>career_9205_m</v>
      </c>
      <c r="F83" s="2" t="str">
        <f t="shared" si="17"/>
        <v>career_9205_f</v>
      </c>
      <c r="G83" s="1">
        <v>1</v>
      </c>
      <c r="H83" s="1">
        <v>9205</v>
      </c>
      <c r="I83" s="3">
        <v>0</v>
      </c>
      <c r="J83" s="21" t="s">
        <v>386</v>
      </c>
      <c r="K83" s="2">
        <v>0</v>
      </c>
      <c r="L83" s="2">
        <v>0</v>
      </c>
      <c r="M83" s="2">
        <v>0</v>
      </c>
      <c r="N83" s="1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14"/>
      <c r="Y83" s="1">
        <v>0</v>
      </c>
      <c r="Z83" s="1">
        <v>0</v>
      </c>
      <c r="AA83" s="1" t="s">
        <v>73</v>
      </c>
      <c r="AB83" s="1"/>
      <c r="AC83" s="1"/>
      <c r="AD83" s="1"/>
      <c r="AE83" s="1" t="s">
        <v>416</v>
      </c>
      <c r="AF83" s="1"/>
      <c r="AG83" s="28"/>
      <c r="AH83" s="1" t="s">
        <v>417</v>
      </c>
      <c r="AI83" s="1" t="str">
        <f t="shared" si="26"/>
        <v>public const int handyman9205 = 9205;</v>
      </c>
      <c r="AJ83" s="21" t="s">
        <v>386</v>
      </c>
      <c r="AK83" s="1"/>
    </row>
    <row r="84" spans="1:37" x14ac:dyDescent="0.15">
      <c r="A84" s="1">
        <v>9206</v>
      </c>
      <c r="B84" s="6" t="s">
        <v>9</v>
      </c>
      <c r="C84" s="26" t="s">
        <v>352</v>
      </c>
      <c r="D84" s="2" t="s">
        <v>370</v>
      </c>
      <c r="E84" s="2" t="str">
        <f t="shared" si="16"/>
        <v>career_9206_m</v>
      </c>
      <c r="F84" s="2" t="str">
        <f t="shared" si="17"/>
        <v>career_9206_f</v>
      </c>
      <c r="G84" s="1">
        <v>1</v>
      </c>
      <c r="H84" s="1">
        <v>9206</v>
      </c>
      <c r="I84" s="3">
        <v>0</v>
      </c>
      <c r="J84" s="21" t="s">
        <v>331</v>
      </c>
      <c r="K84" s="2">
        <v>0</v>
      </c>
      <c r="L84" s="2">
        <v>0</v>
      </c>
      <c r="M84" s="2">
        <v>0</v>
      </c>
      <c r="N84" s="1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14"/>
      <c r="Y84" s="1">
        <v>0</v>
      </c>
      <c r="Z84" s="1">
        <v>0</v>
      </c>
      <c r="AA84" s="1" t="s">
        <v>71</v>
      </c>
      <c r="AB84" s="1"/>
      <c r="AC84" s="1"/>
      <c r="AD84" s="1"/>
      <c r="AE84" s="1" t="s">
        <v>418</v>
      </c>
      <c r="AF84" s="1"/>
      <c r="AG84" s="28"/>
      <c r="AH84" s="1" t="s">
        <v>419</v>
      </c>
      <c r="AI84" s="1" t="str">
        <f t="shared" si="26"/>
        <v>public const int handyman9206 = 9206;</v>
      </c>
      <c r="AJ84" s="21" t="s">
        <v>331</v>
      </c>
      <c r="AK84" s="1"/>
    </row>
    <row r="85" spans="1:37" x14ac:dyDescent="0.15">
      <c r="A85" s="1">
        <v>9207</v>
      </c>
      <c r="B85" s="6" t="s">
        <v>9</v>
      </c>
      <c r="C85" s="26" t="s">
        <v>352</v>
      </c>
      <c r="D85" s="2" t="s">
        <v>371</v>
      </c>
      <c r="E85" s="2" t="str">
        <f t="shared" si="16"/>
        <v>career_9207_m</v>
      </c>
      <c r="F85" s="2" t="str">
        <f t="shared" si="17"/>
        <v>career_9207_f</v>
      </c>
      <c r="G85" s="1">
        <v>1</v>
      </c>
      <c r="H85" s="1">
        <v>9207</v>
      </c>
      <c r="I85" s="3">
        <v>0</v>
      </c>
      <c r="J85" s="21" t="s">
        <v>332</v>
      </c>
      <c r="K85" s="2">
        <v>0</v>
      </c>
      <c r="L85" s="2">
        <v>0</v>
      </c>
      <c r="M85" s="2">
        <v>0</v>
      </c>
      <c r="N85" s="1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14"/>
      <c r="Y85" s="1">
        <v>0</v>
      </c>
      <c r="Z85" s="1">
        <v>0</v>
      </c>
      <c r="AA85" s="2" t="s">
        <v>71</v>
      </c>
      <c r="AB85" s="1"/>
      <c r="AC85" s="1"/>
      <c r="AD85" s="1"/>
      <c r="AE85" s="1" t="s">
        <v>420</v>
      </c>
      <c r="AF85" s="1"/>
      <c r="AG85" s="28"/>
      <c r="AH85" s="1" t="s">
        <v>421</v>
      </c>
      <c r="AI85" s="1" t="str">
        <f t="shared" si="26"/>
        <v>public const int handyman9207 = 9207;</v>
      </c>
      <c r="AJ85" s="21" t="s">
        <v>332</v>
      </c>
      <c r="AK85" s="1"/>
    </row>
    <row r="86" spans="1:37" x14ac:dyDescent="0.15">
      <c r="A86" s="1">
        <v>9208</v>
      </c>
      <c r="B86" s="6" t="s">
        <v>9</v>
      </c>
      <c r="C86" s="26" t="s">
        <v>352</v>
      </c>
      <c r="D86" s="2" t="s">
        <v>372</v>
      </c>
      <c r="E86" s="2" t="str">
        <f t="shared" si="16"/>
        <v>career_9208_m</v>
      </c>
      <c r="F86" s="2" t="str">
        <f t="shared" si="17"/>
        <v>career_9208_f</v>
      </c>
      <c r="G86" s="1">
        <v>1</v>
      </c>
      <c r="H86" s="1">
        <v>9208</v>
      </c>
      <c r="I86" s="3">
        <v>0</v>
      </c>
      <c r="J86" s="21" t="s">
        <v>333</v>
      </c>
      <c r="K86" s="2">
        <v>0</v>
      </c>
      <c r="L86" s="2">
        <v>0</v>
      </c>
      <c r="M86" s="2">
        <v>0</v>
      </c>
      <c r="N86" s="1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14"/>
      <c r="Y86" s="1">
        <v>0</v>
      </c>
      <c r="Z86" s="1">
        <v>0</v>
      </c>
      <c r="AA86" s="1" t="s">
        <v>80</v>
      </c>
      <c r="AB86" s="1"/>
      <c r="AC86" s="1"/>
      <c r="AD86" s="1"/>
      <c r="AE86" s="1" t="s">
        <v>422</v>
      </c>
      <c r="AF86" s="1"/>
      <c r="AG86" s="28"/>
      <c r="AH86" s="1" t="s">
        <v>423</v>
      </c>
      <c r="AI86" s="1" t="str">
        <f t="shared" si="26"/>
        <v>public const int handyman9208 = 9208;</v>
      </c>
      <c r="AJ86" s="21" t="s">
        <v>333</v>
      </c>
      <c r="AK86" s="1"/>
    </row>
    <row r="87" spans="1:37" x14ac:dyDescent="0.15">
      <c r="A87" s="1">
        <v>9209</v>
      </c>
      <c r="B87" s="6" t="s">
        <v>9</v>
      </c>
      <c r="C87" s="26" t="s">
        <v>352</v>
      </c>
      <c r="D87" s="2" t="s">
        <v>373</v>
      </c>
      <c r="E87" s="2" t="str">
        <f t="shared" si="16"/>
        <v>career_9209_m</v>
      </c>
      <c r="F87" s="2" t="str">
        <f t="shared" si="17"/>
        <v>career_9209_f</v>
      </c>
      <c r="G87" s="1">
        <v>1</v>
      </c>
      <c r="H87" s="1">
        <v>9209</v>
      </c>
      <c r="I87" s="3">
        <v>0</v>
      </c>
      <c r="J87" s="21" t="s">
        <v>334</v>
      </c>
      <c r="K87" s="2">
        <v>0</v>
      </c>
      <c r="L87" s="2">
        <v>0</v>
      </c>
      <c r="M87" s="2">
        <v>0</v>
      </c>
      <c r="N87" s="1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14"/>
      <c r="Y87" s="1">
        <v>0</v>
      </c>
      <c r="Z87" s="1">
        <v>0</v>
      </c>
      <c r="AA87" s="1" t="s">
        <v>241</v>
      </c>
      <c r="AB87" s="1"/>
      <c r="AC87" s="1"/>
      <c r="AD87" s="1"/>
      <c r="AE87" s="1" t="s">
        <v>424</v>
      </c>
      <c r="AF87" s="1"/>
      <c r="AG87" s="28"/>
      <c r="AH87" s="1" t="s">
        <v>425</v>
      </c>
      <c r="AI87" s="1" t="str">
        <f t="shared" si="26"/>
        <v>public const int handyman9209 = 9209;</v>
      </c>
      <c r="AJ87" s="21" t="s">
        <v>334</v>
      </c>
      <c r="AK87" s="1"/>
    </row>
    <row r="88" spans="1:37" x14ac:dyDescent="0.15">
      <c r="A88" s="1">
        <v>9301</v>
      </c>
      <c r="B88" s="6" t="s">
        <v>9</v>
      </c>
      <c r="C88" s="26" t="s">
        <v>352</v>
      </c>
      <c r="D88" s="2" t="s">
        <v>375</v>
      </c>
      <c r="E88" s="2" t="str">
        <f t="shared" si="16"/>
        <v>career_9301_m</v>
      </c>
      <c r="F88" s="2" t="str">
        <f t="shared" si="17"/>
        <v>career_9301_f</v>
      </c>
      <c r="G88" s="1">
        <v>1</v>
      </c>
      <c r="H88" s="1">
        <v>9301</v>
      </c>
      <c r="I88" s="3">
        <v>0</v>
      </c>
      <c r="J88" s="27" t="s">
        <v>335</v>
      </c>
      <c r="K88" s="2">
        <v>0</v>
      </c>
      <c r="L88" s="2">
        <v>0</v>
      </c>
      <c r="M88" s="2">
        <v>0</v>
      </c>
      <c r="N88" s="1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14"/>
      <c r="Y88" s="1">
        <v>0</v>
      </c>
      <c r="Z88" s="1">
        <v>0</v>
      </c>
      <c r="AA88" s="2" t="s">
        <v>105</v>
      </c>
      <c r="AB88" s="1"/>
      <c r="AC88" s="1"/>
      <c r="AD88" s="1"/>
      <c r="AE88" s="1" t="s">
        <v>448</v>
      </c>
      <c r="AF88" s="1"/>
      <c r="AG88" s="28"/>
      <c r="AH88" s="1" t="s">
        <v>449</v>
      </c>
      <c r="AI88" s="1" t="str">
        <f t="shared" si="26"/>
        <v>public const int transporter9301 = 9301;</v>
      </c>
      <c r="AJ88" s="27" t="s">
        <v>335</v>
      </c>
      <c r="AK88" s="1"/>
    </row>
    <row r="89" spans="1:37" x14ac:dyDescent="0.15">
      <c r="A89" s="1">
        <v>9302</v>
      </c>
      <c r="B89" s="6" t="s">
        <v>9</v>
      </c>
      <c r="C89" s="26" t="s">
        <v>352</v>
      </c>
      <c r="D89" s="2" t="s">
        <v>376</v>
      </c>
      <c r="E89" s="2" t="str">
        <f t="shared" si="16"/>
        <v>career_9302_m</v>
      </c>
      <c r="F89" s="2" t="str">
        <f t="shared" si="17"/>
        <v>career_9302_f</v>
      </c>
      <c r="G89" s="1">
        <v>1</v>
      </c>
      <c r="H89" s="1">
        <v>9302</v>
      </c>
      <c r="I89" s="3">
        <v>0</v>
      </c>
      <c r="J89" s="21" t="s">
        <v>336</v>
      </c>
      <c r="K89" s="2">
        <v>0</v>
      </c>
      <c r="L89" s="2">
        <v>0</v>
      </c>
      <c r="M89" s="2">
        <v>0</v>
      </c>
      <c r="N89" s="1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14"/>
      <c r="Y89" s="1">
        <v>0</v>
      </c>
      <c r="Z89" s="1">
        <v>0</v>
      </c>
      <c r="AA89" s="1" t="s">
        <v>78</v>
      </c>
      <c r="AB89" s="1"/>
      <c r="AC89" s="1"/>
      <c r="AD89" s="1"/>
      <c r="AE89" s="1" t="s">
        <v>450</v>
      </c>
      <c r="AF89" s="1"/>
      <c r="AG89" s="28"/>
      <c r="AH89" s="1" t="s">
        <v>451</v>
      </c>
      <c r="AI89" s="1" t="str">
        <f t="shared" si="26"/>
        <v>public const int miner9302 = 9302;</v>
      </c>
      <c r="AJ89" s="21" t="s">
        <v>336</v>
      </c>
      <c r="AK89" s="1"/>
    </row>
    <row r="90" spans="1:37" x14ac:dyDescent="0.15">
      <c r="A90" s="1">
        <v>9303</v>
      </c>
      <c r="B90" s="6" t="s">
        <v>9</v>
      </c>
      <c r="C90" s="26" t="s">
        <v>352</v>
      </c>
      <c r="D90" s="2" t="s">
        <v>378</v>
      </c>
      <c r="E90" s="2" t="str">
        <f t="shared" si="16"/>
        <v>career_9303_m</v>
      </c>
      <c r="F90" s="2" t="str">
        <f t="shared" si="17"/>
        <v>career_9303_f</v>
      </c>
      <c r="G90" s="1">
        <v>1</v>
      </c>
      <c r="H90" s="1">
        <v>9303</v>
      </c>
      <c r="I90" s="3">
        <v>0</v>
      </c>
      <c r="J90" s="21" t="s">
        <v>337</v>
      </c>
      <c r="K90" s="2">
        <v>0</v>
      </c>
      <c r="L90" s="2">
        <v>0</v>
      </c>
      <c r="M90" s="2">
        <v>0</v>
      </c>
      <c r="N90" s="1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14"/>
      <c r="Y90" s="1">
        <v>0</v>
      </c>
      <c r="Z90" s="1">
        <v>0</v>
      </c>
      <c r="AA90" s="1" t="s">
        <v>79</v>
      </c>
      <c r="AB90" s="1"/>
      <c r="AC90" s="1"/>
      <c r="AD90" s="1"/>
      <c r="AE90" s="1" t="s">
        <v>452</v>
      </c>
      <c r="AF90" s="1"/>
      <c r="AG90" s="28"/>
      <c r="AH90" s="1" t="s">
        <v>453</v>
      </c>
      <c r="AI90" s="1" t="str">
        <f t="shared" si="26"/>
        <v>public const int fisherman9303 = 9303;</v>
      </c>
      <c r="AJ90" s="21" t="s">
        <v>337</v>
      </c>
      <c r="AK90" s="1"/>
    </row>
    <row r="91" spans="1:37" x14ac:dyDescent="0.15">
      <c r="A91" s="1">
        <v>9304</v>
      </c>
      <c r="B91" s="6" t="s">
        <v>9</v>
      </c>
      <c r="C91" s="26" t="s">
        <v>352</v>
      </c>
      <c r="D91" s="2" t="s">
        <v>379</v>
      </c>
      <c r="E91" s="2" t="str">
        <f t="shared" si="16"/>
        <v>career_9304_m</v>
      </c>
      <c r="F91" s="2" t="str">
        <f t="shared" si="17"/>
        <v>career_9304_f</v>
      </c>
      <c r="G91" s="1">
        <v>1</v>
      </c>
      <c r="H91" s="1">
        <v>9304</v>
      </c>
      <c r="I91" s="3">
        <v>0</v>
      </c>
      <c r="J91" s="21" t="s">
        <v>338</v>
      </c>
      <c r="K91" s="2">
        <v>0</v>
      </c>
      <c r="L91" s="2">
        <v>0</v>
      </c>
      <c r="M91" s="2">
        <v>0</v>
      </c>
      <c r="N91" s="1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14"/>
      <c r="Y91" s="1">
        <v>0</v>
      </c>
      <c r="Z91" s="1">
        <v>0</v>
      </c>
      <c r="AA91" s="1" t="s">
        <v>265</v>
      </c>
      <c r="AB91" s="1"/>
      <c r="AC91" s="1"/>
      <c r="AD91" s="1"/>
      <c r="AE91" s="1" t="s">
        <v>454</v>
      </c>
      <c r="AF91" s="1"/>
      <c r="AG91" s="28"/>
      <c r="AH91" s="1" t="s">
        <v>455</v>
      </c>
      <c r="AI91" s="1" t="str">
        <f t="shared" si="26"/>
        <v>public const int herdsman9304 = 9304;</v>
      </c>
      <c r="AJ91" s="21" t="s">
        <v>338</v>
      </c>
      <c r="AK91" s="1"/>
    </row>
    <row r="92" spans="1:37" x14ac:dyDescent="0.15">
      <c r="A92" s="1">
        <v>9305</v>
      </c>
      <c r="B92" s="6" t="s">
        <v>9</v>
      </c>
      <c r="C92" s="26" t="s">
        <v>352</v>
      </c>
      <c r="D92" s="2" t="s">
        <v>382</v>
      </c>
      <c r="E92" s="2" t="str">
        <f t="shared" ref="E92:E100" si="27">CONCATENATE("career_",A92,"_m")</f>
        <v>career_9305_m</v>
      </c>
      <c r="F92" s="2" t="str">
        <f t="shared" ref="F92:F100" si="28">CONCATENATE("career_",A92, "_f")</f>
        <v>career_9305_f</v>
      </c>
      <c r="G92" s="1">
        <v>1</v>
      </c>
      <c r="H92" s="1">
        <v>9305</v>
      </c>
      <c r="I92" s="3">
        <v>0</v>
      </c>
      <c r="J92" s="29" t="s">
        <v>387</v>
      </c>
      <c r="K92" s="2">
        <v>0</v>
      </c>
      <c r="L92" s="2">
        <v>0</v>
      </c>
      <c r="M92" s="2">
        <v>0</v>
      </c>
      <c r="N92" s="1">
        <v>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14"/>
      <c r="Y92" s="1">
        <v>0</v>
      </c>
      <c r="Z92" s="1">
        <v>0</v>
      </c>
      <c r="AA92" s="1" t="s">
        <v>73</v>
      </c>
      <c r="AB92" s="1"/>
      <c r="AC92" s="1"/>
      <c r="AD92" s="1"/>
      <c r="AE92" s="30" t="s">
        <v>468</v>
      </c>
      <c r="AH92" s="30" t="s">
        <v>468</v>
      </c>
      <c r="AI92" s="1" t="str">
        <f t="shared" si="26"/>
        <v>public const int soldier9305 = 9305;</v>
      </c>
      <c r="AJ92" s="29" t="s">
        <v>387</v>
      </c>
      <c r="AK92" s="1"/>
    </row>
    <row r="93" spans="1:37" x14ac:dyDescent="0.15">
      <c r="A93" s="1">
        <v>9306</v>
      </c>
      <c r="B93" s="6" t="s">
        <v>9</v>
      </c>
      <c r="C93" s="26" t="s">
        <v>352</v>
      </c>
      <c r="D93" s="2" t="s">
        <v>381</v>
      </c>
      <c r="E93" s="2" t="str">
        <f t="shared" si="27"/>
        <v>career_9306_m</v>
      </c>
      <c r="F93" s="2" t="str">
        <f t="shared" si="28"/>
        <v>career_9306_f</v>
      </c>
      <c r="G93" s="1">
        <v>1</v>
      </c>
      <c r="H93" s="1">
        <v>9306</v>
      </c>
      <c r="I93" s="3">
        <v>0</v>
      </c>
      <c r="J93" s="21" t="s">
        <v>339</v>
      </c>
      <c r="K93" s="2">
        <v>0</v>
      </c>
      <c r="L93" s="2">
        <v>0</v>
      </c>
      <c r="M93" s="2">
        <v>0</v>
      </c>
      <c r="N93" s="1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14"/>
      <c r="Y93" s="1">
        <v>0</v>
      </c>
      <c r="Z93" s="1">
        <v>0</v>
      </c>
      <c r="AA93" s="1" t="s">
        <v>71</v>
      </c>
      <c r="AB93" s="1"/>
      <c r="AC93" s="1"/>
      <c r="AD93" s="1"/>
      <c r="AE93" s="1" t="s">
        <v>456</v>
      </c>
      <c r="AF93" s="1"/>
      <c r="AG93" s="28"/>
      <c r="AH93" s="1" t="s">
        <v>457</v>
      </c>
      <c r="AI93" s="1" t="str">
        <f t="shared" si="26"/>
        <v>public const int farmer9305 = 9306;</v>
      </c>
      <c r="AJ93" s="21" t="s">
        <v>339</v>
      </c>
      <c r="AK93" s="1"/>
    </row>
    <row r="94" spans="1:37" x14ac:dyDescent="0.15">
      <c r="A94" s="1">
        <v>9307</v>
      </c>
      <c r="B94" s="6" t="s">
        <v>9</v>
      </c>
      <c r="C94" s="26" t="s">
        <v>352</v>
      </c>
      <c r="D94" s="2" t="s">
        <v>384</v>
      </c>
      <c r="E94" s="2" t="str">
        <f t="shared" si="27"/>
        <v>career_9307_m</v>
      </c>
      <c r="F94" s="2" t="str">
        <f t="shared" si="28"/>
        <v>career_9307_f</v>
      </c>
      <c r="G94" s="1">
        <v>1</v>
      </c>
      <c r="H94" s="1">
        <v>9307</v>
      </c>
      <c r="I94" s="3">
        <v>0</v>
      </c>
      <c r="J94" s="29" t="s">
        <v>467</v>
      </c>
      <c r="K94" s="2">
        <v>0</v>
      </c>
      <c r="L94" s="2">
        <v>0</v>
      </c>
      <c r="M94" s="2">
        <v>0</v>
      </c>
      <c r="N94" s="1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14"/>
      <c r="Y94" s="1">
        <v>0</v>
      </c>
      <c r="Z94" s="1">
        <v>0</v>
      </c>
      <c r="AA94" s="2" t="s">
        <v>71</v>
      </c>
      <c r="AB94" s="1"/>
      <c r="AC94" s="1"/>
      <c r="AD94" s="1"/>
      <c r="AE94" s="30" t="s">
        <v>469</v>
      </c>
      <c r="AH94" s="30" t="s">
        <v>469</v>
      </c>
      <c r="AI94" s="1" t="str">
        <f t="shared" si="26"/>
        <v>public const int soldier9307 = 9307;</v>
      </c>
      <c r="AJ94" s="29" t="s">
        <v>467</v>
      </c>
      <c r="AK94" s="1"/>
    </row>
    <row r="95" spans="1:37" x14ac:dyDescent="0.15">
      <c r="A95" s="1">
        <v>9308</v>
      </c>
      <c r="B95" s="6" t="s">
        <v>9</v>
      </c>
      <c r="C95" s="26" t="s">
        <v>352</v>
      </c>
      <c r="D95" s="2" t="s">
        <v>383</v>
      </c>
      <c r="E95" s="2" t="str">
        <f t="shared" si="27"/>
        <v>career_9308_m</v>
      </c>
      <c r="F95" s="2" t="str">
        <f t="shared" si="28"/>
        <v>career_9308_f</v>
      </c>
      <c r="G95" s="1">
        <v>1</v>
      </c>
      <c r="H95" s="1">
        <v>9308</v>
      </c>
      <c r="I95" s="3">
        <v>0</v>
      </c>
      <c r="J95" s="21" t="s">
        <v>340</v>
      </c>
      <c r="K95" s="2">
        <v>0</v>
      </c>
      <c r="L95" s="2">
        <v>0</v>
      </c>
      <c r="M95" s="2">
        <v>0</v>
      </c>
      <c r="N95" s="1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14"/>
      <c r="Y95" s="1">
        <v>0</v>
      </c>
      <c r="Z95" s="1">
        <v>0</v>
      </c>
      <c r="AA95" s="1" t="s">
        <v>80</v>
      </c>
      <c r="AB95" s="1"/>
      <c r="AC95" s="1"/>
      <c r="AD95" s="1"/>
      <c r="AE95" s="1" t="s">
        <v>458</v>
      </c>
      <c r="AF95" s="1"/>
      <c r="AG95" s="28"/>
      <c r="AH95" s="1" t="s">
        <v>459</v>
      </c>
      <c r="AI95" s="1" t="str">
        <f t="shared" si="26"/>
        <v>public const int minister9307 = 9308;</v>
      </c>
      <c r="AJ95" s="21" t="s">
        <v>340</v>
      </c>
      <c r="AK95" s="1"/>
    </row>
    <row r="96" spans="1:37" x14ac:dyDescent="0.15">
      <c r="A96" s="1">
        <v>9309</v>
      </c>
      <c r="B96" s="6" t="s">
        <v>9</v>
      </c>
      <c r="C96" s="26" t="s">
        <v>352</v>
      </c>
      <c r="D96" s="2" t="s">
        <v>385</v>
      </c>
      <c r="E96" s="2" t="str">
        <f t="shared" si="27"/>
        <v>career_9309_m</v>
      </c>
      <c r="F96" s="2" t="str">
        <f t="shared" si="28"/>
        <v>career_9309_f</v>
      </c>
      <c r="G96" s="1">
        <v>1</v>
      </c>
      <c r="H96" s="1">
        <v>9309</v>
      </c>
      <c r="I96" s="3">
        <v>0</v>
      </c>
      <c r="J96" s="21" t="s">
        <v>341</v>
      </c>
      <c r="K96" s="2">
        <v>0</v>
      </c>
      <c r="L96" s="2">
        <v>0</v>
      </c>
      <c r="M96" s="2">
        <v>0</v>
      </c>
      <c r="N96" s="1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14"/>
      <c r="Y96" s="1">
        <v>0</v>
      </c>
      <c r="Z96" s="1">
        <v>0</v>
      </c>
      <c r="AA96" s="1" t="s">
        <v>241</v>
      </c>
      <c r="AB96" s="1"/>
      <c r="AC96" s="1"/>
      <c r="AD96" s="1"/>
      <c r="AE96" s="1" t="s">
        <v>460</v>
      </c>
      <c r="AF96" s="1"/>
      <c r="AG96" s="1"/>
      <c r="AH96" s="1" t="s">
        <v>461</v>
      </c>
      <c r="AI96" s="1" t="str">
        <f t="shared" si="26"/>
        <v>public const int teacher_9309 = 9309;</v>
      </c>
      <c r="AJ96" s="21" t="s">
        <v>341</v>
      </c>
      <c r="AK96" s="1"/>
    </row>
    <row r="97" spans="1:37" x14ac:dyDescent="0.15">
      <c r="A97" s="1">
        <v>9310</v>
      </c>
      <c r="B97" s="6" t="s">
        <v>9</v>
      </c>
      <c r="C97" s="26" t="s">
        <v>352</v>
      </c>
      <c r="D97" s="2" t="s">
        <v>474</v>
      </c>
      <c r="E97" s="2" t="str">
        <f t="shared" si="27"/>
        <v>career_9310_m</v>
      </c>
      <c r="F97" s="2" t="str">
        <f t="shared" si="28"/>
        <v>career_9310_f</v>
      </c>
      <c r="G97" s="1">
        <v>1</v>
      </c>
      <c r="H97" s="1">
        <v>9310</v>
      </c>
      <c r="I97" s="3">
        <v>0</v>
      </c>
      <c r="J97" s="29" t="s">
        <v>465</v>
      </c>
      <c r="K97" s="2">
        <v>0</v>
      </c>
      <c r="L97" s="2">
        <v>0</v>
      </c>
      <c r="M97" s="2">
        <v>0</v>
      </c>
      <c r="N97" s="1">
        <v>1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14"/>
      <c r="Y97" s="1">
        <v>0</v>
      </c>
      <c r="Z97" s="1">
        <v>0</v>
      </c>
      <c r="AA97" s="1" t="s">
        <v>407</v>
      </c>
      <c r="AB97" s="1"/>
      <c r="AC97" s="1"/>
      <c r="AD97" s="1"/>
      <c r="AE97" s="30" t="s">
        <v>471</v>
      </c>
      <c r="AF97" s="1"/>
      <c r="AG97" s="1"/>
      <c r="AH97" s="30" t="s">
        <v>471</v>
      </c>
      <c r="AI97" s="1" t="str">
        <f t="shared" si="26"/>
        <v>public const int soldier9310 = 9310;</v>
      </c>
      <c r="AJ97" s="29" t="s">
        <v>465</v>
      </c>
      <c r="AK97" s="1"/>
    </row>
    <row r="98" spans="1:37" x14ac:dyDescent="0.15">
      <c r="A98" s="1">
        <v>9311</v>
      </c>
      <c r="B98" s="6" t="s">
        <v>9</v>
      </c>
      <c r="C98" s="26" t="s">
        <v>352</v>
      </c>
      <c r="D98" s="2" t="s">
        <v>475</v>
      </c>
      <c r="E98" s="2" t="str">
        <f t="shared" si="27"/>
        <v>career_9311_m</v>
      </c>
      <c r="F98" s="2" t="str">
        <f t="shared" si="28"/>
        <v>career_9311_f</v>
      </c>
      <c r="G98" s="1">
        <v>1</v>
      </c>
      <c r="H98" s="1">
        <v>9311</v>
      </c>
      <c r="I98" s="3">
        <v>0</v>
      </c>
      <c r="J98" s="29" t="s">
        <v>466</v>
      </c>
      <c r="K98" s="2">
        <v>0</v>
      </c>
      <c r="L98" s="2">
        <v>0</v>
      </c>
      <c r="M98" s="2">
        <v>0</v>
      </c>
      <c r="N98" s="1">
        <v>1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14"/>
      <c r="Y98" s="1">
        <v>0</v>
      </c>
      <c r="Z98" s="1">
        <v>0</v>
      </c>
      <c r="AA98" s="1" t="s">
        <v>407</v>
      </c>
      <c r="AB98" s="1"/>
      <c r="AC98" s="1"/>
      <c r="AD98" s="1"/>
      <c r="AE98" s="30" t="s">
        <v>472</v>
      </c>
      <c r="AF98" s="1"/>
      <c r="AG98" s="1"/>
      <c r="AH98" s="30" t="s">
        <v>472</v>
      </c>
      <c r="AI98" s="1" t="str">
        <f t="shared" si="26"/>
        <v>public const int soldier9311 = 9311;</v>
      </c>
      <c r="AJ98" s="29" t="s">
        <v>466</v>
      </c>
      <c r="AK98" s="1"/>
    </row>
    <row r="99" spans="1:37" x14ac:dyDescent="0.15">
      <c r="A99" s="1">
        <v>9312</v>
      </c>
      <c r="B99" s="6" t="s">
        <v>9</v>
      </c>
      <c r="C99" s="26" t="s">
        <v>352</v>
      </c>
      <c r="D99" s="2" t="s">
        <v>476</v>
      </c>
      <c r="E99" s="2" t="str">
        <f t="shared" si="27"/>
        <v>career_9312_m</v>
      </c>
      <c r="F99" s="2" t="str">
        <f t="shared" si="28"/>
        <v>career_9312_f</v>
      </c>
      <c r="G99" s="1">
        <v>1</v>
      </c>
      <c r="H99" s="1">
        <v>9312</v>
      </c>
      <c r="I99" s="3">
        <v>0</v>
      </c>
      <c r="J99" s="29" t="s">
        <v>463</v>
      </c>
      <c r="K99" s="2">
        <v>0</v>
      </c>
      <c r="L99" s="2">
        <v>0</v>
      </c>
      <c r="M99" s="2">
        <v>0</v>
      </c>
      <c r="N99" s="1">
        <v>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14"/>
      <c r="Y99" s="1">
        <v>0</v>
      </c>
      <c r="Z99" s="1">
        <v>0</v>
      </c>
      <c r="AA99" s="2" t="s">
        <v>71</v>
      </c>
      <c r="AB99" s="1"/>
      <c r="AC99" s="1"/>
      <c r="AD99" s="1"/>
      <c r="AE99" s="30" t="s">
        <v>470</v>
      </c>
      <c r="AF99" s="1"/>
      <c r="AG99" s="1"/>
      <c r="AH99" s="30" t="s">
        <v>470</v>
      </c>
      <c r="AI99" s="1" t="str">
        <f t="shared" si="26"/>
        <v>public const int soldier9312 = 9312;</v>
      </c>
      <c r="AJ99" s="29" t="s">
        <v>463</v>
      </c>
      <c r="AK99" s="1"/>
    </row>
    <row r="100" spans="1:37" x14ac:dyDescent="0.15">
      <c r="A100" s="1">
        <v>9313</v>
      </c>
      <c r="B100" s="6" t="s">
        <v>9</v>
      </c>
      <c r="C100" s="26" t="s">
        <v>352</v>
      </c>
      <c r="D100" s="2" t="s">
        <v>477</v>
      </c>
      <c r="E100" s="2" t="str">
        <f t="shared" si="27"/>
        <v>career_9313_m</v>
      </c>
      <c r="F100" s="2" t="str">
        <f t="shared" si="28"/>
        <v>career_9313_f</v>
      </c>
      <c r="G100" s="1">
        <v>1</v>
      </c>
      <c r="H100" s="1">
        <v>9313</v>
      </c>
      <c r="I100" s="3">
        <v>0</v>
      </c>
      <c r="J100" s="29" t="s">
        <v>464</v>
      </c>
      <c r="K100" s="2">
        <v>0</v>
      </c>
      <c r="L100" s="2">
        <v>0</v>
      </c>
      <c r="M100" s="2">
        <v>0</v>
      </c>
      <c r="N100" s="1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14"/>
      <c r="Y100" s="1">
        <v>0</v>
      </c>
      <c r="Z100" s="1">
        <v>0</v>
      </c>
      <c r="AA100" s="1" t="s">
        <v>166</v>
      </c>
      <c r="AB100" s="1"/>
      <c r="AC100" s="1"/>
      <c r="AD100" s="1"/>
      <c r="AE100" s="30" t="s">
        <v>473</v>
      </c>
      <c r="AF100" s="1"/>
      <c r="AG100" s="1"/>
      <c r="AH100" s="30" t="s">
        <v>473</v>
      </c>
      <c r="AI100" s="1" t="str">
        <f t="shared" si="26"/>
        <v>public const int soldier9313 = 9313;</v>
      </c>
      <c r="AJ100" s="29" t="s">
        <v>464</v>
      </c>
      <c r="AK100" s="1"/>
    </row>
  </sheetData>
  <sortState xmlns:xlrd2="http://schemas.microsoft.com/office/spreadsheetml/2017/richdata2" ref="A2:U69">
    <sortCondition ref="A1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989-AC27-4A99-BDEE-6BA6A44E884A}">
  <dimension ref="A1:A46"/>
  <sheetViews>
    <sheetView workbookViewId="0">
      <selection activeCell="Q16" sqref="Q16"/>
    </sheetView>
  </sheetViews>
  <sheetFormatPr defaultRowHeight="13.5" x14ac:dyDescent="0.15"/>
  <sheetData>
    <row r="1" spans="1:1" x14ac:dyDescent="0.15">
      <c r="A1" t="s">
        <v>555</v>
      </c>
    </row>
    <row r="2" spans="1:1" x14ac:dyDescent="0.15">
      <c r="A2" t="s">
        <v>554</v>
      </c>
    </row>
    <row r="3" spans="1:1" x14ac:dyDescent="0.15">
      <c r="A3" t="s">
        <v>12</v>
      </c>
    </row>
    <row r="4" spans="1:1" x14ac:dyDescent="0.15">
      <c r="A4" t="s">
        <v>561</v>
      </c>
    </row>
    <row r="5" spans="1:1" x14ac:dyDescent="0.15">
      <c r="A5" t="s">
        <v>565</v>
      </c>
    </row>
    <row r="6" spans="1:1" x14ac:dyDescent="0.15">
      <c r="A6" t="s">
        <v>540</v>
      </c>
    </row>
    <row r="7" spans="1:1" x14ac:dyDescent="0.15">
      <c r="A7" t="s">
        <v>572</v>
      </c>
    </row>
    <row r="8" spans="1:1" x14ac:dyDescent="0.15">
      <c r="A8" t="s">
        <v>547</v>
      </c>
    </row>
    <row r="9" spans="1:1" x14ac:dyDescent="0.15">
      <c r="A9" t="s">
        <v>557</v>
      </c>
    </row>
    <row r="10" spans="1:1" x14ac:dyDescent="0.15">
      <c r="A10" t="s">
        <v>566</v>
      </c>
    </row>
    <row r="11" spans="1:1" x14ac:dyDescent="0.15">
      <c r="A11" t="s">
        <v>568</v>
      </c>
    </row>
    <row r="12" spans="1:1" x14ac:dyDescent="0.15">
      <c r="A12" t="s">
        <v>573</v>
      </c>
    </row>
    <row r="13" spans="1:1" x14ac:dyDescent="0.15">
      <c r="A13" t="s">
        <v>559</v>
      </c>
    </row>
    <row r="14" spans="1:1" x14ac:dyDescent="0.15">
      <c r="A14" t="s">
        <v>550</v>
      </c>
    </row>
    <row r="15" spans="1:1" x14ac:dyDescent="0.15">
      <c r="A15" t="s">
        <v>14</v>
      </c>
    </row>
    <row r="16" spans="1:1" x14ac:dyDescent="0.15">
      <c r="A16" t="s">
        <v>562</v>
      </c>
    </row>
    <row r="17" spans="1:1" x14ac:dyDescent="0.15">
      <c r="A17" t="s">
        <v>15</v>
      </c>
    </row>
    <row r="18" spans="1:1" x14ac:dyDescent="0.15">
      <c r="A18" t="s">
        <v>574</v>
      </c>
    </row>
    <row r="19" spans="1:1" x14ac:dyDescent="0.15">
      <c r="A19" t="s">
        <v>538</v>
      </c>
    </row>
    <row r="20" spans="1:1" x14ac:dyDescent="0.15">
      <c r="A20" t="s">
        <v>545</v>
      </c>
    </row>
    <row r="21" spans="1:1" x14ac:dyDescent="0.15">
      <c r="A21" t="s">
        <v>542</v>
      </c>
    </row>
    <row r="22" spans="1:1" x14ac:dyDescent="0.15">
      <c r="A22" t="s">
        <v>564</v>
      </c>
    </row>
    <row r="23" spans="1:1" x14ac:dyDescent="0.15">
      <c r="A23" t="s">
        <v>11</v>
      </c>
    </row>
    <row r="24" spans="1:1" x14ac:dyDescent="0.15">
      <c r="A24" t="s">
        <v>553</v>
      </c>
    </row>
    <row r="25" spans="1:1" x14ac:dyDescent="0.15">
      <c r="A25" t="s">
        <v>10</v>
      </c>
    </row>
    <row r="26" spans="1:1" x14ac:dyDescent="0.15">
      <c r="A26" t="s">
        <v>556</v>
      </c>
    </row>
    <row r="27" spans="1:1" x14ac:dyDescent="0.15">
      <c r="A27" t="s">
        <v>575</v>
      </c>
    </row>
    <row r="28" spans="1:1" x14ac:dyDescent="0.15">
      <c r="A28" t="s">
        <v>544</v>
      </c>
    </row>
    <row r="29" spans="1:1" x14ac:dyDescent="0.15">
      <c r="A29" t="s">
        <v>543</v>
      </c>
    </row>
    <row r="30" spans="1:1" x14ac:dyDescent="0.15">
      <c r="A30" t="s">
        <v>539</v>
      </c>
    </row>
    <row r="31" spans="1:1" x14ac:dyDescent="0.15">
      <c r="A31" t="s">
        <v>16</v>
      </c>
    </row>
    <row r="32" spans="1:1" x14ac:dyDescent="0.15">
      <c r="A32" t="s">
        <v>570</v>
      </c>
    </row>
    <row r="33" spans="1:1" x14ac:dyDescent="0.15">
      <c r="A33" t="s">
        <v>571</v>
      </c>
    </row>
    <row r="34" spans="1:1" x14ac:dyDescent="0.15">
      <c r="A34" t="s">
        <v>569</v>
      </c>
    </row>
    <row r="35" spans="1:1" x14ac:dyDescent="0.15">
      <c r="A35" t="s">
        <v>551</v>
      </c>
    </row>
    <row r="36" spans="1:1" x14ac:dyDescent="0.15">
      <c r="A36" t="s">
        <v>537</v>
      </c>
    </row>
    <row r="37" spans="1:1" x14ac:dyDescent="0.15">
      <c r="A37" t="s">
        <v>563</v>
      </c>
    </row>
    <row r="38" spans="1:1" x14ac:dyDescent="0.15">
      <c r="A38" t="s">
        <v>567</v>
      </c>
    </row>
    <row r="39" spans="1:1" x14ac:dyDescent="0.15">
      <c r="A39" t="s">
        <v>548</v>
      </c>
    </row>
    <row r="40" spans="1:1" x14ac:dyDescent="0.15">
      <c r="A40" t="s">
        <v>558</v>
      </c>
    </row>
    <row r="41" spans="1:1" x14ac:dyDescent="0.15">
      <c r="A41" t="s">
        <v>541</v>
      </c>
    </row>
    <row r="42" spans="1:1" x14ac:dyDescent="0.15">
      <c r="A42" t="s">
        <v>552</v>
      </c>
    </row>
    <row r="43" spans="1:1" x14ac:dyDescent="0.15">
      <c r="A43" t="s">
        <v>560</v>
      </c>
    </row>
    <row r="44" spans="1:1" x14ac:dyDescent="0.15">
      <c r="A44" t="s">
        <v>546</v>
      </c>
    </row>
    <row r="45" spans="1:1" x14ac:dyDescent="0.15">
      <c r="A45" t="s">
        <v>13</v>
      </c>
    </row>
    <row r="46" spans="1:1" x14ac:dyDescent="0.15">
      <c r="A46" t="s">
        <v>549</v>
      </c>
    </row>
  </sheetData>
  <sortState xmlns:xlrd2="http://schemas.microsoft.com/office/spreadsheetml/2017/richdata2" ref="A1:A67">
    <sortCondition ref="A1:A67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career</vt:lpstr>
      <vt:lpstr>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2026-01-22T10:49:19Z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FCB21DFD6B4A4FCDAAA9F9C69EDDCB7D</vt:lpwstr>
  </property>
</Properties>
</file>