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20828F19-E8EB-430D-8CF6-FC6969434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_attribute" sheetId="1" r:id="rId1"/>
    <sheet name="person_attribute_default" sheetId="2" r:id="rId2"/>
  </sheets>
  <calcPr calcId="181029"/>
</workbook>
</file>

<file path=xl/calcChain.xml><?xml version="1.0" encoding="utf-8"?>
<calcChain xmlns="http://schemas.openxmlformats.org/spreadsheetml/2006/main">
  <c r="L84" i="1" l="1"/>
  <c r="E84" i="1"/>
  <c r="L83" i="1"/>
  <c r="E83" i="1"/>
  <c r="L82" i="1"/>
  <c r="E82" i="1"/>
  <c r="L81" i="1"/>
  <c r="E81" i="1"/>
  <c r="L80" i="1"/>
  <c r="L79" i="1"/>
  <c r="L78" i="1"/>
  <c r="L77" i="1"/>
  <c r="L76" i="1"/>
  <c r="L75" i="1" l="1"/>
  <c r="L74" i="1"/>
  <c r="L73" i="1"/>
  <c r="L72" i="1"/>
  <c r="L71" i="1"/>
  <c r="L70" i="1"/>
  <c r="L58" i="1"/>
  <c r="L59" i="1"/>
  <c r="L60" i="1"/>
  <c r="L61" i="1"/>
  <c r="L62" i="1"/>
  <c r="L63" i="1"/>
  <c r="L64" i="1"/>
  <c r="L65" i="1"/>
  <c r="L66" i="1"/>
  <c r="L67" i="1"/>
  <c r="L68" i="1"/>
  <c r="L69" i="1"/>
  <c r="L57" i="1" l="1"/>
  <c r="E57" i="1"/>
  <c r="L56" i="1"/>
  <c r="L55" i="1"/>
  <c r="L53" i="1"/>
  <c r="L54" i="1"/>
  <c r="L52" i="1"/>
  <c r="L51" i="1"/>
  <c r="L47" i="1"/>
  <c r="L48" i="1"/>
  <c r="L49" i="1"/>
  <c r="L50" i="1"/>
  <c r="L46" i="1" l="1"/>
  <c r="E46" i="1"/>
  <c r="L45" i="1"/>
  <c r="L44" i="1"/>
  <c r="L43" i="1"/>
  <c r="L42" i="1"/>
  <c r="L41" i="1"/>
  <c r="I2" i="1"/>
  <c r="L31" i="1"/>
  <c r="L32" i="1"/>
  <c r="E38" i="1" l="1"/>
  <c r="L40" i="1"/>
  <c r="L39" i="1"/>
  <c r="L38" i="1"/>
  <c r="E26" i="1"/>
  <c r="E25" i="1"/>
  <c r="E24" i="1"/>
  <c r="E23" i="1"/>
  <c r="E22" i="1"/>
  <c r="E28" i="1"/>
  <c r="E27" i="1"/>
  <c r="E20" i="1"/>
  <c r="E21" i="1"/>
  <c r="E37" i="1"/>
  <c r="E19" i="1"/>
  <c r="E18" i="1"/>
  <c r="E17" i="1"/>
  <c r="E36" i="1"/>
  <c r="E35" i="1"/>
  <c r="E16" i="1"/>
  <c r="E15" i="1"/>
  <c r="E14" i="1"/>
  <c r="E33" i="1"/>
  <c r="E31" i="1"/>
  <c r="E13" i="1"/>
  <c r="E12" i="1"/>
  <c r="E9" i="1"/>
  <c r="E5" i="1"/>
  <c r="E4" i="1"/>
  <c r="L13" i="1"/>
  <c r="L19" i="1" l="1"/>
  <c r="L18" i="1"/>
  <c r="L28" i="1" l="1"/>
  <c r="L27" i="1" l="1"/>
  <c r="L30" i="1" l="1"/>
  <c r="L29" i="1"/>
  <c r="L24" i="1" l="1"/>
  <c r="L25" i="1"/>
  <c r="L26" i="1"/>
  <c r="L21" i="1" l="1"/>
  <c r="L20" i="1" l="1"/>
  <c r="L11" i="1" l="1"/>
  <c r="L4" i="1" l="1"/>
  <c r="L37" i="1" l="1"/>
  <c r="L3" i="1" l="1"/>
  <c r="L5" i="1"/>
  <c r="L6" i="1"/>
  <c r="L7" i="1"/>
  <c r="L8" i="1"/>
  <c r="L9" i="1"/>
  <c r="L10" i="1"/>
  <c r="L12" i="1"/>
  <c r="L23" i="1"/>
  <c r="L33" i="1"/>
  <c r="L14" i="1"/>
  <c r="L15" i="1"/>
  <c r="L16" i="1"/>
  <c r="L34" i="1"/>
  <c r="L35" i="1"/>
  <c r="L36" i="1"/>
  <c r="L22" i="1"/>
  <c r="L17" i="1"/>
</calcChain>
</file>

<file path=xl/sharedStrings.xml><?xml version="1.0" encoding="utf-8"?>
<sst xmlns="http://schemas.openxmlformats.org/spreadsheetml/2006/main" count="289" uniqueCount="204">
  <si>
    <t>序号</t>
    <phoneticPr fontId="1" type="noConversion"/>
  </si>
  <si>
    <t>影响维度</t>
    <phoneticPr fontId="1" type="noConversion"/>
  </si>
  <si>
    <t>REST_ON_BED</t>
    <phoneticPr fontId="1" type="noConversion"/>
  </si>
  <si>
    <t>备注</t>
    <phoneticPr fontId="1" type="noConversion"/>
  </si>
  <si>
    <t>!remark</t>
    <phoneticPr fontId="1" type="noConversion"/>
  </si>
  <si>
    <t>DRINK</t>
    <phoneticPr fontId="1" type="noConversion"/>
  </si>
  <si>
    <t>MARRY</t>
    <phoneticPr fontId="1" type="noConversion"/>
  </si>
  <si>
    <t>影响值</t>
    <phoneticPr fontId="1" type="noConversion"/>
  </si>
  <si>
    <t>effect_value#int</t>
    <phoneticPr fontId="1" type="noConversion"/>
  </si>
  <si>
    <t>影响周期</t>
    <phoneticPr fontId="1" type="noConversion"/>
  </si>
  <si>
    <t>REST_ON_HOSPTIAL</t>
    <phoneticPr fontId="1" type="noConversion"/>
  </si>
  <si>
    <t>影响类型</t>
    <phoneticPr fontId="1" type="noConversion"/>
  </si>
  <si>
    <t>effect_duration_days#int</t>
    <phoneticPr fontId="1" type="noConversion"/>
  </si>
  <si>
    <t>时间固定</t>
    <phoneticPr fontId="1" type="noConversion"/>
  </si>
  <si>
    <t>时间更短</t>
    <phoneticPr fontId="1" type="noConversion"/>
  </si>
  <si>
    <t>吃药可消除</t>
    <phoneticPr fontId="1" type="noConversion"/>
  </si>
  <si>
    <t>RELIGIOUS_SERVICE</t>
    <phoneticPr fontId="1" type="noConversion"/>
  </si>
  <si>
    <t>LONELY</t>
    <phoneticPr fontId="1" type="noConversion"/>
  </si>
  <si>
    <t>SAINT_BELIEF_2</t>
    <phoneticPr fontId="1" type="noConversion"/>
  </si>
  <si>
    <t>DIG_GRAVE</t>
    <phoneticPr fontId="1" type="noConversion"/>
  </si>
  <si>
    <t>!effect_type#str</t>
    <phoneticPr fontId="1" type="noConversion"/>
  </si>
  <si>
    <t>BAD_FOOD</t>
    <phoneticPr fontId="1" type="noConversion"/>
  </si>
  <si>
    <t>健康</t>
    <phoneticPr fontId="1" type="noConversion"/>
  </si>
  <si>
    <t>幸福</t>
    <phoneticPr fontId="1" type="noConversion"/>
  </si>
  <si>
    <t>ILLNESS</t>
    <phoneticPr fontId="1" type="noConversion"/>
  </si>
  <si>
    <t>attr_group#int</t>
    <phoneticPr fontId="1" type="noConversion"/>
  </si>
  <si>
    <t>互斥组号
相同组号的BUFF同时只能存在一个</t>
    <phoneticPr fontId="1" type="noConversion"/>
  </si>
  <si>
    <t>attr_type#str</t>
    <phoneticPr fontId="1" type="noConversion"/>
  </si>
  <si>
    <t>维度编号</t>
    <phoneticPr fontId="1" type="noConversion"/>
  </si>
  <si>
    <t>!tmp</t>
    <phoneticPr fontId="1" type="noConversion"/>
  </si>
  <si>
    <t>参数</t>
    <phoneticPr fontId="1" type="noConversion"/>
  </si>
  <si>
    <t>attr_type_id#int</t>
    <phoneticPr fontId="1" type="noConversion"/>
  </si>
  <si>
    <t>初始值</t>
    <phoneticPr fontId="1" type="noConversion"/>
  </si>
  <si>
    <t>default_value#int</t>
    <phoneticPr fontId="1" type="noConversion"/>
  </si>
  <si>
    <t>维度</t>
    <phoneticPr fontId="1" type="noConversion"/>
  </si>
  <si>
    <t>!attr_type#str</t>
    <phoneticPr fontId="1" type="noConversion"/>
  </si>
  <si>
    <t>MAKE_SELF_FEEL_BATTER</t>
    <phoneticPr fontId="1" type="noConversion"/>
  </si>
  <si>
    <t>每个月检查状态，安葬后消除</t>
    <phoneticPr fontId="1" type="noConversion"/>
  </si>
  <si>
    <t>INFECTIOUS_DISEASE</t>
    <phoneticPr fontId="1" type="noConversion"/>
  </si>
  <si>
    <t>EAT_HERBS</t>
    <phoneticPr fontId="1" type="noConversion"/>
  </si>
  <si>
    <t>MOURN</t>
    <phoneticPr fontId="1" type="noConversion"/>
  </si>
  <si>
    <t>NO_WINE</t>
    <phoneticPr fontId="1" type="noConversion"/>
  </si>
  <si>
    <t>attr_id#int</t>
    <phoneticPr fontId="1" type="noConversion"/>
  </si>
  <si>
    <t>SENILITY</t>
    <phoneticPr fontId="1" type="noConversion"/>
  </si>
  <si>
    <t>INNUTRITION3</t>
    <phoneticPr fontId="1" type="noConversion"/>
  </si>
  <si>
    <t>INNUTRITION2</t>
    <phoneticPr fontId="1" type="noConversion"/>
  </si>
  <si>
    <t>DEATH_OF_RELATIVES_AT_BED</t>
    <phoneticPr fontId="1" type="noConversion"/>
  </si>
  <si>
    <t>DEATH_OF_RELATIVES_WITH_SEE_FAMILY_LAST</t>
    <phoneticPr fontId="1" type="noConversion"/>
  </si>
  <si>
    <t>DEATH_OF_RELATIVES_WITH_SEE_ME_LAST</t>
    <phoneticPr fontId="1" type="noConversion"/>
  </si>
  <si>
    <t>WATCH_FLOWER</t>
    <phoneticPr fontId="1" type="noConversion"/>
  </si>
  <si>
    <t>WATCH_FLOWER_A_LOT</t>
    <phoneticPr fontId="1" type="noConversion"/>
  </si>
  <si>
    <t>EAT_HONEY</t>
    <phoneticPr fontId="1" type="noConversion"/>
  </si>
  <si>
    <t>EAT_CHOCOLATE</t>
    <phoneticPr fontId="1" type="noConversion"/>
  </si>
  <si>
    <t>NATURE_OPTIMISTIC</t>
    <phoneticPr fontId="1" type="noConversion"/>
  </si>
  <si>
    <t>NATURE_PESSIMISM</t>
    <phoneticPr fontId="1" type="noConversion"/>
  </si>
  <si>
    <t>INNUTRITION1</t>
    <phoneticPr fontId="1" type="noConversion"/>
  </si>
  <si>
    <t>NEW_BABY</t>
    <phoneticPr fontId="1" type="noConversion"/>
  </si>
  <si>
    <t>NO_BED</t>
    <phoneticPr fontId="1" type="noConversion"/>
  </si>
  <si>
    <t>attr_para#int</t>
    <phoneticPr fontId="1" type="noConversion"/>
  </si>
  <si>
    <t>叠加生病或衰老后，必然要卧床休息</t>
    <phoneticPr fontId="1" type="noConversion"/>
  </si>
  <si>
    <t>叠加生病或衰老后，必然要看医生吃药</t>
    <phoneticPr fontId="1" type="noConversion"/>
  </si>
  <si>
    <t>叠加生病或衰老后，必然要看医生吃药</t>
    <phoneticPr fontId="1" type="noConversion"/>
  </si>
  <si>
    <t>叠加生病，或营养不良后，必然要吃药或看医生
仅在精致食物供应充足时，才即不需吃药，也不需卧床休息</t>
    <phoneticPr fontId="1" type="noConversion"/>
  </si>
  <si>
    <t>GOOD_FOOD</t>
    <phoneticPr fontId="1" type="noConversion"/>
  </si>
  <si>
    <t>CRAPULENT</t>
    <phoneticPr fontId="1" type="noConversion"/>
  </si>
  <si>
    <t>ALCOHOLISM</t>
    <phoneticPr fontId="1" type="noConversion"/>
  </si>
  <si>
    <t>LIE_FLAT</t>
    <phoneticPr fontId="1" type="noConversion"/>
  </si>
  <si>
    <t>幸福度事件，不会产生任务，只是在原本的逻辑上，通过增加消耗的方式实现</t>
    <phoneticPr fontId="1" type="noConversion"/>
  </si>
  <si>
    <t>DEATH_OF_RELATIVES_NOT_AT_BED</t>
    <phoneticPr fontId="1" type="noConversion"/>
  </si>
  <si>
    <t>DEATH_OF_RELATIVES_BY_ACCIDENT</t>
    <phoneticPr fontId="1" type="noConversion"/>
  </si>
  <si>
    <t>DEATH_OF_RELATIVES_NO_BURY</t>
    <phoneticPr fontId="1" type="noConversion"/>
  </si>
  <si>
    <t>阀值：40散心，20暴饮暴食，酗酒，躺平，0离开
默认60
初始时 糟糕的食物 + 躺地上睡觉 = 45 无影响。但只要再加一个负面，就会触发“散心”
经营较差：糟糕食物 =&gt; 50
经营一般：礼拜祈祷 + 畅饮美酒 =&gt; 80
经营良好：+ 许多花 =&gt; 90，再加蜂蜜和巧克力 + 10 =&gt; 100
经营很好：+ 美味食物，可以再加10，抵消天性悲观。只要玩家经营的好，任何时候都可以满100
在经营最好的情况下，即使是亲人意外离世，也不会触发负面事件
负面行为，一年一次。当幸福度为30时，通过散心，可保持半年无负面行为。
负面行为，随机发生一个，一年内，不能发生其它负面行为。
幸福度的数值设计：以追求满幸福度为目标，低幸福度惩罚为辅</t>
    <phoneticPr fontId="1" type="noConversion"/>
  </si>
  <si>
    <t>阀值：60看医生开药，40卧床
吃药可解决大多数问题
长期吃生食 + 生病 +传染病 + 衰老 + 吃草药 =100 - 100 =&gt; 0 持续吃药+卧床
长期吃粗糙食物 + 生病 + 传染病 + 衰老 + 吃草药 =100 -60 = 40需持续吃药或卧床
经常吃生食 + 生病 +传染病 + 衰老 + 吃草药 =100 -70 = 30需吃药或卧床
经常吃生食 + 生病 +传染病 + 衰老 + 吃草药 =100 -80 = 20需吃药或卧床
长期吃粗糙食物 = 100 -20 = 80无影响
长期吃粗糙食物 + 衰老 = 100 - 40 = 60 需吃药
长期吃粗糙食物 + 生病 = 100 - 40 = 60 需吃药</t>
    <phoneticPr fontId="1" type="noConversion"/>
  </si>
  <si>
    <t>FEAR_OF_SHOCK</t>
    <phoneticPr fontId="1" type="noConversion"/>
  </si>
  <si>
    <t>STAY_BY_FAITH</t>
    <phoneticPr fontId="1" type="noConversion"/>
  </si>
  <si>
    <t>zh-CN</t>
  </si>
  <si>
    <t>REWARD</t>
    <phoneticPr fontId="1" type="noConversion"/>
  </si>
  <si>
    <t>EXILED_OF_RELATIVES</t>
    <phoneticPr fontId="1" type="noConversion"/>
  </si>
  <si>
    <t>DRINK_HERBAL_TEA</t>
    <phoneticPr fontId="1" type="noConversion"/>
  </si>
  <si>
    <t>HERBAL_TEA_WITHDRAWAL_REACTION</t>
    <phoneticPr fontId="1" type="noConversion"/>
  </si>
  <si>
    <t>喝不到药茶，尝试戒除，心情苦闷</t>
    <phoneticPr fontId="1" type="noConversion"/>
  </si>
  <si>
    <t>喝到药茶，心情愉悦</t>
    <phoneticPr fontId="1" type="noConversion"/>
  </si>
  <si>
    <t>DIG_ANCIENT_TOMB</t>
    <phoneticPr fontId="1" type="noConversion"/>
  </si>
  <si>
    <t>幸福</t>
    <phoneticPr fontId="1" type="noConversion"/>
  </si>
  <si>
    <t>PRETTY_WILF</t>
    <phoneticPr fontId="1" type="noConversion"/>
  </si>
  <si>
    <t>PRETTY_WILF_DEAD</t>
    <phoneticPr fontId="1" type="noConversion"/>
  </si>
  <si>
    <t>HANDSOME_HUSBAND</t>
    <phoneticPr fontId="1" type="noConversion"/>
  </si>
  <si>
    <t>HANDSOME_HUSBAND_DEAD</t>
    <phoneticPr fontId="1" type="noConversion"/>
  </si>
  <si>
    <t>MISSING_AFTER_LOVED_ONES_DEATH</t>
    <phoneticPr fontId="1" type="noConversion"/>
  </si>
  <si>
    <t>follow_event_attr_id#int</t>
    <phoneticPr fontId="1" type="noConversion"/>
  </si>
  <si>
    <t>后续事件</t>
    <phoneticPr fontId="1" type="noConversion"/>
  </si>
  <si>
    <t>OBTAIN_FAVOR</t>
    <phoneticPr fontId="1" type="noConversion"/>
  </si>
  <si>
    <t>获得了心仪的物品</t>
    <phoneticPr fontId="1" type="noConversion"/>
  </si>
  <si>
    <t>从事着喜欢的工作</t>
    <phoneticPr fontId="1" type="noConversion"/>
  </si>
  <si>
    <t>从事着讨厌的工作</t>
    <phoneticPr fontId="1" type="noConversion"/>
  </si>
  <si>
    <t>LIKE_WORK</t>
    <phoneticPr fontId="1" type="noConversion"/>
  </si>
  <si>
    <t>HEAT_WORK</t>
    <phoneticPr fontId="1" type="noConversion"/>
  </si>
  <si>
    <t>ATTEND_BANQUET</t>
    <phoneticPr fontId="1" type="noConversion"/>
  </si>
  <si>
    <t>ATTEND_BANQUET_NO_FAVOR</t>
    <phoneticPr fontId="1" type="noConversion"/>
  </si>
  <si>
    <t>参加宴会</t>
    <phoneticPr fontId="1" type="noConversion"/>
  </si>
  <si>
    <t>EAT_SUGAR</t>
    <phoneticPr fontId="1" type="noConversion"/>
  </si>
  <si>
    <t>SLEEP_NEXT_TO_THE_TOILET</t>
    <phoneticPr fontId="1" type="noConversion"/>
  </si>
  <si>
    <t>SLEEP_NEXT_TO_THE_COMPOST</t>
    <phoneticPr fontId="1" type="noConversion"/>
  </si>
  <si>
    <t>BITTEN_BY_A_MOSQUITO</t>
    <phoneticPr fontId="1" type="noConversion"/>
  </si>
  <si>
    <t>EAT_FLOWER</t>
    <phoneticPr fontId="1" type="noConversion"/>
  </si>
  <si>
    <t>EAT_FLOWER_A_LOT</t>
    <phoneticPr fontId="1" type="noConversion"/>
  </si>
  <si>
    <t>GUILTY_FOR_CRAZY_ATTACK</t>
    <phoneticPr fontId="1" type="noConversion"/>
  </si>
  <si>
    <t>宴会准备不足，真糟糕</t>
    <phoneticPr fontId="1" type="noConversion"/>
  </si>
  <si>
    <t>SPIRITUAL_EMPTINESS</t>
    <phoneticPr fontId="1" type="noConversion"/>
  </si>
  <si>
    <t>FIND_MINISTER_TO_TELL</t>
    <phoneticPr fontId="1" type="noConversion"/>
  </si>
  <si>
    <t>READ_SPIRITUAL_BOOK</t>
    <phoneticPr fontId="1" type="noConversion"/>
  </si>
  <si>
    <t>DEATH_OF_RELATIVES_OF_LIFE_VALUE_REINCARNATION</t>
    <phoneticPr fontId="1" type="noConversion"/>
  </si>
  <si>
    <t>DEATH_OF_RELATIVES_BURY_IN_MONUMENT</t>
    <phoneticPr fontId="1" type="noConversion"/>
  </si>
  <si>
    <t>NO_THRONE</t>
    <phoneticPr fontId="1" type="noConversion"/>
  </si>
  <si>
    <t>DO_MILITARY_MERIT_REWARD</t>
    <phoneticPr fontId="1" type="noConversion"/>
  </si>
  <si>
    <t>TERRITORY_INITIAL</t>
    <phoneticPr fontId="1" type="noConversion"/>
  </si>
  <si>
    <t>BE_NOBLE</t>
    <phoneticPr fontId="1" type="noConversion"/>
  </si>
  <si>
    <t>BE_NOT_NOBLE</t>
    <phoneticPr fontId="1" type="noConversion"/>
  </si>
  <si>
    <t>LOSS_OF_PARTNER</t>
    <phoneticPr fontId="1" type="noConversion"/>
  </si>
  <si>
    <t>APPETITE_SATISFIED</t>
    <phoneticPr fontId="1" type="noConversion"/>
  </si>
  <si>
    <t>ALCOHOL_ADDICTION_SATISFIED</t>
    <phoneticPr fontId="1" type="noConversion"/>
  </si>
  <si>
    <t>LOSS_OF_NOBLE_SUCCESSION</t>
    <phoneticPr fontId="1" type="noConversion"/>
  </si>
  <si>
    <t>BED_WITH_GOLDEN_FLOOR</t>
    <phoneticPr fontId="1" type="noConversion"/>
  </si>
  <si>
    <t>BED_WITHOUT_FLOOR</t>
    <phoneticPr fontId="1" type="noConversion"/>
  </si>
  <si>
    <t>TAKE_BATH</t>
    <phoneticPr fontId="1" type="noConversion"/>
  </si>
  <si>
    <t>经常吃生食</t>
  </si>
  <si>
    <t>长期吃生食</t>
  </si>
  <si>
    <t>长期吃粗糙食物</t>
  </si>
  <si>
    <t>生病了</t>
  </si>
  <si>
    <t>得传染病</t>
  </si>
  <si>
    <t>卧床休养</t>
  </si>
  <si>
    <t>住院休养</t>
  </si>
  <si>
    <t>衰老</t>
  </si>
  <si>
    <t>按医嘱，服用药物</t>
  </si>
  <si>
    <t>糟糕的食物</t>
  </si>
  <si>
    <t>美味的食物</t>
  </si>
  <si>
    <t>亲人未安葬</t>
  </si>
  <si>
    <t>躺地上睡觉</t>
  </si>
  <si>
    <t>找不到另一半，生活孤单</t>
  </si>
  <si>
    <t>掘人坟墓</t>
  </si>
  <si>
    <t>天性乐观</t>
  </si>
  <si>
    <t>天性悲观</t>
  </si>
  <si>
    <t>愿望落空：喝口小酒</t>
  </si>
  <si>
    <t>突然晕倒，心有余悸</t>
  </si>
  <si>
    <t>亲人意外去世</t>
  </si>
  <si>
    <t>亲人死于奔波途中</t>
  </si>
  <si>
    <t>亲人孤独离世</t>
  </si>
  <si>
    <t>亲人安详离世</t>
  </si>
  <si>
    <t>临终送别亲人</t>
  </si>
  <si>
    <t>偶然吃到蜂蜜</t>
  </si>
  <si>
    <t>吃到巧克力</t>
  </si>
  <si>
    <t>看到了一朵盛开的鲜花</t>
  </si>
  <si>
    <t>看到了许多盛开的鲜花</t>
  </si>
  <si>
    <t>礼拜祈祷</t>
  </si>
  <si>
    <t>畅饮美酒</t>
  </si>
  <si>
    <t>墓地悼念亲人</t>
  </si>
  <si>
    <t>结婚</t>
  </si>
  <si>
    <t>生小孩</t>
  </si>
  <si>
    <t>仁义道：工作使我快乐</t>
  </si>
  <si>
    <t>散了散心</t>
  </si>
  <si>
    <t>暴饮暴食缓解悲伤</t>
  </si>
  <si>
    <t>酗酒缓解悲伤</t>
  </si>
  <si>
    <t>躺平休息恢复一些精神</t>
  </si>
  <si>
    <t>憧憬未来，获得一些战胜困难的信心</t>
  </si>
  <si>
    <t>工作获得领主的肯定</t>
  </si>
  <si>
    <t>亲人被流放</t>
  </si>
  <si>
    <t>盗挖古墓，担心招来厄运</t>
  </si>
  <si>
    <t>家有娇妻</t>
  </si>
  <si>
    <t>家有俊夫</t>
  </si>
  <si>
    <t>娇妻去逝，悲痛不已</t>
  </si>
  <si>
    <t>俊夫去逝，悲痛不已</t>
  </si>
  <si>
    <t>亲人离世，睹物思人</t>
  </si>
  <si>
    <t>吃到了糖</t>
  </si>
  <si>
    <t>睡在厕所旁边</t>
  </si>
  <si>
    <t>睡在堆肥堆旁边</t>
  </si>
  <si>
    <t>被蚊子叮咬</t>
  </si>
  <si>
    <t>吃掉了一朵盛开的鲜花</t>
  </si>
  <si>
    <t>吃掉了许多盛开的鲜花</t>
  </si>
  <si>
    <t>为自己的攻击行为感到内疚</t>
  </si>
  <si>
    <t>文化人感觉生活乏味（阅读《心灵书》可缓解）</t>
  </si>
  <si>
    <t>向先知倾诉</t>
  </si>
  <si>
    <t>阅读心灵书，获得慰藉</t>
  </si>
  <si>
    <t>亲人离世，生死轮回，缘生缘灭</t>
  </si>
  <si>
    <t>亲人光荣葬入英雄公墓</t>
  </si>
  <si>
    <t>领主没有自己的王座</t>
  </si>
  <si>
    <t>获得军功奖励</t>
  </si>
  <si>
    <t>领地初建，充满期待</t>
  </si>
  <si>
    <t>平民被册封为贵族</t>
  </si>
  <si>
    <t>贵族被贬为平民</t>
  </si>
  <si>
    <t>痛失伴侣</t>
  </si>
  <si>
    <t>食欲得到满足</t>
  </si>
  <si>
    <t>酒瘾得到满足</t>
  </si>
  <si>
    <t>贵族后代未获得继承权</t>
  </si>
  <si>
    <t>住在黄金地板的居室，如梦如幻</t>
  </si>
  <si>
    <t>糟糕的居室（希望居室中铺有木地板）</t>
  </si>
  <si>
    <t>在公共浴场沐浴</t>
  </si>
  <si>
    <t>MOURN_WITH_FLOWER</t>
    <phoneticPr fontId="1" type="noConversion"/>
  </si>
  <si>
    <t>收到来自伴侣的整十周年纪念鲜花</t>
    <phoneticPr fontId="1" type="noConversion"/>
  </si>
  <si>
    <t>收到来自学生代表的鲜花</t>
    <phoneticPr fontId="1" type="noConversion"/>
  </si>
  <si>
    <t>收到来自病人的鲜花</t>
    <phoneticPr fontId="1" type="noConversion"/>
  </si>
  <si>
    <t>到墓地给亲人献花</t>
    <phoneticPr fontId="1" type="noConversion"/>
  </si>
  <si>
    <t>FLOWER_FROM_STUDENT</t>
    <phoneticPr fontId="1" type="noConversion"/>
  </si>
  <si>
    <t>FLOWER_FROM_PATIENT</t>
    <phoneticPr fontId="1" type="noConversion"/>
  </si>
  <si>
    <t>FLOWER_FROM_PARTNER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</si>
</sst>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2" fillId="2" borderId="1" xfId="0" applyFont="1" applyFill="1" applyBorder="1" applyAlignment="1">
      <alignment vertical="center"/>
    </xf>
    <xf numFmtId="0" fontId="0" fillId="5" borderId="1" xfId="0" applyFill="1" applyBorder="1"/>
    <xf numFmtId="0" fontId="0" fillId="0" borderId="3" xfId="0" applyBorder="1"/>
    <xf numFmtId="0" fontId="0" fillId="5" borderId="3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52" workbookViewId="0">
      <selection activeCell="K79" sqref="K79"/>
    </sheetView>
  </sheetViews>
  <sheetFormatPr defaultRowHeight="13.5" x14ac:dyDescent="0.15"/>
  <cols>
    <col min="2" max="2" width="8.25" customWidth="1"/>
    <col min="4" max="4" width="10.25" customWidth="1"/>
    <col min="5" max="5" width="11.25" customWidth="1"/>
    <col min="6" max="6" width="21.125" customWidth="1"/>
    <col min="7" max="8" width="7.25" customWidth="1"/>
    <col min="9" max="9" width="23.5" customWidth="1"/>
    <col min="10" max="10" width="8.875" customWidth="1"/>
    <col min="11" max="11" width="68" customWidth="1"/>
  </cols>
  <sheetData>
    <row r="1" spans="1:12" ht="65.25" customHeight="1" x14ac:dyDescent="0.15">
      <c r="A1" s="1" t="s">
        <v>0</v>
      </c>
      <c r="B1" s="1" t="s">
        <v>90</v>
      </c>
      <c r="C1" s="1" t="s">
        <v>28</v>
      </c>
      <c r="D1" s="1" t="s">
        <v>1</v>
      </c>
      <c r="E1" s="3" t="s">
        <v>26</v>
      </c>
      <c r="F1" s="1" t="s">
        <v>11</v>
      </c>
      <c r="G1" s="1" t="s">
        <v>7</v>
      </c>
      <c r="H1" s="1" t="s">
        <v>30</v>
      </c>
      <c r="I1" s="7" t="s">
        <v>75</v>
      </c>
      <c r="J1" s="1" t="s">
        <v>9</v>
      </c>
      <c r="K1" s="1" t="s">
        <v>3</v>
      </c>
    </row>
    <row r="2" spans="1:12" x14ac:dyDescent="0.15">
      <c r="A2" s="1" t="s">
        <v>42</v>
      </c>
      <c r="B2" s="1" t="s">
        <v>89</v>
      </c>
      <c r="C2" s="1" t="s">
        <v>31</v>
      </c>
      <c r="D2" s="1" t="s">
        <v>27</v>
      </c>
      <c r="E2" s="1" t="s">
        <v>25</v>
      </c>
      <c r="F2" s="1" t="s">
        <v>20</v>
      </c>
      <c r="G2" s="1" t="s">
        <v>8</v>
      </c>
      <c r="H2" s="1" t="s">
        <v>58</v>
      </c>
      <c r="I2" s="1" t="str">
        <f>CONCATENATE("desc_",I1,"#str")</f>
        <v>desc_zh-CN#str</v>
      </c>
      <c r="J2" s="1" t="s">
        <v>12</v>
      </c>
      <c r="K2" s="1" t="s">
        <v>4</v>
      </c>
      <c r="L2" s="4" t="s">
        <v>29</v>
      </c>
    </row>
    <row r="3" spans="1:12" x14ac:dyDescent="0.15">
      <c r="A3" s="1">
        <v>1</v>
      </c>
      <c r="B3" s="1">
        <v>0</v>
      </c>
      <c r="C3" s="1">
        <v>0</v>
      </c>
      <c r="D3" s="1" t="s">
        <v>22</v>
      </c>
      <c r="E3" s="1">
        <v>1</v>
      </c>
      <c r="F3" s="1" t="s">
        <v>55</v>
      </c>
      <c r="G3" s="1">
        <v>-30</v>
      </c>
      <c r="H3" s="1">
        <v>0</v>
      </c>
      <c r="I3" s="1" t="s">
        <v>125</v>
      </c>
      <c r="J3" s="1">
        <v>0</v>
      </c>
      <c r="K3" s="1" t="s">
        <v>60</v>
      </c>
      <c r="L3" t="str">
        <f t="shared" ref="L3:L17" si="0">CONCATENATE("public const int ",F3," = ",A3,";")</f>
        <v>public const int INNUTRITION1 = 1;</v>
      </c>
    </row>
    <row r="4" spans="1:12" x14ac:dyDescent="0.15">
      <c r="A4" s="1">
        <v>2</v>
      </c>
      <c r="B4" s="1">
        <v>0</v>
      </c>
      <c r="C4" s="1">
        <v>0</v>
      </c>
      <c r="D4" s="1" t="s">
        <v>22</v>
      </c>
      <c r="E4" s="1">
        <f>A3</f>
        <v>1</v>
      </c>
      <c r="F4" s="1" t="s">
        <v>45</v>
      </c>
      <c r="G4" s="1">
        <v>-50</v>
      </c>
      <c r="H4" s="1">
        <v>0</v>
      </c>
      <c r="I4" s="1" t="s">
        <v>126</v>
      </c>
      <c r="J4" s="1">
        <v>0</v>
      </c>
      <c r="K4" s="1" t="s">
        <v>59</v>
      </c>
      <c r="L4" t="str">
        <f t="shared" ref="L4" si="1">CONCATENATE("public const int ",F4," = ",A4,";")</f>
        <v>public const int INNUTRITION2 = 2;</v>
      </c>
    </row>
    <row r="5" spans="1:12" x14ac:dyDescent="0.15">
      <c r="A5" s="1">
        <v>3</v>
      </c>
      <c r="B5" s="1">
        <v>0</v>
      </c>
      <c r="C5" s="1">
        <v>0</v>
      </c>
      <c r="D5" s="1" t="s">
        <v>22</v>
      </c>
      <c r="E5" s="1">
        <f>A3</f>
        <v>1</v>
      </c>
      <c r="F5" s="1" t="s">
        <v>44</v>
      </c>
      <c r="G5" s="1">
        <v>-20</v>
      </c>
      <c r="H5" s="1">
        <v>0</v>
      </c>
      <c r="I5" s="1" t="s">
        <v>127</v>
      </c>
      <c r="J5" s="1">
        <v>0</v>
      </c>
      <c r="K5" s="1" t="s">
        <v>61</v>
      </c>
      <c r="L5" t="str">
        <f t="shared" si="0"/>
        <v>public const int INNUTRITION3 = 3;</v>
      </c>
    </row>
    <row r="6" spans="1:12" x14ac:dyDescent="0.15">
      <c r="A6" s="1">
        <v>4</v>
      </c>
      <c r="B6" s="1">
        <v>0</v>
      </c>
      <c r="C6" s="1">
        <v>0</v>
      </c>
      <c r="D6" s="1" t="s">
        <v>22</v>
      </c>
      <c r="E6" s="1">
        <v>4</v>
      </c>
      <c r="F6" s="1" t="s">
        <v>24</v>
      </c>
      <c r="G6" s="1">
        <v>-20</v>
      </c>
      <c r="H6" s="1">
        <v>0</v>
      </c>
      <c r="I6" s="1" t="s">
        <v>128</v>
      </c>
      <c r="J6" s="1">
        <v>0</v>
      </c>
      <c r="K6" s="1" t="s">
        <v>15</v>
      </c>
      <c r="L6" t="str">
        <f t="shared" si="0"/>
        <v>public const int ILLNESS = 4;</v>
      </c>
    </row>
    <row r="7" spans="1:12" x14ac:dyDescent="0.15">
      <c r="A7" s="1">
        <v>5</v>
      </c>
      <c r="B7" s="1">
        <v>0</v>
      </c>
      <c r="C7" s="1">
        <v>0</v>
      </c>
      <c r="D7" s="1" t="s">
        <v>22</v>
      </c>
      <c r="E7" s="1">
        <v>5</v>
      </c>
      <c r="F7" s="1" t="s">
        <v>38</v>
      </c>
      <c r="G7" s="1">
        <v>-10</v>
      </c>
      <c r="H7" s="1">
        <v>0</v>
      </c>
      <c r="I7" s="1" t="s">
        <v>129</v>
      </c>
      <c r="J7" s="1">
        <v>0</v>
      </c>
      <c r="K7" s="1" t="s">
        <v>15</v>
      </c>
      <c r="L7" t="str">
        <f t="shared" si="0"/>
        <v>public const int INFECTIOUS_DISEASE = 5;</v>
      </c>
    </row>
    <row r="8" spans="1:12" x14ac:dyDescent="0.15">
      <c r="A8" s="1">
        <v>6</v>
      </c>
      <c r="B8" s="1">
        <v>0</v>
      </c>
      <c r="C8" s="1">
        <v>0</v>
      </c>
      <c r="D8" s="1" t="s">
        <v>22</v>
      </c>
      <c r="E8" s="1">
        <v>6</v>
      </c>
      <c r="F8" s="1" t="s">
        <v>2</v>
      </c>
      <c r="G8" s="1">
        <v>40</v>
      </c>
      <c r="H8" s="1">
        <v>0</v>
      </c>
      <c r="I8" s="1" t="s">
        <v>130</v>
      </c>
      <c r="J8" s="1">
        <v>180</v>
      </c>
      <c r="K8" s="1" t="s">
        <v>13</v>
      </c>
      <c r="L8" t="str">
        <f t="shared" si="0"/>
        <v>public const int REST_ON_BED = 6;</v>
      </c>
    </row>
    <row r="9" spans="1:12" x14ac:dyDescent="0.15">
      <c r="A9" s="1">
        <v>7</v>
      </c>
      <c r="B9" s="1">
        <v>0</v>
      </c>
      <c r="C9" s="1">
        <v>0</v>
      </c>
      <c r="D9" s="1" t="s">
        <v>22</v>
      </c>
      <c r="E9" s="1">
        <f>A9</f>
        <v>7</v>
      </c>
      <c r="F9" s="1" t="s">
        <v>10</v>
      </c>
      <c r="G9" s="1">
        <v>50</v>
      </c>
      <c r="H9" s="1">
        <v>0</v>
      </c>
      <c r="I9" s="1" t="s">
        <v>131</v>
      </c>
      <c r="J9" s="1">
        <v>180</v>
      </c>
      <c r="K9" s="1" t="s">
        <v>14</v>
      </c>
      <c r="L9" t="str">
        <f t="shared" si="0"/>
        <v>public const int REST_ON_HOSPTIAL = 7;</v>
      </c>
    </row>
    <row r="10" spans="1:12" ht="27" x14ac:dyDescent="0.15">
      <c r="A10" s="1">
        <v>8</v>
      </c>
      <c r="B10" s="1">
        <v>0</v>
      </c>
      <c r="C10" s="1">
        <v>0</v>
      </c>
      <c r="D10" s="1" t="s">
        <v>22</v>
      </c>
      <c r="E10" s="1">
        <v>8</v>
      </c>
      <c r="F10" s="1" t="s">
        <v>43</v>
      </c>
      <c r="G10" s="1">
        <v>-20</v>
      </c>
      <c r="H10" s="1">
        <v>0</v>
      </c>
      <c r="I10" s="1" t="s">
        <v>132</v>
      </c>
      <c r="J10" s="1">
        <v>0</v>
      </c>
      <c r="K10" s="3" t="s">
        <v>62</v>
      </c>
      <c r="L10" t="str">
        <f t="shared" si="0"/>
        <v>public const int SENILITY = 8;</v>
      </c>
    </row>
    <row r="11" spans="1:12" ht="121.5" x14ac:dyDescent="0.15">
      <c r="A11" s="1">
        <v>9</v>
      </c>
      <c r="B11" s="1">
        <v>0</v>
      </c>
      <c r="C11" s="1">
        <v>0</v>
      </c>
      <c r="D11" s="1" t="s">
        <v>22</v>
      </c>
      <c r="E11" s="1">
        <v>9</v>
      </c>
      <c r="F11" s="1" t="s">
        <v>39</v>
      </c>
      <c r="G11" s="1">
        <v>30</v>
      </c>
      <c r="H11" s="1">
        <v>0</v>
      </c>
      <c r="I11" s="1" t="s">
        <v>133</v>
      </c>
      <c r="J11" s="1">
        <v>180</v>
      </c>
      <c r="K11" s="3" t="s">
        <v>72</v>
      </c>
      <c r="L11" t="str">
        <f t="shared" ref="L11" si="2">CONCATENATE("public const int ",F11," = ",A11,";")</f>
        <v>public const int EAT_HERBS = 9;</v>
      </c>
    </row>
    <row r="12" spans="1:12" x14ac:dyDescent="0.15">
      <c r="A12" s="1">
        <v>101</v>
      </c>
      <c r="B12" s="1">
        <v>0</v>
      </c>
      <c r="C12" s="1">
        <v>1</v>
      </c>
      <c r="D12" s="1" t="s">
        <v>23</v>
      </c>
      <c r="E12" s="6">
        <f>A12</f>
        <v>101</v>
      </c>
      <c r="F12" s="5" t="s">
        <v>21</v>
      </c>
      <c r="G12" s="1">
        <v>-10</v>
      </c>
      <c r="H12" s="1">
        <v>0</v>
      </c>
      <c r="I12" s="1" t="s">
        <v>134</v>
      </c>
      <c r="J12" s="1">
        <v>0</v>
      </c>
      <c r="K12" s="1"/>
      <c r="L12" t="str">
        <f t="shared" si="0"/>
        <v>public const int BAD_FOOD = 101;</v>
      </c>
    </row>
    <row r="13" spans="1:12" x14ac:dyDescent="0.15">
      <c r="A13" s="1">
        <v>102</v>
      </c>
      <c r="B13" s="1">
        <v>0</v>
      </c>
      <c r="C13" s="1">
        <v>1</v>
      </c>
      <c r="D13" s="1" t="s">
        <v>23</v>
      </c>
      <c r="E13" s="6">
        <f>A12</f>
        <v>101</v>
      </c>
      <c r="F13" s="5" t="s">
        <v>63</v>
      </c>
      <c r="G13" s="1">
        <v>10</v>
      </c>
      <c r="H13" s="1">
        <v>0</v>
      </c>
      <c r="I13" s="1" t="s">
        <v>135</v>
      </c>
      <c r="J13" s="1">
        <v>0</v>
      </c>
      <c r="K13" s="1"/>
      <c r="L13" t="str">
        <f t="shared" ref="L13" si="3">CONCATENATE("public const int ",F13," = ",A13,";")</f>
        <v>public const int GOOD_FOOD = 102;</v>
      </c>
    </row>
    <row r="14" spans="1:12" x14ac:dyDescent="0.15">
      <c r="A14" s="1">
        <v>103</v>
      </c>
      <c r="B14" s="1">
        <v>0</v>
      </c>
      <c r="C14" s="1">
        <v>1</v>
      </c>
      <c r="D14" s="1" t="s">
        <v>23</v>
      </c>
      <c r="E14" s="1">
        <f>A33</f>
        <v>122</v>
      </c>
      <c r="F14" s="5" t="s">
        <v>70</v>
      </c>
      <c r="G14" s="1">
        <v>-10</v>
      </c>
      <c r="H14" s="1">
        <v>0</v>
      </c>
      <c r="I14" s="1" t="s">
        <v>136</v>
      </c>
      <c r="J14" s="1">
        <v>0</v>
      </c>
      <c r="K14" s="1" t="s">
        <v>37</v>
      </c>
      <c r="L14" t="str">
        <f t="shared" si="0"/>
        <v>public const int DEATH_OF_RELATIVES_NO_BURY = 103;</v>
      </c>
    </row>
    <row r="15" spans="1:12" x14ac:dyDescent="0.15">
      <c r="A15" s="1">
        <v>104</v>
      </c>
      <c r="B15" s="1">
        <v>0</v>
      </c>
      <c r="C15" s="1">
        <v>1</v>
      </c>
      <c r="D15" s="1" t="s">
        <v>23</v>
      </c>
      <c r="E15" s="1">
        <f>A15</f>
        <v>104</v>
      </c>
      <c r="F15" s="5" t="s">
        <v>57</v>
      </c>
      <c r="G15" s="1">
        <v>-5</v>
      </c>
      <c r="H15" s="1">
        <v>0</v>
      </c>
      <c r="I15" s="1" t="s">
        <v>137</v>
      </c>
      <c r="J15" s="1">
        <v>0</v>
      </c>
      <c r="K15" s="1"/>
      <c r="L15" t="str">
        <f t="shared" si="0"/>
        <v>public const int NO_BED = 104;</v>
      </c>
    </row>
    <row r="16" spans="1:12" x14ac:dyDescent="0.15">
      <c r="A16" s="1">
        <v>105</v>
      </c>
      <c r="B16" s="1">
        <v>0</v>
      </c>
      <c r="C16" s="1">
        <v>1</v>
      </c>
      <c r="D16" s="1" t="s">
        <v>23</v>
      </c>
      <c r="E16" s="1">
        <f>A16</f>
        <v>105</v>
      </c>
      <c r="F16" s="8" t="s">
        <v>17</v>
      </c>
      <c r="G16" s="1">
        <v>-10</v>
      </c>
      <c r="H16" s="1">
        <v>0</v>
      </c>
      <c r="I16" s="1" t="s">
        <v>138</v>
      </c>
      <c r="J16" s="1">
        <v>0</v>
      </c>
      <c r="K16" s="1"/>
      <c r="L16" t="str">
        <f t="shared" si="0"/>
        <v>public const int LONELY = 105;</v>
      </c>
    </row>
    <row r="17" spans="1:12" x14ac:dyDescent="0.15">
      <c r="A17" s="1">
        <v>106</v>
      </c>
      <c r="B17" s="1">
        <v>0</v>
      </c>
      <c r="C17" s="1">
        <v>1</v>
      </c>
      <c r="D17" s="1" t="s">
        <v>23</v>
      </c>
      <c r="E17" s="1">
        <f>A17</f>
        <v>106</v>
      </c>
      <c r="F17" s="5" t="s">
        <v>19</v>
      </c>
      <c r="G17" s="1">
        <v>-30</v>
      </c>
      <c r="H17" s="1">
        <v>0</v>
      </c>
      <c r="I17" s="1" t="s">
        <v>139</v>
      </c>
      <c r="J17" s="1">
        <v>180</v>
      </c>
      <c r="K17" s="1"/>
      <c r="L17" t="str">
        <f t="shared" si="0"/>
        <v>public const int DIG_GRAVE = 106;</v>
      </c>
    </row>
    <row r="18" spans="1:12" x14ac:dyDescent="0.15">
      <c r="A18" s="1">
        <v>107</v>
      </c>
      <c r="B18" s="1">
        <v>0</v>
      </c>
      <c r="C18" s="1">
        <v>1</v>
      </c>
      <c r="D18" s="1" t="s">
        <v>23</v>
      </c>
      <c r="E18" s="6">
        <f>A18</f>
        <v>107</v>
      </c>
      <c r="F18" s="5" t="s">
        <v>53</v>
      </c>
      <c r="G18" s="1">
        <v>10</v>
      </c>
      <c r="H18" s="1">
        <v>0</v>
      </c>
      <c r="I18" s="1" t="s">
        <v>140</v>
      </c>
      <c r="J18" s="1">
        <v>0</v>
      </c>
      <c r="K18" s="1"/>
      <c r="L18" t="str">
        <f>CONCATENATE("public const int ",F18," = ",A18,";")</f>
        <v>public const int NATURE_OPTIMISTIC = 107;</v>
      </c>
    </row>
    <row r="19" spans="1:12" x14ac:dyDescent="0.15">
      <c r="A19" s="1">
        <v>108</v>
      </c>
      <c r="B19" s="1">
        <v>0</v>
      </c>
      <c r="C19" s="1">
        <v>1</v>
      </c>
      <c r="D19" s="1" t="s">
        <v>23</v>
      </c>
      <c r="E19" s="6">
        <f>A18</f>
        <v>107</v>
      </c>
      <c r="F19" s="5" t="s">
        <v>54</v>
      </c>
      <c r="G19" s="1">
        <v>-10</v>
      </c>
      <c r="H19" s="1">
        <v>0</v>
      </c>
      <c r="I19" s="1" t="s">
        <v>141</v>
      </c>
      <c r="J19" s="1">
        <v>0</v>
      </c>
      <c r="K19" s="1"/>
      <c r="L19" t="str">
        <f t="shared" ref="L19" si="4">CONCATENATE("public const int ",F19," = ",A19,";")</f>
        <v>public const int NATURE_PESSIMISM = 108;</v>
      </c>
    </row>
    <row r="20" spans="1:12" x14ac:dyDescent="0.15">
      <c r="A20" s="1">
        <v>109</v>
      </c>
      <c r="B20" s="1">
        <v>0</v>
      </c>
      <c r="C20" s="1">
        <v>1</v>
      </c>
      <c r="D20" s="1" t="s">
        <v>23</v>
      </c>
      <c r="E20" s="8">
        <f t="shared" ref="E20:E21" si="5">A20</f>
        <v>109</v>
      </c>
      <c r="F20" s="5" t="s">
        <v>41</v>
      </c>
      <c r="G20" s="1">
        <v>-5</v>
      </c>
      <c r="H20" s="1">
        <v>0</v>
      </c>
      <c r="I20" s="1" t="s">
        <v>142</v>
      </c>
      <c r="J20" s="1">
        <v>0</v>
      </c>
      <c r="K20" s="1"/>
      <c r="L20" t="str">
        <f t="shared" ref="L20:L26" si="6">CONCATENATE("public const int ",F20," = ",A20,";")</f>
        <v>public const int NO_WINE = 109;</v>
      </c>
    </row>
    <row r="21" spans="1:12" x14ac:dyDescent="0.15">
      <c r="A21" s="1">
        <v>110</v>
      </c>
      <c r="B21" s="1">
        <v>0</v>
      </c>
      <c r="C21" s="1">
        <v>1</v>
      </c>
      <c r="D21" s="1" t="s">
        <v>23</v>
      </c>
      <c r="E21" s="1">
        <f t="shared" si="5"/>
        <v>110</v>
      </c>
      <c r="F21" s="5" t="s">
        <v>73</v>
      </c>
      <c r="G21" s="1">
        <v>-20</v>
      </c>
      <c r="H21" s="1">
        <v>0</v>
      </c>
      <c r="I21" s="1" t="s">
        <v>143</v>
      </c>
      <c r="J21" s="1">
        <v>180</v>
      </c>
      <c r="K21" s="1"/>
      <c r="L21" t="str">
        <f t="shared" si="6"/>
        <v>public const int FEAR_OF_SHOCK = 110;</v>
      </c>
    </row>
    <row r="22" spans="1:12" ht="148.5" x14ac:dyDescent="0.15">
      <c r="A22" s="1">
        <v>111</v>
      </c>
      <c r="B22" s="1">
        <v>140</v>
      </c>
      <c r="C22" s="1">
        <v>1</v>
      </c>
      <c r="D22" s="1" t="s">
        <v>23</v>
      </c>
      <c r="E22" s="6">
        <f>A22</f>
        <v>111</v>
      </c>
      <c r="F22" s="2" t="s">
        <v>69</v>
      </c>
      <c r="G22" s="1">
        <v>-40</v>
      </c>
      <c r="H22" s="1">
        <v>0</v>
      </c>
      <c r="I22" s="1" t="s">
        <v>144</v>
      </c>
      <c r="J22" s="1">
        <v>60</v>
      </c>
      <c r="K22" s="3" t="s">
        <v>71</v>
      </c>
      <c r="L22" t="str">
        <f>CONCATENATE("public const int ",F22," = ",A22,";")</f>
        <v>public const int DEATH_OF_RELATIVES_BY_ACCIDENT = 111;</v>
      </c>
    </row>
    <row r="23" spans="1:12" x14ac:dyDescent="0.15">
      <c r="A23" s="1">
        <v>112</v>
      </c>
      <c r="B23" s="1">
        <v>140</v>
      </c>
      <c r="C23" s="1">
        <v>1</v>
      </c>
      <c r="D23" s="1" t="s">
        <v>23</v>
      </c>
      <c r="E23" s="6">
        <f>A22</f>
        <v>111</v>
      </c>
      <c r="F23" s="2" t="s">
        <v>68</v>
      </c>
      <c r="G23" s="1">
        <v>-30</v>
      </c>
      <c r="H23" s="1">
        <v>0</v>
      </c>
      <c r="I23" s="1" t="s">
        <v>145</v>
      </c>
      <c r="J23" s="1">
        <v>60</v>
      </c>
      <c r="K23" s="1"/>
      <c r="L23" t="str">
        <f>CONCATENATE("public const int ",F23," = ",A23,";")</f>
        <v>public const int DEATH_OF_RELATIVES_NOT_AT_BED = 112;</v>
      </c>
    </row>
    <row r="24" spans="1:12" x14ac:dyDescent="0.15">
      <c r="A24" s="1">
        <v>113</v>
      </c>
      <c r="B24" s="1">
        <v>140</v>
      </c>
      <c r="C24" s="1">
        <v>1</v>
      </c>
      <c r="D24" s="1" t="s">
        <v>23</v>
      </c>
      <c r="E24" s="6">
        <f>A22</f>
        <v>111</v>
      </c>
      <c r="F24" s="2" t="s">
        <v>46</v>
      </c>
      <c r="G24" s="1">
        <v>-20</v>
      </c>
      <c r="H24" s="1">
        <v>0</v>
      </c>
      <c r="I24" s="1" t="s">
        <v>146</v>
      </c>
      <c r="J24" s="1">
        <v>60</v>
      </c>
      <c r="K24" s="1"/>
      <c r="L24" t="str">
        <f t="shared" si="6"/>
        <v>public const int DEATH_OF_RELATIVES_AT_BED = 113;</v>
      </c>
    </row>
    <row r="25" spans="1:12" x14ac:dyDescent="0.15">
      <c r="A25" s="1">
        <v>114</v>
      </c>
      <c r="B25" s="1">
        <v>140</v>
      </c>
      <c r="C25" s="1">
        <v>1</v>
      </c>
      <c r="D25" s="1" t="s">
        <v>23</v>
      </c>
      <c r="E25" s="6">
        <f>A22</f>
        <v>111</v>
      </c>
      <c r="F25" s="2" t="s">
        <v>47</v>
      </c>
      <c r="G25" s="1">
        <v>-15</v>
      </c>
      <c r="H25" s="1">
        <v>0</v>
      </c>
      <c r="I25" s="1" t="s">
        <v>147</v>
      </c>
      <c r="J25" s="1">
        <v>60</v>
      </c>
      <c r="K25" s="1"/>
      <c r="L25" t="str">
        <f t="shared" si="6"/>
        <v>public const int DEATH_OF_RELATIVES_WITH_SEE_FAMILY_LAST = 114;</v>
      </c>
    </row>
    <row r="26" spans="1:12" x14ac:dyDescent="0.15">
      <c r="A26" s="1">
        <v>115</v>
      </c>
      <c r="B26" s="1">
        <v>140</v>
      </c>
      <c r="C26" s="1">
        <v>1</v>
      </c>
      <c r="D26" s="1" t="s">
        <v>23</v>
      </c>
      <c r="E26" s="6">
        <f>A22</f>
        <v>111</v>
      </c>
      <c r="F26" s="2" t="s">
        <v>48</v>
      </c>
      <c r="G26" s="1">
        <v>-10</v>
      </c>
      <c r="H26" s="1">
        <v>0</v>
      </c>
      <c r="I26" s="1" t="s">
        <v>148</v>
      </c>
      <c r="J26" s="1">
        <v>60</v>
      </c>
      <c r="K26" s="1"/>
      <c r="L26" t="str">
        <f t="shared" si="6"/>
        <v>public const int DEATH_OF_RELATIVES_WITH_SEE_ME_LAST = 115;</v>
      </c>
    </row>
    <row r="27" spans="1:12" x14ac:dyDescent="0.15">
      <c r="A27" s="1">
        <v>116</v>
      </c>
      <c r="B27" s="1">
        <v>0</v>
      </c>
      <c r="C27" s="1">
        <v>1</v>
      </c>
      <c r="D27" s="1" t="s">
        <v>23</v>
      </c>
      <c r="E27" s="1">
        <f>A27</f>
        <v>116</v>
      </c>
      <c r="F27" s="5" t="s">
        <v>51</v>
      </c>
      <c r="G27" s="1">
        <v>5</v>
      </c>
      <c r="H27" s="1">
        <v>0</v>
      </c>
      <c r="I27" s="1" t="s">
        <v>149</v>
      </c>
      <c r="J27" s="1">
        <v>180</v>
      </c>
      <c r="K27" s="1"/>
      <c r="L27" t="str">
        <f t="shared" ref="L27" si="7">CONCATENATE("public const int ",F27," = ",A27,";")</f>
        <v>public const int EAT_HONEY = 116;</v>
      </c>
    </row>
    <row r="28" spans="1:12" x14ac:dyDescent="0.15">
      <c r="A28" s="1">
        <v>117</v>
      </c>
      <c r="B28" s="1">
        <v>0</v>
      </c>
      <c r="C28" s="1">
        <v>1</v>
      </c>
      <c r="D28" s="1" t="s">
        <v>23</v>
      </c>
      <c r="E28" s="1">
        <f>A28</f>
        <v>117</v>
      </c>
      <c r="F28" s="5" t="s">
        <v>52</v>
      </c>
      <c r="G28" s="1">
        <v>5</v>
      </c>
      <c r="H28" s="1">
        <v>0</v>
      </c>
      <c r="I28" s="1" t="s">
        <v>150</v>
      </c>
      <c r="J28" s="1">
        <v>180</v>
      </c>
      <c r="K28" s="1"/>
      <c r="L28" t="str">
        <f t="shared" ref="L28" si="8">CONCATENATE("public const int ",F28," = ",A28,";")</f>
        <v>public const int EAT_CHOCOLATE = 117;</v>
      </c>
    </row>
    <row r="29" spans="1:12" x14ac:dyDescent="0.15">
      <c r="A29" s="1">
        <v>118</v>
      </c>
      <c r="B29" s="1">
        <v>0</v>
      </c>
      <c r="C29" s="1">
        <v>1</v>
      </c>
      <c r="D29" s="1" t="s">
        <v>23</v>
      </c>
      <c r="E29" s="6">
        <v>118</v>
      </c>
      <c r="F29" s="5" t="s">
        <v>49</v>
      </c>
      <c r="G29" s="1">
        <v>5</v>
      </c>
      <c r="H29" s="1">
        <v>0</v>
      </c>
      <c r="I29" s="1" t="s">
        <v>151</v>
      </c>
      <c r="J29" s="1">
        <v>90</v>
      </c>
      <c r="K29" s="1"/>
      <c r="L29" t="str">
        <f t="shared" ref="L29:L30" si="9">CONCATENATE("public const int ",F29," = ",A29,";")</f>
        <v>public const int WATCH_FLOWER = 118;</v>
      </c>
    </row>
    <row r="30" spans="1:12" x14ac:dyDescent="0.15">
      <c r="A30" s="1">
        <v>119</v>
      </c>
      <c r="B30" s="1">
        <v>0</v>
      </c>
      <c r="C30" s="1">
        <v>1</v>
      </c>
      <c r="D30" s="1" t="s">
        <v>23</v>
      </c>
      <c r="E30" s="6">
        <v>118</v>
      </c>
      <c r="F30" s="5" t="s">
        <v>50</v>
      </c>
      <c r="G30" s="1">
        <v>10</v>
      </c>
      <c r="H30" s="1">
        <v>0</v>
      </c>
      <c r="I30" s="1" t="s">
        <v>152</v>
      </c>
      <c r="J30" s="1">
        <v>90</v>
      </c>
      <c r="K30" s="1"/>
      <c r="L30" t="str">
        <f t="shared" si="9"/>
        <v>public const int WATCH_FLOWER_A_LOT = 119;</v>
      </c>
    </row>
    <row r="31" spans="1:12" x14ac:dyDescent="0.15">
      <c r="A31" s="1">
        <v>120</v>
      </c>
      <c r="B31" s="1">
        <v>0</v>
      </c>
      <c r="C31" s="1">
        <v>1</v>
      </c>
      <c r="D31" s="1" t="s">
        <v>23</v>
      </c>
      <c r="E31" s="1">
        <f t="shared" ref="E31:E38" si="10">A31</f>
        <v>120</v>
      </c>
      <c r="F31" s="5" t="s">
        <v>16</v>
      </c>
      <c r="G31" s="1">
        <v>10</v>
      </c>
      <c r="H31" s="1">
        <v>0</v>
      </c>
      <c r="I31" s="1" t="s">
        <v>153</v>
      </c>
      <c r="J31" s="1">
        <v>180</v>
      </c>
      <c r="K31" s="1"/>
      <c r="L31" t="str">
        <f t="shared" ref="L31:L36" si="11">CONCATENATE("public const int ",F31," = ",A31,";")</f>
        <v>public const int RELIGIOUS_SERVICE = 120;</v>
      </c>
    </row>
    <row r="32" spans="1:12" x14ac:dyDescent="0.15">
      <c r="A32" s="1">
        <v>121</v>
      </c>
      <c r="B32" s="1">
        <v>0</v>
      </c>
      <c r="C32" s="1">
        <v>1</v>
      </c>
      <c r="D32" s="1" t="s">
        <v>23</v>
      </c>
      <c r="E32" s="8">
        <v>109</v>
      </c>
      <c r="F32" s="5" t="s">
        <v>5</v>
      </c>
      <c r="G32" s="1">
        <v>10</v>
      </c>
      <c r="H32" s="1">
        <v>0</v>
      </c>
      <c r="I32" s="1" t="s">
        <v>154</v>
      </c>
      <c r="J32" s="1">
        <v>180</v>
      </c>
      <c r="K32" s="1"/>
      <c r="L32" t="str">
        <f t="shared" si="11"/>
        <v>public const int DRINK = 121;</v>
      </c>
    </row>
    <row r="33" spans="1:12" x14ac:dyDescent="0.15">
      <c r="A33" s="1">
        <v>122</v>
      </c>
      <c r="B33" s="1">
        <v>0</v>
      </c>
      <c r="C33" s="1">
        <v>1</v>
      </c>
      <c r="D33" s="1" t="s">
        <v>23</v>
      </c>
      <c r="E33" s="1">
        <f t="shared" si="10"/>
        <v>122</v>
      </c>
      <c r="F33" s="5" t="s">
        <v>40</v>
      </c>
      <c r="G33" s="1">
        <v>10</v>
      </c>
      <c r="H33" s="1">
        <v>0</v>
      </c>
      <c r="I33" s="1" t="s">
        <v>155</v>
      </c>
      <c r="J33" s="1">
        <v>360</v>
      </c>
      <c r="K33" s="1"/>
      <c r="L33" t="str">
        <f t="shared" si="11"/>
        <v>public const int MOURN = 122;</v>
      </c>
    </row>
    <row r="34" spans="1:12" x14ac:dyDescent="0.15">
      <c r="A34" s="1">
        <v>123</v>
      </c>
      <c r="B34" s="1">
        <v>0</v>
      </c>
      <c r="C34" s="1">
        <v>1</v>
      </c>
      <c r="D34" s="1" t="s">
        <v>23</v>
      </c>
      <c r="E34" s="1">
        <v>105</v>
      </c>
      <c r="F34" s="5" t="s">
        <v>6</v>
      </c>
      <c r="G34" s="1">
        <v>20</v>
      </c>
      <c r="H34" s="1">
        <v>0</v>
      </c>
      <c r="I34" s="1" t="s">
        <v>156</v>
      </c>
      <c r="J34" s="1">
        <v>180</v>
      </c>
      <c r="K34" s="1"/>
      <c r="L34" t="str">
        <f t="shared" si="11"/>
        <v>public const int MARRY = 123;</v>
      </c>
    </row>
    <row r="35" spans="1:12" x14ac:dyDescent="0.15">
      <c r="A35" s="1">
        <v>124</v>
      </c>
      <c r="B35" s="1">
        <v>0</v>
      </c>
      <c r="C35" s="1">
        <v>1</v>
      </c>
      <c r="D35" s="1" t="s">
        <v>23</v>
      </c>
      <c r="E35" s="1">
        <f t="shared" si="10"/>
        <v>124</v>
      </c>
      <c r="F35" s="5" t="s">
        <v>56</v>
      </c>
      <c r="G35" s="1">
        <v>10</v>
      </c>
      <c r="H35" s="1">
        <v>0</v>
      </c>
      <c r="I35" s="1" t="s">
        <v>157</v>
      </c>
      <c r="J35" s="1">
        <v>180</v>
      </c>
      <c r="K35" s="1"/>
      <c r="L35" t="str">
        <f t="shared" si="11"/>
        <v>public const int NEW_BABY = 124;</v>
      </c>
    </row>
    <row r="36" spans="1:12" x14ac:dyDescent="0.15">
      <c r="A36" s="1">
        <v>125</v>
      </c>
      <c r="B36" s="1">
        <v>0</v>
      </c>
      <c r="C36" s="1">
        <v>1</v>
      </c>
      <c r="D36" s="1" t="s">
        <v>23</v>
      </c>
      <c r="E36" s="1">
        <f t="shared" si="10"/>
        <v>125</v>
      </c>
      <c r="F36" s="5" t="s">
        <v>18</v>
      </c>
      <c r="G36" s="1">
        <v>10</v>
      </c>
      <c r="H36" s="1">
        <v>0</v>
      </c>
      <c r="I36" s="1" t="s">
        <v>158</v>
      </c>
      <c r="J36" s="1">
        <v>30</v>
      </c>
      <c r="K36" s="1"/>
      <c r="L36" t="str">
        <f t="shared" si="11"/>
        <v>public const int SAINT_BELIEF_2 = 125;</v>
      </c>
    </row>
    <row r="37" spans="1:12" x14ac:dyDescent="0.15">
      <c r="A37" s="1">
        <v>126</v>
      </c>
      <c r="B37" s="1">
        <v>0</v>
      </c>
      <c r="C37" s="1">
        <v>1</v>
      </c>
      <c r="D37" s="1" t="s">
        <v>23</v>
      </c>
      <c r="E37" s="1">
        <f t="shared" si="10"/>
        <v>126</v>
      </c>
      <c r="F37" s="5" t="s">
        <v>36</v>
      </c>
      <c r="G37" s="1">
        <v>15</v>
      </c>
      <c r="H37" s="1">
        <v>0</v>
      </c>
      <c r="I37" s="1" t="s">
        <v>159</v>
      </c>
      <c r="J37" s="1">
        <v>100</v>
      </c>
      <c r="K37" s="1"/>
      <c r="L37" s="1" t="str">
        <f t="shared" ref="L37:L54" si="12">CONCATENATE("public const int ",F37," = ",A37,";")</f>
        <v>public const int MAKE_SELF_FEEL_BATTER = 126;</v>
      </c>
    </row>
    <row r="38" spans="1:12" x14ac:dyDescent="0.15">
      <c r="A38" s="1">
        <v>127</v>
      </c>
      <c r="B38" s="1">
        <v>0</v>
      </c>
      <c r="C38" s="1">
        <v>1</v>
      </c>
      <c r="D38" s="1" t="s">
        <v>23</v>
      </c>
      <c r="E38" s="1">
        <f t="shared" si="10"/>
        <v>127</v>
      </c>
      <c r="F38" s="1" t="s">
        <v>64</v>
      </c>
      <c r="G38" s="1">
        <v>20</v>
      </c>
      <c r="H38" s="1">
        <v>0</v>
      </c>
      <c r="I38" s="1" t="s">
        <v>160</v>
      </c>
      <c r="J38" s="1">
        <v>180</v>
      </c>
      <c r="K38" s="1" t="s">
        <v>67</v>
      </c>
      <c r="L38" s="1" t="str">
        <f t="shared" si="12"/>
        <v>public const int CRAPULENT = 127;</v>
      </c>
    </row>
    <row r="39" spans="1:12" x14ac:dyDescent="0.15">
      <c r="A39" s="9">
        <v>128</v>
      </c>
      <c r="B39" s="1">
        <v>0</v>
      </c>
      <c r="C39" s="9">
        <v>1</v>
      </c>
      <c r="D39" s="9" t="s">
        <v>23</v>
      </c>
      <c r="E39" s="10">
        <v>109</v>
      </c>
      <c r="F39" s="1" t="s">
        <v>65</v>
      </c>
      <c r="G39" s="1">
        <v>20</v>
      </c>
      <c r="H39" s="1">
        <v>0</v>
      </c>
      <c r="I39" s="1" t="s">
        <v>161</v>
      </c>
      <c r="J39" s="9">
        <v>180</v>
      </c>
      <c r="K39" s="9"/>
      <c r="L39" s="1" t="str">
        <f t="shared" si="12"/>
        <v>public const int ALCOHOLISM = 128;</v>
      </c>
    </row>
    <row r="40" spans="1:12" x14ac:dyDescent="0.15">
      <c r="A40" s="1">
        <v>129</v>
      </c>
      <c r="B40" s="1">
        <v>0</v>
      </c>
      <c r="C40" s="1">
        <v>1</v>
      </c>
      <c r="D40" s="1" t="s">
        <v>23</v>
      </c>
      <c r="E40" s="1">
        <v>129</v>
      </c>
      <c r="F40" s="1" t="s">
        <v>66</v>
      </c>
      <c r="G40" s="1">
        <v>20</v>
      </c>
      <c r="H40" s="1">
        <v>0</v>
      </c>
      <c r="I40" s="1" t="s">
        <v>162</v>
      </c>
      <c r="J40" s="1">
        <v>180</v>
      </c>
      <c r="K40" s="1"/>
      <c r="L40" s="1" t="str">
        <f t="shared" si="12"/>
        <v>public const int LIE_FLAT = 129;</v>
      </c>
    </row>
    <row r="41" spans="1:12" x14ac:dyDescent="0.15">
      <c r="A41" s="1">
        <v>130</v>
      </c>
      <c r="B41" s="1">
        <v>0</v>
      </c>
      <c r="C41" s="1">
        <v>1</v>
      </c>
      <c r="D41" s="1" t="s">
        <v>23</v>
      </c>
      <c r="E41" s="1">
        <v>130</v>
      </c>
      <c r="F41" s="1" t="s">
        <v>74</v>
      </c>
      <c r="G41" s="1">
        <v>10</v>
      </c>
      <c r="H41" s="1">
        <v>0</v>
      </c>
      <c r="I41" s="1" t="s">
        <v>163</v>
      </c>
      <c r="J41" s="1">
        <v>360</v>
      </c>
      <c r="K41" s="1"/>
      <c r="L41" s="1" t="str">
        <f t="shared" si="12"/>
        <v>public const int STAY_BY_FAITH = 130;</v>
      </c>
    </row>
    <row r="42" spans="1:12" x14ac:dyDescent="0.15">
      <c r="A42" s="1">
        <v>131</v>
      </c>
      <c r="B42" s="1">
        <v>0</v>
      </c>
      <c r="C42" s="1">
        <v>1</v>
      </c>
      <c r="D42" s="1" t="s">
        <v>23</v>
      </c>
      <c r="E42" s="1">
        <v>131</v>
      </c>
      <c r="F42" s="1" t="s">
        <v>76</v>
      </c>
      <c r="G42" s="1">
        <v>15</v>
      </c>
      <c r="H42" s="1">
        <v>0</v>
      </c>
      <c r="I42" s="1" t="s">
        <v>164</v>
      </c>
      <c r="J42" s="1">
        <v>90</v>
      </c>
      <c r="K42" s="1"/>
      <c r="L42" s="1" t="str">
        <f t="shared" si="12"/>
        <v>public const int REWARD = 131;</v>
      </c>
    </row>
    <row r="43" spans="1:12" x14ac:dyDescent="0.15">
      <c r="A43" s="1">
        <v>132</v>
      </c>
      <c r="B43" s="1">
        <v>0</v>
      </c>
      <c r="C43" s="1">
        <v>1</v>
      </c>
      <c r="D43" s="1" t="s">
        <v>23</v>
      </c>
      <c r="E43" s="1">
        <v>132</v>
      </c>
      <c r="F43" s="1" t="s">
        <v>77</v>
      </c>
      <c r="G43" s="1">
        <v>-15</v>
      </c>
      <c r="H43" s="1">
        <v>0</v>
      </c>
      <c r="I43" s="1" t="s">
        <v>165</v>
      </c>
      <c r="J43" s="1">
        <v>360</v>
      </c>
      <c r="K43" s="1"/>
      <c r="L43" s="1" t="str">
        <f t="shared" si="12"/>
        <v>public const int EXILED_OF_RELATIVES = 132;</v>
      </c>
    </row>
    <row r="44" spans="1:12" x14ac:dyDescent="0.15">
      <c r="A44" s="1">
        <v>133</v>
      </c>
      <c r="B44" s="1">
        <v>0</v>
      </c>
      <c r="C44" s="1">
        <v>1</v>
      </c>
      <c r="D44" s="1" t="s">
        <v>23</v>
      </c>
      <c r="E44" s="1">
        <v>133</v>
      </c>
      <c r="F44" s="1" t="s">
        <v>78</v>
      </c>
      <c r="G44" s="1">
        <v>25</v>
      </c>
      <c r="H44" s="1">
        <v>0</v>
      </c>
      <c r="I44" s="1" t="s">
        <v>81</v>
      </c>
      <c r="J44" s="1">
        <v>200</v>
      </c>
      <c r="K44" s="1"/>
      <c r="L44" s="1" t="str">
        <f t="shared" si="12"/>
        <v>public const int DRINK_HERBAL_TEA = 133;</v>
      </c>
    </row>
    <row r="45" spans="1:12" x14ac:dyDescent="0.15">
      <c r="A45" s="1">
        <v>134</v>
      </c>
      <c r="B45" s="1">
        <v>0</v>
      </c>
      <c r="C45" s="1">
        <v>1</v>
      </c>
      <c r="D45" s="1" t="s">
        <v>23</v>
      </c>
      <c r="E45" s="1">
        <v>133</v>
      </c>
      <c r="F45" s="1" t="s">
        <v>79</v>
      </c>
      <c r="G45" s="1">
        <v>-20</v>
      </c>
      <c r="H45" s="1">
        <v>0</v>
      </c>
      <c r="I45" s="1" t="s">
        <v>80</v>
      </c>
      <c r="J45" s="1">
        <v>180</v>
      </c>
      <c r="K45" s="1"/>
      <c r="L45" s="1" t="str">
        <f t="shared" si="12"/>
        <v>public const int HERBAL_TEA_WITHDRAWAL_REACTION = 134;</v>
      </c>
    </row>
    <row r="46" spans="1:12" x14ac:dyDescent="0.15">
      <c r="A46" s="9">
        <v>135</v>
      </c>
      <c r="B46" s="1">
        <v>0</v>
      </c>
      <c r="C46" s="9">
        <v>1</v>
      </c>
      <c r="D46" s="9" t="s">
        <v>23</v>
      </c>
      <c r="E46" s="9">
        <f>A46</f>
        <v>135</v>
      </c>
      <c r="F46" s="5" t="s">
        <v>82</v>
      </c>
      <c r="G46" s="1">
        <v>-10</v>
      </c>
      <c r="H46" s="1">
        <v>0</v>
      </c>
      <c r="I46" s="1" t="s">
        <v>166</v>
      </c>
      <c r="J46" s="9">
        <v>360</v>
      </c>
      <c r="K46" s="9"/>
      <c r="L46" t="str">
        <f t="shared" si="12"/>
        <v>public const int DIG_ANCIENT_TOMB = 135;</v>
      </c>
    </row>
    <row r="47" spans="1:12" x14ac:dyDescent="0.15">
      <c r="A47" s="1">
        <v>136</v>
      </c>
      <c r="B47" s="1">
        <v>0</v>
      </c>
      <c r="C47" s="1">
        <v>1</v>
      </c>
      <c r="D47" s="1" t="s">
        <v>83</v>
      </c>
      <c r="E47" s="1">
        <v>136</v>
      </c>
      <c r="F47" s="1" t="s">
        <v>84</v>
      </c>
      <c r="G47" s="1">
        <v>10</v>
      </c>
      <c r="H47" s="1">
        <v>0</v>
      </c>
      <c r="I47" s="1" t="s">
        <v>167</v>
      </c>
      <c r="J47" s="1">
        <v>0</v>
      </c>
      <c r="K47" s="1"/>
      <c r="L47" s="1" t="str">
        <f t="shared" si="12"/>
        <v>public const int PRETTY_WILF = 136;</v>
      </c>
    </row>
    <row r="48" spans="1:12" x14ac:dyDescent="0.15">
      <c r="A48" s="1">
        <v>137</v>
      </c>
      <c r="B48" s="1">
        <v>0</v>
      </c>
      <c r="C48" s="1">
        <v>1</v>
      </c>
      <c r="D48" s="1" t="s">
        <v>83</v>
      </c>
      <c r="E48" s="1">
        <v>136</v>
      </c>
      <c r="F48" s="1" t="s">
        <v>86</v>
      </c>
      <c r="G48" s="1">
        <v>10</v>
      </c>
      <c r="H48" s="1">
        <v>0</v>
      </c>
      <c r="I48" s="1" t="s">
        <v>168</v>
      </c>
      <c r="J48" s="1">
        <v>0</v>
      </c>
      <c r="K48" s="1"/>
      <c r="L48" s="1" t="str">
        <f t="shared" si="12"/>
        <v>public const int HANDSOME_HUSBAND = 137;</v>
      </c>
    </row>
    <row r="49" spans="1:12" x14ac:dyDescent="0.15">
      <c r="A49" s="1">
        <v>138</v>
      </c>
      <c r="B49" s="1">
        <v>0</v>
      </c>
      <c r="C49" s="1">
        <v>1</v>
      </c>
      <c r="D49" s="1" t="s">
        <v>83</v>
      </c>
      <c r="E49" s="1">
        <v>136</v>
      </c>
      <c r="F49" s="1" t="s">
        <v>85</v>
      </c>
      <c r="G49" s="1">
        <v>-15</v>
      </c>
      <c r="H49" s="1">
        <v>0</v>
      </c>
      <c r="I49" s="1" t="s">
        <v>169</v>
      </c>
      <c r="J49" s="1">
        <v>0</v>
      </c>
      <c r="K49" s="1"/>
      <c r="L49" s="1" t="str">
        <f t="shared" si="12"/>
        <v>public const int PRETTY_WILF_DEAD = 138;</v>
      </c>
    </row>
    <row r="50" spans="1:12" x14ac:dyDescent="0.15">
      <c r="A50" s="1">
        <v>139</v>
      </c>
      <c r="B50" s="1">
        <v>0</v>
      </c>
      <c r="C50" s="1">
        <v>1</v>
      </c>
      <c r="D50" s="1" t="s">
        <v>83</v>
      </c>
      <c r="E50" s="1">
        <v>136</v>
      </c>
      <c r="F50" s="1" t="s">
        <v>87</v>
      </c>
      <c r="G50" s="1">
        <v>-15</v>
      </c>
      <c r="H50" s="1">
        <v>0</v>
      </c>
      <c r="I50" s="1" t="s">
        <v>170</v>
      </c>
      <c r="J50" s="1">
        <v>0</v>
      </c>
      <c r="K50" s="1"/>
      <c r="L50" s="1" t="str">
        <f t="shared" si="12"/>
        <v>public const int HANDSOME_HUSBAND_DEAD = 139;</v>
      </c>
    </row>
    <row r="51" spans="1:12" x14ac:dyDescent="0.15">
      <c r="A51" s="1">
        <v>140</v>
      </c>
      <c r="B51" s="1">
        <v>0</v>
      </c>
      <c r="C51" s="1">
        <v>1</v>
      </c>
      <c r="D51" s="1" t="s">
        <v>23</v>
      </c>
      <c r="E51" s="6">
        <v>111</v>
      </c>
      <c r="F51" s="2" t="s">
        <v>88</v>
      </c>
      <c r="G51" s="1">
        <v>-10</v>
      </c>
      <c r="H51" s="1">
        <v>0</v>
      </c>
      <c r="I51" s="1" t="s">
        <v>171</v>
      </c>
      <c r="J51" s="1">
        <v>360</v>
      </c>
      <c r="K51" s="1"/>
      <c r="L51" s="1" t="str">
        <f t="shared" si="12"/>
        <v>public const int MISSING_AFTER_LOVED_ONES_DEATH = 140;</v>
      </c>
    </row>
    <row r="52" spans="1:12" x14ac:dyDescent="0.15">
      <c r="A52" s="1">
        <v>141</v>
      </c>
      <c r="B52" s="1">
        <v>0</v>
      </c>
      <c r="C52" s="1">
        <v>1</v>
      </c>
      <c r="D52" s="1" t="s">
        <v>23</v>
      </c>
      <c r="E52" s="1">
        <v>141</v>
      </c>
      <c r="F52" s="1" t="s">
        <v>91</v>
      </c>
      <c r="G52" s="1">
        <v>10</v>
      </c>
      <c r="H52" s="1">
        <v>0</v>
      </c>
      <c r="I52" s="1" t="s">
        <v>92</v>
      </c>
      <c r="J52" s="1">
        <v>360</v>
      </c>
      <c r="K52" s="1"/>
      <c r="L52" s="1" t="str">
        <f t="shared" si="12"/>
        <v>public const int OBTAIN_FAVOR = 141;</v>
      </c>
    </row>
    <row r="53" spans="1:12" x14ac:dyDescent="0.15">
      <c r="A53" s="1">
        <v>142</v>
      </c>
      <c r="B53" s="1">
        <v>0</v>
      </c>
      <c r="C53" s="1">
        <v>1</v>
      </c>
      <c r="D53" s="1" t="s">
        <v>23</v>
      </c>
      <c r="E53" s="1">
        <v>142</v>
      </c>
      <c r="F53" s="1" t="s">
        <v>95</v>
      </c>
      <c r="G53" s="1">
        <v>10</v>
      </c>
      <c r="H53" s="1">
        <v>0</v>
      </c>
      <c r="I53" s="1" t="s">
        <v>93</v>
      </c>
      <c r="J53" s="1">
        <v>0</v>
      </c>
      <c r="K53" s="1"/>
      <c r="L53" s="1" t="str">
        <f t="shared" si="12"/>
        <v>public const int LIKE_WORK = 142;</v>
      </c>
    </row>
    <row r="54" spans="1:12" x14ac:dyDescent="0.15">
      <c r="A54" s="1">
        <v>143</v>
      </c>
      <c r="B54" s="1">
        <v>0</v>
      </c>
      <c r="C54" s="1">
        <v>1</v>
      </c>
      <c r="D54" s="1" t="s">
        <v>23</v>
      </c>
      <c r="E54" s="1">
        <v>142</v>
      </c>
      <c r="F54" s="1" t="s">
        <v>96</v>
      </c>
      <c r="G54" s="1">
        <v>-10</v>
      </c>
      <c r="H54" s="1">
        <v>0</v>
      </c>
      <c r="I54" s="1" t="s">
        <v>94</v>
      </c>
      <c r="J54" s="1">
        <v>0</v>
      </c>
      <c r="K54" s="1"/>
      <c r="L54" s="1" t="str">
        <f t="shared" si="12"/>
        <v>public const int HEAT_WORK = 143;</v>
      </c>
    </row>
    <row r="55" spans="1:12" x14ac:dyDescent="0.15">
      <c r="A55" s="1">
        <v>144</v>
      </c>
      <c r="B55" s="1">
        <v>0</v>
      </c>
      <c r="C55" s="1">
        <v>1</v>
      </c>
      <c r="D55" s="1" t="s">
        <v>23</v>
      </c>
      <c r="E55" s="1">
        <v>144</v>
      </c>
      <c r="F55" s="1" t="s">
        <v>97</v>
      </c>
      <c r="G55" s="1">
        <v>10</v>
      </c>
      <c r="H55" s="1">
        <v>0</v>
      </c>
      <c r="I55" s="1" t="s">
        <v>99</v>
      </c>
      <c r="J55" s="1">
        <v>180</v>
      </c>
      <c r="K55" s="1"/>
      <c r="L55" s="1" t="str">
        <f t="shared" ref="L55:L69" si="13">CONCATENATE("public const int ",F55," = ",A55,";")</f>
        <v>public const int ATTEND_BANQUET = 144;</v>
      </c>
    </row>
    <row r="56" spans="1:12" x14ac:dyDescent="0.15">
      <c r="A56" s="1">
        <v>145</v>
      </c>
      <c r="B56" s="1">
        <v>0</v>
      </c>
      <c r="C56" s="1">
        <v>1</v>
      </c>
      <c r="D56" s="1" t="s">
        <v>23</v>
      </c>
      <c r="E56" s="1">
        <v>145</v>
      </c>
      <c r="F56" s="1" t="s">
        <v>98</v>
      </c>
      <c r="G56" s="1">
        <v>-5</v>
      </c>
      <c r="H56" s="1">
        <v>0</v>
      </c>
      <c r="I56" s="1" t="s">
        <v>107</v>
      </c>
      <c r="J56" s="1">
        <v>180</v>
      </c>
      <c r="K56" s="1"/>
      <c r="L56" s="1" t="str">
        <f t="shared" si="13"/>
        <v>public const int ATTEND_BANQUET_NO_FAVOR = 145;</v>
      </c>
    </row>
    <row r="57" spans="1:12" x14ac:dyDescent="0.15">
      <c r="A57" s="1">
        <v>146</v>
      </c>
      <c r="B57" s="1">
        <v>0</v>
      </c>
      <c r="C57" s="1">
        <v>1</v>
      </c>
      <c r="D57" s="1" t="s">
        <v>23</v>
      </c>
      <c r="E57" s="1">
        <f>A57</f>
        <v>146</v>
      </c>
      <c r="F57" s="5" t="s">
        <v>100</v>
      </c>
      <c r="G57" s="1">
        <v>5</v>
      </c>
      <c r="H57" s="1">
        <v>0</v>
      </c>
      <c r="I57" s="1" t="s">
        <v>172</v>
      </c>
      <c r="J57" s="1">
        <v>180</v>
      </c>
      <c r="K57" s="1"/>
      <c r="L57" s="1" t="str">
        <f t="shared" si="13"/>
        <v>public const int EAT_SUGAR = 146;</v>
      </c>
    </row>
    <row r="58" spans="1:12" x14ac:dyDescent="0.15">
      <c r="A58" s="1">
        <v>147</v>
      </c>
      <c r="B58" s="1">
        <v>0</v>
      </c>
      <c r="C58" s="1">
        <v>1</v>
      </c>
      <c r="D58" s="1" t="s">
        <v>23</v>
      </c>
      <c r="E58" s="1">
        <v>147</v>
      </c>
      <c r="F58" s="1" t="s">
        <v>101</v>
      </c>
      <c r="G58" s="1">
        <v>-10</v>
      </c>
      <c r="H58" s="1">
        <v>0</v>
      </c>
      <c r="I58" s="1" t="s">
        <v>173</v>
      </c>
      <c r="J58" s="1">
        <v>30</v>
      </c>
      <c r="K58" s="1"/>
      <c r="L58" s="1" t="str">
        <f t="shared" si="13"/>
        <v>public const int SLEEP_NEXT_TO_THE_TOILET = 147;</v>
      </c>
    </row>
    <row r="59" spans="1:12" x14ac:dyDescent="0.15">
      <c r="A59" s="1">
        <v>148</v>
      </c>
      <c r="B59" s="1">
        <v>0</v>
      </c>
      <c r="C59" s="1">
        <v>1</v>
      </c>
      <c r="D59" s="1" t="s">
        <v>23</v>
      </c>
      <c r="E59" s="1">
        <v>148</v>
      </c>
      <c r="F59" s="1" t="s">
        <v>102</v>
      </c>
      <c r="G59" s="1">
        <v>-10</v>
      </c>
      <c r="H59" s="1">
        <v>0</v>
      </c>
      <c r="I59" s="1" t="s">
        <v>174</v>
      </c>
      <c r="J59" s="1">
        <v>30</v>
      </c>
      <c r="K59" s="1"/>
      <c r="L59" s="1" t="str">
        <f t="shared" si="13"/>
        <v>public const int SLEEP_NEXT_TO_THE_COMPOST = 148;</v>
      </c>
    </row>
    <row r="60" spans="1:12" x14ac:dyDescent="0.15">
      <c r="A60" s="1">
        <v>149</v>
      </c>
      <c r="B60" s="1">
        <v>0</v>
      </c>
      <c r="C60" s="1">
        <v>1</v>
      </c>
      <c r="D60" s="1" t="s">
        <v>23</v>
      </c>
      <c r="E60" s="1">
        <v>149</v>
      </c>
      <c r="F60" s="1" t="s">
        <v>103</v>
      </c>
      <c r="G60" s="1">
        <v>-5</v>
      </c>
      <c r="H60" s="1">
        <v>0</v>
      </c>
      <c r="I60" s="1" t="s">
        <v>175</v>
      </c>
      <c r="J60" s="1">
        <v>30</v>
      </c>
      <c r="K60" s="1"/>
      <c r="L60" s="1" t="str">
        <f t="shared" si="13"/>
        <v>public const int BITTEN_BY_A_MOSQUITO = 149;</v>
      </c>
    </row>
    <row r="61" spans="1:12" x14ac:dyDescent="0.15">
      <c r="A61" s="1">
        <v>150</v>
      </c>
      <c r="B61" s="1">
        <v>0</v>
      </c>
      <c r="C61" s="1">
        <v>1</v>
      </c>
      <c r="D61" s="1" t="s">
        <v>23</v>
      </c>
      <c r="E61" s="6">
        <v>118</v>
      </c>
      <c r="F61" s="5" t="s">
        <v>104</v>
      </c>
      <c r="G61" s="1">
        <v>5</v>
      </c>
      <c r="H61" s="1">
        <v>0</v>
      </c>
      <c r="I61" s="1" t="s">
        <v>176</v>
      </c>
      <c r="J61" s="1">
        <v>90</v>
      </c>
      <c r="K61" s="1"/>
      <c r="L61" s="1" t="str">
        <f t="shared" si="13"/>
        <v>public const int EAT_FLOWER = 150;</v>
      </c>
    </row>
    <row r="62" spans="1:12" x14ac:dyDescent="0.15">
      <c r="A62" s="1">
        <v>151</v>
      </c>
      <c r="B62" s="1">
        <v>0</v>
      </c>
      <c r="C62" s="1">
        <v>1</v>
      </c>
      <c r="D62" s="1" t="s">
        <v>23</v>
      </c>
      <c r="E62" s="6">
        <v>118</v>
      </c>
      <c r="F62" s="5" t="s">
        <v>105</v>
      </c>
      <c r="G62" s="1">
        <v>10</v>
      </c>
      <c r="H62" s="1">
        <v>0</v>
      </c>
      <c r="I62" s="1" t="s">
        <v>177</v>
      </c>
      <c r="J62" s="1">
        <v>90</v>
      </c>
      <c r="K62" s="1"/>
      <c r="L62" s="1" t="str">
        <f t="shared" si="13"/>
        <v>public const int EAT_FLOWER_A_LOT = 151;</v>
      </c>
    </row>
    <row r="63" spans="1:12" x14ac:dyDescent="0.15">
      <c r="A63" s="1">
        <v>152</v>
      </c>
      <c r="B63" s="1">
        <v>0</v>
      </c>
      <c r="C63" s="1">
        <v>1</v>
      </c>
      <c r="D63" s="1" t="s">
        <v>23</v>
      </c>
      <c r="E63" s="1">
        <v>152</v>
      </c>
      <c r="F63" s="5" t="s">
        <v>106</v>
      </c>
      <c r="G63" s="1">
        <v>-10</v>
      </c>
      <c r="H63" s="1">
        <v>0</v>
      </c>
      <c r="I63" s="1" t="s">
        <v>178</v>
      </c>
      <c r="J63" s="1">
        <v>180</v>
      </c>
      <c r="K63" s="1"/>
      <c r="L63" s="1" t="str">
        <f t="shared" si="13"/>
        <v>public const int GUILTY_FOR_CRAZY_ATTACK = 152;</v>
      </c>
    </row>
    <row r="64" spans="1:12" x14ac:dyDescent="0.15">
      <c r="A64" s="1">
        <v>153</v>
      </c>
      <c r="B64" s="1">
        <v>0</v>
      </c>
      <c r="C64" s="1">
        <v>1</v>
      </c>
      <c r="D64" s="1" t="s">
        <v>23</v>
      </c>
      <c r="E64" s="6">
        <v>153</v>
      </c>
      <c r="F64" s="5" t="s">
        <v>108</v>
      </c>
      <c r="G64" s="1">
        <v>-10</v>
      </c>
      <c r="H64" s="1">
        <v>0</v>
      </c>
      <c r="I64" s="1" t="s">
        <v>179</v>
      </c>
      <c r="J64" s="1">
        <v>0</v>
      </c>
      <c r="K64" s="1"/>
      <c r="L64" s="1" t="str">
        <f t="shared" si="13"/>
        <v>public const int SPIRITUAL_EMPTINESS = 153;</v>
      </c>
    </row>
    <row r="65" spans="1:12" x14ac:dyDescent="0.15">
      <c r="A65" s="1">
        <v>154</v>
      </c>
      <c r="B65" s="1">
        <v>0</v>
      </c>
      <c r="C65" s="1">
        <v>1</v>
      </c>
      <c r="D65" s="1" t="s">
        <v>23</v>
      </c>
      <c r="E65" s="1">
        <v>154</v>
      </c>
      <c r="F65" s="5" t="s">
        <v>109</v>
      </c>
      <c r="G65" s="1">
        <v>10</v>
      </c>
      <c r="H65" s="1">
        <v>0</v>
      </c>
      <c r="I65" s="1" t="s">
        <v>180</v>
      </c>
      <c r="J65" s="1">
        <v>360</v>
      </c>
      <c r="K65" s="1"/>
      <c r="L65" s="1" t="str">
        <f t="shared" si="13"/>
        <v>public const int FIND_MINISTER_TO_TELL = 154;</v>
      </c>
    </row>
    <row r="66" spans="1:12" x14ac:dyDescent="0.15">
      <c r="A66" s="1">
        <v>155</v>
      </c>
      <c r="B66" s="1">
        <v>0</v>
      </c>
      <c r="C66" s="1">
        <v>1</v>
      </c>
      <c r="D66" s="1" t="s">
        <v>23</v>
      </c>
      <c r="E66" s="6">
        <v>153</v>
      </c>
      <c r="F66" s="5" t="s">
        <v>110</v>
      </c>
      <c r="G66" s="1">
        <v>5</v>
      </c>
      <c r="H66" s="1">
        <v>0</v>
      </c>
      <c r="I66" s="1" t="s">
        <v>181</v>
      </c>
      <c r="J66" s="1">
        <v>720</v>
      </c>
      <c r="K66" s="1"/>
      <c r="L66" s="1" t="str">
        <f t="shared" si="13"/>
        <v>public const int READ_SPIRITUAL_BOOK = 155;</v>
      </c>
    </row>
    <row r="67" spans="1:12" x14ac:dyDescent="0.15">
      <c r="A67" s="1">
        <v>156</v>
      </c>
      <c r="B67" s="1">
        <v>140</v>
      </c>
      <c r="C67" s="1">
        <v>1</v>
      </c>
      <c r="D67" s="1" t="s">
        <v>23</v>
      </c>
      <c r="E67" s="6">
        <v>111</v>
      </c>
      <c r="F67" s="2" t="s">
        <v>111</v>
      </c>
      <c r="G67" s="1">
        <v>-10</v>
      </c>
      <c r="H67" s="1">
        <v>0</v>
      </c>
      <c r="I67" s="1" t="s">
        <v>182</v>
      </c>
      <c r="J67" s="1">
        <v>60</v>
      </c>
      <c r="K67" s="1"/>
      <c r="L67" s="1" t="str">
        <f t="shared" si="13"/>
        <v>public const int DEATH_OF_RELATIVES_OF_LIFE_VALUE_REINCARNATION = 156;</v>
      </c>
    </row>
    <row r="68" spans="1:12" x14ac:dyDescent="0.15">
      <c r="A68" s="1">
        <v>157</v>
      </c>
      <c r="B68" s="1">
        <v>0</v>
      </c>
      <c r="C68" s="1">
        <v>1</v>
      </c>
      <c r="D68" s="1" t="s">
        <v>23</v>
      </c>
      <c r="E68" s="1">
        <v>103</v>
      </c>
      <c r="F68" s="5" t="s">
        <v>112</v>
      </c>
      <c r="G68" s="1">
        <v>10</v>
      </c>
      <c r="H68" s="1">
        <v>0</v>
      </c>
      <c r="I68" s="1" t="s">
        <v>183</v>
      </c>
      <c r="J68" s="1">
        <v>0</v>
      </c>
      <c r="K68" s="1" t="s">
        <v>37</v>
      </c>
      <c r="L68" s="1" t="str">
        <f t="shared" si="13"/>
        <v>public const int DEATH_OF_RELATIVES_BURY_IN_MONUMENT = 157;</v>
      </c>
    </row>
    <row r="69" spans="1:12" x14ac:dyDescent="0.15">
      <c r="A69" s="1">
        <v>158</v>
      </c>
      <c r="B69" s="1">
        <v>0</v>
      </c>
      <c r="C69" s="1">
        <v>1</v>
      </c>
      <c r="D69" s="1" t="s">
        <v>23</v>
      </c>
      <c r="E69" s="6">
        <v>158</v>
      </c>
      <c r="F69" s="2" t="s">
        <v>113</v>
      </c>
      <c r="G69" s="1">
        <v>-10</v>
      </c>
      <c r="H69" s="1">
        <v>0</v>
      </c>
      <c r="I69" s="1" t="s">
        <v>184</v>
      </c>
      <c r="J69" s="1">
        <v>0</v>
      </c>
      <c r="K69" s="1"/>
      <c r="L69" s="1" t="str">
        <f t="shared" si="13"/>
        <v>public const int NO_THRONE = 158;</v>
      </c>
    </row>
    <row r="70" spans="1:12" x14ac:dyDescent="0.15">
      <c r="A70" s="1">
        <v>159</v>
      </c>
      <c r="B70" s="1">
        <v>0</v>
      </c>
      <c r="C70" s="1">
        <v>1</v>
      </c>
      <c r="D70" s="1" t="s">
        <v>23</v>
      </c>
      <c r="E70" s="6">
        <v>159</v>
      </c>
      <c r="F70" s="2" t="s">
        <v>114</v>
      </c>
      <c r="G70" s="1">
        <v>10</v>
      </c>
      <c r="H70" s="1">
        <v>0</v>
      </c>
      <c r="I70" s="1" t="s">
        <v>185</v>
      </c>
      <c r="J70" s="1">
        <v>1800</v>
      </c>
      <c r="K70" s="1"/>
      <c r="L70" s="1" t="str">
        <f t="shared" ref="L70" si="14">CONCATENATE("public const int ",F70," = ",A70,";")</f>
        <v>public const int DO_MILITARY_MERIT_REWARD = 159;</v>
      </c>
    </row>
    <row r="71" spans="1:12" x14ac:dyDescent="0.15">
      <c r="A71" s="1">
        <v>160</v>
      </c>
      <c r="B71" s="1">
        <v>0</v>
      </c>
      <c r="C71" s="1">
        <v>1</v>
      </c>
      <c r="D71" s="1" t="s">
        <v>23</v>
      </c>
      <c r="E71" s="6">
        <v>160</v>
      </c>
      <c r="F71" s="2" t="s">
        <v>115</v>
      </c>
      <c r="G71" s="1">
        <v>20</v>
      </c>
      <c r="H71" s="1">
        <v>0</v>
      </c>
      <c r="I71" s="1" t="s">
        <v>186</v>
      </c>
      <c r="J71" s="1">
        <v>3600</v>
      </c>
      <c r="K71" s="1"/>
      <c r="L71" s="1" t="str">
        <f t="shared" ref="L71" si="15">CONCATENATE("public const int ",F71," = ",A71,";")</f>
        <v>public const int TERRITORY_INITIAL = 160;</v>
      </c>
    </row>
    <row r="72" spans="1:12" x14ac:dyDescent="0.15">
      <c r="A72" s="1">
        <v>161</v>
      </c>
      <c r="B72" s="1">
        <v>0</v>
      </c>
      <c r="C72" s="1">
        <v>1</v>
      </c>
      <c r="D72" s="1" t="s">
        <v>23</v>
      </c>
      <c r="E72" s="6">
        <v>161</v>
      </c>
      <c r="F72" s="2" t="s">
        <v>116</v>
      </c>
      <c r="G72" s="1">
        <v>15</v>
      </c>
      <c r="H72" s="1">
        <v>0</v>
      </c>
      <c r="I72" s="1" t="s">
        <v>187</v>
      </c>
      <c r="J72" s="1">
        <v>720</v>
      </c>
      <c r="K72" s="1"/>
      <c r="L72" s="1" t="str">
        <f t="shared" ref="L72:L73" si="16">CONCATENATE("public const int ",F72," = ",A72,";")</f>
        <v>public const int BE_NOBLE = 161;</v>
      </c>
    </row>
    <row r="73" spans="1:12" x14ac:dyDescent="0.15">
      <c r="A73" s="1">
        <v>162</v>
      </c>
      <c r="B73" s="1">
        <v>0</v>
      </c>
      <c r="C73" s="1">
        <v>1</v>
      </c>
      <c r="D73" s="1" t="s">
        <v>23</v>
      </c>
      <c r="E73" s="6">
        <v>161</v>
      </c>
      <c r="F73" s="2" t="s">
        <v>117</v>
      </c>
      <c r="G73" s="1">
        <v>-20</v>
      </c>
      <c r="H73" s="1">
        <v>0</v>
      </c>
      <c r="I73" s="1" t="s">
        <v>188</v>
      </c>
      <c r="J73" s="1">
        <v>720</v>
      </c>
      <c r="K73" s="1"/>
      <c r="L73" s="1" t="str">
        <f t="shared" si="16"/>
        <v>public const int BE_NOT_NOBLE = 162;</v>
      </c>
    </row>
    <row r="74" spans="1:12" x14ac:dyDescent="0.15">
      <c r="A74" s="1">
        <v>163</v>
      </c>
      <c r="B74" s="1">
        <v>0</v>
      </c>
      <c r="C74" s="1">
        <v>1</v>
      </c>
      <c r="D74" s="1" t="s">
        <v>23</v>
      </c>
      <c r="E74" s="6">
        <v>105</v>
      </c>
      <c r="F74" s="2" t="s">
        <v>118</v>
      </c>
      <c r="G74" s="1">
        <v>-20</v>
      </c>
      <c r="H74" s="1">
        <v>0</v>
      </c>
      <c r="I74" s="1" t="s">
        <v>189</v>
      </c>
      <c r="J74" s="1">
        <v>720</v>
      </c>
      <c r="K74" s="1"/>
      <c r="L74" s="1" t="str">
        <f t="shared" ref="L74" si="17">CONCATENATE("public const int ",F74," = ",A74,";")</f>
        <v>public const int LOSS_OF_PARTNER = 163;</v>
      </c>
    </row>
    <row r="75" spans="1:12" x14ac:dyDescent="0.15">
      <c r="A75" s="1">
        <v>164</v>
      </c>
      <c r="B75" s="1">
        <v>0</v>
      </c>
      <c r="C75" s="1">
        <v>1</v>
      </c>
      <c r="D75" s="1" t="s">
        <v>23</v>
      </c>
      <c r="E75" s="6">
        <v>164</v>
      </c>
      <c r="F75" s="2" t="s">
        <v>119</v>
      </c>
      <c r="G75" s="1">
        <v>10</v>
      </c>
      <c r="H75" s="1">
        <v>0</v>
      </c>
      <c r="I75" s="1" t="s">
        <v>190</v>
      </c>
      <c r="J75" s="1">
        <v>360</v>
      </c>
      <c r="K75" s="1"/>
      <c r="L75" s="1" t="str">
        <f t="shared" ref="L75" si="18">CONCATENATE("public const int ",F75," = ",A75,";")</f>
        <v>public const int APPETITE_SATISFIED = 164;</v>
      </c>
    </row>
    <row r="76" spans="1:12" x14ac:dyDescent="0.15">
      <c r="A76" s="1">
        <v>165</v>
      </c>
      <c r="B76" s="1">
        <v>0</v>
      </c>
      <c r="C76" s="1">
        <v>1</v>
      </c>
      <c r="D76" s="1" t="s">
        <v>23</v>
      </c>
      <c r="E76" s="6">
        <v>165</v>
      </c>
      <c r="F76" s="2" t="s">
        <v>120</v>
      </c>
      <c r="G76" s="1">
        <v>10</v>
      </c>
      <c r="H76" s="1">
        <v>0</v>
      </c>
      <c r="I76" s="1" t="s">
        <v>191</v>
      </c>
      <c r="J76" s="1">
        <v>360</v>
      </c>
      <c r="K76" s="1"/>
      <c r="L76" s="1" t="str">
        <f t="shared" ref="L76:L79" si="19">CONCATENATE("public const int ",F76," = ",A76,";")</f>
        <v>public const int ALCOHOL_ADDICTION_SATISFIED = 165;</v>
      </c>
    </row>
    <row r="77" spans="1:12" x14ac:dyDescent="0.15">
      <c r="A77" s="1">
        <v>166</v>
      </c>
      <c r="B77" s="1">
        <v>0</v>
      </c>
      <c r="C77" s="1">
        <v>1</v>
      </c>
      <c r="D77" s="1" t="s">
        <v>23</v>
      </c>
      <c r="E77" s="6">
        <v>161</v>
      </c>
      <c r="F77" s="2" t="s">
        <v>121</v>
      </c>
      <c r="G77" s="1">
        <v>-20</v>
      </c>
      <c r="H77" s="1">
        <v>0</v>
      </c>
      <c r="I77" s="1" t="s">
        <v>192</v>
      </c>
      <c r="J77" s="1">
        <v>720</v>
      </c>
      <c r="K77" s="1"/>
      <c r="L77" s="1" t="str">
        <f t="shared" si="19"/>
        <v>public const int LOSS_OF_NOBLE_SUCCESSION = 166;</v>
      </c>
    </row>
    <row r="78" spans="1:12" x14ac:dyDescent="0.15">
      <c r="A78" s="1">
        <v>167</v>
      </c>
      <c r="B78" s="1">
        <v>0</v>
      </c>
      <c r="C78" s="1">
        <v>1</v>
      </c>
      <c r="D78" s="1" t="s">
        <v>23</v>
      </c>
      <c r="E78" s="1">
        <v>104</v>
      </c>
      <c r="F78" s="5" t="s">
        <v>122</v>
      </c>
      <c r="G78" s="1">
        <v>10</v>
      </c>
      <c r="H78" s="1">
        <v>0</v>
      </c>
      <c r="I78" s="1" t="s">
        <v>193</v>
      </c>
      <c r="J78" s="1">
        <v>180</v>
      </c>
      <c r="K78" s="1"/>
      <c r="L78" s="1" t="str">
        <f t="shared" si="19"/>
        <v>public const int BED_WITH_GOLDEN_FLOOR = 167;</v>
      </c>
    </row>
    <row r="79" spans="1:12" x14ac:dyDescent="0.15">
      <c r="A79" s="1">
        <v>168</v>
      </c>
      <c r="B79" s="1">
        <v>0</v>
      </c>
      <c r="C79" s="1">
        <v>1</v>
      </c>
      <c r="D79" s="1" t="s">
        <v>23</v>
      </c>
      <c r="E79" s="1">
        <v>104</v>
      </c>
      <c r="F79" s="2" t="s">
        <v>123</v>
      </c>
      <c r="G79" s="1">
        <v>-5</v>
      </c>
      <c r="H79" s="1">
        <v>0</v>
      </c>
      <c r="I79" s="1" t="s">
        <v>194</v>
      </c>
      <c r="J79" s="4">
        <v>180</v>
      </c>
      <c r="L79" s="1" t="str">
        <f t="shared" si="19"/>
        <v>public const int BED_WITHOUT_FLOOR = 168;</v>
      </c>
    </row>
    <row r="80" spans="1:12" x14ac:dyDescent="0.15">
      <c r="A80" s="1">
        <v>169</v>
      </c>
      <c r="B80" s="1">
        <v>0</v>
      </c>
      <c r="C80" s="1">
        <v>1</v>
      </c>
      <c r="D80" s="1" t="s">
        <v>23</v>
      </c>
      <c r="E80" s="1">
        <v>169</v>
      </c>
      <c r="F80" s="5" t="s">
        <v>124</v>
      </c>
      <c r="G80" s="1">
        <v>10</v>
      </c>
      <c r="H80" s="1">
        <v>0</v>
      </c>
      <c r="I80" s="1" t="s">
        <v>195</v>
      </c>
      <c r="J80" s="1">
        <v>360</v>
      </c>
      <c r="K80" s="1"/>
      <c r="L80" s="1" t="str">
        <f t="shared" ref="L80:L81" si="20">CONCATENATE("public const int ",F80," = ",A80,";")</f>
        <v>public const int TAKE_BATH = 169;</v>
      </c>
    </row>
    <row r="81" spans="1:12" x14ac:dyDescent="0.15">
      <c r="A81" s="1">
        <v>170</v>
      </c>
      <c r="B81" s="1">
        <v>0</v>
      </c>
      <c r="C81" s="1">
        <v>1</v>
      </c>
      <c r="D81" s="1" t="s">
        <v>23</v>
      </c>
      <c r="E81" s="1">
        <f t="shared" ref="E81" si="21">A81</f>
        <v>170</v>
      </c>
      <c r="F81" s="5" t="s">
        <v>196</v>
      </c>
      <c r="G81" s="1">
        <v>15</v>
      </c>
      <c r="H81" s="1">
        <v>0</v>
      </c>
      <c r="I81" s="1" t="s">
        <v>200</v>
      </c>
      <c r="J81" s="1">
        <v>360</v>
      </c>
      <c r="K81" s="1"/>
      <c r="L81" t="str">
        <f t="shared" si="20"/>
        <v>public const int MOURN_WITH_FLOWER = 170;</v>
      </c>
    </row>
    <row r="82" spans="1:12" x14ac:dyDescent="0.15">
      <c r="A82" s="1">
        <v>171</v>
      </c>
      <c r="B82" s="1">
        <v>0</v>
      </c>
      <c r="C82" s="1">
        <v>1</v>
      </c>
      <c r="D82" s="1" t="s">
        <v>23</v>
      </c>
      <c r="E82" s="1">
        <f t="shared" ref="E82:E83" si="22">A82</f>
        <v>171</v>
      </c>
      <c r="F82" s="5" t="s">
        <v>201</v>
      </c>
      <c r="G82" s="1">
        <v>15</v>
      </c>
      <c r="H82" s="1">
        <v>0</v>
      </c>
      <c r="I82" s="1" t="s">
        <v>198</v>
      </c>
      <c r="J82" s="1">
        <v>360</v>
      </c>
      <c r="K82" s="1"/>
      <c r="L82" t="str">
        <f t="shared" ref="L82:L83" si="23">CONCATENATE("public const int ",F82," = ",A82,";")</f>
        <v>public const int FLOWER_FROM_STUDENT = 171;</v>
      </c>
    </row>
    <row r="83" spans="1:12" x14ac:dyDescent="0.15">
      <c r="A83" s="1">
        <v>172</v>
      </c>
      <c r="B83" s="1">
        <v>0</v>
      </c>
      <c r="C83" s="1">
        <v>1</v>
      </c>
      <c r="D83" s="1" t="s">
        <v>23</v>
      </c>
      <c r="E83" s="1">
        <f t="shared" si="22"/>
        <v>172</v>
      </c>
      <c r="F83" s="5" t="s">
        <v>202</v>
      </c>
      <c r="G83" s="1">
        <v>15</v>
      </c>
      <c r="H83" s="1">
        <v>0</v>
      </c>
      <c r="I83" s="1" t="s">
        <v>199</v>
      </c>
      <c r="J83" s="1">
        <v>360</v>
      </c>
      <c r="K83" s="1"/>
      <c r="L83" t="str">
        <f t="shared" si="23"/>
        <v>public const int FLOWER_FROM_PATIENT = 172;</v>
      </c>
    </row>
    <row r="84" spans="1:12" x14ac:dyDescent="0.15">
      <c r="A84" s="1">
        <v>173</v>
      </c>
      <c r="B84" s="1">
        <v>0</v>
      </c>
      <c r="C84" s="1">
        <v>1</v>
      </c>
      <c r="D84" s="1" t="s">
        <v>23</v>
      </c>
      <c r="E84" s="1">
        <f t="shared" ref="E84" si="24">A84</f>
        <v>173</v>
      </c>
      <c r="F84" s="5" t="s">
        <v>203</v>
      </c>
      <c r="G84" s="1">
        <v>10</v>
      </c>
      <c r="H84" s="1">
        <v>0</v>
      </c>
      <c r="I84" s="1" t="s">
        <v>197</v>
      </c>
      <c r="J84" s="1">
        <v>360</v>
      </c>
      <c r="K84" s="1"/>
      <c r="L84" t="str">
        <f t="shared" ref="L84" si="25">CONCATENATE("public const int ",F84," = ",A84,";")</f>
        <v>public const int FLOWER_FROM_PARTNER = 173;</v>
      </c>
    </row>
  </sheetData>
  <phoneticPr fontId="1" type="noConversion"/>
  <conditionalFormatting sqref="G1:G12 G14:G22 G24:G40 G42:G52 G57:G1048576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:G40 G42:G52 G57:G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18" sqref="B18"/>
    </sheetView>
  </sheetViews>
  <sheetFormatPr defaultRowHeight="13.5" x14ac:dyDescent="0.15"/>
  <cols>
    <col min="1" max="2" width="18.75" customWidth="1"/>
    <col min="3" max="3" width="17.25" customWidth="1"/>
  </cols>
  <sheetData>
    <row r="1" spans="1:3" x14ac:dyDescent="0.15">
      <c r="A1" s="1" t="s">
        <v>28</v>
      </c>
      <c r="B1" s="1" t="s">
        <v>34</v>
      </c>
      <c r="C1" s="1" t="s">
        <v>32</v>
      </c>
    </row>
    <row r="2" spans="1:3" x14ac:dyDescent="0.15">
      <c r="A2" s="1" t="s">
        <v>31</v>
      </c>
      <c r="B2" s="1" t="s">
        <v>35</v>
      </c>
      <c r="C2" s="1" t="s">
        <v>33</v>
      </c>
    </row>
    <row r="3" spans="1:3" x14ac:dyDescent="0.15">
      <c r="A3" s="1">
        <v>0</v>
      </c>
      <c r="B3" s="1" t="s">
        <v>22</v>
      </c>
      <c r="C3" s="1">
        <v>100</v>
      </c>
    </row>
    <row r="4" spans="1:3" x14ac:dyDescent="0.15">
      <c r="A4" s="1">
        <v>1</v>
      </c>
      <c r="B4" s="1" t="s">
        <v>23</v>
      </c>
      <c r="C4" s="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person_attribute</vt:lpstr>
      <vt:lpstr>person_attribute_default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2026-01-19T14:46:50Z</dcterms:modified>
</cp:coreProperties>
</file>