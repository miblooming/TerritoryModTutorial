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DDF8D378-40A3-4656-B43C-F0702F90ACF7}" xr6:coauthVersionLast="47" xr6:coauthVersionMax="47" xr10:uidLastSave="{00000000-0000-0000-0000-000000000000}"/>
  <bookViews>
    <workbookView xWindow="1620" yWindow="1500" windowWidth="23850" windowHeight="13425" xr2:uid="{00000000-000D-0000-FFFF-FFFF00000000}"/>
  </bookViews>
  <sheets>
    <sheet name="race" sheetId="1" r:id="rId1"/>
  </sheets>
  <calcPr calcId="181029"/>
</workbook>
</file>

<file path=xl/calcChain.xml><?xml version="1.0" encoding="utf-8"?>
<calcChain xmlns="http://schemas.openxmlformats.org/spreadsheetml/2006/main">
  <c r="AC4" i="1" l="1"/>
  <c r="AD4" i="1" s="1"/>
  <c r="AC5" i="1"/>
  <c r="AD5" i="1" s="1"/>
  <c r="AC6" i="1"/>
  <c r="AD6" i="1" s="1"/>
  <c r="AC7" i="1"/>
  <c r="AD7" i="1" s="1"/>
  <c r="AC8" i="1"/>
  <c r="AD8" i="1" s="1"/>
  <c r="AC9" i="1"/>
  <c r="AD9" i="1" s="1"/>
  <c r="AC10" i="1"/>
  <c r="AD10" i="1" s="1"/>
  <c r="AC11" i="1"/>
  <c r="AD11" i="1" s="1"/>
  <c r="AC12" i="1"/>
  <c r="AD12" i="1" s="1"/>
  <c r="AC3" i="1"/>
  <c r="AD3" i="1" s="1"/>
  <c r="X4" i="1"/>
  <c r="X5" i="1"/>
  <c r="X6" i="1"/>
  <c r="X7" i="1"/>
  <c r="X8" i="1"/>
  <c r="X10" i="1"/>
  <c r="X12" i="1"/>
  <c r="X3" i="1"/>
  <c r="BH2" i="1"/>
  <c r="BF2" i="1" l="1"/>
</calcChain>
</file>

<file path=xl/sharedStrings.xml><?xml version="1.0" encoding="utf-8"?>
<sst xmlns="http://schemas.openxmlformats.org/spreadsheetml/2006/main" count="221" uniqueCount="185">
  <si>
    <t>名称</t>
    <phoneticPr fontId="19" type="noConversion"/>
  </si>
  <si>
    <t>zh-CN</t>
  </si>
  <si>
    <t>种族ID</t>
    <phoneticPr fontId="17" type="noConversion"/>
  </si>
  <si>
    <t>race_id#int</t>
    <phoneticPr fontId="17" type="noConversion"/>
  </si>
  <si>
    <t>矮人</t>
    <phoneticPr fontId="17" type="noConversion"/>
  </si>
  <si>
    <t>鼠人</t>
  </si>
  <si>
    <t>猫人</t>
  </si>
  <si>
    <t>羊人</t>
  </si>
  <si>
    <t>狼人</t>
  </si>
  <si>
    <t>猪人</t>
  </si>
  <si>
    <t>精灵族</t>
  </si>
  <si>
    <t>三眼人</t>
  </si>
  <si>
    <t>寿命</t>
  </si>
  <si>
    <t>是否读书</t>
  </si>
  <si>
    <t>食量</t>
  </si>
  <si>
    <t>蚁人</t>
  </si>
  <si>
    <t>career#int</t>
    <phoneticPr fontId="17" type="noConversion"/>
  </si>
  <si>
    <t>职业说明</t>
    <phoneticPr fontId="17" type="noConversion"/>
  </si>
  <si>
    <t>!tmp</t>
    <phoneticPr fontId="17" type="noConversion"/>
  </si>
  <si>
    <t>不限</t>
    <phoneticPr fontId="17" type="noConversion"/>
  </si>
  <si>
    <t>搬运工</t>
    <phoneticPr fontId="17" type="noConversion"/>
  </si>
  <si>
    <t>矿工</t>
    <phoneticPr fontId="17" type="noConversion"/>
  </si>
  <si>
    <t>渔民</t>
    <phoneticPr fontId="17" type="noConversion"/>
  </si>
  <si>
    <t>牧民</t>
    <phoneticPr fontId="17" type="noConversion"/>
  </si>
  <si>
    <t>士兵</t>
    <phoneticPr fontId="17" type="noConversion"/>
  </si>
  <si>
    <t>农民</t>
    <phoneticPr fontId="17" type="noConversion"/>
  </si>
  <si>
    <t>先知</t>
    <phoneticPr fontId="17" type="noConversion"/>
  </si>
  <si>
    <t>学者</t>
    <phoneticPr fontId="17" type="noConversion"/>
  </si>
  <si>
    <t>can_be_soldier#int</t>
    <phoneticPr fontId="17" type="noConversion"/>
  </si>
  <si>
    <t>lifetime#float</t>
    <phoneticPr fontId="17" type="noConversion"/>
  </si>
  <si>
    <t>go_to_school#int</t>
    <phoneticPr fontId="17" type="noConversion"/>
  </si>
  <si>
    <t>food#int</t>
    <phoneticPr fontId="17" type="noConversion"/>
  </si>
  <si>
    <t>food_intake#float</t>
    <phoneticPr fontId="17" type="noConversion"/>
  </si>
  <si>
    <t>housing_requirement#int</t>
    <phoneticPr fontId="17" type="noConversion"/>
  </si>
  <si>
    <t>糖</t>
  </si>
  <si>
    <t>鱼</t>
  </si>
  <si>
    <t>蔬菜</t>
    <phoneticPr fontId="17" type="noConversion"/>
  </si>
  <si>
    <t>偏好需求</t>
    <phoneticPr fontId="17" type="noConversion"/>
  </si>
  <si>
    <t>烈酒</t>
  </si>
  <si>
    <t>粮食</t>
    <phoneticPr fontId="17" type="noConversion"/>
  </si>
  <si>
    <t>食物限制（只吃这种）</t>
    <phoneticPr fontId="17" type="noConversion"/>
  </si>
  <si>
    <t>不限</t>
    <phoneticPr fontId="17" type="noConversion"/>
  </si>
  <si>
    <t>书籍</t>
  </si>
  <si>
    <t>宝石</t>
  </si>
  <si>
    <t>!race_name#str</t>
    <phoneticPr fontId="19" type="noConversion"/>
  </si>
  <si>
    <t>免疫肠胃炎</t>
    <phoneticPr fontId="17" type="noConversion"/>
  </si>
  <si>
    <t>immune_gastroenteritis#int</t>
    <phoneticPr fontId="17" type="noConversion"/>
  </si>
  <si>
    <t>形似老鼠的种族，擅长挖掘，是天生的矿工。寿命较短，洞穴群居，免疫传染病和肠胃炎。</t>
    <phoneticPr fontId="17" type="noConversion"/>
  </si>
  <si>
    <t>形似蚂蚁的种族，地着单调而节制的生活。寿命较短，洞穴群居，偏好糖，免疫肠胃炎。</t>
    <phoneticPr fontId="17" type="noConversion"/>
  </si>
  <si>
    <t>形似猪的种族，擅长种植，是天生的农民。洞穴群居，偏好主食，免疫肠胃炎。住所肮脏不堪。</t>
    <phoneticPr fontId="17" type="noConversion"/>
  </si>
  <si>
    <t>上古遗民的后代，额头上长有第三只眼，自称为无上的先知，可对敌人，施展精神控制。</t>
    <phoneticPr fontId="17" type="noConversion"/>
  </si>
  <si>
    <t>蜥蜴人</t>
    <phoneticPr fontId="17" type="noConversion"/>
  </si>
  <si>
    <t>黑暗料理</t>
  </si>
  <si>
    <t>career_effect#float</t>
    <phoneticPr fontId="17" type="noConversion"/>
  </si>
  <si>
    <t>是否信教</t>
    <phoneticPr fontId="17" type="noConversion"/>
  </si>
  <si>
    <t>是否祭奠</t>
    <phoneticPr fontId="17" type="noConversion"/>
  </si>
  <si>
    <t>remembering_deceased_relatives#int</t>
    <phoneticPr fontId="17" type="noConversion"/>
  </si>
  <si>
    <t>药茶</t>
  </si>
  <si>
    <t>favor#int</t>
    <phoneticPr fontId="17" type="noConversion"/>
  </si>
  <si>
    <t>favor_count_per_year#int</t>
    <phoneticPr fontId="17" type="noConversion"/>
  </si>
  <si>
    <t>偏好需求每年消耗数量</t>
    <phoneticPr fontId="17" type="noConversion"/>
  </si>
  <si>
    <t>职业优势说明</t>
    <phoneticPr fontId="17" type="noConversion"/>
  </si>
  <si>
    <t>免疫寒冷</t>
    <phoneticPr fontId="17" type="noConversion"/>
  </si>
  <si>
    <t>immune_cold#int</t>
    <phoneticPr fontId="17" type="noConversion"/>
  </si>
  <si>
    <t>!tmp</t>
    <phoneticPr fontId="19" type="noConversion"/>
  </si>
  <si>
    <t>三眼人</t>
    <phoneticPr fontId="17" type="noConversion"/>
  </si>
  <si>
    <t>居住要求
0床
1洞穴</t>
    <phoneticPr fontId="17" type="noConversion"/>
  </si>
  <si>
    <t>be_willing_be_handyman#int</t>
    <phoneticPr fontId="17" type="noConversion"/>
  </si>
  <si>
    <t>是否愿意当杂工</t>
    <phoneticPr fontId="17" type="noConversion"/>
  </si>
  <si>
    <t>狼人</t>
    <phoneticPr fontId="17" type="noConversion"/>
  </si>
  <si>
    <t>擅长职业</t>
    <phoneticPr fontId="17" type="noConversion"/>
  </si>
  <si>
    <t>can_be_mage#int</t>
    <phoneticPr fontId="17" type="noConversion"/>
  </si>
  <si>
    <t>是否能成为法师</t>
    <phoneticPr fontId="17" type="noConversion"/>
  </si>
  <si>
    <t>是否能成为士兵</t>
    <phoneticPr fontId="17" type="noConversion"/>
  </si>
  <si>
    <t>种族天赋：移动速度 x{0:P0}</t>
    <phoneticPr fontId="17" type="noConversion"/>
  </si>
  <si>
    <t>种族天赋：挖矿效率 x{0:P0}</t>
    <phoneticPr fontId="17" type="noConversion"/>
  </si>
  <si>
    <t>种族天赋：战斗力 x{0:P0}</t>
    <phoneticPr fontId="17" type="noConversion"/>
  </si>
  <si>
    <t>种族天赋：耕种产量 x{0:P0}</t>
    <phoneticPr fontId="17" type="noConversion"/>
  </si>
  <si>
    <t>!career_effect_desc#str</t>
    <phoneticPr fontId="17" type="noConversion"/>
  </si>
  <si>
    <t>effect_type#int</t>
    <phoneticPr fontId="17" type="noConversion"/>
  </si>
  <si>
    <t>种族天赋：信仰之力额外增益恢复速度 x{0:P0}</t>
    <phoneticPr fontId="17" type="noConversion"/>
  </si>
  <si>
    <t>职业匹配时的优势</t>
    <phoneticPr fontId="17" type="noConversion"/>
  </si>
  <si>
    <t>免疫传染病</t>
    <phoneticPr fontId="17" type="noConversion"/>
  </si>
  <si>
    <t>immune_infectious_disease#int</t>
    <phoneticPr fontId="17" type="noConversion"/>
  </si>
  <si>
    <t>天生会利用宝石中神秘力量，施展魔法的种族。自命为万物之灵，寿命极长，免疫寒冷，免疫传染病，不从事日常劳动。只吃精致食物，偏好宝石。</t>
    <phoneticPr fontId="17" type="noConversion"/>
  </si>
  <si>
    <t>影响维度
0：无
1：移动速度
2：工作效率
3：产量
4：战斗加成</t>
    <phoneticPr fontId="17" type="noConversion"/>
  </si>
  <si>
    <t>!tmp</t>
    <phoneticPr fontId="17" type="noConversion"/>
  </si>
  <si>
    <t>蚁</t>
    <phoneticPr fontId="17" type="noConversion"/>
  </si>
  <si>
    <t>鼠</t>
    <phoneticPr fontId="17" type="noConversion"/>
  </si>
  <si>
    <t>猫</t>
    <phoneticPr fontId="17" type="noConversion"/>
  </si>
  <si>
    <t>羊人</t>
    <phoneticPr fontId="17" type="noConversion"/>
  </si>
  <si>
    <t>羊</t>
    <phoneticPr fontId="17" type="noConversion"/>
  </si>
  <si>
    <t>狼</t>
    <phoneticPr fontId="17" type="noConversion"/>
  </si>
  <si>
    <t>猪人</t>
    <phoneticPr fontId="17" type="noConversion"/>
  </si>
  <si>
    <t>猪</t>
    <phoneticPr fontId="17" type="noConversion"/>
  </si>
  <si>
    <t>精灵族</t>
    <phoneticPr fontId="17" type="noConversion"/>
  </si>
  <si>
    <t>灵</t>
    <phoneticPr fontId="17" type="noConversion"/>
  </si>
  <si>
    <t>蜥蜴人</t>
    <phoneticPr fontId="17" type="noConversion"/>
  </si>
  <si>
    <t>蜥</t>
    <phoneticPr fontId="17" type="noConversion"/>
  </si>
  <si>
    <t>目</t>
    <phoneticPr fontId="17" type="noConversion"/>
  </si>
  <si>
    <t>职业劣势</t>
    <phoneticPr fontId="17" type="noConversion"/>
  </si>
  <si>
    <t>!tmp</t>
    <phoneticPr fontId="17" type="noConversion"/>
  </si>
  <si>
    <t>文化事业效率低
信仰事业效率低</t>
    <phoneticPr fontId="17" type="noConversion"/>
  </si>
  <si>
    <t>身体矮小的类人种族，大多数显得不太聪明，有着自己独特的文明。</t>
  </si>
  <si>
    <t>是否喝酒</t>
    <phoneticPr fontId="17" type="noConversion"/>
  </si>
  <si>
    <t>是否吃巧克力</t>
    <phoneticPr fontId="17" type="noConversion"/>
  </si>
  <si>
    <t>是否喝咖啡</t>
    <phoneticPr fontId="17" type="noConversion"/>
  </si>
  <si>
    <t>need_wine#int</t>
    <phoneticPr fontId="17" type="noConversion"/>
  </si>
  <si>
    <t>need_chocolate#int</t>
    <phoneticPr fontId="17" type="noConversion"/>
  </si>
  <si>
    <t>是否喝药茶</t>
    <phoneticPr fontId="17" type="noConversion"/>
  </si>
  <si>
    <t>need_herbal_tea#int</t>
    <phoneticPr fontId="17" type="noConversion"/>
  </si>
  <si>
    <t>need_coffee#int</t>
    <phoneticPr fontId="17" type="noConversion"/>
  </si>
  <si>
    <t>蚁人</t>
    <phoneticPr fontId="17" type="noConversion"/>
  </si>
  <si>
    <t>stuff_id#int</t>
    <phoneticPr fontId="17" type="noConversion"/>
  </si>
  <si>
    <t>物品ID</t>
    <phoneticPr fontId="17" type="noConversion"/>
  </si>
  <si>
    <t>种族天赋：移动速度 x{0:P0}，擅长搬运</t>
    <phoneticPr fontId="17" type="noConversion"/>
  </si>
  <si>
    <t>成年年龄</t>
    <phoneticPr fontId="17" type="noConversion"/>
  </si>
  <si>
    <t>age_to_be_adult#int</t>
    <phoneticPr fontId="17" type="noConversion"/>
  </si>
  <si>
    <t>student_age_max#int</t>
    <phoneticPr fontId="17" type="noConversion"/>
  </si>
  <si>
    <t>学生状态最大年龄</t>
    <phoneticPr fontId="17" type="noConversion"/>
  </si>
  <si>
    <t>粪便量</t>
    <phoneticPr fontId="17" type="noConversion"/>
  </si>
  <si>
    <t>faeces_count#int</t>
    <phoneticPr fontId="17" type="noConversion"/>
  </si>
  <si>
    <t>sleep_month#str</t>
    <phoneticPr fontId="17" type="noConversion"/>
  </si>
  <si>
    <t>睡觉月份
一月为0
留空表示晚上睡觉</t>
    <phoneticPr fontId="17" type="noConversion"/>
  </si>
  <si>
    <r>
      <t>3</t>
    </r>
    <r>
      <rPr>
        <sz val="11"/>
        <color theme="1"/>
        <rFont val="宋体"/>
        <family val="3"/>
        <charset val="134"/>
        <scheme val="minor"/>
      </rPr>
      <t>,4</t>
    </r>
    <phoneticPr fontId="17" type="noConversion"/>
  </si>
  <si>
    <t>sleep_day_count#int</t>
    <phoneticPr fontId="17" type="noConversion"/>
  </si>
  <si>
    <t>单次睡觉时长（天数）</t>
    <phoneticPr fontId="17" type="noConversion"/>
  </si>
  <si>
    <t>9,10,11</t>
    <phoneticPr fontId="17" type="noConversion"/>
  </si>
  <si>
    <t>形似狼的种族，擅长战斗，是天生的士兵。除了肉食，坚决不吃其它食物，偏好烈酒，免疫肠胃炎。亲人死亡后，会充满仇恨和战斗的欲望。</t>
    <phoneticPr fontId="17" type="noConversion"/>
  </si>
  <si>
    <t>heat_loss_speed_rate#float</t>
    <phoneticPr fontId="17" type="noConversion"/>
  </si>
  <si>
    <t>体温流失速度</t>
    <phoneticPr fontId="17" type="noConversion"/>
  </si>
  <si>
    <t>形似绵羊的种族，擅长放牧，是天生的牧民。偏好蔬菜，免疫肠胃炎。不怕冷，也不会因亲人亡故而悲伤。</t>
    <phoneticPr fontId="17" type="noConversion"/>
  </si>
  <si>
    <t>形似猫的种族，擅长捕鱼，是天生的渔夫。春天四处求爱配对，秋天自动解除婚配关系。猫人晚上不睡觉，初夏和仲夏会睡整两个月。偏好鱼，免疫肠胃炎</t>
    <phoneticPr fontId="17" type="noConversion"/>
  </si>
  <si>
    <t>来自地心的种族，形似蜥蜴，自称掌握着宇宙的真理。经常在夏夜聚在一起祷告，据说是在聆听神的旨意。特别害怕寒冷，需冬眠。</t>
    <phoneticPr fontId="17" type="noConversion"/>
  </si>
  <si>
    <t>免疫蚊子</t>
    <phoneticPr fontId="17" type="noConversion"/>
  </si>
  <si>
    <t>immunize_mosquitoes#int</t>
    <phoneticPr fontId="17" type="noConversion"/>
  </si>
  <si>
    <t>can_use_ring_and_nacklace#int</t>
    <phoneticPr fontId="17" type="noConversion"/>
  </si>
  <si>
    <t>是否使用戒指</t>
    <phoneticPr fontId="17" type="noConversion"/>
  </si>
  <si>
    <t>只在成为战斗单位后，才使用戒指和项链</t>
    <phoneticPr fontId="17" type="noConversion"/>
  </si>
  <si>
    <t>use_ring_and_nacklace_on_be_soldier#int</t>
    <phoneticPr fontId="17" type="noConversion"/>
  </si>
  <si>
    <t>!tmp</t>
    <phoneticPr fontId="17" type="noConversion"/>
  </si>
  <si>
    <t>戒指：研究速度进一步提升_x000D_
项链：灵感爆发次数翻倍</t>
    <phoneticPr fontId="17" type="noConversion"/>
  </si>
  <si>
    <t>单次戒指的耐久消耗</t>
    <phoneticPr fontId="17" type="noConversion"/>
  </si>
  <si>
    <t>单次项链的耐久消耗</t>
    <phoneticPr fontId="17" type="noConversion"/>
  </si>
  <si>
    <t>cost_of_durable_of_ring#float</t>
    <phoneticPr fontId="17" type="noConversion"/>
  </si>
  <si>
    <t>cost_of_durable_of_nacklace#float</t>
    <phoneticPr fontId="17" type="noConversion"/>
  </si>
  <si>
    <t>戒指，攻击力翻倍_x000D_
项链，大招频率翻倍（命中后的附加特效）</t>
    <phoneticPr fontId="17" type="noConversion"/>
  </si>
  <si>
    <t>戒指，被控士兵在死亡时，会产生自爆
项链：伤害减半</t>
    <phoneticPr fontId="17" type="noConversion"/>
  </si>
  <si>
    <t>一次生育几胎</t>
    <phoneticPr fontId="17" type="noConversion"/>
  </si>
  <si>
    <t>baby_count_one_time#int</t>
    <phoneticPr fontId="17" type="noConversion"/>
  </si>
  <si>
    <t>怀孕间隔岁数</t>
    <phoneticPr fontId="17" type="noConversion"/>
  </si>
  <si>
    <t>pregnant_interval_year#float</t>
    <phoneticPr fontId="17" type="noConversion"/>
  </si>
  <si>
    <t>pregnant_interval_random_range#float</t>
    <phoneticPr fontId="17" type="noConversion"/>
  </si>
  <si>
    <t>max_pregnant_age#int</t>
    <phoneticPr fontId="17" type="noConversion"/>
  </si>
  <si>
    <t>最大可怀孕年龄</t>
    <phoneticPr fontId="17" type="noConversion"/>
  </si>
  <si>
    <t>怀孕间隔随机波动范围</t>
    <phoneticPr fontId="17" type="noConversion"/>
  </si>
  <si>
    <t>child_egg_milk_count_need#int</t>
    <phoneticPr fontId="17" type="noConversion"/>
  </si>
  <si>
    <t>儿童蛋奶需求</t>
    <phoneticPr fontId="17" type="noConversion"/>
  </si>
  <si>
    <t>child_egg_milk_per_time#int</t>
    <phoneticPr fontId="17" type="noConversion"/>
  </si>
  <si>
    <t>儿童每次蛋奶消耗量</t>
    <phoneticPr fontId="17" type="noConversion"/>
  </si>
  <si>
    <t>find_egg_milk_interval_days#int</t>
    <phoneticPr fontId="17" type="noConversion"/>
  </si>
  <si>
    <t>儿童蛋奶消耗间隔</t>
    <phoneticPr fontId="17" type="noConversion"/>
  </si>
  <si>
    <t>种族天赋：钓鱼速度 x{0:P0}，且渔获 +1</t>
  </si>
  <si>
    <t>种族天赋：钓鱼速度 x{0:P0}，且渔获 +1</t>
    <phoneticPr fontId="17" type="noConversion"/>
  </si>
  <si>
    <t>种族天赋：畜牧效率 x{0:P0}，且产量增加</t>
  </si>
  <si>
    <t>种族天赋：畜牧效率 x{0:P0}，且产量增加</t>
    <phoneticPr fontId="17" type="noConversion"/>
  </si>
  <si>
    <t>种族天赋：战斗力 x{0:P0}</t>
  </si>
  <si>
    <t>种族天赋：耕种产量 x{0:P0}</t>
    <phoneticPr fontId="17" type="noConversion"/>
  </si>
  <si>
    <t>孕期睡觉等另一半的最大时长</t>
    <phoneticPr fontId="17" type="noConversion"/>
  </si>
  <si>
    <t>sleep_wait_other_half_day_count#int</t>
    <phoneticPr fontId="17" type="noConversion"/>
  </si>
  <si>
    <t>精灵族</t>
    <phoneticPr fontId="17" type="noConversion"/>
  </si>
  <si>
    <t>种族天赋：研究及写书效率 x{0:P0}</t>
    <phoneticPr fontId="17" type="noConversion"/>
  </si>
  <si>
    <t>鼠人</t>
    <phoneticPr fontId="17" type="noConversion"/>
  </si>
  <si>
    <t>羊人</t>
    <phoneticPr fontId="17" type="noConversion"/>
  </si>
  <si>
    <t>猫人</t>
    <phoneticPr fontId="17" type="noConversion"/>
  </si>
  <si>
    <t>种族天赋：挖矿效率 x{0:P0}，并概率挖到其它东西</t>
    <phoneticPr fontId="17" type="noConversion"/>
  </si>
  <si>
    <t>背包容量</t>
    <phoneticPr fontId="17" type="noConversion"/>
  </si>
  <si>
    <t>bag_limit#int</t>
    <phoneticPr fontId="17" type="noConversion"/>
  </si>
  <si>
    <t>是否出现在雇工事件中</t>
    <phoneticPr fontId="17" type="noConversion"/>
  </si>
  <si>
    <t>job_search#int</t>
    <phoneticPr fontId="17" type="noConversion"/>
  </si>
  <si>
    <t>has_belief#int</t>
    <phoneticPr fontId="17" type="noConversion"/>
  </si>
  <si>
    <t>food2#int</t>
    <phoneticPr fontId="17" type="noConversion"/>
  </si>
  <si>
    <t>!tmp</t>
    <phoneticPr fontId="17" type="noConversion"/>
  </si>
  <si>
    <t>怀孕冷却天数最小</t>
    <phoneticPr fontId="17" type="noConversion"/>
  </si>
  <si>
    <t>怀孕冷却天数最大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</si>
</sst>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Arial"/>
      <family val="2"/>
    </font>
    <font>
      <sz val="11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6">
    <xf numFmtId="0" fontId="0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18" fillId="0" borderId="0"/>
    <xf numFmtId="0" fontId="18" fillId="0" borderId="0"/>
    <xf numFmtId="0" fontId="22" fillId="0" borderId="0"/>
    <xf numFmtId="0" fontId="18" fillId="0" borderId="0"/>
    <xf numFmtId="0" fontId="18" fillId="0" borderId="0"/>
    <xf numFmtId="0" fontId="22" fillId="0" borderId="0"/>
    <xf numFmtId="0" fontId="18" fillId="0" borderId="0"/>
    <xf numFmtId="0" fontId="18" fillId="0" borderId="0"/>
    <xf numFmtId="0" fontId="22" fillId="0" borderId="0"/>
    <xf numFmtId="0" fontId="18" fillId="0" borderId="0"/>
    <xf numFmtId="0" fontId="18" fillId="0" borderId="0"/>
    <xf numFmtId="0" fontId="22" fillId="0" borderId="0"/>
    <xf numFmtId="0" fontId="18" fillId="0" borderId="0"/>
    <xf numFmtId="0" fontId="18" fillId="0" borderId="0"/>
    <xf numFmtId="0" fontId="22" fillId="0" borderId="0"/>
    <xf numFmtId="0" fontId="18" fillId="0" borderId="0"/>
    <xf numFmtId="0" fontId="18" fillId="0" borderId="0"/>
  </cellStyleXfs>
  <cellXfs count="61">
    <xf numFmtId="0" fontId="0" fillId="0" borderId="0" xfId="0">
      <alignment vertical="center"/>
    </xf>
    <xf numFmtId="0" fontId="18" fillId="0" borderId="1" xfId="0" applyFont="1" applyBorder="1" applyAlignment="1">
      <alignment wrapText="1"/>
    </xf>
    <xf numFmtId="0" fontId="20" fillId="0" borderId="1" xfId="0" applyFont="1" applyBorder="1" applyAlignment="1">
      <alignment vertical="center" wrapText="1"/>
    </xf>
    <xf numFmtId="0" fontId="18" fillId="0" borderId="1" xfId="0" applyFont="1" applyBorder="1" applyAlignment="1"/>
    <xf numFmtId="0" fontId="0" fillId="0" borderId="1" xfId="0" applyBorder="1" applyAlignment="1"/>
    <xf numFmtId="0" fontId="21" fillId="0" borderId="1" xfId="1" applyBorder="1"/>
    <xf numFmtId="0" fontId="21" fillId="0" borderId="1" xfId="2" applyBorder="1" applyAlignment="1">
      <alignment wrapText="1"/>
    </xf>
    <xf numFmtId="0" fontId="0" fillId="0" borderId="1" xfId="0" applyBorder="1">
      <alignment vertical="center"/>
    </xf>
    <xf numFmtId="0" fontId="21" fillId="0" borderId="1" xfId="3" applyBorder="1"/>
    <xf numFmtId="0" fontId="21" fillId="0" borderId="1" xfId="4" applyBorder="1"/>
    <xf numFmtId="0" fontId="18" fillId="0" borderId="2" xfId="0" applyFont="1" applyBorder="1" applyAlignment="1"/>
    <xf numFmtId="0" fontId="18" fillId="0" borderId="1" xfId="5" applyFont="1" applyBorder="1"/>
    <xf numFmtId="0" fontId="21" fillId="0" borderId="1" xfId="7" applyBorder="1" applyAlignment="1">
      <alignment wrapText="1"/>
    </xf>
    <xf numFmtId="0" fontId="22" fillId="0" borderId="1" xfId="8" applyBorder="1"/>
    <xf numFmtId="0" fontId="22" fillId="3" borderId="1" xfId="11" applyFill="1" applyBorder="1"/>
    <xf numFmtId="0" fontId="22" fillId="0" borderId="1" xfId="17" applyBorder="1"/>
    <xf numFmtId="0" fontId="22" fillId="0" borderId="1" xfId="20" applyBorder="1"/>
    <xf numFmtId="0" fontId="0" fillId="3" borderId="1" xfId="0" applyFill="1" applyBorder="1" applyAlignment="1"/>
    <xf numFmtId="0" fontId="22" fillId="0" borderId="1" xfId="23" applyBorder="1"/>
    <xf numFmtId="0" fontId="21" fillId="4" borderId="1" xfId="2" applyFill="1" applyBorder="1" applyAlignment="1">
      <alignment wrapText="1"/>
    </xf>
    <xf numFmtId="0" fontId="18" fillId="4" borderId="1" xfId="0" applyFont="1" applyFill="1" applyBorder="1" applyAlignment="1"/>
    <xf numFmtId="0" fontId="16" fillId="0" borderId="1" xfId="2" applyFont="1" applyBorder="1" applyAlignment="1">
      <alignment wrapText="1"/>
    </xf>
    <xf numFmtId="0" fontId="0" fillId="0" borderId="1" xfId="0" applyBorder="1" applyAlignment="1">
      <alignment wrapText="1"/>
    </xf>
    <xf numFmtId="0" fontId="21" fillId="0" borderId="1" xfId="1" applyBorder="1" applyAlignment="1">
      <alignment wrapText="1"/>
    </xf>
    <xf numFmtId="0" fontId="0" fillId="0" borderId="0" xfId="0" applyAlignment="1">
      <alignment vertical="center" wrapText="1"/>
    </xf>
    <xf numFmtId="0" fontId="16" fillId="0" borderId="1" xfId="1" applyFont="1" applyBorder="1"/>
    <xf numFmtId="0" fontId="15" fillId="0" borderId="1" xfId="2" applyFont="1" applyBorder="1" applyAlignment="1">
      <alignment wrapText="1"/>
    </xf>
    <xf numFmtId="0" fontId="18" fillId="4" borderId="1" xfId="0" applyFont="1" applyFill="1" applyBorder="1" applyAlignment="1">
      <alignment wrapText="1"/>
    </xf>
    <xf numFmtId="0" fontId="18" fillId="0" borderId="3" xfId="0" applyFont="1" applyBorder="1" applyAlignment="1"/>
    <xf numFmtId="0" fontId="22" fillId="0" borderId="1" xfId="11" applyBorder="1"/>
    <xf numFmtId="0" fontId="15" fillId="0" borderId="1" xfId="3" applyFont="1" applyBorder="1" applyAlignment="1">
      <alignment wrapText="1"/>
    </xf>
    <xf numFmtId="0" fontId="0" fillId="0" borderId="1" xfId="0" applyBorder="1" applyAlignment="1">
      <alignment vertical="center" wrapText="1"/>
    </xf>
    <xf numFmtId="0" fontId="16" fillId="4" borderId="1" xfId="2" applyFont="1" applyFill="1" applyBorder="1" applyAlignment="1">
      <alignment wrapText="1"/>
    </xf>
    <xf numFmtId="0" fontId="14" fillId="4" borderId="1" xfId="2" applyFont="1" applyFill="1" applyBorder="1" applyAlignment="1">
      <alignment wrapText="1"/>
    </xf>
    <xf numFmtId="0" fontId="15" fillId="4" borderId="1" xfId="2" applyFont="1" applyFill="1" applyBorder="1" applyAlignment="1">
      <alignment wrapText="1"/>
    </xf>
    <xf numFmtId="0" fontId="20" fillId="2" borderId="1" xfId="0" applyFont="1" applyFill="1" applyBorder="1" applyAlignment="1">
      <alignment vertical="center" wrapText="1"/>
    </xf>
    <xf numFmtId="0" fontId="13" fillId="4" borderId="1" xfId="2" applyFont="1" applyFill="1" applyBorder="1" applyAlignment="1">
      <alignment wrapText="1"/>
    </xf>
    <xf numFmtId="0" fontId="18" fillId="0" borderId="1" xfId="11" applyFont="1" applyBorder="1"/>
    <xf numFmtId="0" fontId="18" fillId="0" borderId="1" xfId="17" applyFont="1" applyBorder="1"/>
    <xf numFmtId="0" fontId="12" fillId="4" borderId="1" xfId="2" applyFont="1" applyFill="1" applyBorder="1" applyAlignment="1">
      <alignment wrapText="1"/>
    </xf>
    <xf numFmtId="0" fontId="11" fillId="0" borderId="1" xfId="2" applyFont="1" applyBorder="1" applyAlignment="1">
      <alignment wrapText="1"/>
    </xf>
    <xf numFmtId="0" fontId="10" fillId="4" borderId="1" xfId="2" applyFont="1" applyFill="1" applyBorder="1" applyAlignment="1">
      <alignment wrapText="1"/>
    </xf>
    <xf numFmtId="0" fontId="9" fillId="4" borderId="1" xfId="2" applyFont="1" applyFill="1" applyBorder="1" applyAlignment="1">
      <alignment wrapText="1"/>
    </xf>
    <xf numFmtId="0" fontId="8" fillId="4" borderId="1" xfId="2" applyFont="1" applyFill="1" applyBorder="1" applyAlignment="1">
      <alignment wrapText="1"/>
    </xf>
    <xf numFmtId="0" fontId="8" fillId="0" borderId="1" xfId="2" applyFont="1" applyBorder="1" applyAlignment="1">
      <alignment wrapText="1"/>
    </xf>
    <xf numFmtId="0" fontId="23" fillId="4" borderId="1" xfId="0" applyFont="1" applyFill="1" applyBorder="1" applyAlignment="1">
      <alignment wrapText="1"/>
    </xf>
    <xf numFmtId="0" fontId="21" fillId="2" borderId="1" xfId="2" applyFill="1" applyBorder="1" applyAlignment="1">
      <alignment wrapText="1"/>
    </xf>
    <xf numFmtId="0" fontId="7" fillId="2" borderId="1" xfId="2" applyFont="1" applyFill="1" applyBorder="1" applyAlignment="1">
      <alignment wrapText="1"/>
    </xf>
    <xf numFmtId="0" fontId="6" fillId="4" borderId="1" xfId="2" applyFont="1" applyFill="1" applyBorder="1" applyAlignment="1">
      <alignment wrapText="1"/>
    </xf>
    <xf numFmtId="0" fontId="21" fillId="4" borderId="1" xfId="3" applyFill="1" applyBorder="1"/>
    <xf numFmtId="0" fontId="21" fillId="4" borderId="1" xfId="1" applyFill="1" applyBorder="1"/>
    <xf numFmtId="0" fontId="5" fillId="4" borderId="1" xfId="1" applyFont="1" applyFill="1" applyBorder="1"/>
    <xf numFmtId="0" fontId="4" fillId="5" borderId="1" xfId="1" applyFont="1" applyFill="1" applyBorder="1"/>
    <xf numFmtId="0" fontId="4" fillId="4" borderId="1" xfId="1" applyFont="1" applyFill="1" applyBorder="1"/>
    <xf numFmtId="0" fontId="3" fillId="4" borderId="1" xfId="2" applyFont="1" applyFill="1" applyBorder="1" applyAlignment="1">
      <alignment wrapText="1"/>
    </xf>
    <xf numFmtId="0" fontId="2" fillId="4" borderId="1" xfId="2" applyFont="1" applyFill="1" applyBorder="1" applyAlignment="1">
      <alignment wrapText="1"/>
    </xf>
    <xf numFmtId="0" fontId="4" fillId="0" borderId="1" xfId="1" applyFont="1" applyBorder="1"/>
    <xf numFmtId="0" fontId="5" fillId="0" borderId="1" xfId="1" applyFont="1" applyBorder="1"/>
    <xf numFmtId="0" fontId="1" fillId="4" borderId="1" xfId="2" applyFont="1" applyFill="1" applyBorder="1" applyAlignment="1">
      <alignment wrapText="1"/>
    </xf>
    <xf numFmtId="0" fontId="1" fillId="2" borderId="1" xfId="2" applyFont="1" applyFill="1" applyBorder="1" applyAlignment="1">
      <alignment wrapText="1"/>
    </xf>
    <xf numFmtId="0" fontId="18" fillId="2" borderId="1" xfId="0" applyFont="1" applyFill="1" applyBorder="1" applyAlignment="1"/>
  </cellXfs>
  <cellStyles count="26">
    <cellStyle name="常规" xfId="0" builtinId="0"/>
    <cellStyle name="常规 10" xfId="7" xr:uid="{00000000-0005-0000-0000-000001000000}"/>
    <cellStyle name="常规 11" xfId="8" xr:uid="{00000000-0005-0000-0000-000002000000}"/>
    <cellStyle name="常规 12" xfId="11" xr:uid="{00000000-0005-0000-0000-000003000000}"/>
    <cellStyle name="常规 13" xfId="23" xr:uid="{00000000-0005-0000-0000-000004000000}"/>
    <cellStyle name="常规 2" xfId="1" xr:uid="{00000000-0005-0000-0000-000005000000}"/>
    <cellStyle name="常规 2 2" xfId="6" xr:uid="{00000000-0005-0000-0000-000006000000}"/>
    <cellStyle name="常规 2 3" xfId="9" xr:uid="{00000000-0005-0000-0000-000007000000}"/>
    <cellStyle name="常规 2 4" xfId="12" xr:uid="{00000000-0005-0000-0000-000008000000}"/>
    <cellStyle name="常规 2 5" xfId="15" xr:uid="{00000000-0005-0000-0000-000009000000}"/>
    <cellStyle name="常规 2 6" xfId="18" xr:uid="{00000000-0005-0000-0000-00000A000000}"/>
    <cellStyle name="常规 2 7" xfId="21" xr:uid="{00000000-0005-0000-0000-00000B000000}"/>
    <cellStyle name="常规 2 8" xfId="24" xr:uid="{00000000-0005-0000-0000-00000C000000}"/>
    <cellStyle name="常规 3" xfId="2" xr:uid="{00000000-0005-0000-0000-00000D000000}"/>
    <cellStyle name="常规 3 2" xfId="10" xr:uid="{00000000-0005-0000-0000-00000E000000}"/>
    <cellStyle name="常规 3 3" xfId="13" xr:uid="{00000000-0005-0000-0000-00000F000000}"/>
    <cellStyle name="常规 3 4" xfId="16" xr:uid="{00000000-0005-0000-0000-000010000000}"/>
    <cellStyle name="常规 3 5" xfId="19" xr:uid="{00000000-0005-0000-0000-000011000000}"/>
    <cellStyle name="常规 3 6" xfId="22" xr:uid="{00000000-0005-0000-0000-000012000000}"/>
    <cellStyle name="常规 3 7" xfId="25" xr:uid="{00000000-0005-0000-0000-000013000000}"/>
    <cellStyle name="常规 4" xfId="14" xr:uid="{00000000-0005-0000-0000-000014000000}"/>
    <cellStyle name="常规 5" xfId="17" xr:uid="{00000000-0005-0000-0000-000015000000}"/>
    <cellStyle name="常规 6" xfId="3" xr:uid="{00000000-0005-0000-0000-000016000000}"/>
    <cellStyle name="常规 7" xfId="20" xr:uid="{00000000-0005-0000-0000-000017000000}"/>
    <cellStyle name="常规 8" xfId="4" xr:uid="{00000000-0005-0000-0000-000018000000}"/>
    <cellStyle name="常规 9" xfId="5" xr:uid="{00000000-0005-0000-0000-000019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2"/>
  <sheetViews>
    <sheetView tabSelected="1" topLeftCell="T1" workbookViewId="0">
      <selection activeCell="AF6" sqref="AF6"/>
    </sheetView>
  </sheetViews>
  <sheetFormatPr defaultRowHeight="13.5" x14ac:dyDescent="0.15"/>
  <cols>
    <col min="6" max="6" width="11" customWidth="1"/>
    <col min="10" max="10" width="38" customWidth="1"/>
    <col min="11" max="11" width="26.75" customWidth="1"/>
    <col min="12" max="15" width="7" customWidth="1"/>
    <col min="16" max="16" width="36.75" customWidth="1"/>
    <col min="28" max="31" width="11" customWidth="1"/>
    <col min="33" max="34" width="11" customWidth="1"/>
    <col min="56" max="56" width="9" style="24"/>
    <col min="57" max="57" width="60.125" style="24" customWidth="1"/>
  </cols>
  <sheetData>
    <row r="1" spans="1:60" s="24" customFormat="1" ht="121.5" x14ac:dyDescent="0.15">
      <c r="A1" s="31" t="s">
        <v>2</v>
      </c>
      <c r="B1" s="31" t="s">
        <v>114</v>
      </c>
      <c r="C1" s="1" t="s">
        <v>0</v>
      </c>
      <c r="D1" s="1" t="s">
        <v>178</v>
      </c>
      <c r="E1" s="40" t="s">
        <v>68</v>
      </c>
      <c r="F1" s="40" t="s">
        <v>70</v>
      </c>
      <c r="G1" s="6" t="s">
        <v>17</v>
      </c>
      <c r="H1" s="21" t="s">
        <v>81</v>
      </c>
      <c r="I1" s="21" t="s">
        <v>85</v>
      </c>
      <c r="J1" s="6" t="s">
        <v>61</v>
      </c>
      <c r="K1" s="26" t="s">
        <v>100</v>
      </c>
      <c r="L1" s="42" t="s">
        <v>137</v>
      </c>
      <c r="M1" s="43" t="s">
        <v>138</v>
      </c>
      <c r="N1" s="43" t="s">
        <v>142</v>
      </c>
      <c r="O1" s="43" t="s">
        <v>143</v>
      </c>
      <c r="P1" s="44"/>
      <c r="Q1" s="19" t="s">
        <v>73</v>
      </c>
      <c r="R1" s="19" t="s">
        <v>72</v>
      </c>
      <c r="S1" s="39" t="s">
        <v>62</v>
      </c>
      <c r="T1" s="39" t="s">
        <v>130</v>
      </c>
      <c r="U1" s="32" t="s">
        <v>82</v>
      </c>
      <c r="V1" s="19" t="s">
        <v>45</v>
      </c>
      <c r="W1" s="46" t="s">
        <v>12</v>
      </c>
      <c r="X1" s="47" t="s">
        <v>157</v>
      </c>
      <c r="Y1" s="47" t="s">
        <v>159</v>
      </c>
      <c r="Z1" s="47" t="s">
        <v>161</v>
      </c>
      <c r="AA1" s="1" t="s">
        <v>0</v>
      </c>
      <c r="AB1" s="44" t="s">
        <v>148</v>
      </c>
      <c r="AC1" s="59" t="s">
        <v>183</v>
      </c>
      <c r="AD1" s="59" t="s">
        <v>184</v>
      </c>
      <c r="AE1" s="44" t="s">
        <v>154</v>
      </c>
      <c r="AF1" s="58" t="s">
        <v>116</v>
      </c>
      <c r="AG1" s="44" t="s">
        <v>150</v>
      </c>
      <c r="AH1" s="44" t="s">
        <v>155</v>
      </c>
      <c r="AI1" s="33" t="s">
        <v>119</v>
      </c>
      <c r="AJ1" s="19" t="s">
        <v>13</v>
      </c>
      <c r="AK1" s="19" t="s">
        <v>54</v>
      </c>
      <c r="AL1" s="19" t="s">
        <v>55</v>
      </c>
      <c r="AM1" s="19" t="s">
        <v>40</v>
      </c>
      <c r="AN1" s="19" t="s">
        <v>40</v>
      </c>
      <c r="AO1" s="19" t="s">
        <v>14</v>
      </c>
      <c r="AP1" s="33" t="s">
        <v>120</v>
      </c>
      <c r="AQ1" s="19" t="s">
        <v>66</v>
      </c>
      <c r="AR1" s="19" t="s">
        <v>37</v>
      </c>
      <c r="AS1" s="19" t="s">
        <v>60</v>
      </c>
      <c r="AT1" s="55" t="s">
        <v>176</v>
      </c>
      <c r="AU1" s="6"/>
      <c r="AV1" s="34" t="s">
        <v>104</v>
      </c>
      <c r="AW1" s="34" t="s">
        <v>105</v>
      </c>
      <c r="AX1" s="34" t="s">
        <v>106</v>
      </c>
      <c r="AY1" s="34" t="s">
        <v>109</v>
      </c>
      <c r="AZ1" s="54" t="s">
        <v>123</v>
      </c>
      <c r="BA1" s="36" t="s">
        <v>126</v>
      </c>
      <c r="BB1" s="48" t="s">
        <v>168</v>
      </c>
      <c r="BC1" s="41" t="s">
        <v>134</v>
      </c>
      <c r="BD1" s="1" t="s">
        <v>0</v>
      </c>
      <c r="BE1" s="2"/>
      <c r="BF1" s="35" t="s">
        <v>1</v>
      </c>
      <c r="BG1" s="2"/>
      <c r="BH1" s="35" t="s">
        <v>1</v>
      </c>
    </row>
    <row r="2" spans="1:60" x14ac:dyDescent="0.15">
      <c r="A2" s="7" t="s">
        <v>3</v>
      </c>
      <c r="B2" s="7" t="s">
        <v>113</v>
      </c>
      <c r="C2" s="3" t="s">
        <v>44</v>
      </c>
      <c r="D2" s="3" t="s">
        <v>179</v>
      </c>
      <c r="E2" s="3" t="s">
        <v>67</v>
      </c>
      <c r="F2" s="3" t="s">
        <v>16</v>
      </c>
      <c r="G2" s="3" t="s">
        <v>18</v>
      </c>
      <c r="H2" s="3" t="s">
        <v>53</v>
      </c>
      <c r="I2" s="3" t="s">
        <v>79</v>
      </c>
      <c r="J2" s="3" t="s">
        <v>78</v>
      </c>
      <c r="K2" s="3" t="s">
        <v>101</v>
      </c>
      <c r="L2" s="3" t="s">
        <v>136</v>
      </c>
      <c r="M2" s="3" t="s">
        <v>139</v>
      </c>
      <c r="N2" s="3" t="s">
        <v>144</v>
      </c>
      <c r="O2" s="3" t="s">
        <v>145</v>
      </c>
      <c r="P2" s="3" t="s">
        <v>140</v>
      </c>
      <c r="Q2" s="3" t="s">
        <v>28</v>
      </c>
      <c r="R2" s="3" t="s">
        <v>71</v>
      </c>
      <c r="S2" s="3" t="s">
        <v>63</v>
      </c>
      <c r="T2" s="3" t="s">
        <v>129</v>
      </c>
      <c r="U2" s="3" t="s">
        <v>83</v>
      </c>
      <c r="V2" s="3" t="s">
        <v>46</v>
      </c>
      <c r="W2" s="3" t="s">
        <v>29</v>
      </c>
      <c r="X2" s="3" t="s">
        <v>156</v>
      </c>
      <c r="Y2" s="3" t="s">
        <v>158</v>
      </c>
      <c r="Z2" s="3" t="s">
        <v>160</v>
      </c>
      <c r="AA2" s="3" t="s">
        <v>44</v>
      </c>
      <c r="AB2" s="3" t="s">
        <v>149</v>
      </c>
      <c r="AC2" s="60" t="s">
        <v>182</v>
      </c>
      <c r="AD2" s="60" t="s">
        <v>182</v>
      </c>
      <c r="AE2" s="3" t="s">
        <v>153</v>
      </c>
      <c r="AF2" s="3" t="s">
        <v>117</v>
      </c>
      <c r="AG2" s="3" t="s">
        <v>151</v>
      </c>
      <c r="AH2" s="3" t="s">
        <v>152</v>
      </c>
      <c r="AI2" s="3" t="s">
        <v>118</v>
      </c>
      <c r="AJ2" s="3" t="s">
        <v>30</v>
      </c>
      <c r="AK2" s="3" t="s">
        <v>180</v>
      </c>
      <c r="AL2" s="3" t="s">
        <v>56</v>
      </c>
      <c r="AM2" s="3" t="s">
        <v>31</v>
      </c>
      <c r="AN2" s="3" t="s">
        <v>181</v>
      </c>
      <c r="AO2" s="3" t="s">
        <v>32</v>
      </c>
      <c r="AP2" s="3" t="s">
        <v>121</v>
      </c>
      <c r="AQ2" s="3" t="s">
        <v>33</v>
      </c>
      <c r="AR2" s="3" t="s">
        <v>58</v>
      </c>
      <c r="AS2" s="3" t="s">
        <v>59</v>
      </c>
      <c r="AT2" s="3" t="s">
        <v>177</v>
      </c>
      <c r="AU2" s="3" t="s">
        <v>18</v>
      </c>
      <c r="AV2" s="3" t="s">
        <v>107</v>
      </c>
      <c r="AW2" s="3" t="s">
        <v>108</v>
      </c>
      <c r="AX2" s="3" t="s">
        <v>111</v>
      </c>
      <c r="AY2" s="3" t="s">
        <v>110</v>
      </c>
      <c r="AZ2" s="3" t="s">
        <v>122</v>
      </c>
      <c r="BA2" s="3" t="s">
        <v>125</v>
      </c>
      <c r="BB2" s="3" t="s">
        <v>169</v>
      </c>
      <c r="BC2" s="3" t="s">
        <v>135</v>
      </c>
      <c r="BD2" s="1" t="s">
        <v>64</v>
      </c>
      <c r="BE2" s="22" t="s">
        <v>101</v>
      </c>
      <c r="BF2" s="4" t="str">
        <f>CONCATENATE("career_effect_desc_",BF1,"#str")</f>
        <v>career_effect_desc_zh-CN#str</v>
      </c>
      <c r="BG2" s="4" t="s">
        <v>86</v>
      </c>
      <c r="BH2" s="4" t="str">
        <f>CONCATENATE("family_name_",BH1,"#str")</f>
        <v>family_name_zh-CN#str</v>
      </c>
    </row>
    <row r="3" spans="1:60" x14ac:dyDescent="0.15">
      <c r="A3" s="7">
        <v>0</v>
      </c>
      <c r="B3" s="7">
        <v>812000</v>
      </c>
      <c r="C3" s="20" t="s">
        <v>4</v>
      </c>
      <c r="D3" s="3">
        <v>1</v>
      </c>
      <c r="E3" s="9">
        <v>1</v>
      </c>
      <c r="F3" s="3">
        <v>0</v>
      </c>
      <c r="G3" s="3" t="s">
        <v>19</v>
      </c>
      <c r="H3" s="3">
        <v>1</v>
      </c>
      <c r="I3" s="3">
        <v>0</v>
      </c>
      <c r="J3" s="3"/>
      <c r="K3" s="3"/>
      <c r="L3" s="3">
        <v>0</v>
      </c>
      <c r="M3" s="3">
        <v>0</v>
      </c>
      <c r="N3" s="3"/>
      <c r="O3" s="3"/>
      <c r="P3" s="3"/>
      <c r="Q3" s="3">
        <v>1</v>
      </c>
      <c r="R3" s="3">
        <v>0</v>
      </c>
      <c r="S3" s="3">
        <v>0</v>
      </c>
      <c r="T3" s="3">
        <v>1</v>
      </c>
      <c r="U3" s="3">
        <v>0</v>
      </c>
      <c r="V3" s="3">
        <v>0</v>
      </c>
      <c r="W3" s="3">
        <v>1</v>
      </c>
      <c r="X3" s="3">
        <f>W3*100</f>
        <v>100</v>
      </c>
      <c r="Y3" s="3">
        <v>10</v>
      </c>
      <c r="Z3" s="3">
        <v>45</v>
      </c>
      <c r="AA3" s="20" t="s">
        <v>4</v>
      </c>
      <c r="AB3" s="3">
        <v>1</v>
      </c>
      <c r="AC3" s="60">
        <f t="shared" ref="AC3:AC12" si="0">AG3/5*360</f>
        <v>216</v>
      </c>
      <c r="AD3" s="60">
        <f t="shared" ref="AD3:AD12" si="1">AC3*AH3</f>
        <v>280.8</v>
      </c>
      <c r="AE3" s="3">
        <v>60</v>
      </c>
      <c r="AF3" s="3">
        <v>10</v>
      </c>
      <c r="AG3" s="3">
        <v>3</v>
      </c>
      <c r="AH3" s="3">
        <v>1.3</v>
      </c>
      <c r="AI3" s="3">
        <v>20</v>
      </c>
      <c r="AJ3" s="3">
        <v>1</v>
      </c>
      <c r="AK3" s="3">
        <v>1</v>
      </c>
      <c r="AL3" s="3">
        <v>1</v>
      </c>
      <c r="AM3" s="3">
        <v>0</v>
      </c>
      <c r="AN3" s="3">
        <v>0</v>
      </c>
      <c r="AO3" s="3">
        <v>1</v>
      </c>
      <c r="AP3" s="3">
        <v>5</v>
      </c>
      <c r="AQ3" s="3">
        <v>0</v>
      </c>
      <c r="AR3" s="3">
        <v>0</v>
      </c>
      <c r="AS3" s="3">
        <v>0</v>
      </c>
      <c r="AT3" s="3">
        <v>1</v>
      </c>
      <c r="AU3" s="7" t="s">
        <v>41</v>
      </c>
      <c r="AV3" s="28">
        <v>1</v>
      </c>
      <c r="AW3" s="28">
        <v>1</v>
      </c>
      <c r="AX3" s="28">
        <v>1</v>
      </c>
      <c r="AY3" s="28">
        <v>1</v>
      </c>
      <c r="AZ3" s="3"/>
      <c r="BA3" s="3">
        <v>7</v>
      </c>
      <c r="BB3" s="3">
        <v>20</v>
      </c>
      <c r="BC3" s="3">
        <v>0</v>
      </c>
      <c r="BD3" s="1" t="s">
        <v>4</v>
      </c>
      <c r="BE3" s="27" t="s">
        <v>103</v>
      </c>
      <c r="BF3" s="3"/>
      <c r="BG3" s="3" t="s">
        <v>4</v>
      </c>
      <c r="BH3" s="7"/>
    </row>
    <row r="4" spans="1:60" ht="27" x14ac:dyDescent="0.15">
      <c r="A4" s="7">
        <v>1</v>
      </c>
      <c r="B4" s="7">
        <v>812001</v>
      </c>
      <c r="C4" s="49" t="s">
        <v>15</v>
      </c>
      <c r="D4" s="8">
        <v>1</v>
      </c>
      <c r="E4" s="9">
        <v>1</v>
      </c>
      <c r="F4" s="3">
        <v>7</v>
      </c>
      <c r="G4" s="3" t="s">
        <v>20</v>
      </c>
      <c r="H4" s="20">
        <v>1.25</v>
      </c>
      <c r="I4" s="3">
        <v>1</v>
      </c>
      <c r="J4" s="3" t="s">
        <v>74</v>
      </c>
      <c r="K4" s="1" t="s">
        <v>102</v>
      </c>
      <c r="L4" s="3">
        <v>0</v>
      </c>
      <c r="M4" s="3">
        <v>0</v>
      </c>
      <c r="N4" s="3"/>
      <c r="O4" s="3"/>
      <c r="P4" s="3"/>
      <c r="Q4" s="3">
        <v>0</v>
      </c>
      <c r="R4" s="3">
        <v>0</v>
      </c>
      <c r="S4" s="3">
        <v>0</v>
      </c>
      <c r="T4" s="3">
        <v>1</v>
      </c>
      <c r="U4" s="3">
        <v>0</v>
      </c>
      <c r="V4" s="3">
        <v>1</v>
      </c>
      <c r="W4" s="3">
        <v>0.5</v>
      </c>
      <c r="X4" s="3">
        <f t="shared" ref="X4:X12" si="2">W4*100</f>
        <v>50</v>
      </c>
      <c r="Y4" s="3">
        <v>10</v>
      </c>
      <c r="Z4" s="3">
        <v>20</v>
      </c>
      <c r="AA4" s="49" t="s">
        <v>15</v>
      </c>
      <c r="AB4" s="3">
        <v>2</v>
      </c>
      <c r="AC4" s="60">
        <f t="shared" si="0"/>
        <v>144</v>
      </c>
      <c r="AD4" s="60">
        <f t="shared" si="1"/>
        <v>187.20000000000002</v>
      </c>
      <c r="AE4" s="3">
        <v>50</v>
      </c>
      <c r="AF4" s="3">
        <v>5</v>
      </c>
      <c r="AG4" s="3">
        <v>2</v>
      </c>
      <c r="AH4" s="3">
        <v>1.3</v>
      </c>
      <c r="AI4" s="3">
        <v>5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0.5</v>
      </c>
      <c r="AP4" s="3">
        <v>3</v>
      </c>
      <c r="AQ4" s="3">
        <v>1</v>
      </c>
      <c r="AR4" s="14">
        <v>412003</v>
      </c>
      <c r="AS4" s="14">
        <v>25</v>
      </c>
      <c r="AT4" s="3">
        <v>1</v>
      </c>
      <c r="AU4" s="14" t="s">
        <v>34</v>
      </c>
      <c r="AV4" s="29">
        <v>0</v>
      </c>
      <c r="AW4" s="29">
        <v>0</v>
      </c>
      <c r="AX4" s="29">
        <v>1</v>
      </c>
      <c r="AY4" s="29">
        <v>0</v>
      </c>
      <c r="AZ4" s="29"/>
      <c r="BA4" s="29">
        <v>7</v>
      </c>
      <c r="BB4" s="3">
        <v>20</v>
      </c>
      <c r="BC4" s="3">
        <v>0</v>
      </c>
      <c r="BD4" s="30" t="s">
        <v>112</v>
      </c>
      <c r="BE4" s="27" t="s">
        <v>48</v>
      </c>
      <c r="BF4" s="3" t="s">
        <v>115</v>
      </c>
      <c r="BG4" s="8" t="s">
        <v>15</v>
      </c>
      <c r="BH4" s="7" t="s">
        <v>87</v>
      </c>
    </row>
    <row r="5" spans="1:60" ht="27" x14ac:dyDescent="0.15">
      <c r="A5" s="7">
        <v>2</v>
      </c>
      <c r="B5" s="7">
        <v>812002</v>
      </c>
      <c r="C5" s="52" t="s">
        <v>172</v>
      </c>
      <c r="D5" s="56">
        <v>1</v>
      </c>
      <c r="E5" s="9">
        <v>1</v>
      </c>
      <c r="F5" s="3">
        <v>11</v>
      </c>
      <c r="G5" s="11" t="s">
        <v>21</v>
      </c>
      <c r="H5" s="20">
        <v>1.5</v>
      </c>
      <c r="I5" s="3">
        <v>2</v>
      </c>
      <c r="J5" s="3" t="s">
        <v>75</v>
      </c>
      <c r="K5" s="1" t="s">
        <v>102</v>
      </c>
      <c r="L5" s="3">
        <v>0</v>
      </c>
      <c r="M5" s="3">
        <v>0</v>
      </c>
      <c r="N5" s="3"/>
      <c r="O5" s="3"/>
      <c r="P5" s="3"/>
      <c r="Q5" s="3">
        <v>0</v>
      </c>
      <c r="R5" s="3">
        <v>0</v>
      </c>
      <c r="S5" s="3">
        <v>0</v>
      </c>
      <c r="T5" s="3">
        <v>1</v>
      </c>
      <c r="U5" s="3">
        <v>1</v>
      </c>
      <c r="V5" s="3">
        <v>1</v>
      </c>
      <c r="W5" s="3">
        <v>0.5</v>
      </c>
      <c r="X5" s="3">
        <f t="shared" si="2"/>
        <v>50</v>
      </c>
      <c r="Y5" s="3">
        <v>10</v>
      </c>
      <c r="Z5" s="3">
        <v>20</v>
      </c>
      <c r="AA5" s="52" t="s">
        <v>172</v>
      </c>
      <c r="AB5" s="3">
        <v>2</v>
      </c>
      <c r="AC5" s="60">
        <f t="shared" si="0"/>
        <v>144</v>
      </c>
      <c r="AD5" s="60">
        <f t="shared" si="1"/>
        <v>187.20000000000002</v>
      </c>
      <c r="AE5" s="3">
        <v>50</v>
      </c>
      <c r="AF5" s="3">
        <v>5</v>
      </c>
      <c r="AG5" s="3">
        <v>2</v>
      </c>
      <c r="AH5" s="3">
        <v>1.3</v>
      </c>
      <c r="AI5" s="3">
        <v>5</v>
      </c>
      <c r="AJ5" s="3">
        <v>0</v>
      </c>
      <c r="AK5" s="3">
        <v>0</v>
      </c>
      <c r="AL5" s="3">
        <v>1</v>
      </c>
      <c r="AM5" s="3">
        <v>0</v>
      </c>
      <c r="AN5" s="3">
        <v>0</v>
      </c>
      <c r="AO5" s="3">
        <v>0.75</v>
      </c>
      <c r="AP5" s="3">
        <v>4</v>
      </c>
      <c r="AQ5" s="3">
        <v>1</v>
      </c>
      <c r="AR5" s="4">
        <v>305003</v>
      </c>
      <c r="AS5" s="14">
        <v>50</v>
      </c>
      <c r="AT5" s="3">
        <v>1</v>
      </c>
      <c r="AU5" s="17" t="s">
        <v>52</v>
      </c>
      <c r="AV5" s="4">
        <v>1</v>
      </c>
      <c r="AW5" s="4">
        <v>1</v>
      </c>
      <c r="AX5" s="4">
        <v>1</v>
      </c>
      <c r="AY5" s="29">
        <v>1</v>
      </c>
      <c r="AZ5" s="29"/>
      <c r="BA5" s="3">
        <v>7</v>
      </c>
      <c r="BB5" s="3">
        <v>20</v>
      </c>
      <c r="BC5" s="3">
        <v>0</v>
      </c>
      <c r="BD5" s="23" t="s">
        <v>5</v>
      </c>
      <c r="BE5" s="27" t="s">
        <v>47</v>
      </c>
      <c r="BF5" s="3" t="s">
        <v>175</v>
      </c>
      <c r="BG5" s="5" t="s">
        <v>5</v>
      </c>
      <c r="BH5" s="7" t="s">
        <v>88</v>
      </c>
    </row>
    <row r="6" spans="1:60" ht="40.5" x14ac:dyDescent="0.15">
      <c r="A6" s="7">
        <v>3</v>
      </c>
      <c r="B6" s="7">
        <v>812003</v>
      </c>
      <c r="C6" s="53" t="s">
        <v>174</v>
      </c>
      <c r="D6" s="56">
        <v>1</v>
      </c>
      <c r="E6" s="9">
        <v>1</v>
      </c>
      <c r="F6" s="3">
        <v>10</v>
      </c>
      <c r="G6" s="3" t="s">
        <v>22</v>
      </c>
      <c r="H6" s="20">
        <v>2</v>
      </c>
      <c r="I6" s="3">
        <v>2</v>
      </c>
      <c r="J6" s="3" t="s">
        <v>163</v>
      </c>
      <c r="K6" s="1" t="s">
        <v>102</v>
      </c>
      <c r="L6" s="3">
        <v>0</v>
      </c>
      <c r="M6" s="3">
        <v>0</v>
      </c>
      <c r="N6" s="3"/>
      <c r="O6" s="3"/>
      <c r="P6" s="3"/>
      <c r="Q6" s="3">
        <v>0</v>
      </c>
      <c r="R6" s="3">
        <v>0</v>
      </c>
      <c r="S6" s="3">
        <v>0</v>
      </c>
      <c r="T6" s="3">
        <v>1</v>
      </c>
      <c r="U6" s="3">
        <v>0</v>
      </c>
      <c r="V6" s="3">
        <v>1</v>
      </c>
      <c r="W6" s="3">
        <v>1</v>
      </c>
      <c r="X6" s="3">
        <f t="shared" si="2"/>
        <v>100</v>
      </c>
      <c r="Y6" s="3">
        <v>10</v>
      </c>
      <c r="Z6" s="3">
        <v>45</v>
      </c>
      <c r="AA6" s="53" t="s">
        <v>174</v>
      </c>
      <c r="AB6" s="3">
        <v>1</v>
      </c>
      <c r="AC6" s="60">
        <f t="shared" si="0"/>
        <v>216</v>
      </c>
      <c r="AD6" s="60">
        <f t="shared" si="1"/>
        <v>280.8</v>
      </c>
      <c r="AE6" s="3">
        <v>60</v>
      </c>
      <c r="AF6" s="3">
        <v>10</v>
      </c>
      <c r="AG6" s="3">
        <v>3</v>
      </c>
      <c r="AH6" s="3">
        <v>1.3</v>
      </c>
      <c r="AI6" s="3">
        <v>20</v>
      </c>
      <c r="AJ6" s="3">
        <v>0</v>
      </c>
      <c r="AK6" s="3">
        <v>0</v>
      </c>
      <c r="AL6" s="3">
        <v>1</v>
      </c>
      <c r="AM6" s="3">
        <v>0</v>
      </c>
      <c r="AN6" s="3">
        <v>0</v>
      </c>
      <c r="AO6" s="3">
        <v>1</v>
      </c>
      <c r="AP6" s="3">
        <v>5</v>
      </c>
      <c r="AQ6" s="3">
        <v>0</v>
      </c>
      <c r="AR6" s="3">
        <v>304001</v>
      </c>
      <c r="AS6" s="14">
        <v>50</v>
      </c>
      <c r="AT6" s="3">
        <v>1</v>
      </c>
      <c r="AU6" s="12" t="s">
        <v>35</v>
      </c>
      <c r="AV6" s="4">
        <v>1</v>
      </c>
      <c r="AW6" s="4">
        <v>0</v>
      </c>
      <c r="AX6" s="4">
        <v>1</v>
      </c>
      <c r="AY6" s="29">
        <v>1</v>
      </c>
      <c r="AZ6" s="37" t="s">
        <v>124</v>
      </c>
      <c r="BA6" s="29">
        <v>20</v>
      </c>
      <c r="BB6" s="3">
        <v>40</v>
      </c>
      <c r="BC6" s="3">
        <v>0</v>
      </c>
      <c r="BD6" s="23" t="s">
        <v>6</v>
      </c>
      <c r="BE6" s="27" t="s">
        <v>132</v>
      </c>
      <c r="BF6" s="3" t="s">
        <v>162</v>
      </c>
      <c r="BG6" s="5" t="s">
        <v>6</v>
      </c>
      <c r="BH6" s="7" t="s">
        <v>89</v>
      </c>
    </row>
    <row r="7" spans="1:60" ht="27" x14ac:dyDescent="0.15">
      <c r="A7" s="7">
        <v>4</v>
      </c>
      <c r="B7" s="7">
        <v>812004</v>
      </c>
      <c r="C7" s="53" t="s">
        <v>173</v>
      </c>
      <c r="D7" s="56">
        <v>1</v>
      </c>
      <c r="E7" s="9">
        <v>1</v>
      </c>
      <c r="F7" s="3">
        <v>6</v>
      </c>
      <c r="G7" s="3" t="s">
        <v>23</v>
      </c>
      <c r="H7" s="20">
        <v>1.5</v>
      </c>
      <c r="I7" s="3">
        <v>2</v>
      </c>
      <c r="J7" s="3" t="s">
        <v>165</v>
      </c>
      <c r="K7" s="1" t="s">
        <v>102</v>
      </c>
      <c r="L7" s="3">
        <v>0</v>
      </c>
      <c r="M7" s="3">
        <v>0</v>
      </c>
      <c r="N7" s="3"/>
      <c r="O7" s="3"/>
      <c r="P7" s="3"/>
      <c r="Q7" s="3">
        <v>0</v>
      </c>
      <c r="R7" s="3">
        <v>0</v>
      </c>
      <c r="S7" s="3">
        <v>0</v>
      </c>
      <c r="T7" s="3">
        <v>0.5</v>
      </c>
      <c r="U7" s="3">
        <v>0</v>
      </c>
      <c r="V7" s="3">
        <v>1</v>
      </c>
      <c r="W7" s="3">
        <v>1</v>
      </c>
      <c r="X7" s="3">
        <f t="shared" si="2"/>
        <v>100</v>
      </c>
      <c r="Y7" s="3">
        <v>10</v>
      </c>
      <c r="Z7" s="3">
        <v>45</v>
      </c>
      <c r="AA7" s="53" t="s">
        <v>90</v>
      </c>
      <c r="AB7" s="3">
        <v>1</v>
      </c>
      <c r="AC7" s="60">
        <f t="shared" si="0"/>
        <v>216</v>
      </c>
      <c r="AD7" s="60">
        <f t="shared" si="1"/>
        <v>280.8</v>
      </c>
      <c r="AE7" s="3">
        <v>60</v>
      </c>
      <c r="AF7" s="3">
        <v>10</v>
      </c>
      <c r="AG7" s="3">
        <v>3</v>
      </c>
      <c r="AH7" s="3">
        <v>1.3</v>
      </c>
      <c r="AI7" s="3">
        <v>20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1</v>
      </c>
      <c r="AP7" s="3">
        <v>5</v>
      </c>
      <c r="AQ7" s="3">
        <v>0</v>
      </c>
      <c r="AR7" s="3">
        <v>301</v>
      </c>
      <c r="AS7" s="14">
        <v>50</v>
      </c>
      <c r="AT7" s="3">
        <v>1</v>
      </c>
      <c r="AU7" s="12" t="s">
        <v>36</v>
      </c>
      <c r="AV7" s="4">
        <v>1</v>
      </c>
      <c r="AW7" s="4">
        <v>1</v>
      </c>
      <c r="AX7" s="4">
        <v>1</v>
      </c>
      <c r="AY7" s="29">
        <v>1</v>
      </c>
      <c r="AZ7" s="29"/>
      <c r="BA7" s="3">
        <v>12</v>
      </c>
      <c r="BB7" s="3">
        <v>40</v>
      </c>
      <c r="BC7" s="3">
        <v>1</v>
      </c>
      <c r="BD7" s="23" t="s">
        <v>7</v>
      </c>
      <c r="BE7" s="27" t="s">
        <v>131</v>
      </c>
      <c r="BF7" s="3" t="s">
        <v>164</v>
      </c>
      <c r="BG7" s="25" t="s">
        <v>90</v>
      </c>
      <c r="BH7" s="7" t="s">
        <v>91</v>
      </c>
    </row>
    <row r="8" spans="1:60" ht="27" x14ac:dyDescent="0.15">
      <c r="A8" s="7">
        <v>5</v>
      </c>
      <c r="B8" s="7">
        <v>812005</v>
      </c>
      <c r="C8" s="52" t="s">
        <v>69</v>
      </c>
      <c r="D8" s="56">
        <v>0</v>
      </c>
      <c r="E8" s="9">
        <v>1</v>
      </c>
      <c r="F8" s="10">
        <v>1001</v>
      </c>
      <c r="G8" s="3" t="s">
        <v>24</v>
      </c>
      <c r="H8" s="20">
        <v>1.5</v>
      </c>
      <c r="I8" s="3">
        <v>4</v>
      </c>
      <c r="J8" s="3" t="s">
        <v>76</v>
      </c>
      <c r="K8" s="1" t="s">
        <v>102</v>
      </c>
      <c r="L8" s="3">
        <v>0</v>
      </c>
      <c r="M8" s="3">
        <v>0</v>
      </c>
      <c r="N8" s="3"/>
      <c r="O8" s="3"/>
      <c r="P8" s="3"/>
      <c r="Q8" s="3">
        <v>1</v>
      </c>
      <c r="R8" s="3">
        <v>0</v>
      </c>
      <c r="S8" s="3">
        <v>0</v>
      </c>
      <c r="T8" s="3">
        <v>1</v>
      </c>
      <c r="U8" s="3">
        <v>0</v>
      </c>
      <c r="V8" s="3">
        <v>1</v>
      </c>
      <c r="W8" s="3">
        <v>1</v>
      </c>
      <c r="X8" s="3">
        <f t="shared" si="2"/>
        <v>100</v>
      </c>
      <c r="Y8" s="3">
        <v>10</v>
      </c>
      <c r="Z8" s="3">
        <v>45</v>
      </c>
      <c r="AA8" s="52" t="s">
        <v>69</v>
      </c>
      <c r="AB8" s="3">
        <v>1</v>
      </c>
      <c r="AC8" s="60">
        <f t="shared" si="0"/>
        <v>216</v>
      </c>
      <c r="AD8" s="60">
        <f t="shared" si="1"/>
        <v>280.8</v>
      </c>
      <c r="AE8" s="3">
        <v>60</v>
      </c>
      <c r="AF8" s="3">
        <v>10</v>
      </c>
      <c r="AG8" s="3">
        <v>3</v>
      </c>
      <c r="AH8" s="3">
        <v>1.3</v>
      </c>
      <c r="AI8" s="3">
        <v>20</v>
      </c>
      <c r="AJ8" s="3">
        <v>0</v>
      </c>
      <c r="AK8" s="3">
        <v>0</v>
      </c>
      <c r="AL8" s="3">
        <v>1</v>
      </c>
      <c r="AM8" s="3">
        <v>304002</v>
      </c>
      <c r="AN8" s="3">
        <v>304010</v>
      </c>
      <c r="AO8" s="3">
        <v>1</v>
      </c>
      <c r="AP8" s="3">
        <v>5</v>
      </c>
      <c r="AQ8" s="3">
        <v>0</v>
      </c>
      <c r="AR8" s="13">
        <v>401001</v>
      </c>
      <c r="AS8" s="14">
        <v>50</v>
      </c>
      <c r="AT8" s="3">
        <v>2</v>
      </c>
      <c r="AU8" s="13" t="s">
        <v>38</v>
      </c>
      <c r="AV8" s="4">
        <v>1</v>
      </c>
      <c r="AW8" s="4">
        <v>0</v>
      </c>
      <c r="AX8" s="4">
        <v>1</v>
      </c>
      <c r="AY8" s="29">
        <v>1</v>
      </c>
      <c r="AZ8" s="29"/>
      <c r="BA8" s="3">
        <v>12</v>
      </c>
      <c r="BB8" s="3">
        <v>40</v>
      </c>
      <c r="BC8" s="3">
        <v>0</v>
      </c>
      <c r="BD8" s="23" t="s">
        <v>8</v>
      </c>
      <c r="BE8" s="27" t="s">
        <v>128</v>
      </c>
      <c r="BF8" s="3" t="s">
        <v>166</v>
      </c>
      <c r="BG8" s="25" t="s">
        <v>69</v>
      </c>
      <c r="BH8" s="7" t="s">
        <v>92</v>
      </c>
    </row>
    <row r="9" spans="1:60" ht="27" x14ac:dyDescent="0.15">
      <c r="A9" s="7">
        <v>6</v>
      </c>
      <c r="B9" s="7">
        <v>812006</v>
      </c>
      <c r="C9" s="50" t="s">
        <v>9</v>
      </c>
      <c r="D9" s="5">
        <v>1</v>
      </c>
      <c r="E9" s="9">
        <v>1</v>
      </c>
      <c r="F9" s="3">
        <v>4</v>
      </c>
      <c r="G9" s="3" t="s">
        <v>25</v>
      </c>
      <c r="H9" s="20">
        <v>1.25</v>
      </c>
      <c r="I9" s="3">
        <v>3</v>
      </c>
      <c r="J9" s="3" t="s">
        <v>77</v>
      </c>
      <c r="K9" s="1" t="s">
        <v>102</v>
      </c>
      <c r="L9" s="3">
        <v>0</v>
      </c>
      <c r="M9" s="3">
        <v>0</v>
      </c>
      <c r="N9" s="3"/>
      <c r="O9" s="3"/>
      <c r="P9" s="3"/>
      <c r="Q9" s="3">
        <v>0</v>
      </c>
      <c r="R9" s="3">
        <v>0</v>
      </c>
      <c r="S9" s="3">
        <v>0</v>
      </c>
      <c r="T9" s="3">
        <v>1</v>
      </c>
      <c r="U9" s="3">
        <v>0</v>
      </c>
      <c r="V9" s="3">
        <v>1</v>
      </c>
      <c r="W9" s="3">
        <v>1</v>
      </c>
      <c r="X9" s="3">
        <v>200</v>
      </c>
      <c r="Y9" s="3">
        <v>20</v>
      </c>
      <c r="Z9" s="3">
        <v>45</v>
      </c>
      <c r="AA9" s="50" t="s">
        <v>9</v>
      </c>
      <c r="AB9" s="3">
        <v>1</v>
      </c>
      <c r="AC9" s="60">
        <f t="shared" si="0"/>
        <v>216</v>
      </c>
      <c r="AD9" s="60">
        <f t="shared" si="1"/>
        <v>280.8</v>
      </c>
      <c r="AE9" s="3">
        <v>60</v>
      </c>
      <c r="AF9" s="3">
        <v>10</v>
      </c>
      <c r="AG9" s="3">
        <v>3</v>
      </c>
      <c r="AH9" s="3">
        <v>1.3</v>
      </c>
      <c r="AI9" s="3">
        <v>20</v>
      </c>
      <c r="AJ9" s="3">
        <v>0</v>
      </c>
      <c r="AK9" s="3">
        <v>0</v>
      </c>
      <c r="AL9" s="3">
        <v>1</v>
      </c>
      <c r="AM9" s="3">
        <v>0</v>
      </c>
      <c r="AN9" s="3">
        <v>0</v>
      </c>
      <c r="AO9" s="3">
        <v>2</v>
      </c>
      <c r="AP9" s="3">
        <v>10</v>
      </c>
      <c r="AQ9" s="3">
        <v>1</v>
      </c>
      <c r="AR9" s="3">
        <v>302</v>
      </c>
      <c r="AS9" s="14">
        <v>50</v>
      </c>
      <c r="AT9" s="3">
        <v>5</v>
      </c>
      <c r="AU9" s="3" t="s">
        <v>39</v>
      </c>
      <c r="AV9" s="4">
        <v>1</v>
      </c>
      <c r="AW9" s="4">
        <v>1</v>
      </c>
      <c r="AX9" s="4">
        <v>1</v>
      </c>
      <c r="AY9" s="29">
        <v>1</v>
      </c>
      <c r="AZ9" s="29"/>
      <c r="BA9" s="3">
        <v>12</v>
      </c>
      <c r="BB9" s="3">
        <v>20</v>
      </c>
      <c r="BC9" s="3">
        <v>1</v>
      </c>
      <c r="BD9" s="23" t="s">
        <v>9</v>
      </c>
      <c r="BE9" s="27" t="s">
        <v>49</v>
      </c>
      <c r="BF9" s="3" t="s">
        <v>167</v>
      </c>
      <c r="BG9" s="25" t="s">
        <v>93</v>
      </c>
      <c r="BH9" s="7" t="s">
        <v>94</v>
      </c>
    </row>
    <row r="10" spans="1:60" ht="43.5" customHeight="1" x14ac:dyDescent="0.15">
      <c r="A10" s="7">
        <v>7</v>
      </c>
      <c r="B10" s="7">
        <v>812007</v>
      </c>
      <c r="C10" s="51" t="s">
        <v>170</v>
      </c>
      <c r="D10" s="57">
        <v>0</v>
      </c>
      <c r="E10" s="9">
        <v>1</v>
      </c>
      <c r="F10" s="10">
        <v>1001</v>
      </c>
      <c r="G10" s="3" t="s">
        <v>24</v>
      </c>
      <c r="H10" s="3">
        <v>1</v>
      </c>
      <c r="I10" s="3">
        <v>0</v>
      </c>
      <c r="J10" s="3"/>
      <c r="K10" s="1" t="s">
        <v>102</v>
      </c>
      <c r="L10" s="3">
        <v>1</v>
      </c>
      <c r="M10" s="3">
        <v>1</v>
      </c>
      <c r="N10" s="3">
        <v>1</v>
      </c>
      <c r="O10" s="3">
        <v>1</v>
      </c>
      <c r="P10" s="45" t="s">
        <v>146</v>
      </c>
      <c r="Q10" s="3">
        <v>0</v>
      </c>
      <c r="R10" s="3">
        <v>1</v>
      </c>
      <c r="S10" s="3">
        <v>1</v>
      </c>
      <c r="T10" s="3">
        <v>1</v>
      </c>
      <c r="U10" s="3">
        <v>1</v>
      </c>
      <c r="V10" s="3">
        <v>0</v>
      </c>
      <c r="W10" s="7">
        <v>3</v>
      </c>
      <c r="X10" s="3">
        <f t="shared" si="2"/>
        <v>300</v>
      </c>
      <c r="Y10" s="3">
        <v>10</v>
      </c>
      <c r="Z10" s="3">
        <v>45</v>
      </c>
      <c r="AA10" s="51" t="s">
        <v>95</v>
      </c>
      <c r="AB10" s="3">
        <v>1</v>
      </c>
      <c r="AC10" s="60">
        <f t="shared" si="0"/>
        <v>648</v>
      </c>
      <c r="AD10" s="60">
        <f t="shared" si="1"/>
        <v>842.4</v>
      </c>
      <c r="AE10" s="3">
        <v>140</v>
      </c>
      <c r="AF10" s="3">
        <v>30</v>
      </c>
      <c r="AG10" s="3">
        <v>9</v>
      </c>
      <c r="AH10" s="3">
        <v>1.3</v>
      </c>
      <c r="AI10" s="3">
        <v>50</v>
      </c>
      <c r="AJ10" s="3">
        <v>0</v>
      </c>
      <c r="AK10" s="3">
        <v>1</v>
      </c>
      <c r="AL10" s="3">
        <v>1</v>
      </c>
      <c r="AM10" s="3">
        <v>305002</v>
      </c>
      <c r="AN10" s="3">
        <v>0</v>
      </c>
      <c r="AO10" s="3">
        <v>1</v>
      </c>
      <c r="AP10" s="3">
        <v>5</v>
      </c>
      <c r="AQ10" s="3">
        <v>0</v>
      </c>
      <c r="AR10" s="16">
        <v>612</v>
      </c>
      <c r="AS10" s="14">
        <v>1</v>
      </c>
      <c r="AT10" s="3">
        <v>1</v>
      </c>
      <c r="AU10" s="16" t="s">
        <v>43</v>
      </c>
      <c r="AV10" s="4">
        <v>1</v>
      </c>
      <c r="AW10" s="4">
        <v>0</v>
      </c>
      <c r="AX10" s="4">
        <v>0</v>
      </c>
      <c r="AY10" s="29">
        <v>1</v>
      </c>
      <c r="AZ10" s="29"/>
      <c r="BA10" s="3">
        <v>12</v>
      </c>
      <c r="BB10" s="3">
        <v>40</v>
      </c>
      <c r="BC10" s="3">
        <v>0</v>
      </c>
      <c r="BD10" s="23" t="s">
        <v>10</v>
      </c>
      <c r="BE10" s="27" t="s">
        <v>84</v>
      </c>
      <c r="BF10" s="3"/>
      <c r="BG10" s="25" t="s">
        <v>95</v>
      </c>
      <c r="BH10" s="7" t="s">
        <v>96</v>
      </c>
    </row>
    <row r="11" spans="1:60" ht="27" x14ac:dyDescent="0.15">
      <c r="A11" s="7">
        <v>8</v>
      </c>
      <c r="B11" s="7">
        <v>812008</v>
      </c>
      <c r="C11" s="51" t="s">
        <v>65</v>
      </c>
      <c r="D11" s="57">
        <v>0</v>
      </c>
      <c r="E11" s="9">
        <v>1</v>
      </c>
      <c r="F11" s="7">
        <v>19</v>
      </c>
      <c r="G11" s="7" t="s">
        <v>26</v>
      </c>
      <c r="H11" s="20">
        <v>2</v>
      </c>
      <c r="I11" s="3">
        <v>2</v>
      </c>
      <c r="J11" s="3" t="s">
        <v>80</v>
      </c>
      <c r="K11" s="3"/>
      <c r="L11" s="3">
        <v>1</v>
      </c>
      <c r="M11" s="3">
        <v>1</v>
      </c>
      <c r="N11" s="3">
        <v>1</v>
      </c>
      <c r="O11" s="3">
        <v>1</v>
      </c>
      <c r="P11" s="45" t="s">
        <v>147</v>
      </c>
      <c r="Q11" s="3">
        <v>0</v>
      </c>
      <c r="R11" s="3">
        <v>1</v>
      </c>
      <c r="S11" s="3">
        <v>0</v>
      </c>
      <c r="T11" s="10">
        <v>1</v>
      </c>
      <c r="U11" s="3">
        <v>0</v>
      </c>
      <c r="V11" s="3">
        <v>0</v>
      </c>
      <c r="W11" s="7">
        <v>2</v>
      </c>
      <c r="X11" s="3">
        <v>400</v>
      </c>
      <c r="Y11" s="3">
        <v>20</v>
      </c>
      <c r="Z11" s="3">
        <v>45</v>
      </c>
      <c r="AA11" s="51" t="s">
        <v>65</v>
      </c>
      <c r="AB11" s="3">
        <v>1</v>
      </c>
      <c r="AC11" s="60">
        <f t="shared" si="0"/>
        <v>432</v>
      </c>
      <c r="AD11" s="60">
        <f t="shared" si="1"/>
        <v>561.6</v>
      </c>
      <c r="AE11" s="3">
        <v>100</v>
      </c>
      <c r="AF11" s="3">
        <v>20</v>
      </c>
      <c r="AG11" s="3">
        <v>6</v>
      </c>
      <c r="AH11" s="3">
        <v>1.3</v>
      </c>
      <c r="AI11" s="3">
        <v>35</v>
      </c>
      <c r="AJ11" s="3">
        <v>1</v>
      </c>
      <c r="AK11" s="3">
        <v>1</v>
      </c>
      <c r="AL11" s="3">
        <v>1</v>
      </c>
      <c r="AM11" s="3">
        <v>305002</v>
      </c>
      <c r="AN11" s="3">
        <v>0</v>
      </c>
      <c r="AO11" s="3">
        <v>2</v>
      </c>
      <c r="AP11" s="3">
        <v>10</v>
      </c>
      <c r="AQ11" s="3">
        <v>0</v>
      </c>
      <c r="AR11" s="18">
        <v>421001</v>
      </c>
      <c r="AS11" s="14">
        <v>1</v>
      </c>
      <c r="AT11" s="3">
        <v>1</v>
      </c>
      <c r="AU11" s="18" t="s">
        <v>57</v>
      </c>
      <c r="AV11" s="18">
        <v>1</v>
      </c>
      <c r="AW11" s="18">
        <v>1</v>
      </c>
      <c r="AX11" s="18">
        <v>1</v>
      </c>
      <c r="AY11" s="18">
        <v>1</v>
      </c>
      <c r="AZ11" s="18"/>
      <c r="BA11" s="3">
        <v>12</v>
      </c>
      <c r="BB11" s="3">
        <v>40</v>
      </c>
      <c r="BC11" s="3">
        <v>0</v>
      </c>
      <c r="BD11" s="23" t="s">
        <v>11</v>
      </c>
      <c r="BE11" s="27" t="s">
        <v>50</v>
      </c>
      <c r="BF11" s="3" t="s">
        <v>80</v>
      </c>
      <c r="BG11" s="25" t="s">
        <v>65</v>
      </c>
      <c r="BH11" s="7" t="s">
        <v>99</v>
      </c>
    </row>
    <row r="12" spans="1:60" ht="27" x14ac:dyDescent="0.15">
      <c r="A12" s="7">
        <v>9</v>
      </c>
      <c r="B12" s="7">
        <v>812009</v>
      </c>
      <c r="C12" s="52" t="s">
        <v>51</v>
      </c>
      <c r="D12" s="56">
        <v>0</v>
      </c>
      <c r="E12" s="9">
        <v>1</v>
      </c>
      <c r="F12" s="7">
        <v>15</v>
      </c>
      <c r="G12" s="7" t="s">
        <v>27</v>
      </c>
      <c r="H12" s="20">
        <v>2</v>
      </c>
      <c r="I12" s="3">
        <v>2</v>
      </c>
      <c r="J12" s="3" t="s">
        <v>171</v>
      </c>
      <c r="K12" s="3"/>
      <c r="L12" s="3">
        <v>1</v>
      </c>
      <c r="M12" s="3">
        <v>0</v>
      </c>
      <c r="N12" s="3">
        <v>1</v>
      </c>
      <c r="O12" s="3">
        <v>1</v>
      </c>
      <c r="P12" s="45" t="s">
        <v>141</v>
      </c>
      <c r="Q12" s="3">
        <v>0</v>
      </c>
      <c r="R12" s="3">
        <v>0</v>
      </c>
      <c r="S12" s="3">
        <v>0</v>
      </c>
      <c r="T12" s="3">
        <v>1.5</v>
      </c>
      <c r="U12" s="3">
        <v>0</v>
      </c>
      <c r="V12" s="3">
        <v>0</v>
      </c>
      <c r="W12" s="7">
        <v>1</v>
      </c>
      <c r="X12" s="3">
        <f t="shared" si="2"/>
        <v>100</v>
      </c>
      <c r="Y12" s="3">
        <v>10</v>
      </c>
      <c r="Z12" s="3">
        <v>45</v>
      </c>
      <c r="AA12" s="52" t="s">
        <v>51</v>
      </c>
      <c r="AB12" s="3">
        <v>1</v>
      </c>
      <c r="AC12" s="60">
        <f t="shared" si="0"/>
        <v>216</v>
      </c>
      <c r="AD12" s="60">
        <f t="shared" si="1"/>
        <v>280.8</v>
      </c>
      <c r="AE12" s="3">
        <v>60</v>
      </c>
      <c r="AF12" s="3">
        <v>10</v>
      </c>
      <c r="AG12" s="3">
        <v>3</v>
      </c>
      <c r="AH12" s="3">
        <v>1.3</v>
      </c>
      <c r="AI12" s="3">
        <v>20</v>
      </c>
      <c r="AJ12" s="3">
        <v>1</v>
      </c>
      <c r="AK12" s="3">
        <v>1</v>
      </c>
      <c r="AL12" s="3">
        <v>1</v>
      </c>
      <c r="AM12" s="3">
        <v>305002</v>
      </c>
      <c r="AN12" s="3">
        <v>0</v>
      </c>
      <c r="AO12" s="3">
        <v>1</v>
      </c>
      <c r="AP12" s="3">
        <v>5</v>
      </c>
      <c r="AQ12" s="3">
        <v>0</v>
      </c>
      <c r="AR12" s="15">
        <v>424</v>
      </c>
      <c r="AS12" s="14">
        <v>1</v>
      </c>
      <c r="AT12" s="3">
        <v>1</v>
      </c>
      <c r="AU12" s="15" t="s">
        <v>42</v>
      </c>
      <c r="AV12" s="15">
        <v>1</v>
      </c>
      <c r="AW12" s="15">
        <v>1</v>
      </c>
      <c r="AX12" s="15">
        <v>1</v>
      </c>
      <c r="AY12" s="15">
        <v>1</v>
      </c>
      <c r="AZ12" s="38" t="s">
        <v>127</v>
      </c>
      <c r="BA12" s="29">
        <v>20</v>
      </c>
      <c r="BB12" s="3">
        <v>40</v>
      </c>
      <c r="BC12" s="3">
        <v>0</v>
      </c>
      <c r="BD12" s="23" t="s">
        <v>51</v>
      </c>
      <c r="BE12" s="27" t="s">
        <v>133</v>
      </c>
      <c r="BF12" s="3" t="s">
        <v>171</v>
      </c>
      <c r="BG12" s="25" t="s">
        <v>97</v>
      </c>
      <c r="BH12" s="7" t="s">
        <v>98</v>
      </c>
    </row>
  </sheetData>
  <phoneticPr fontId="17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2026-01-25T04:58:24Z</dcterms:modified>
</cp:coreProperties>
</file>