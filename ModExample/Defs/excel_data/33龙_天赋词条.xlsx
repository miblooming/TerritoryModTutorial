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1C57F723-EEFE-490D-9863-20F32DAD3A4F}" xr6:coauthVersionLast="47" xr6:coauthVersionMax="47" xr10:uidLastSave="{00000000-0000-0000-0000-000000000000}"/>
  <bookViews>
    <workbookView xWindow="-120" yWindow="-120" windowWidth="29040" windowHeight="15720" xr2:uid="{A8B7AD58-3108-4AF8-90EF-6EED545D9E05}"/>
  </bookViews>
  <sheets>
    <sheet name="dragon_nature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2" l="1"/>
  <c r="I15" i="2" l="1"/>
  <c r="I10" i="2"/>
  <c r="H2" i="2" l="1"/>
  <c r="I2" i="2"/>
  <c r="I3" i="2"/>
  <c r="I4" i="2"/>
  <c r="I5" i="2"/>
  <c r="I6" i="2"/>
  <c r="I7" i="2"/>
  <c r="I8" i="2"/>
  <c r="I9" i="2"/>
  <c r="I11" i="2"/>
  <c r="I12" i="2"/>
  <c r="I16" i="2"/>
  <c r="I17" i="2"/>
  <c r="I18" i="2"/>
  <c r="I19" i="2"/>
</calcChain>
</file>

<file path=xl/sharedStrings.xml><?xml version="1.0" encoding="utf-8"?>
<sst xmlns="http://schemas.openxmlformats.org/spreadsheetml/2006/main" count="88" uniqueCount="68">
  <si>
    <t>目标血量条件触发</t>
  </si>
  <si>
    <t>狂怒</t>
  </si>
  <si>
    <t>生存状态触发</t>
  </si>
  <si>
    <t>刚毅</t>
  </si>
  <si>
    <t>血量变化触发</t>
  </si>
  <si>
    <t>永久生效</t>
  </si>
  <si>
    <t>护盾</t>
  </si>
  <si>
    <t>蓄能</t>
  </si>
  <si>
    <t>范围攻击触发</t>
  </si>
  <si>
    <t>攻击时生效</t>
  </si>
  <si>
    <t>无视目标15%防御</t>
    <phoneticPr fontId="3" type="noConversion"/>
  </si>
  <si>
    <t>迅捷</t>
    <phoneticPr fontId="3" type="noConversion"/>
  </si>
  <si>
    <t>攻击速度+10%</t>
    <phoneticPr fontId="3" type="noConversion"/>
  </si>
  <si>
    <t>反震</t>
  </si>
  <si>
    <t>再生</t>
  </si>
  <si>
    <t>持续生效</t>
  </si>
  <si>
    <t>洞察</t>
  </si>
  <si>
    <t>坚韧</t>
  </si>
  <si>
    <t>!tmp</t>
    <phoneticPr fontId="3" type="noConversion"/>
  </si>
  <si>
    <t>dragon_nature_id#int</t>
    <phoneticPr fontId="3" type="noConversion"/>
  </si>
  <si>
    <t>zh-CN</t>
  </si>
  <si>
    <t>职业</t>
    <phoneticPr fontId="3" type="noConversion"/>
  </si>
  <si>
    <t>序号</t>
    <phoneticPr fontId="3" type="noConversion"/>
  </si>
  <si>
    <t>作用因子</t>
    <phoneticPr fontId="2" type="noConversion"/>
  </si>
  <si>
    <t>脱离战斗后，每秒恢复0.1%的最大生命</t>
    <phoneticPr fontId="2" type="noConversion"/>
  </si>
  <si>
    <t>受到攻击时反弹5%伤害</t>
    <phoneticPr fontId="3" type="noConversion"/>
  </si>
  <si>
    <t>para1#float</t>
    <phoneticPr fontId="2" type="noConversion"/>
  </si>
  <si>
    <t>para2#float</t>
    <phoneticPr fontId="2" type="noConversion"/>
  </si>
  <si>
    <t>护盾</t>
    <phoneticPr fontId="2" type="noConversion"/>
  </si>
  <si>
    <t>para3#float</t>
    <phoneticPr fontId="2" type="noConversion"/>
  </si>
  <si>
    <t>牵制</t>
    <phoneticPr fontId="3" type="noConversion"/>
  </si>
  <si>
    <t>攻击增强</t>
    <phoneticPr fontId="2" type="noConversion"/>
  </si>
  <si>
    <t>沉稳</t>
    <phoneticPr fontId="3" type="noConversion"/>
  </si>
  <si>
    <t>冷血</t>
    <phoneticPr fontId="2" type="noConversion"/>
  </si>
  <si>
    <t>破防</t>
    <phoneticPr fontId="2" type="noConversion"/>
  </si>
  <si>
    <t>警觉</t>
    <phoneticPr fontId="2" type="noConversion"/>
  </si>
  <si>
    <t>30%的概率，闪避敌人的攻击</t>
    <phoneticPr fontId="2" type="noConversion"/>
  </si>
  <si>
    <t>追杀</t>
    <phoneticPr fontId="2" type="noConversion"/>
  </si>
  <si>
    <t>坦克增强</t>
    <phoneticPr fontId="2" type="noConversion"/>
  </si>
  <si>
    <t>闪避</t>
    <phoneticPr fontId="2" type="noConversion"/>
  </si>
  <si>
    <t>条件触发</t>
    <phoneticPr fontId="2" type="noConversion"/>
  </si>
  <si>
    <t>群体攻击增强</t>
    <phoneticPr fontId="2" type="noConversion"/>
  </si>
  <si>
    <t>反伤</t>
    <phoneticPr fontId="2" type="noConversion"/>
  </si>
  <si>
    <t>穿透</t>
    <phoneticPr fontId="2" type="noConversion"/>
  </si>
  <si>
    <t>重创</t>
    <phoneticPr fontId="2" type="noConversion"/>
  </si>
  <si>
    <t>坚韧</t>
    <phoneticPr fontId="2" type="noConversion"/>
  </si>
  <si>
    <t>再生</t>
    <phoneticPr fontId="2" type="noConversion"/>
  </si>
  <si>
    <t>每3次普通攻击后，输出一次暴击</t>
    <phoneticPr fontId="2" type="noConversion"/>
  </si>
  <si>
    <t>生命&gt;70%时，获得额外20%的防御</t>
    <phoneticPr fontId="2" type="noConversion"/>
  </si>
  <si>
    <t>生命每降低10%，防御+5%</t>
    <phoneticPr fontId="2" type="noConversion"/>
  </si>
  <si>
    <t>降低攻速</t>
    <phoneticPr fontId="2" type="noConversion"/>
  </si>
  <si>
    <t>攻击有20%概率导致对方攻速降低30%，持续10秒</t>
    <phoneticPr fontId="2" type="noConversion"/>
  </si>
  <si>
    <t>反制</t>
    <phoneticPr fontId="2" type="noConversion"/>
  </si>
  <si>
    <t>反制</t>
    <phoneticPr fontId="2" type="noConversion"/>
  </si>
  <si>
    <t>​受击时，有20%概率，降低攻击者30%攻速，持续10秒</t>
    <phoneticPr fontId="2" type="noConversion"/>
  </si>
  <si>
    <t>对生命&lt;30%的目标，伤害+10%</t>
    <phoneticPr fontId="2" type="noConversion"/>
  </si>
  <si>
    <t>死亡后，己方所有龙的攻击力+25%，持续20秒</t>
    <phoneticPr fontId="3" type="noConversion"/>
  </si>
  <si>
    <t>血誓</t>
    <phoneticPr fontId="3" type="noConversion"/>
  </si>
  <si>
    <t>狂怒</t>
    <phoneticPr fontId="2" type="noConversion"/>
  </si>
  <si>
    <t>命中敌人后，敌人接下一次遭受的攻击伤害将+50%</t>
    <phoneticPr fontId="2" type="noConversion"/>
  </si>
  <si>
    <t>最大生命+15%</t>
    <phoneticPr fontId="2" type="noConversion"/>
  </si>
  <si>
    <t>暴击率+10%</t>
    <phoneticPr fontId="2" type="noConversion"/>
  </si>
  <si>
    <t>刚毅</t>
    <phoneticPr fontId="2" type="noConversion"/>
  </si>
  <si>
    <t>蓄能</t>
    <phoneticPr fontId="2" type="noConversion"/>
  </si>
  <si>
    <t>穿透</t>
    <phoneticPr fontId="2" type="noConversion"/>
  </si>
  <si>
    <t>​对生命&gt;70%的目标的伤害+25%</t>
    <phoneticPr fontId="3" type="noConversion"/>
  </si>
  <si>
    <t>生命&lt;30%时生成10%减伤的护盾</t>
    <phoneticPr fontId="2" type="noConversion"/>
  </si>
  <si>
    <t>生命&lt;30%时，每遭受到其它龙5次攻击后，产生一次300%的暴击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</si>
</sst>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1" fillId="0" borderId="0" xfId="1"/>
    <xf numFmtId="0" fontId="1" fillId="0" borderId="1" xfId="1" applyBorder="1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left" vertical="center" wrapText="1"/>
    </xf>
    <xf numFmtId="0" fontId="1" fillId="3" borderId="1" xfId="1" applyFill="1" applyBorder="1"/>
    <xf numFmtId="0" fontId="4" fillId="3" borderId="1" xfId="1" applyFont="1" applyFill="1" applyBorder="1" applyAlignment="1">
      <alignment vertical="center" wrapText="1"/>
    </xf>
    <xf numFmtId="0" fontId="1" fillId="0" borderId="1" xfId="1" applyBorder="1" applyAlignment="1">
      <alignment horizontal="left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常规" xfId="0" builtinId="0"/>
    <cellStyle name="常规 2" xfId="1" xr:uid="{C0CA6C4D-BBF7-43D8-8E88-2D4A2B8E1D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8C4A-25AD-484E-838B-09423B2B1999}">
  <dimension ref="A1:I20"/>
  <sheetViews>
    <sheetView tabSelected="1" topLeftCell="C1" workbookViewId="0">
      <selection activeCell="I13" sqref="I13"/>
    </sheetView>
  </sheetViews>
  <sheetFormatPr defaultRowHeight="14.25" x14ac:dyDescent="0.2"/>
  <cols>
    <col min="1" max="1" width="9" style="1"/>
    <col min="2" max="2" width="12.125" style="1" customWidth="1"/>
    <col min="3" max="3" width="38" style="1" customWidth="1"/>
    <col min="4" max="4" width="12.125" style="1" customWidth="1"/>
    <col min="5" max="6" width="10.75" style="1" customWidth="1"/>
    <col min="7" max="7" width="20.875" style="1" customWidth="1"/>
    <col min="8" max="8" width="9" style="1"/>
    <col min="9" max="9" width="27.625" style="1" customWidth="1"/>
    <col min="10" max="16384" width="9" style="1"/>
  </cols>
  <sheetData>
    <row r="1" spans="1:9" x14ac:dyDescent="0.2">
      <c r="A1" s="2" t="s">
        <v>22</v>
      </c>
      <c r="B1" s="2" t="s">
        <v>21</v>
      </c>
      <c r="C1" s="2"/>
      <c r="D1" s="2" t="s">
        <v>23</v>
      </c>
      <c r="E1" s="2" t="s">
        <v>23</v>
      </c>
      <c r="F1" s="2" t="s">
        <v>23</v>
      </c>
      <c r="G1" s="2"/>
      <c r="H1" s="7" t="s">
        <v>20</v>
      </c>
      <c r="I1" s="7" t="s">
        <v>20</v>
      </c>
    </row>
    <row r="2" spans="1:9" x14ac:dyDescent="0.2">
      <c r="A2" s="2" t="s">
        <v>19</v>
      </c>
      <c r="B2" s="6" t="s">
        <v>18</v>
      </c>
      <c r="C2" s="2" t="s">
        <v>18</v>
      </c>
      <c r="D2" s="6" t="s">
        <v>26</v>
      </c>
      <c r="E2" s="6" t="s">
        <v>27</v>
      </c>
      <c r="F2" s="6" t="s">
        <v>29</v>
      </c>
      <c r="G2" s="2" t="s">
        <v>18</v>
      </c>
      <c r="H2" s="2" t="str">
        <f t="shared" ref="H2" si="0">CONCATENATE("name_",H1,"#str")</f>
        <v>name_zh-CN#str</v>
      </c>
      <c r="I2" s="2" t="str">
        <f t="shared" ref="I2" si="1">CONCATENATE("desc_",I1,"#str")</f>
        <v>desc_zh-CN#str</v>
      </c>
    </row>
    <row r="3" spans="1:9" x14ac:dyDescent="0.2">
      <c r="A3" s="2">
        <v>1</v>
      </c>
      <c r="B3" s="9" t="s">
        <v>45</v>
      </c>
      <c r="C3" s="5" t="s">
        <v>60</v>
      </c>
      <c r="D3" s="4">
        <v>0.15</v>
      </c>
      <c r="E3" s="4"/>
      <c r="F3" s="4"/>
      <c r="G3" s="4" t="s">
        <v>5</v>
      </c>
      <c r="H3" s="4" t="s">
        <v>17</v>
      </c>
      <c r="I3" s="3" t="str">
        <f t="shared" ref="I3:I20" si="2">C3</f>
        <v>最大生命+15%</v>
      </c>
    </row>
    <row r="4" spans="1:9" x14ac:dyDescent="0.2">
      <c r="A4" s="2">
        <v>2</v>
      </c>
      <c r="B4" s="9" t="s">
        <v>16</v>
      </c>
      <c r="C4" s="5" t="s">
        <v>61</v>
      </c>
      <c r="D4" s="4">
        <v>0.1</v>
      </c>
      <c r="E4" s="4"/>
      <c r="F4" s="4"/>
      <c r="G4" s="4" t="s">
        <v>5</v>
      </c>
      <c r="H4" s="4" t="s">
        <v>16</v>
      </c>
      <c r="I4" s="3" t="str">
        <f t="shared" si="2"/>
        <v>暴击率+10%</v>
      </c>
    </row>
    <row r="5" spans="1:9" x14ac:dyDescent="0.2">
      <c r="A5" s="2">
        <v>3</v>
      </c>
      <c r="B5" s="9" t="s">
        <v>46</v>
      </c>
      <c r="C5" s="5" t="s">
        <v>24</v>
      </c>
      <c r="D5" s="4">
        <v>1E-3</v>
      </c>
      <c r="E5" s="4"/>
      <c r="F5" s="4"/>
      <c r="G5" s="4" t="s">
        <v>15</v>
      </c>
      <c r="H5" s="4" t="s">
        <v>14</v>
      </c>
      <c r="I5" s="3" t="str">
        <f t="shared" si="2"/>
        <v>脱离战斗后，每秒恢复0.1%的最大生命</v>
      </c>
    </row>
    <row r="6" spans="1:9" x14ac:dyDescent="0.2">
      <c r="A6" s="2">
        <v>4</v>
      </c>
      <c r="B6" s="9" t="s">
        <v>13</v>
      </c>
      <c r="C6" s="5" t="s">
        <v>25</v>
      </c>
      <c r="D6" s="4">
        <v>0.05</v>
      </c>
      <c r="E6" s="4"/>
      <c r="F6" s="4"/>
      <c r="G6" s="4" t="s">
        <v>42</v>
      </c>
      <c r="H6" s="4" t="s">
        <v>13</v>
      </c>
      <c r="I6" s="3" t="str">
        <f t="shared" si="2"/>
        <v>受到攻击时反弹5%伤害</v>
      </c>
    </row>
    <row r="7" spans="1:9" x14ac:dyDescent="0.2">
      <c r="A7" s="2">
        <v>5</v>
      </c>
      <c r="B7" s="9" t="s">
        <v>11</v>
      </c>
      <c r="C7" s="5" t="s">
        <v>12</v>
      </c>
      <c r="D7" s="4">
        <v>0.1</v>
      </c>
      <c r="E7" s="4"/>
      <c r="F7" s="4"/>
      <c r="G7" s="4" t="s">
        <v>5</v>
      </c>
      <c r="H7" s="4" t="s">
        <v>11</v>
      </c>
      <c r="I7" s="3" t="str">
        <f t="shared" si="2"/>
        <v>攻击速度+10%</v>
      </c>
    </row>
    <row r="8" spans="1:9" x14ac:dyDescent="0.2">
      <c r="A8" s="2">
        <v>6</v>
      </c>
      <c r="B8" s="9" t="s">
        <v>64</v>
      </c>
      <c r="C8" s="5" t="s">
        <v>10</v>
      </c>
      <c r="D8" s="4">
        <v>0.15</v>
      </c>
      <c r="E8" s="4"/>
      <c r="F8" s="4"/>
      <c r="G8" s="4" t="s">
        <v>9</v>
      </c>
      <c r="H8" s="4" t="s">
        <v>43</v>
      </c>
      <c r="I8" s="3" t="str">
        <f t="shared" si="2"/>
        <v>无视目标15%防御</v>
      </c>
    </row>
    <row r="9" spans="1:9" x14ac:dyDescent="0.2">
      <c r="A9" s="2">
        <v>7</v>
      </c>
      <c r="B9" s="9" t="s">
        <v>63</v>
      </c>
      <c r="C9" s="5" t="s">
        <v>47</v>
      </c>
      <c r="D9" s="4">
        <v>3</v>
      </c>
      <c r="E9" s="4"/>
      <c r="F9" s="4"/>
      <c r="G9" s="4" t="s">
        <v>8</v>
      </c>
      <c r="H9" s="4" t="s">
        <v>7</v>
      </c>
      <c r="I9" s="3" t="str">
        <f t="shared" si="2"/>
        <v>每3次普通攻击后，输出一次暴击</v>
      </c>
    </row>
    <row r="10" spans="1:9" ht="28.5" x14ac:dyDescent="0.2">
      <c r="A10" s="2">
        <v>8</v>
      </c>
      <c r="B10" s="9" t="s">
        <v>34</v>
      </c>
      <c r="C10" s="10" t="s">
        <v>59</v>
      </c>
      <c r="D10" s="4">
        <v>0.5</v>
      </c>
      <c r="E10" s="4"/>
      <c r="F10" s="4"/>
      <c r="G10" s="4" t="s">
        <v>41</v>
      </c>
      <c r="H10" s="4" t="s">
        <v>34</v>
      </c>
      <c r="I10" s="3" t="str">
        <f>C10</f>
        <v>命中敌人后，敌人接下一次遭受的攻击伤害将+50%</v>
      </c>
    </row>
    <row r="11" spans="1:9" x14ac:dyDescent="0.2">
      <c r="A11" s="2">
        <v>9</v>
      </c>
      <c r="B11" s="9" t="s">
        <v>28</v>
      </c>
      <c r="C11" s="5" t="s">
        <v>66</v>
      </c>
      <c r="D11" s="4">
        <v>0.3</v>
      </c>
      <c r="E11" s="4">
        <v>0.1</v>
      </c>
      <c r="F11" s="4"/>
      <c r="G11" s="4" t="s">
        <v>40</v>
      </c>
      <c r="H11" s="4" t="s">
        <v>6</v>
      </c>
      <c r="I11" s="3" t="str">
        <f t="shared" si="2"/>
        <v>生命&lt;30%时生成10%减伤的护盾</v>
      </c>
    </row>
    <row r="12" spans="1:9" x14ac:dyDescent="0.2">
      <c r="A12" s="2">
        <v>10</v>
      </c>
      <c r="B12" s="9" t="s">
        <v>35</v>
      </c>
      <c r="C12" s="8" t="s">
        <v>36</v>
      </c>
      <c r="D12" s="4">
        <v>0.3</v>
      </c>
      <c r="E12" s="4"/>
      <c r="F12" s="4"/>
      <c r="G12" s="4" t="s">
        <v>39</v>
      </c>
      <c r="H12" s="4" t="s">
        <v>35</v>
      </c>
      <c r="I12" s="3" t="str">
        <f t="shared" si="2"/>
        <v>30%的概率，闪避敌人的攻击</v>
      </c>
    </row>
    <row r="13" spans="1:9" x14ac:dyDescent="0.2">
      <c r="A13" s="2">
        <v>11</v>
      </c>
      <c r="B13" s="11" t="s">
        <v>62</v>
      </c>
      <c r="C13" s="5" t="s">
        <v>49</v>
      </c>
      <c r="D13" s="4">
        <v>0.1</v>
      </c>
      <c r="E13" s="4">
        <v>0.05</v>
      </c>
      <c r="F13" s="4"/>
      <c r="G13" s="4" t="s">
        <v>4</v>
      </c>
      <c r="H13" s="4" t="s">
        <v>3</v>
      </c>
      <c r="I13" s="5" t="s">
        <v>49</v>
      </c>
    </row>
    <row r="14" spans="1:9" ht="28.5" x14ac:dyDescent="0.2">
      <c r="A14" s="2">
        <v>12</v>
      </c>
      <c r="B14" s="9" t="s">
        <v>32</v>
      </c>
      <c r="C14" s="8" t="s">
        <v>48</v>
      </c>
      <c r="D14" s="4">
        <v>0.7</v>
      </c>
      <c r="E14" s="4">
        <v>0.2</v>
      </c>
      <c r="F14" s="4"/>
      <c r="G14" s="4" t="s">
        <v>38</v>
      </c>
      <c r="H14" s="4" t="s">
        <v>32</v>
      </c>
      <c r="I14" s="8" t="s">
        <v>48</v>
      </c>
    </row>
    <row r="15" spans="1:9" ht="28.5" x14ac:dyDescent="0.2">
      <c r="A15" s="2">
        <v>13</v>
      </c>
      <c r="B15" s="9" t="s">
        <v>58</v>
      </c>
      <c r="C15" s="10" t="s">
        <v>67</v>
      </c>
      <c r="D15" s="11">
        <v>0.3</v>
      </c>
      <c r="E15" s="4">
        <v>5</v>
      </c>
      <c r="F15" s="4">
        <v>3</v>
      </c>
      <c r="G15" s="4" t="s">
        <v>2</v>
      </c>
      <c r="H15" s="4" t="s">
        <v>1</v>
      </c>
      <c r="I15" s="3" t="str">
        <f>C15</f>
        <v>生命&lt;30%时，每遭受到其它龙5次攻击后，产生一次300%的暴击</v>
      </c>
    </row>
    <row r="16" spans="1:9" x14ac:dyDescent="0.2">
      <c r="A16" s="2">
        <v>14</v>
      </c>
      <c r="B16" s="9" t="s">
        <v>44</v>
      </c>
      <c r="C16" s="5" t="s">
        <v>65</v>
      </c>
      <c r="D16" s="4">
        <v>0.7</v>
      </c>
      <c r="E16" s="4">
        <v>0.25</v>
      </c>
      <c r="F16" s="4"/>
      <c r="G16" s="4" t="s">
        <v>0</v>
      </c>
      <c r="H16" s="4" t="s">
        <v>44</v>
      </c>
      <c r="I16" s="3" t="str">
        <f t="shared" si="2"/>
        <v>​对生命&gt;70%的目标的伤害+25%</v>
      </c>
    </row>
    <row r="17" spans="1:9" ht="28.5" x14ac:dyDescent="0.2">
      <c r="A17" s="2">
        <v>15</v>
      </c>
      <c r="B17" s="9" t="s">
        <v>30</v>
      </c>
      <c r="C17" s="10" t="s">
        <v>51</v>
      </c>
      <c r="D17" s="4">
        <v>0.2</v>
      </c>
      <c r="E17" s="4">
        <v>0.3</v>
      </c>
      <c r="F17" s="4">
        <v>10</v>
      </c>
      <c r="G17" s="4" t="s">
        <v>50</v>
      </c>
      <c r="H17" s="4" t="s">
        <v>30</v>
      </c>
      <c r="I17" s="3" t="str">
        <f t="shared" si="2"/>
        <v>攻击有20%概率导致对方攻速降低30%，持续10秒</v>
      </c>
    </row>
    <row r="18" spans="1:9" ht="28.5" x14ac:dyDescent="0.2">
      <c r="A18" s="2">
        <v>16</v>
      </c>
      <c r="B18" s="9" t="s">
        <v>52</v>
      </c>
      <c r="C18" s="10" t="s">
        <v>54</v>
      </c>
      <c r="D18" s="11">
        <v>0.2</v>
      </c>
      <c r="E18" s="4">
        <v>0.3</v>
      </c>
      <c r="F18" s="4">
        <v>10</v>
      </c>
      <c r="G18" s="4" t="s">
        <v>53</v>
      </c>
      <c r="H18" s="4" t="s">
        <v>53</v>
      </c>
      <c r="I18" s="3" t="str">
        <f t="shared" si="2"/>
        <v>​受击时，有20%概率，降低攻击者30%攻速，持续10秒</v>
      </c>
    </row>
    <row r="19" spans="1:9" x14ac:dyDescent="0.2">
      <c r="A19" s="2">
        <v>17</v>
      </c>
      <c r="B19" s="11" t="s">
        <v>33</v>
      </c>
      <c r="C19" s="8" t="s">
        <v>55</v>
      </c>
      <c r="D19" s="4">
        <v>0.3</v>
      </c>
      <c r="E19" s="4">
        <v>0.1</v>
      </c>
      <c r="F19" s="4"/>
      <c r="G19" s="4" t="s">
        <v>37</v>
      </c>
      <c r="H19" s="4" t="s">
        <v>33</v>
      </c>
      <c r="I19" s="3" t="str">
        <f t="shared" si="2"/>
        <v>对生命&lt;30%的目标，伤害+10%</v>
      </c>
    </row>
    <row r="20" spans="1:9" ht="28.5" x14ac:dyDescent="0.2">
      <c r="A20" s="2">
        <v>18</v>
      </c>
      <c r="B20" s="9" t="s">
        <v>57</v>
      </c>
      <c r="C20" s="10" t="s">
        <v>56</v>
      </c>
      <c r="D20" s="4">
        <v>0.25</v>
      </c>
      <c r="E20" s="4">
        <v>20</v>
      </c>
      <c r="F20" s="2"/>
      <c r="G20" s="4" t="s">
        <v>31</v>
      </c>
      <c r="H20" s="4" t="s">
        <v>57</v>
      </c>
      <c r="I20" s="3" t="str">
        <f t="shared" si="2"/>
        <v>死亡后，己方所有龙的攻击力+25%，持续20秒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dragon_nature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 MI</dc:creator>
  <cp:lastModifiedBy>Looming MI</cp:lastModifiedBy>
  <dcterms:created xsi:type="dcterms:W3CDTF">2025-03-10T07:47:06Z</dcterms:created>
  <dcterms:modified xsi:type="dcterms:W3CDTF">2026-01-04T13:59:31Z</dcterms:modified>
</cp:coreProperties>
</file>