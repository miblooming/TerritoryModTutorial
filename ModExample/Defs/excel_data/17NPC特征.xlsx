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72CE876-D277-4EC6-ABEA-543F2806C3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ature" sheetId="1" r:id="rId1"/>
    <sheet name="!Sheet1" sheetId="2" r:id="rId2"/>
  </sheets>
  <calcPr calcId="181029"/>
</workbook>
</file>

<file path=xl/calcChain.xml><?xml version="1.0" encoding="utf-8"?>
<calcChain xmlns="http://schemas.openxmlformats.org/spreadsheetml/2006/main">
  <c r="K14" i="1" l="1"/>
  <c r="Q6" i="2"/>
  <c r="H6" i="2"/>
  <c r="Q5" i="2"/>
  <c r="H5" i="2"/>
  <c r="Q4" i="2"/>
  <c r="H4" i="2"/>
  <c r="Q3" i="2"/>
  <c r="H3" i="2"/>
  <c r="Q2" i="2"/>
  <c r="H2" i="2"/>
  <c r="Q1" i="2"/>
  <c r="H1" i="2"/>
  <c r="K19" i="1"/>
  <c r="K18" i="1"/>
  <c r="K17" i="1"/>
  <c r="N16" i="1"/>
  <c r="K16" i="1"/>
  <c r="N15" i="1"/>
  <c r="K15" i="1"/>
  <c r="K13" i="1" l="1"/>
  <c r="K12" i="1"/>
  <c r="K11" i="1"/>
  <c r="K10" i="1"/>
  <c r="K9" i="1"/>
  <c r="K8" i="1"/>
  <c r="K7" i="1"/>
  <c r="K6" i="1"/>
  <c r="K5" i="1"/>
  <c r="K4" i="1"/>
  <c r="K3" i="1"/>
  <c r="O2" i="1" l="1"/>
  <c r="N2" i="1"/>
</calcChain>
</file>

<file path=xl/sharedStrings.xml><?xml version="1.0" encoding="utf-8"?>
<sst xmlns="http://schemas.openxmlformats.org/spreadsheetml/2006/main" count="122" uniqueCount="106">
  <si>
    <t>nature_id#int</t>
    <phoneticPr fontId="1" type="noConversion"/>
  </si>
  <si>
    <t>特征ID</t>
    <phoneticPr fontId="1" type="noConversion"/>
  </si>
  <si>
    <t>特征名称</t>
    <phoneticPr fontId="1" type="noConversion"/>
  </si>
  <si>
    <t>特征描述</t>
    <phoneticPr fontId="1" type="noConversion"/>
  </si>
  <si>
    <t>特征作用</t>
    <phoneticPr fontId="1" type="noConversion"/>
  </si>
  <si>
    <t>备注</t>
    <phoneticPr fontId="1" type="noConversion"/>
  </si>
  <si>
    <t>!remark</t>
    <phoneticPr fontId="1" type="noConversion"/>
  </si>
  <si>
    <t>多病</t>
  </si>
  <si>
    <t>悲观</t>
    <phoneticPr fontId="1" type="noConversion"/>
  </si>
  <si>
    <t>天生容易快乐</t>
    <phoneticPr fontId="1" type="noConversion"/>
  </si>
  <si>
    <t>天生容易不快乐</t>
    <phoneticPr fontId="1" type="noConversion"/>
  </si>
  <si>
    <t>行走速度倍率</t>
    <phoneticPr fontId="1" type="noConversion"/>
  </si>
  <si>
    <t>工作效率倍率</t>
    <phoneticPr fontId="1" type="noConversion"/>
  </si>
  <si>
    <t>得病概率</t>
    <phoneticPr fontId="1" type="noConversion"/>
  </si>
  <si>
    <t>天生的附加BUFF</t>
    <phoneticPr fontId="1" type="noConversion"/>
  </si>
  <si>
    <t>天生的附加BUFF</t>
    <phoneticPr fontId="1" type="noConversion"/>
  </si>
  <si>
    <t>健步如飞</t>
    <phoneticPr fontId="1" type="noConversion"/>
  </si>
  <si>
    <t>勤劳</t>
    <phoneticPr fontId="1" type="noConversion"/>
  </si>
  <si>
    <t>有益特性</t>
    <phoneticPr fontId="1" type="noConversion"/>
  </si>
  <si>
    <t>is_good#int</t>
    <phoneticPr fontId="1" type="noConversion"/>
  </si>
  <si>
    <t>懒散</t>
    <phoneticPr fontId="1" type="noConversion"/>
  </si>
  <si>
    <t>喝酒需求量</t>
    <phoneticPr fontId="1" type="noConversion"/>
  </si>
  <si>
    <t>坚决不吃生食</t>
    <phoneticPr fontId="1" type="noConversion"/>
  </si>
  <si>
    <t>百毒不侵</t>
    <phoneticPr fontId="1" type="noConversion"/>
  </si>
  <si>
    <t>贪吃</t>
    <phoneticPr fontId="1" type="noConversion"/>
  </si>
  <si>
    <t>嗜酒</t>
    <phoneticPr fontId="1" type="noConversion"/>
  </si>
  <si>
    <t>吃饭所需要食物倍数</t>
    <phoneticPr fontId="1" type="noConversion"/>
  </si>
  <si>
    <t>长寿</t>
    <phoneticPr fontId="1" type="noConversion"/>
  </si>
  <si>
    <t>年龄倍数</t>
    <phoneticPr fontId="1" type="noConversion"/>
  </si>
  <si>
    <t>行走速度更快 +25%</t>
    <phoneticPr fontId="1" type="noConversion"/>
  </si>
  <si>
    <t>免疫所有疾病</t>
    <phoneticPr fontId="1" type="noConversion"/>
  </si>
  <si>
    <t>工作效率减半</t>
    <phoneticPr fontId="1" type="noConversion"/>
  </si>
  <si>
    <t>对酒的需求翻倍</t>
    <phoneticPr fontId="1" type="noConversion"/>
  </si>
  <si>
    <t>饭量更大 +50%</t>
    <phoneticPr fontId="1" type="noConversion"/>
  </si>
  <si>
    <t>更容易生病</t>
    <phoneticPr fontId="1" type="noConversion"/>
  </si>
  <si>
    <t>乐观</t>
    <phoneticPr fontId="1" type="noConversion"/>
  </si>
  <si>
    <t>挑食</t>
    <phoneticPr fontId="1" type="noConversion"/>
  </si>
  <si>
    <t>特征排斥组</t>
    <phoneticPr fontId="1" type="noConversion"/>
  </si>
  <si>
    <t>nature_group#int</t>
    <phoneticPr fontId="1" type="noConversion"/>
  </si>
  <si>
    <t>zh-CN</t>
  </si>
  <si>
    <t>!nature_name#str</t>
    <phoneticPr fontId="1" type="noConversion"/>
  </si>
  <si>
    <t>!nature_desc#str</t>
    <phoneticPr fontId="1" type="noConversion"/>
  </si>
  <si>
    <t>贪财</t>
    <phoneticPr fontId="1" type="noConversion"/>
  </si>
  <si>
    <t>极端</t>
    <phoneticPr fontId="1" type="noConversion"/>
  </si>
  <si>
    <t>对黄金白银珍宝着迷</t>
    <phoneticPr fontId="1" type="noConversion"/>
  </si>
  <si>
    <t>对战斗充满渴望</t>
    <phoneticPr fontId="1" type="noConversion"/>
  </si>
  <si>
    <t>对特定观念和物品，具有超乎寻常的好恶</t>
    <phoneticPr fontId="1" type="noConversion"/>
  </si>
  <si>
    <t>貪財</t>
  </si>
  <si>
    <t>好戰</t>
  </si>
  <si>
    <t>極端</t>
  </si>
  <si>
    <t>Horny</t>
    <phoneticPr fontId="1" type="noConversion"/>
  </si>
  <si>
    <t>Miser</t>
    <phoneticPr fontId="1" type="noConversion"/>
  </si>
  <si>
    <t>Warlike</t>
    <phoneticPr fontId="1" type="noConversion"/>
  </si>
  <si>
    <t>Extreme</t>
    <phoneticPr fontId="1" type="noConversion"/>
  </si>
  <si>
    <t>Diplomatic Action Success Chance +25%</t>
  </si>
  <si>
    <t>Fascinated by good-looking opposite sex</t>
  </si>
  <si>
    <t>Fascinated by gold and silver treasures</t>
  </si>
  <si>
    <t>Extraordinary likes and dislikes for certain ideas and objects</t>
  </si>
  <si>
    <t>Eager to fight</t>
    <phoneticPr fontId="1" type="noConversion"/>
  </si>
  <si>
    <t>外交行動成功率 +25%</t>
  </si>
  <si>
    <t>對高顏值異性著迷</t>
  </si>
  <si>
    <t>對黃金白銀珍寶著迷</t>
  </si>
  <si>
    <t>對戰鬥充滿渴望</t>
  </si>
  <si>
    <t>對特定觀念和物品，具有超乎尋常的好惡</t>
  </si>
  <si>
    <t>对高颜值异性着迷</t>
    <phoneticPr fontId="1" type="noConversion"/>
  </si>
  <si>
    <t>好美色</t>
    <phoneticPr fontId="1" type="noConversion"/>
  </si>
  <si>
    <t>懦弱</t>
    <phoneticPr fontId="1" type="noConversion"/>
  </si>
  <si>
    <t>Coward</t>
    <phoneticPr fontId="1" type="noConversion"/>
  </si>
  <si>
    <t>胆小怕事，战斗素质差</t>
    <phoneticPr fontId="1" type="noConversion"/>
  </si>
  <si>
    <t>膽小怕事，戰鬥素質差</t>
    <phoneticPr fontId="1" type="noConversion"/>
  </si>
  <si>
    <t>Timid and fearful, poor fighting quality</t>
    <phoneticPr fontId="1" type="noConversion"/>
  </si>
  <si>
    <t>好战</t>
    <phoneticPr fontId="1" type="noConversion"/>
  </si>
  <si>
    <t>勇敢</t>
    <phoneticPr fontId="1" type="noConversion"/>
  </si>
  <si>
    <t>好美色</t>
    <phoneticPr fontId="1" type="noConversion"/>
  </si>
  <si>
    <t>Articulate</t>
    <phoneticPr fontId="1" type="noConversion"/>
  </si>
  <si>
    <t>能言善辩</t>
    <phoneticPr fontId="1" type="noConversion"/>
  </si>
  <si>
    <t>能言善辯</t>
    <phoneticPr fontId="1" type="noConversion"/>
  </si>
  <si>
    <t>外交行动成功率 +25%</t>
    <phoneticPr fontId="1" type="noConversion"/>
  </si>
  <si>
    <t>懒散</t>
    <phoneticPr fontId="1" type="noConversion"/>
  </si>
  <si>
    <t>天生丽质</t>
    <phoneticPr fontId="1" type="noConversion"/>
  </si>
  <si>
    <t>天生长得好看，颜值不低于80</t>
    <phoneticPr fontId="1" type="noConversion"/>
  </si>
  <si>
    <t>坚韧</t>
    <phoneticPr fontId="1" type="noConversion"/>
  </si>
  <si>
    <t>懦弱</t>
    <phoneticPr fontId="1" type="noConversion"/>
  </si>
  <si>
    <t>寿命 +25%</t>
    <phoneticPr fontId="1" type="noConversion"/>
  </si>
  <si>
    <t>忠诚</t>
    <phoneticPr fontId="1" type="noConversion"/>
  </si>
  <si>
    <t>智慧</t>
    <phoneticPr fontId="1" type="noConversion"/>
  </si>
  <si>
    <t>百毒不侵</t>
    <phoneticPr fontId="1" type="noConversion"/>
  </si>
  <si>
    <t>nature_effect#float</t>
    <phoneticPr fontId="1" type="noConversion"/>
  </si>
  <si>
    <t>士兵战斗影响</t>
    <phoneticPr fontId="1" type="noConversion"/>
  </si>
  <si>
    <t>soldier_atk_effect#float</t>
    <phoneticPr fontId="1" type="noConversion"/>
  </si>
  <si>
    <t>士兵防御影响</t>
    <phoneticPr fontId="1" type="noConversion"/>
  </si>
  <si>
    <t>soldier_def_effect#float</t>
    <phoneticPr fontId="1" type="noConversion"/>
  </si>
  <si>
    <t>士兵：防御力 +25%
领主：所有士兵防御 +10%</t>
    <phoneticPr fontId="1" type="noConversion"/>
  </si>
  <si>
    <t>领主所有士兵战斗影响</t>
    <phoneticPr fontId="1" type="noConversion"/>
  </si>
  <si>
    <t>领主所有士兵防御影响</t>
    <phoneticPr fontId="1" type="noConversion"/>
  </si>
  <si>
    <t>soldier_atk_effect_of_lord#float</t>
    <phoneticPr fontId="1" type="noConversion"/>
  </si>
  <si>
    <t>soldier_def_effect_of_lord#float</t>
    <phoneticPr fontId="1" type="noConversion"/>
  </si>
  <si>
    <t>领主特征作用</t>
    <phoneticPr fontId="1" type="noConversion"/>
  </si>
  <si>
    <t>nature_effect_of_lord#float</t>
    <phoneticPr fontId="1" type="noConversion"/>
  </si>
  <si>
    <t>平民：即使不幸福也不自行离开领地
士兵：不会被心灵控制
贵族：增加忠诚度
领主：更容易吸引流民</t>
    <phoneticPr fontId="1" type="noConversion"/>
  </si>
  <si>
    <t>士兵：攻击力 +25%
贵族：增加军事能力
领主：所有士兵攻击力 +10%</t>
    <phoneticPr fontId="1" type="noConversion"/>
  </si>
  <si>
    <t>士兵：攻击力 -10%
贵族：降低军事能力
领主：所有士兵攻击力 -10%</t>
    <phoneticPr fontId="1" type="noConversion"/>
  </si>
  <si>
    <t>学生：学习速度更快 +50%
贵族：增加管理能力
领主：贸易采购成本降低5%</t>
    <phoneticPr fontId="1" type="noConversion"/>
  </si>
  <si>
    <t>平民：工作效率翻倍
贵族：子领地产量增加 +20%
领主：所有平民工作效率提升 +10%</t>
    <phoneticPr fontId="1" type="noConversion"/>
  </si>
  <si>
    <t>nature_effect_of_noble#float</t>
    <phoneticPr fontId="1" type="noConversion"/>
  </si>
  <si>
    <t>贵族特征作用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</si>
</sst>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2" borderId="1" xfId="0" applyFill="1" applyBorder="1"/>
    <xf numFmtId="0" fontId="0" fillId="3" borderId="1" xfId="0" applyFill="1" applyBorder="1"/>
    <xf numFmtId="0" fontId="2" fillId="3" borderId="1" xfId="0" applyFont="1" applyFill="1" applyBorder="1" applyAlignment="1">
      <alignment vertical="center" wrapText="1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0" fillId="0" borderId="2" xfId="0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workbookViewId="0">
      <selection activeCell="Y5" sqref="Y5"/>
    </sheetView>
  </sheetViews>
  <sheetFormatPr defaultRowHeight="13.5" x14ac:dyDescent="0.15"/>
  <cols>
    <col min="1" max="1" width="10.625" customWidth="1"/>
    <col min="3" max="5" width="11.75" customWidth="1"/>
    <col min="6" max="9" width="7.75" customWidth="1"/>
    <col min="10" max="10" width="22.125" style="3" customWidth="1"/>
    <col min="11" max="11" width="25" customWidth="1"/>
    <col min="15" max="15" width="28.625" customWidth="1"/>
  </cols>
  <sheetData>
    <row r="1" spans="1:15" s="3" customFormat="1" ht="54" x14ac:dyDescent="0.15">
      <c r="A1" s="2" t="s">
        <v>1</v>
      </c>
      <c r="B1" s="2" t="s">
        <v>2</v>
      </c>
      <c r="C1" s="2" t="s">
        <v>4</v>
      </c>
      <c r="D1" s="2" t="s">
        <v>97</v>
      </c>
      <c r="E1" s="2" t="s">
        <v>105</v>
      </c>
      <c r="F1" s="2" t="s">
        <v>88</v>
      </c>
      <c r="G1" s="2" t="s">
        <v>90</v>
      </c>
      <c r="H1" s="2" t="s">
        <v>93</v>
      </c>
      <c r="I1" s="2" t="s">
        <v>94</v>
      </c>
      <c r="J1" s="2" t="s">
        <v>5</v>
      </c>
      <c r="K1" s="2" t="s">
        <v>3</v>
      </c>
      <c r="L1" s="2" t="s">
        <v>18</v>
      </c>
      <c r="M1" s="9" t="s">
        <v>37</v>
      </c>
      <c r="N1" s="6" t="s">
        <v>39</v>
      </c>
      <c r="O1" s="6" t="s">
        <v>39</v>
      </c>
    </row>
    <row r="2" spans="1:15" x14ac:dyDescent="0.15">
      <c r="A2" s="1" t="s">
        <v>0</v>
      </c>
      <c r="B2" s="1" t="s">
        <v>40</v>
      </c>
      <c r="C2" s="1" t="s">
        <v>87</v>
      </c>
      <c r="D2" s="1" t="s">
        <v>98</v>
      </c>
      <c r="E2" s="1" t="s">
        <v>104</v>
      </c>
      <c r="F2" s="1" t="s">
        <v>89</v>
      </c>
      <c r="G2" s="1" t="s">
        <v>91</v>
      </c>
      <c r="H2" s="1" t="s">
        <v>95</v>
      </c>
      <c r="I2" s="1" t="s">
        <v>96</v>
      </c>
      <c r="J2" s="2" t="s">
        <v>6</v>
      </c>
      <c r="K2" s="1" t="s">
        <v>41</v>
      </c>
      <c r="L2" s="1" t="s">
        <v>19</v>
      </c>
      <c r="M2" s="1" t="s">
        <v>38</v>
      </c>
      <c r="N2" s="1" t="str">
        <f t="shared" ref="N2" si="0">CONCATENATE("nature_name_",N1,"#str")</f>
        <v>nature_name_zh-CN#str</v>
      </c>
      <c r="O2" s="1" t="str">
        <f t="shared" ref="O2" si="1">CONCATENATE("nature_desc_",O1,"#str")</f>
        <v>nature_desc_zh-CN#str</v>
      </c>
    </row>
    <row r="3" spans="1:15" x14ac:dyDescent="0.15">
      <c r="A3" s="1">
        <v>102</v>
      </c>
      <c r="B3" s="4" t="s">
        <v>16</v>
      </c>
      <c r="C3" s="1">
        <v>1.25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2" t="s">
        <v>11</v>
      </c>
      <c r="K3" s="1" t="str">
        <f>O3</f>
        <v>行走速度更快 +25%</v>
      </c>
      <c r="L3" s="1">
        <v>1</v>
      </c>
      <c r="M3" s="1">
        <v>102</v>
      </c>
      <c r="N3" s="4" t="s">
        <v>16</v>
      </c>
      <c r="O3" s="1" t="s">
        <v>29</v>
      </c>
    </row>
    <row r="4" spans="1:15" ht="54" x14ac:dyDescent="0.15">
      <c r="A4" s="1">
        <v>104</v>
      </c>
      <c r="B4" s="4" t="s">
        <v>17</v>
      </c>
      <c r="C4" s="1">
        <v>2</v>
      </c>
      <c r="D4" s="1">
        <v>1.1000000000000001</v>
      </c>
      <c r="E4" s="1">
        <v>1.2</v>
      </c>
      <c r="F4" s="1">
        <v>1</v>
      </c>
      <c r="G4" s="1">
        <v>1</v>
      </c>
      <c r="H4" s="1">
        <v>1</v>
      </c>
      <c r="I4" s="1">
        <v>1</v>
      </c>
      <c r="J4" s="1" t="s">
        <v>12</v>
      </c>
      <c r="K4" s="1" t="str">
        <f t="shared" ref="K4:K19" si="2">O4</f>
        <v>平民：工作效率翻倍
贵族：子领地产量增加 +20%
领主：所有平民工作效率提升 +10%</v>
      </c>
      <c r="L4" s="1">
        <v>1</v>
      </c>
      <c r="M4" s="1">
        <v>104</v>
      </c>
      <c r="N4" s="4" t="s">
        <v>17</v>
      </c>
      <c r="O4" s="8" t="s">
        <v>103</v>
      </c>
    </row>
    <row r="5" spans="1:15" x14ac:dyDescent="0.15">
      <c r="A5" s="1">
        <v>105</v>
      </c>
      <c r="B5" s="4" t="s">
        <v>23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2"/>
      <c r="K5" s="1" t="str">
        <f t="shared" si="2"/>
        <v>免疫所有疾病</v>
      </c>
      <c r="L5" s="1">
        <v>1</v>
      </c>
      <c r="M5" s="1">
        <v>105</v>
      </c>
      <c r="N5" s="4" t="s">
        <v>86</v>
      </c>
      <c r="O5" s="1" t="s">
        <v>30</v>
      </c>
    </row>
    <row r="6" spans="1:15" x14ac:dyDescent="0.15">
      <c r="A6" s="1">
        <v>106</v>
      </c>
      <c r="B6" s="4" t="s">
        <v>35</v>
      </c>
      <c r="C6" s="1">
        <v>0.5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2" t="s">
        <v>14</v>
      </c>
      <c r="K6" s="1" t="str">
        <f t="shared" si="2"/>
        <v>天生容易快乐</v>
      </c>
      <c r="L6" s="1">
        <v>1</v>
      </c>
      <c r="M6" s="1">
        <v>106</v>
      </c>
      <c r="N6" s="4" t="s">
        <v>35</v>
      </c>
      <c r="O6" s="1" t="s">
        <v>9</v>
      </c>
    </row>
    <row r="7" spans="1:15" x14ac:dyDescent="0.15">
      <c r="A7" s="1">
        <v>107</v>
      </c>
      <c r="B7" s="4" t="s">
        <v>20</v>
      </c>
      <c r="C7" s="1">
        <v>0.5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2" t="s">
        <v>12</v>
      </c>
      <c r="K7" s="1" t="str">
        <f t="shared" si="2"/>
        <v>工作效率减半</v>
      </c>
      <c r="L7" s="1">
        <v>0</v>
      </c>
      <c r="M7" s="5">
        <v>104</v>
      </c>
      <c r="N7" s="4" t="s">
        <v>78</v>
      </c>
      <c r="O7" s="1" t="s">
        <v>31</v>
      </c>
    </row>
    <row r="8" spans="1:15" x14ac:dyDescent="0.15">
      <c r="A8" s="1">
        <v>108</v>
      </c>
      <c r="B8" s="4" t="s">
        <v>25</v>
      </c>
      <c r="C8" s="1">
        <v>2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2" t="s">
        <v>21</v>
      </c>
      <c r="K8" s="1" t="str">
        <f t="shared" si="2"/>
        <v>对酒的需求翻倍</v>
      </c>
      <c r="L8" s="1">
        <v>0</v>
      </c>
      <c r="M8" s="1">
        <v>108</v>
      </c>
      <c r="N8" s="4" t="s">
        <v>25</v>
      </c>
      <c r="O8" s="1" t="s">
        <v>32</v>
      </c>
    </row>
    <row r="9" spans="1:15" x14ac:dyDescent="0.15">
      <c r="A9" s="1">
        <v>109</v>
      </c>
      <c r="B9" s="4" t="s">
        <v>36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2"/>
      <c r="K9" s="1" t="str">
        <f t="shared" si="2"/>
        <v>坚决不吃生食</v>
      </c>
      <c r="L9" s="1">
        <v>0</v>
      </c>
      <c r="M9" s="1">
        <v>109</v>
      </c>
      <c r="N9" s="4" t="s">
        <v>36</v>
      </c>
      <c r="O9" s="1" t="s">
        <v>22</v>
      </c>
    </row>
    <row r="10" spans="1:15" x14ac:dyDescent="0.15">
      <c r="A10" s="1">
        <v>110</v>
      </c>
      <c r="B10" s="4" t="s">
        <v>24</v>
      </c>
      <c r="C10" s="1">
        <v>1.5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2" t="s">
        <v>26</v>
      </c>
      <c r="K10" s="1" t="str">
        <f t="shared" si="2"/>
        <v>饭量更大 +50%</v>
      </c>
      <c r="L10" s="1">
        <v>0</v>
      </c>
      <c r="M10" s="1">
        <v>110</v>
      </c>
      <c r="N10" s="4" t="s">
        <v>24</v>
      </c>
      <c r="O10" s="1" t="s">
        <v>33</v>
      </c>
    </row>
    <row r="11" spans="1:15" x14ac:dyDescent="0.15">
      <c r="A11" s="1">
        <v>111</v>
      </c>
      <c r="B11" s="4" t="s">
        <v>7</v>
      </c>
      <c r="C11" s="1">
        <v>2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2" t="s">
        <v>13</v>
      </c>
      <c r="K11" s="1" t="str">
        <f t="shared" si="2"/>
        <v>更容易生病</v>
      </c>
      <c r="L11" s="1">
        <v>0</v>
      </c>
      <c r="M11" s="5">
        <v>105</v>
      </c>
      <c r="N11" s="4" t="s">
        <v>7</v>
      </c>
      <c r="O11" s="1" t="s">
        <v>34</v>
      </c>
    </row>
    <row r="12" spans="1:15" x14ac:dyDescent="0.15">
      <c r="A12" s="1">
        <v>112</v>
      </c>
      <c r="B12" s="4" t="s">
        <v>8</v>
      </c>
      <c r="C12" s="1">
        <v>0.5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2" t="s">
        <v>15</v>
      </c>
      <c r="K12" s="1" t="str">
        <f t="shared" si="2"/>
        <v>天生容易不快乐</v>
      </c>
      <c r="L12" s="1">
        <v>0</v>
      </c>
      <c r="M12" s="5">
        <v>106</v>
      </c>
      <c r="N12" s="4" t="s">
        <v>8</v>
      </c>
      <c r="O12" s="2" t="s">
        <v>10</v>
      </c>
    </row>
    <row r="13" spans="1:15" x14ac:dyDescent="0.15">
      <c r="A13" s="1">
        <v>113</v>
      </c>
      <c r="B13" s="4" t="s">
        <v>27</v>
      </c>
      <c r="C13" s="1">
        <v>1.25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2" t="s">
        <v>28</v>
      </c>
      <c r="K13" s="1" t="str">
        <f>O13</f>
        <v>寿命 +25%</v>
      </c>
      <c r="L13" s="1">
        <v>1</v>
      </c>
      <c r="M13" s="1">
        <v>113</v>
      </c>
      <c r="N13" s="4" t="s">
        <v>27</v>
      </c>
      <c r="O13" s="1" t="s">
        <v>83</v>
      </c>
    </row>
    <row r="14" spans="1:15" ht="67.5" x14ac:dyDescent="0.15">
      <c r="A14" s="1">
        <v>114</v>
      </c>
      <c r="B14" s="1" t="s">
        <v>84</v>
      </c>
      <c r="C14" s="1">
        <v>2</v>
      </c>
      <c r="D14" s="5">
        <v>0.95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2"/>
      <c r="K14" s="1" t="str">
        <f>O14</f>
        <v>平民：即使不幸福也不自行离开领地
士兵：不会被心灵控制
贵族：增加忠诚度
领主：更容易吸引流民</v>
      </c>
      <c r="L14" s="1">
        <v>1</v>
      </c>
      <c r="M14" s="1">
        <v>114</v>
      </c>
      <c r="N14" s="1" t="s">
        <v>84</v>
      </c>
      <c r="O14" s="8" t="s">
        <v>99</v>
      </c>
    </row>
    <row r="15" spans="1:15" x14ac:dyDescent="0.15">
      <c r="A15" s="1">
        <v>115</v>
      </c>
      <c r="B15" s="1" t="s">
        <v>85</v>
      </c>
      <c r="C15" s="1">
        <v>2</v>
      </c>
      <c r="D15" s="1">
        <v>0.05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2"/>
      <c r="K15" s="1" t="str">
        <f t="shared" si="2"/>
        <v>学生：学习速度更快 +50%
贵族：增加管理能力
领主：贸易采购成本降低5%</v>
      </c>
      <c r="L15" s="1">
        <v>1</v>
      </c>
      <c r="M15" s="1">
        <v>115</v>
      </c>
      <c r="N15" s="1" t="str">
        <f>B15</f>
        <v>智慧</v>
      </c>
      <c r="O15" s="7" t="s">
        <v>102</v>
      </c>
    </row>
    <row r="16" spans="1:15" ht="40.5" x14ac:dyDescent="0.15">
      <c r="A16" s="1">
        <v>116</v>
      </c>
      <c r="B16" s="1" t="s">
        <v>72</v>
      </c>
      <c r="C16" s="1">
        <v>2</v>
      </c>
      <c r="D16" s="1">
        <v>1</v>
      </c>
      <c r="E16" s="1">
        <v>1</v>
      </c>
      <c r="F16" s="5">
        <v>1.25</v>
      </c>
      <c r="G16" s="1">
        <v>1</v>
      </c>
      <c r="H16" s="5">
        <v>1.1000000000000001</v>
      </c>
      <c r="I16" s="1">
        <v>1</v>
      </c>
      <c r="J16" s="2"/>
      <c r="K16" s="1" t="str">
        <f t="shared" si="2"/>
        <v>士兵：攻击力 +25%
贵族：增加军事能力
领主：所有士兵攻击力 +10%</v>
      </c>
      <c r="L16" s="1">
        <v>1</v>
      </c>
      <c r="M16" s="1">
        <v>116</v>
      </c>
      <c r="N16" s="1" t="str">
        <f>B16</f>
        <v>勇敢</v>
      </c>
      <c r="O16" s="8" t="s">
        <v>100</v>
      </c>
    </row>
    <row r="17" spans="1:15" x14ac:dyDescent="0.15">
      <c r="A17" s="1">
        <v>117</v>
      </c>
      <c r="B17" s="1" t="s">
        <v>79</v>
      </c>
      <c r="C17" s="1">
        <v>80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2"/>
      <c r="K17" s="1" t="str">
        <f t="shared" si="2"/>
        <v>天生长得好看，颜值不低于80</v>
      </c>
      <c r="L17" s="1">
        <v>1</v>
      </c>
      <c r="M17" s="1">
        <v>117</v>
      </c>
      <c r="N17" s="1" t="s">
        <v>79</v>
      </c>
      <c r="O17" s="7" t="s">
        <v>80</v>
      </c>
    </row>
    <row r="18" spans="1:15" ht="27" x14ac:dyDescent="0.15">
      <c r="A18" s="1">
        <v>118</v>
      </c>
      <c r="B18" s="1" t="s">
        <v>81</v>
      </c>
      <c r="C18" s="1">
        <v>0.5</v>
      </c>
      <c r="D18" s="1">
        <v>1</v>
      </c>
      <c r="E18" s="1">
        <v>1</v>
      </c>
      <c r="F18" s="1">
        <v>1</v>
      </c>
      <c r="G18" s="5">
        <v>1.25</v>
      </c>
      <c r="H18" s="1">
        <v>1</v>
      </c>
      <c r="I18" s="1">
        <v>1.1000000000000001</v>
      </c>
      <c r="J18" s="2"/>
      <c r="K18" s="1" t="str">
        <f t="shared" si="2"/>
        <v>士兵：防御力 +25%
领主：所有士兵防御 +10%</v>
      </c>
      <c r="L18" s="1">
        <v>1</v>
      </c>
      <c r="M18" s="1">
        <v>118</v>
      </c>
      <c r="N18" s="1" t="s">
        <v>81</v>
      </c>
      <c r="O18" s="8" t="s">
        <v>92</v>
      </c>
    </row>
    <row r="19" spans="1:15" ht="40.5" x14ac:dyDescent="0.15">
      <c r="A19" s="1">
        <v>119</v>
      </c>
      <c r="B19" s="1" t="s">
        <v>82</v>
      </c>
      <c r="C19" s="1">
        <v>0.1</v>
      </c>
      <c r="D19" s="1">
        <v>1</v>
      </c>
      <c r="E19" s="1">
        <v>1</v>
      </c>
      <c r="F19" s="5">
        <v>0.9</v>
      </c>
      <c r="G19" s="1">
        <v>1</v>
      </c>
      <c r="H19" s="5">
        <v>0.9</v>
      </c>
      <c r="I19" s="1">
        <v>0.9</v>
      </c>
      <c r="J19" s="1"/>
      <c r="K19" s="1" t="str">
        <f t="shared" si="2"/>
        <v>士兵：攻击力 -10%
贵族：降低军事能力
领主：所有士兵攻击力 -10%</v>
      </c>
      <c r="L19" s="1">
        <v>0</v>
      </c>
      <c r="M19" s="1">
        <v>116</v>
      </c>
      <c r="N19" s="1" t="s">
        <v>82</v>
      </c>
      <c r="O19" s="8" t="s">
        <v>101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6"/>
  <sheetViews>
    <sheetView workbookViewId="0">
      <selection activeCell="C20" sqref="C20"/>
    </sheetView>
  </sheetViews>
  <sheetFormatPr defaultRowHeight="13.5" x14ac:dyDescent="0.15"/>
  <sheetData>
    <row r="1" spans="1:25" x14ac:dyDescent="0.15">
      <c r="A1" s="1">
        <v>117</v>
      </c>
      <c r="B1" s="1" t="s">
        <v>73</v>
      </c>
      <c r="C1" s="1">
        <v>85</v>
      </c>
      <c r="D1" s="2"/>
      <c r="E1" s="1" t="s">
        <v>64</v>
      </c>
      <c r="F1" s="1">
        <v>1</v>
      </c>
      <c r="G1" s="1">
        <v>117</v>
      </c>
      <c r="H1" s="1" t="str">
        <f t="shared" ref="H1:H6" si="0">B1</f>
        <v>好美色</v>
      </c>
      <c r="I1" s="1" t="s">
        <v>50</v>
      </c>
      <c r="J1" s="1" t="s">
        <v>65</v>
      </c>
      <c r="K1" s="1"/>
      <c r="L1" s="1"/>
      <c r="M1" s="1"/>
      <c r="N1" s="1"/>
      <c r="O1" s="1"/>
      <c r="P1" s="1"/>
      <c r="Q1" s="1" t="str">
        <f t="shared" ref="Q1:Q6" si="1">E1</f>
        <v>对高颜值异性着迷</v>
      </c>
      <c r="R1" s="1" t="s">
        <v>55</v>
      </c>
      <c r="S1" s="1" t="s">
        <v>60</v>
      </c>
      <c r="T1" s="1"/>
      <c r="U1" s="1"/>
      <c r="V1" s="1"/>
      <c r="W1" s="1"/>
      <c r="X1" s="1"/>
      <c r="Y1" s="1"/>
    </row>
    <row r="2" spans="1:25" ht="40.5" x14ac:dyDescent="0.15">
      <c r="A2" s="1">
        <v>118</v>
      </c>
      <c r="B2" s="1" t="s">
        <v>42</v>
      </c>
      <c r="C2" s="1">
        <v>0</v>
      </c>
      <c r="D2" s="2"/>
      <c r="E2" s="2" t="s">
        <v>44</v>
      </c>
      <c r="F2" s="1">
        <v>1</v>
      </c>
      <c r="G2" s="1">
        <v>118</v>
      </c>
      <c r="H2" s="1" t="str">
        <f t="shared" si="0"/>
        <v>贪财</v>
      </c>
      <c r="I2" s="1" t="s">
        <v>51</v>
      </c>
      <c r="J2" s="1" t="s">
        <v>47</v>
      </c>
      <c r="K2" s="1"/>
      <c r="L2" s="1"/>
      <c r="M2" s="1"/>
      <c r="N2" s="1"/>
      <c r="O2" s="1"/>
      <c r="P2" s="1"/>
      <c r="Q2" s="1" t="str">
        <f t="shared" si="1"/>
        <v>对黄金白银珍宝着迷</v>
      </c>
      <c r="R2" s="1" t="s">
        <v>56</v>
      </c>
      <c r="S2" s="1" t="s">
        <v>61</v>
      </c>
      <c r="T2" s="1"/>
      <c r="U2" s="1"/>
      <c r="V2" s="1"/>
      <c r="W2" s="1"/>
      <c r="X2" s="1"/>
      <c r="Y2" s="1"/>
    </row>
    <row r="3" spans="1:25" x14ac:dyDescent="0.15">
      <c r="A3" s="1">
        <v>119</v>
      </c>
      <c r="B3" s="2" t="s">
        <v>71</v>
      </c>
      <c r="C3" s="1">
        <v>0</v>
      </c>
      <c r="D3" s="2"/>
      <c r="E3" s="1" t="s">
        <v>45</v>
      </c>
      <c r="F3" s="1">
        <v>1</v>
      </c>
      <c r="G3" s="1">
        <v>115</v>
      </c>
      <c r="H3" s="1" t="str">
        <f t="shared" si="0"/>
        <v>好战</v>
      </c>
      <c r="I3" s="1" t="s">
        <v>52</v>
      </c>
      <c r="J3" s="1" t="s">
        <v>48</v>
      </c>
      <c r="K3" s="1"/>
      <c r="L3" s="1"/>
      <c r="M3" s="1"/>
      <c r="N3" s="1"/>
      <c r="O3" s="1"/>
      <c r="P3" s="1"/>
      <c r="Q3" s="1" t="str">
        <f t="shared" si="1"/>
        <v>对战斗充满渴望</v>
      </c>
      <c r="R3" s="1" t="s">
        <v>58</v>
      </c>
      <c r="S3" s="1" t="s">
        <v>62</v>
      </c>
      <c r="T3" s="1"/>
      <c r="U3" s="1"/>
      <c r="V3" s="1"/>
      <c r="W3" s="1"/>
      <c r="X3" s="1"/>
      <c r="Y3" s="1"/>
    </row>
    <row r="4" spans="1:25" x14ac:dyDescent="0.15">
      <c r="A4" s="1">
        <v>120</v>
      </c>
      <c r="B4" s="1" t="s">
        <v>66</v>
      </c>
      <c r="C4" s="1">
        <v>0</v>
      </c>
      <c r="D4" s="2"/>
      <c r="E4" s="1" t="s">
        <v>68</v>
      </c>
      <c r="F4" s="1">
        <v>1</v>
      </c>
      <c r="G4" s="5">
        <v>115</v>
      </c>
      <c r="H4" s="1" t="str">
        <f t="shared" si="0"/>
        <v>懦弱</v>
      </c>
      <c r="I4" s="1" t="s">
        <v>67</v>
      </c>
      <c r="J4" s="1" t="s">
        <v>66</v>
      </c>
      <c r="K4" s="1"/>
      <c r="L4" s="1"/>
      <c r="M4" s="1"/>
      <c r="N4" s="1"/>
      <c r="O4" s="1"/>
      <c r="P4" s="1"/>
      <c r="Q4" s="1" t="str">
        <f t="shared" si="1"/>
        <v>胆小怕事，战斗素质差</v>
      </c>
      <c r="R4" s="1" t="s">
        <v>70</v>
      </c>
      <c r="S4" s="1" t="s">
        <v>69</v>
      </c>
      <c r="T4" s="1"/>
      <c r="U4" s="1"/>
      <c r="V4" s="1"/>
      <c r="W4" s="1"/>
      <c r="X4" s="1"/>
      <c r="Y4" s="1"/>
    </row>
    <row r="5" spans="1:25" ht="27" customHeight="1" x14ac:dyDescent="0.15">
      <c r="A5" s="1">
        <v>121</v>
      </c>
      <c r="B5" s="1" t="s">
        <v>43</v>
      </c>
      <c r="C5" s="1">
        <v>0</v>
      </c>
      <c r="D5" s="2"/>
      <c r="E5" s="2" t="s">
        <v>46</v>
      </c>
      <c r="F5" s="1">
        <v>1</v>
      </c>
      <c r="G5" s="1">
        <v>121</v>
      </c>
      <c r="H5" s="1" t="str">
        <f t="shared" si="0"/>
        <v>极端</v>
      </c>
      <c r="I5" s="1" t="s">
        <v>53</v>
      </c>
      <c r="J5" s="1" t="s">
        <v>49</v>
      </c>
      <c r="K5" s="1"/>
      <c r="L5" s="1"/>
      <c r="M5" s="1"/>
      <c r="N5" s="1"/>
      <c r="O5" s="1"/>
      <c r="P5" s="1"/>
      <c r="Q5" s="1" t="str">
        <f t="shared" si="1"/>
        <v>对特定观念和物品，具有超乎寻常的好恶</v>
      </c>
      <c r="R5" s="1" t="s">
        <v>57</v>
      </c>
      <c r="S5" s="1" t="s">
        <v>63</v>
      </c>
      <c r="T5" s="1"/>
      <c r="U5" s="1"/>
      <c r="V5" s="1"/>
      <c r="W5" s="1"/>
      <c r="X5" s="1"/>
      <c r="Y5" s="1"/>
    </row>
    <row r="6" spans="1:25" ht="40.5" x14ac:dyDescent="0.15">
      <c r="A6" s="1">
        <v>114</v>
      </c>
      <c r="B6" s="1" t="s">
        <v>75</v>
      </c>
      <c r="C6" s="1">
        <v>2</v>
      </c>
      <c r="D6" s="2"/>
      <c r="E6" s="2" t="s">
        <v>77</v>
      </c>
      <c r="F6" s="1">
        <v>1</v>
      </c>
      <c r="G6" s="1">
        <v>114</v>
      </c>
      <c r="H6" s="1" t="str">
        <f t="shared" si="0"/>
        <v>能言善辩</v>
      </c>
      <c r="I6" s="1" t="s">
        <v>74</v>
      </c>
      <c r="J6" s="2" t="s">
        <v>76</v>
      </c>
      <c r="K6" s="1"/>
      <c r="L6" s="1"/>
      <c r="M6" s="1"/>
      <c r="N6" s="1"/>
      <c r="O6" s="1"/>
      <c r="P6" s="1"/>
      <c r="Q6" s="1" t="str">
        <f t="shared" si="1"/>
        <v>外交行动成功率 +25%</v>
      </c>
      <c r="R6" s="1" t="s">
        <v>54</v>
      </c>
      <c r="S6" s="1" t="s">
        <v>59</v>
      </c>
      <c r="T6" s="1"/>
      <c r="U6" s="1"/>
      <c r="V6" s="1"/>
      <c r="W6" s="1"/>
      <c r="X6" s="1"/>
      <c r="Y6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nature</vt:lpstr>
      <vt:lpstr>!Sheet1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2026-01-04T13:55:08Z</dcterms:modified>
</cp:coreProperties>
</file>