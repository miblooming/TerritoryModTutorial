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18B6200-A08F-480C-B7AA-67D1E6112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avan" sheetId="1" r:id="rId1"/>
  </sheets>
  <calcPr calcId="181029"/>
</workbook>
</file>

<file path=xl/calcChain.xml><?xml version="1.0" encoding="utf-8"?>
<calcChain xmlns="http://schemas.openxmlformats.org/spreadsheetml/2006/main">
  <c r="F4" i="1" l="1"/>
  <c r="F5" i="1"/>
  <c r="F6" i="1"/>
  <c r="F3" i="1"/>
  <c r="B4" i="1"/>
  <c r="B5" i="1"/>
  <c r="B6" i="1"/>
  <c r="B3" i="1"/>
  <c r="G2" i="1"/>
  <c r="H2" i="1"/>
</calcChain>
</file>

<file path=xl/sharedStrings.xml><?xml version="1.0" encoding="utf-8"?>
<sst xmlns="http://schemas.openxmlformats.org/spreadsheetml/2006/main" count="30" uniqueCount="29">
  <si>
    <t>id#int</t>
    <phoneticPr fontId="1" type="noConversion"/>
  </si>
  <si>
    <t>名称</t>
    <phoneticPr fontId="1" type="noConversion"/>
  </si>
  <si>
    <t>排序号</t>
    <phoneticPr fontId="1" type="noConversion"/>
  </si>
  <si>
    <t>出现概率权重</t>
    <phoneticPr fontId="1" type="noConversion"/>
  </si>
  <si>
    <t>_stuff_sub_type_sell#str</t>
    <phoneticPr fontId="1" type="noConversion"/>
  </si>
  <si>
    <t>种子商人</t>
    <phoneticPr fontId="1" type="noConversion"/>
  </si>
  <si>
    <t>食品商人</t>
    <phoneticPr fontId="1" type="noConversion"/>
  </si>
  <si>
    <t>杂货商人</t>
    <phoneticPr fontId="1" type="noConversion"/>
  </si>
  <si>
    <t>牲畜商人</t>
    <phoneticPr fontId="1" type="noConversion"/>
  </si>
  <si>
    <t>probability#int</t>
    <phoneticPr fontId="1" type="noConversion"/>
  </si>
  <si>
    <t>主要类型说明</t>
    <phoneticPr fontId="1" type="noConversion"/>
  </si>
  <si>
    <t>种子</t>
    <phoneticPr fontId="1" type="noConversion"/>
  </si>
  <si>
    <t>原材料和加工品</t>
    <phoneticPr fontId="1" type="noConversion"/>
  </si>
  <si>
    <t>_stuff_sub_type_buy_discount#str</t>
    <phoneticPr fontId="1" type="noConversion"/>
  </si>
  <si>
    <t>食品</t>
    <phoneticPr fontId="1" type="noConversion"/>
  </si>
  <si>
    <t>牲畜</t>
    <phoneticPr fontId="1" type="noConversion"/>
  </si>
  <si>
    <t>zh-CN</t>
  </si>
  <si>
    <t>!name#str</t>
    <phoneticPr fontId="1" type="noConversion"/>
  </si>
  <si>
    <t>!desc#str</t>
    <phoneticPr fontId="1" type="noConversion"/>
  </si>
  <si>
    <t>卖出,种类，每种挑几个，起始数量</t>
    <phoneticPr fontId="1" type="noConversion"/>
  </si>
  <si>
    <t xml:space="preserve">607:1:100
618:1:1000
608:1:2
301:1:500
302:1:500
303:1:500
304:1:500
305:2:200
</t>
    <phoneticPr fontId="1" type="noConversion"/>
  </si>
  <si>
    <t>607:1:100
618:1:1000
608:1:2
501:1:10
606:1:200
304:2:50
609:1:500</t>
    <phoneticPr fontId="1" type="noConversion"/>
  </si>
  <si>
    <t xml:space="preserve">607:1:100
618:1:1000
608:1:2
701:1:1
702:1:1
703:1:1
704:1:1
707:1:1
</t>
    <phoneticPr fontId="1" type="noConversion"/>
  </si>
  <si>
    <t>607:1:100
618:1:1000
608:1:2
401:1:50
402:1:200
403:1:50
404:1:50
601:1:200
602:1:200
616:1:200
604:1:200
605:1:200
606:1:200
422:1:100
615:1:50</t>
    <phoneticPr fontId="1" type="noConversion"/>
  </si>
  <si>
    <t>306:100
401:110
618:100
413:60
414:60
415:60
417:60</t>
    <phoneticPr fontId="1" type="noConversion"/>
  </si>
  <si>
    <t>商人采购砍价折扣
10到100，不在列表中的，默认为80。商队扶持+40%，+20%,+0%</t>
    <phoneticPr fontId="1" type="noConversion"/>
  </si>
  <si>
    <t>401:110
402:110
404:110
618:100
413:60
414:60
415:60
417:60</t>
    <phoneticPr fontId="1" type="noConversion"/>
  </si>
  <si>
    <t>401:110
305:110
618:100
413:60
414:60
415:60
417:60</t>
    <phoneticPr fontId="1" type="noConversion"/>
  </si>
  <si>
    <t>401:110
403:110
618:100
413:60
414:60
415:60
417:60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</si>
</sst>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 applyAlignment="1">
      <alignment horizontal="right"/>
    </xf>
    <xf numFmtId="49" fontId="0" fillId="0" borderId="0" xfId="0" applyNumberForma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horizontal="right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176" fontId="2" fillId="0" borderId="1" xfId="0" applyNumberFormat="1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P5" sqref="P5"/>
    </sheetView>
  </sheetViews>
  <sheetFormatPr defaultColWidth="9" defaultRowHeight="13.5" x14ac:dyDescent="0.15"/>
  <cols>
    <col min="2" max="2" width="14.125" style="1" customWidth="1"/>
    <col min="3" max="3" width="14.75" style="2" customWidth="1"/>
    <col min="4" max="4" width="17.625" style="2" customWidth="1"/>
    <col min="5" max="6" width="11" customWidth="1"/>
  </cols>
  <sheetData>
    <row r="1" spans="1:8" s="6" customFormat="1" ht="74.25" customHeight="1" x14ac:dyDescent="0.15">
      <c r="A1" s="4" t="s">
        <v>2</v>
      </c>
      <c r="B1" s="5" t="s">
        <v>1</v>
      </c>
      <c r="C1" s="5" t="s">
        <v>3</v>
      </c>
      <c r="D1" s="3" t="s">
        <v>25</v>
      </c>
      <c r="E1" s="3" t="s">
        <v>19</v>
      </c>
      <c r="F1" s="8" t="s">
        <v>10</v>
      </c>
      <c r="G1" s="7" t="s">
        <v>16</v>
      </c>
      <c r="H1" s="7" t="s">
        <v>16</v>
      </c>
    </row>
    <row r="2" spans="1:8" ht="40.5" x14ac:dyDescent="0.15">
      <c r="A2" s="4" t="s">
        <v>0</v>
      </c>
      <c r="B2" s="9" t="s">
        <v>17</v>
      </c>
      <c r="C2" s="9" t="s">
        <v>9</v>
      </c>
      <c r="D2" s="3" t="s">
        <v>13</v>
      </c>
      <c r="E2" s="3" t="s">
        <v>4</v>
      </c>
      <c r="F2" s="8" t="s">
        <v>18</v>
      </c>
      <c r="G2" s="4" t="str">
        <f>CONCATENATE("name_",G1,"#str")</f>
        <v>name_zh-CN#str</v>
      </c>
      <c r="H2" s="4" t="str">
        <f>CONCATENATE("desc_",H1,"#str")</f>
        <v>desc_zh-CN#str</v>
      </c>
    </row>
    <row r="3" spans="1:8" ht="138.75" customHeight="1" x14ac:dyDescent="0.15">
      <c r="A3" s="4">
        <v>806001</v>
      </c>
      <c r="B3" s="8" t="str">
        <f>G3</f>
        <v>种子商人</v>
      </c>
      <c r="C3" s="9">
        <v>1</v>
      </c>
      <c r="D3" s="3" t="s">
        <v>26</v>
      </c>
      <c r="E3" s="3" t="s">
        <v>22</v>
      </c>
      <c r="F3" s="3" t="str">
        <f>H3</f>
        <v>种子</v>
      </c>
      <c r="G3" s="8" t="s">
        <v>5</v>
      </c>
      <c r="H3" s="3" t="s">
        <v>11</v>
      </c>
    </row>
    <row r="4" spans="1:8" ht="129" customHeight="1" x14ac:dyDescent="0.15">
      <c r="A4" s="4">
        <v>806002</v>
      </c>
      <c r="B4" s="8" t="str">
        <f t="shared" ref="B4:B6" si="0">G4</f>
        <v>食品商人</v>
      </c>
      <c r="C4" s="5">
        <v>2</v>
      </c>
      <c r="D4" s="3" t="s">
        <v>24</v>
      </c>
      <c r="E4" s="3" t="s">
        <v>20</v>
      </c>
      <c r="F4" s="3" t="str">
        <f t="shared" ref="F4:F6" si="1">H4</f>
        <v>食品</v>
      </c>
      <c r="G4" s="4" t="s">
        <v>6</v>
      </c>
      <c r="H4" s="3" t="s">
        <v>14</v>
      </c>
    </row>
    <row r="5" spans="1:8" ht="198" customHeight="1" x14ac:dyDescent="0.15">
      <c r="A5" s="4">
        <v>806003</v>
      </c>
      <c r="B5" s="8" t="str">
        <f t="shared" si="0"/>
        <v>杂货商人</v>
      </c>
      <c r="C5" s="5">
        <v>2</v>
      </c>
      <c r="D5" s="3" t="s">
        <v>27</v>
      </c>
      <c r="E5" s="3" t="s">
        <v>23</v>
      </c>
      <c r="F5" s="3" t="str">
        <f t="shared" si="1"/>
        <v>原材料和加工品</v>
      </c>
      <c r="G5" s="8" t="s">
        <v>7</v>
      </c>
      <c r="H5" s="3" t="s">
        <v>12</v>
      </c>
    </row>
    <row r="6" spans="1:8" ht="94.5" x14ac:dyDescent="0.15">
      <c r="A6" s="4">
        <v>806004</v>
      </c>
      <c r="B6" s="8" t="str">
        <f t="shared" si="0"/>
        <v>牲畜商人</v>
      </c>
      <c r="C6" s="5">
        <v>1</v>
      </c>
      <c r="D6" s="3" t="s">
        <v>28</v>
      </c>
      <c r="E6" s="3" t="s">
        <v>21</v>
      </c>
      <c r="F6" s="3" t="str">
        <f t="shared" si="1"/>
        <v>牲畜</v>
      </c>
      <c r="G6" s="8" t="s">
        <v>8</v>
      </c>
      <c r="H6" s="3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caravan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2026-01-17T12:17:03Z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