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Territory\数值表\"/>
    </mc:Choice>
  </mc:AlternateContent>
  <xr:revisionPtr revIDLastSave="0" documentId="13_ncr:1_{4D52BFB8-EA5F-4476-ACD8-0B71D8895157}" xr6:coauthVersionLast="47" xr6:coauthVersionMax="47" xr10:uidLastSave="{00000000-0000-0000-0000-000000000000}"/>
  <bookViews>
    <workbookView xWindow="0" yWindow="690" windowWidth="28830" windowHeight="15510" xr2:uid="{00000000-000D-0000-FFFF-FFFF00000000}"/>
  </bookViews>
  <sheets>
    <sheet name="npc_task" sheetId="1" r:id="rId1"/>
  </sheets>
  <calcPr calcId="181029"/>
</workbook>
</file>

<file path=xl/calcChain.xml><?xml version="1.0" encoding="utf-8"?>
<calcChain xmlns="http://schemas.openxmlformats.org/spreadsheetml/2006/main">
  <c r="AD70" i="1" l="1"/>
  <c r="AD69" i="1"/>
  <c r="AD68" i="1"/>
  <c r="AE198" i="1"/>
  <c r="AD198" i="1"/>
  <c r="AF67" i="1"/>
  <c r="AE67" i="1"/>
  <c r="AD67" i="1"/>
  <c r="AF66" i="1"/>
  <c r="AE66" i="1"/>
  <c r="AD66" i="1"/>
  <c r="AF65" i="1"/>
  <c r="AE65" i="1"/>
  <c r="AD65" i="1"/>
  <c r="AF193" i="1"/>
  <c r="AE193" i="1"/>
  <c r="AE197" i="1"/>
  <c r="AD197" i="1"/>
  <c r="AF196" i="1"/>
  <c r="AE196" i="1"/>
  <c r="AD196" i="1"/>
  <c r="AD64" i="1"/>
  <c r="AF64" i="1"/>
  <c r="AE64" i="1"/>
  <c r="AD195" i="1"/>
  <c r="AF195" i="1"/>
  <c r="AE195" i="1"/>
  <c r="AF194" i="1"/>
  <c r="AE194" i="1"/>
  <c r="AD194" i="1"/>
  <c r="AD193" i="1"/>
  <c r="AF192" i="1"/>
  <c r="AE192" i="1"/>
  <c r="AD192" i="1"/>
  <c r="AF191" i="1"/>
  <c r="AE191" i="1"/>
  <c r="AD191" i="1"/>
  <c r="AF190" i="1"/>
  <c r="AE190" i="1"/>
  <c r="AD190" i="1"/>
  <c r="AF189" i="1"/>
  <c r="AE189" i="1"/>
  <c r="AD189" i="1"/>
  <c r="AD188" i="1"/>
  <c r="AF188" i="1"/>
  <c r="AE188" i="1"/>
  <c r="AF187" i="1"/>
  <c r="AE187" i="1"/>
  <c r="AD187" i="1"/>
  <c r="AF186" i="1"/>
  <c r="AE186" i="1"/>
  <c r="AD186" i="1"/>
  <c r="AF62" i="1"/>
  <c r="AE62" i="1"/>
  <c r="AD62" i="1"/>
  <c r="AF63" i="1"/>
  <c r="AE63" i="1"/>
  <c r="AD63" i="1"/>
  <c r="AF185" i="1"/>
  <c r="AE185" i="1"/>
  <c r="AD185" i="1"/>
  <c r="AD184" i="1" l="1"/>
  <c r="AF184" i="1"/>
  <c r="AE184" i="1"/>
  <c r="AF183" i="1"/>
  <c r="AE183" i="1"/>
  <c r="AD183" i="1"/>
  <c r="AF182" i="1"/>
  <c r="AE182" i="1"/>
  <c r="AD182" i="1"/>
  <c r="AF181" i="1"/>
  <c r="AE181" i="1"/>
  <c r="AD181" i="1"/>
  <c r="AD61" i="1"/>
  <c r="AF61" i="1"/>
  <c r="AE61" i="1"/>
  <c r="AF60" i="1"/>
  <c r="AE60" i="1"/>
  <c r="AD60" i="1"/>
  <c r="AF180" i="1"/>
  <c r="AE180" i="1"/>
  <c r="AD180" i="1"/>
  <c r="AD179" i="1"/>
  <c r="AD59" i="1" l="1"/>
  <c r="AD178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3" i="1"/>
  <c r="AF2" i="1"/>
  <c r="AE2" i="1"/>
  <c r="AD58" i="1"/>
  <c r="AD177" i="1"/>
  <c r="AD57" i="1"/>
  <c r="AD176" i="1"/>
  <c r="AD175" i="1"/>
  <c r="AD56" i="1"/>
  <c r="AD55" i="1"/>
  <c r="AD54" i="1"/>
  <c r="AD174" i="1"/>
  <c r="AD173" i="1"/>
  <c r="AD53" i="1"/>
  <c r="AD52" i="1" l="1"/>
  <c r="AD51" i="1"/>
  <c r="AD50" i="1"/>
  <c r="AD172" i="1"/>
  <c r="AD171" i="1"/>
  <c r="AD170" i="1"/>
  <c r="AD49" i="1" l="1"/>
  <c r="AD48" i="1"/>
  <c r="AD168" i="1"/>
  <c r="AD169" i="1"/>
  <c r="AD167" i="1"/>
  <c r="AD47" i="1" l="1"/>
  <c r="AD46" i="1" l="1"/>
  <c r="AD45" i="1"/>
  <c r="AD44" i="1" l="1"/>
  <c r="AD166" i="1"/>
  <c r="AD43" i="1"/>
  <c r="AD42" i="1"/>
  <c r="AD41" i="1" l="1"/>
  <c r="AD165" i="1"/>
  <c r="AD164" i="1"/>
  <c r="AD163" i="1"/>
  <c r="AD162" i="1"/>
  <c r="AD161" i="1"/>
  <c r="AD160" i="1"/>
  <c r="AD159" i="1"/>
  <c r="AD158" i="1"/>
  <c r="AD157" i="1"/>
  <c r="AD156" i="1"/>
  <c r="AD155" i="1"/>
  <c r="AD154" i="1"/>
  <c r="AD153" i="1"/>
  <c r="AD152" i="1"/>
  <c r="AD151" i="1"/>
  <c r="AD150" i="1"/>
  <c r="AD149" i="1"/>
  <c r="AD148" i="1"/>
  <c r="AD147" i="1"/>
  <c r="AD146" i="1"/>
  <c r="AD145" i="1"/>
  <c r="AD144" i="1"/>
  <c r="AD143" i="1"/>
  <c r="AD142" i="1"/>
  <c r="AD141" i="1"/>
  <c r="AD140" i="1"/>
  <c r="AD139" i="1"/>
  <c r="AD138" i="1"/>
  <c r="AD137" i="1"/>
  <c r="AD136" i="1"/>
  <c r="AD135" i="1"/>
  <c r="AD134" i="1"/>
  <c r="AD133" i="1"/>
  <c r="AD132" i="1"/>
  <c r="AD131" i="1"/>
  <c r="AD130" i="1"/>
  <c r="AD129" i="1"/>
  <c r="AD128" i="1"/>
  <c r="AD127" i="1"/>
  <c r="AD126" i="1"/>
  <c r="AD125" i="1"/>
  <c r="AD124" i="1"/>
  <c r="AD123" i="1"/>
  <c r="AD122" i="1"/>
  <c r="AD121" i="1"/>
  <c r="AD120" i="1"/>
  <c r="AD119" i="1"/>
  <c r="AD118" i="1"/>
  <c r="AD117" i="1"/>
  <c r="AD116" i="1"/>
  <c r="AD115" i="1"/>
  <c r="AD114" i="1"/>
  <c r="AD113" i="1"/>
  <c r="AD112" i="1"/>
  <c r="AD111" i="1"/>
  <c r="AD110" i="1"/>
  <c r="AD109" i="1"/>
  <c r="AD108" i="1"/>
  <c r="AD107" i="1"/>
  <c r="AD106" i="1"/>
  <c r="AD105" i="1"/>
  <c r="AD104" i="1"/>
  <c r="AD103" i="1"/>
  <c r="AD102" i="1"/>
  <c r="AD101" i="1"/>
  <c r="AD100" i="1"/>
  <c r="AD99" i="1"/>
  <c r="AD98" i="1"/>
  <c r="AD97" i="1"/>
  <c r="AD96" i="1"/>
  <c r="AD95" i="1"/>
  <c r="AD94" i="1"/>
  <c r="AD93" i="1"/>
  <c r="AD92" i="1"/>
  <c r="AD91" i="1"/>
  <c r="AD90" i="1"/>
  <c r="AD89" i="1"/>
  <c r="AD88" i="1"/>
  <c r="AD87" i="1"/>
  <c r="AD86" i="1"/>
  <c r="AD85" i="1"/>
  <c r="AD84" i="1"/>
  <c r="AD83" i="1"/>
  <c r="AD82" i="1"/>
  <c r="AD81" i="1"/>
  <c r="AD80" i="1"/>
  <c r="AD79" i="1"/>
  <c r="AD78" i="1"/>
  <c r="AD77" i="1"/>
  <c r="AD76" i="1"/>
  <c r="AD75" i="1"/>
  <c r="AD74" i="1"/>
  <c r="AD73" i="1"/>
  <c r="AD72" i="1"/>
  <c r="AD71" i="1"/>
  <c r="AD40" i="1"/>
  <c r="AD39" i="1"/>
  <c r="AD38" i="1"/>
  <c r="AD37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AD5" i="1"/>
  <c r="AD4" i="1"/>
  <c r="AD3" i="1"/>
  <c r="O2" i="1"/>
  <c r="H2" i="1"/>
</calcChain>
</file>

<file path=xl/sharedStrings.xml><?xml version="1.0" encoding="utf-8"?>
<sst xmlns="http://schemas.openxmlformats.org/spreadsheetml/2006/main" count="720" uniqueCount="601">
  <si>
    <t>关键字（绿色表示工作耗时字段已生效）</t>
  </si>
  <si>
    <t>被困后仍接收的任务</t>
  </si>
  <si>
    <t>NPC死亡或其它原因取消任务，而非返还任务</t>
  </si>
  <si>
    <t>禁止被普通任务打断</t>
  </si>
  <si>
    <t>绝对禁止被打断</t>
  </si>
  <si>
    <t>是否预占物品</t>
  </si>
  <si>
    <t>是否需先清背包</t>
  </si>
  <si>
    <t>需要仓库（仓库不能满）</t>
  </si>
  <si>
    <t>需要料堆
（料堆不能满）</t>
  </si>
  <si>
    <t>是否受工具影响</t>
  </si>
  <si>
    <t>每次工作工具损耗</t>
  </si>
  <si>
    <t>工作耗时(单位游戏时间天）</t>
  </si>
  <si>
    <t>工作耗时受设施影响</t>
  </si>
  <si>
    <t>zh-CN</t>
  </si>
  <si>
    <t>task_type#int</t>
  </si>
  <si>
    <t>keyword#str</t>
  </si>
  <si>
    <t>accept_on_trapped#int</t>
  </si>
  <si>
    <t>_cancel_on_npc_dead#int</t>
  </si>
  <si>
    <t>_no_interrupt#int</t>
  </si>
  <si>
    <t>_no_interrupt_at_all#int</t>
  </si>
  <si>
    <t>order_stuff#int</t>
  </si>
  <si>
    <t>_need_stockpile#int</t>
  </si>
  <si>
    <t>_affected_by_tool#int</t>
  </si>
  <si>
    <t>tool_abrasion#float</t>
  </si>
  <si>
    <t>task_time#float</t>
  </si>
  <si>
    <t>task_time_effect_by_work_facility#int</t>
  </si>
  <si>
    <t>!remark</t>
  </si>
  <si>
    <t>!tmp</t>
  </si>
  <si>
    <t>找食物吃</t>
  </si>
  <si>
    <t>FIND_WARM</t>
  </si>
  <si>
    <t>寻找取暖处</t>
  </si>
  <si>
    <t>SEE_DOCTOR</t>
  </si>
  <si>
    <t>看医生</t>
  </si>
  <si>
    <t>看医生的路上</t>
  </si>
  <si>
    <t>EAT_HERBS</t>
  </si>
  <si>
    <t>吃草药</t>
  </si>
  <si>
    <t>找草药吃</t>
  </si>
  <si>
    <t>JOY</t>
  </si>
  <si>
    <t>娱乐</t>
  </si>
  <si>
    <t>去娱乐的路上</t>
  </si>
  <si>
    <t>FIRE_FIGHT</t>
  </si>
  <si>
    <t>救火</t>
  </si>
  <si>
    <t>FIND_CLOTHES</t>
  </si>
  <si>
    <t>寻找衣服</t>
  </si>
  <si>
    <t>FIND_TOOL</t>
  </si>
  <si>
    <t>寻找工具</t>
  </si>
  <si>
    <t>GOTO_CHURCH</t>
  </si>
  <si>
    <t>礼拜</t>
  </si>
  <si>
    <t>去礼拜的路上</t>
  </si>
  <si>
    <t>GOTO_SCHOOL</t>
  </si>
  <si>
    <t>学校学习</t>
  </si>
  <si>
    <t>上学的路上</t>
  </si>
  <si>
    <t>GOTO_CEMETERY</t>
  </si>
  <si>
    <t>墓地悼念</t>
  </si>
  <si>
    <t>墓地悼念的路上</t>
  </si>
  <si>
    <t>FIND_WINE</t>
  </si>
  <si>
    <t>畅饮酒水</t>
  </si>
  <si>
    <t>去饮酒的路上</t>
  </si>
  <si>
    <t>PUT</t>
  </si>
  <si>
    <t>存储物品</t>
  </si>
  <si>
    <t>PUT_WHEN_IDLE</t>
  </si>
  <si>
    <t>GOTO_SLEEP</t>
  </si>
  <si>
    <t>睡觉</t>
  </si>
  <si>
    <t>去睡觉的路上</t>
  </si>
  <si>
    <t>FEED_ME</t>
  </si>
  <si>
    <t>喂养婴儿</t>
  </si>
  <si>
    <t>喂养婴儿的路上</t>
  </si>
  <si>
    <t>FORCE_REST</t>
  </si>
  <si>
    <t>卧床休息</t>
  </si>
  <si>
    <t>卧床休息的路上</t>
  </si>
  <si>
    <t>MAKE_BABY</t>
  </si>
  <si>
    <t>嘿咻嘿咻</t>
  </si>
  <si>
    <t>嘿咻嘿咻的路上</t>
  </si>
  <si>
    <t>代码写死，禁止被任何任务打断</t>
  </si>
  <si>
    <t>HOSPITALIZATION</t>
  </si>
  <si>
    <t>住院治疗</t>
  </si>
  <si>
    <t>去住院治疗的路上</t>
  </si>
  <si>
    <t>GIVE_ME_CLOTHES</t>
  </si>
  <si>
    <t>给婴儿穿衣</t>
  </si>
  <si>
    <t>为婴儿找衣服</t>
  </si>
  <si>
    <t>FIND_FOOD_WHEN_IDLE</t>
  </si>
  <si>
    <t>FIND_WARM_WHEN_IDLE</t>
  </si>
  <si>
    <t>FIND_WEAPON</t>
  </si>
  <si>
    <t>寻找武器</t>
  </si>
  <si>
    <t>FIND_ARMOR</t>
  </si>
  <si>
    <t>寻找盔甲</t>
  </si>
  <si>
    <t>FIND_SHIELD</t>
  </si>
  <si>
    <t>寻找盾牌</t>
  </si>
  <si>
    <t>FIND_MOUNT</t>
  </si>
  <si>
    <t>寻找坐骑</t>
  </si>
  <si>
    <t>FIND_CHARIOT</t>
  </si>
  <si>
    <t>寻找战车</t>
  </si>
  <si>
    <t>MAKE_SELF_FEEL_BATTER</t>
  </si>
  <si>
    <t>散心</t>
  </si>
  <si>
    <t>FIND_CHOCOLATE</t>
  </si>
  <si>
    <t>享用巧克力</t>
  </si>
  <si>
    <t>寻找巧克力</t>
  </si>
  <si>
    <t>FIND_COFFEE</t>
  </si>
  <si>
    <t>喝咖啡</t>
  </si>
  <si>
    <t>寻找咖啡</t>
  </si>
  <si>
    <t>FIND_UMBRELLA</t>
  </si>
  <si>
    <t>寻找雨伞</t>
  </si>
  <si>
    <t>ESCAPE_WHEN_TOO_UNHAPPY</t>
  </si>
  <si>
    <t>逃亡</t>
  </si>
  <si>
    <t>GET_MEDICINE</t>
  </si>
  <si>
    <t>领取药品</t>
  </si>
  <si>
    <t>领取药品的路上</t>
  </si>
  <si>
    <t>FIND_LEATHER_BAG</t>
  </si>
  <si>
    <t>寻找皮包</t>
  </si>
  <si>
    <t>BE_EXILED</t>
  </si>
  <si>
    <t>被流放</t>
  </si>
  <si>
    <t>FIND_HERBAL_TEA</t>
  </si>
  <si>
    <t>喝药茶</t>
  </si>
  <si>
    <t>寻找药茶</t>
  </si>
  <si>
    <t>GO_ABOARD</t>
  </si>
  <si>
    <t>登船</t>
  </si>
  <si>
    <t>登船的路上</t>
  </si>
  <si>
    <t>LEAVE_MAP</t>
  </si>
  <si>
    <t>离开的路上</t>
  </si>
  <si>
    <t>采集石料</t>
  </si>
  <si>
    <t>执行流程与COLLECT相同</t>
  </si>
  <si>
    <t>COLLECT_WOOD</t>
  </si>
  <si>
    <t>采集原木</t>
  </si>
  <si>
    <t>采集原木的路上</t>
  </si>
  <si>
    <t>COLLECT_IRON</t>
  </si>
  <si>
    <t>采集铁矿</t>
  </si>
  <si>
    <t>采集铁矿的路上</t>
  </si>
  <si>
    <t>TRANSPORT</t>
  </si>
  <si>
    <t>运输%s</t>
  </si>
  <si>
    <t>运输%s的路上</t>
  </si>
  <si>
    <t>BUILD</t>
  </si>
  <si>
    <t>建造%s</t>
  </si>
  <si>
    <t>建造%s的路上</t>
  </si>
  <si>
    <t>PICK_UP</t>
  </si>
  <si>
    <t>搬运%s</t>
  </si>
  <si>
    <t>搬运%s的路上</t>
  </si>
  <si>
    <t>CROP_FEILD_SOW</t>
  </si>
  <si>
    <t>播种</t>
  </si>
  <si>
    <t>播种的路上</t>
  </si>
  <si>
    <t>CROP_FEILD_HARVEST</t>
  </si>
  <si>
    <t>收割作物</t>
  </si>
  <si>
    <t>收割作物的路上</t>
  </si>
  <si>
    <t>WATERING</t>
  </si>
  <si>
    <t>浇水</t>
  </si>
  <si>
    <t>去浇水的路上</t>
  </si>
  <si>
    <t>FERTILIZING</t>
  </si>
  <si>
    <t>施肥</t>
  </si>
  <si>
    <t>去施肥的路上</t>
  </si>
  <si>
    <t>砍伐果树</t>
  </si>
  <si>
    <t>砍伐果树的路上</t>
  </si>
  <si>
    <t>MINE</t>
  </si>
  <si>
    <t>矿井挖矿</t>
  </si>
  <si>
    <t>矿井挖矿的路上</t>
  </si>
  <si>
    <t>QUARRY</t>
  </si>
  <si>
    <t>开采石料</t>
  </si>
  <si>
    <t>开采石料的路上</t>
  </si>
  <si>
    <t>FISHING</t>
  </si>
  <si>
    <t>钓鱼</t>
  </si>
  <si>
    <t>钓鱼的路上</t>
  </si>
  <si>
    <t>PASTURE_GROW</t>
  </si>
  <si>
    <t>杀%s的路上</t>
  </si>
  <si>
    <t>PASTURE_CREATE_PRODUCT</t>
  </si>
  <si>
    <t>PASTURE_CATCH</t>
  </si>
  <si>
    <t>捕捉%s</t>
  </si>
  <si>
    <t>捕捉%s的路上</t>
  </si>
  <si>
    <t>DISMANTLE</t>
  </si>
  <si>
    <t>拆除%s</t>
  </si>
  <si>
    <t>拆除%s的路上</t>
  </si>
  <si>
    <t>CROP_FEILD_CUT_OFF</t>
  </si>
  <si>
    <t>清理农田</t>
  </si>
  <si>
    <t>清理农田的路上</t>
  </si>
  <si>
    <t>TREE_PLANTING</t>
  </si>
  <si>
    <t>植树</t>
  </si>
  <si>
    <t>植树的路上</t>
  </si>
  <si>
    <t>TREE_CUT_DOWN</t>
  </si>
  <si>
    <t>伐木</t>
  </si>
  <si>
    <t>伐木的路上</t>
  </si>
  <si>
    <t>GATHER_WILD_VEGETABLE</t>
  </si>
  <si>
    <t>采集野菜</t>
  </si>
  <si>
    <t>GATHER_HERB</t>
  </si>
  <si>
    <t>采集草药</t>
  </si>
  <si>
    <t>MAKE</t>
  </si>
  <si>
    <t>制造%s</t>
  </si>
  <si>
    <t>制造%s的路上</t>
  </si>
  <si>
    <t>CUT_WOOD</t>
  </si>
  <si>
    <t>劈材</t>
  </si>
  <si>
    <t>去劈材的路上</t>
  </si>
  <si>
    <t>HUNT</t>
  </si>
  <si>
    <t>打猎</t>
  </si>
  <si>
    <t>SEEK</t>
  </si>
  <si>
    <t>寻找猎物</t>
  </si>
  <si>
    <t>CUT_APART_ANIMAL_DEAD_BODY_HUNTER</t>
  </si>
  <si>
    <t>分解%s</t>
  </si>
  <si>
    <t>分解%s的路上</t>
  </si>
  <si>
    <t>CUT_APART_ANIMAL_DEAD_BODY_HERDSMAN</t>
  </si>
  <si>
    <t>PREACH</t>
  </si>
  <si>
    <t>传道</t>
  </si>
  <si>
    <t>传道的路上</t>
  </si>
  <si>
    <t>TEACHING</t>
  </si>
  <si>
    <t>在教课</t>
  </si>
  <si>
    <t>教课的路上</t>
  </si>
  <si>
    <t>分发物资</t>
  </si>
  <si>
    <t>分发物资的路上</t>
  </si>
  <si>
    <t>诊断开药</t>
  </si>
  <si>
    <t>诊断开药的路上</t>
  </si>
  <si>
    <t>BONFIRE_PARTY</t>
  </si>
  <si>
    <t>参加篝火晚会</t>
  </si>
  <si>
    <t>篝火晚会的路上</t>
  </si>
  <si>
    <t>CUT_OFF_WILD_VEGETABLE</t>
  </si>
  <si>
    <t>清除野草</t>
  </si>
  <si>
    <t>清除野草的路上</t>
  </si>
  <si>
    <t>CUT_OFF_HERB</t>
  </si>
  <si>
    <t>CUT_OFF_FLOWER_WILD</t>
  </si>
  <si>
    <t>清除野花</t>
  </si>
  <si>
    <t>清除野花的路上</t>
  </si>
  <si>
    <t>照料病人</t>
  </si>
  <si>
    <t>照料病人路上</t>
  </si>
  <si>
    <t>TURN_OFF_BRAZIER</t>
  </si>
  <si>
    <t>熄灭火堆</t>
  </si>
  <si>
    <t>熄灭火堆的路上</t>
  </si>
  <si>
    <t>TURN_ON_BRAZIER</t>
  </si>
  <si>
    <t>生火</t>
  </si>
  <si>
    <t>生火的路上</t>
  </si>
  <si>
    <t>FISHING_WHILE_IDLE</t>
  </si>
  <si>
    <t>BLACKSMITHING</t>
  </si>
  <si>
    <t>锻造</t>
  </si>
  <si>
    <t>锻造的路上</t>
  </si>
  <si>
    <t>RESEARCH</t>
  </si>
  <si>
    <t>做研究</t>
  </si>
  <si>
    <t>做研究的路上</t>
  </si>
  <si>
    <t>ADD_FUEL</t>
  </si>
  <si>
    <t>添柴</t>
  </si>
  <si>
    <t>添柴的路上</t>
  </si>
  <si>
    <t>RESCUE</t>
  </si>
  <si>
    <t>救人</t>
  </si>
  <si>
    <t>救人的路上</t>
  </si>
  <si>
    <t>RESCUE_FEED_ME_FOOD</t>
  </si>
  <si>
    <t>给病人喂食</t>
  </si>
  <si>
    <t>照顾病人的路上</t>
  </si>
  <si>
    <t>RESCUE_FEED_ME_HERB</t>
  </si>
  <si>
    <t>给病人喂药</t>
  </si>
  <si>
    <t>TRANSPORT_IN_BARRACKS</t>
  </si>
  <si>
    <t>搬运军需物资</t>
  </si>
  <si>
    <t>搬运军需的路上</t>
  </si>
  <si>
    <t>PICK_UP_NPC_DEAD_BODY</t>
  </si>
  <si>
    <t>收尸</t>
  </si>
  <si>
    <t>收尸的路上</t>
  </si>
  <si>
    <t>CARRY_NPC_DEAD_BODY</t>
  </si>
  <si>
    <t>埋葬尸体</t>
  </si>
  <si>
    <t>埋葬尸体的路上</t>
  </si>
  <si>
    <t>MOURN</t>
  </si>
  <si>
    <t>悼念亲人</t>
  </si>
  <si>
    <t>悼念亲人的路上</t>
  </si>
  <si>
    <t>BELIEF_SELF_TEACH</t>
  </si>
  <si>
    <t>参悟道法</t>
  </si>
  <si>
    <t>悟道的路上</t>
  </si>
  <si>
    <t>ADD_FUEL_TO_COOK_TABLE</t>
  </si>
  <si>
    <t>加柴</t>
  </si>
  <si>
    <t>加柴的路上</t>
  </si>
  <si>
    <t>CARRY_ANIMAL_DEAD_BODY</t>
  </si>
  <si>
    <t>搬运猎物</t>
  </si>
  <si>
    <t>TRANSPORT_BATCH</t>
  </si>
  <si>
    <t>批量运输%s</t>
  </si>
  <si>
    <t>批量运输%s的路上</t>
  </si>
  <si>
    <t>PASTURE_CLEAR_FAECES</t>
  </si>
  <si>
    <t>清理粪便</t>
  </si>
  <si>
    <t>CATCH_CRAB</t>
  </si>
  <si>
    <t>捉螃蟹</t>
  </si>
  <si>
    <t>BUILD_TRANSPORT</t>
  </si>
  <si>
    <t>LOOK_AFTER_ELDER_AND_SEE_LAST</t>
  </si>
  <si>
    <t>照料临终老人</t>
  </si>
  <si>
    <t>照料临终老人的路上</t>
  </si>
  <si>
    <t>STAY_AT_BED_TO_DIE</t>
  </si>
  <si>
    <t>卧床不起</t>
  </si>
  <si>
    <t>想好好休息</t>
  </si>
  <si>
    <t>PICK_UP_WAGON</t>
  </si>
  <si>
    <t>回收马车</t>
  </si>
  <si>
    <t>回收马车的路上</t>
  </si>
  <si>
    <t>FETCH_HORSE_FOR_WAGON</t>
  </si>
  <si>
    <t>牵马</t>
  </si>
  <si>
    <t>牵马的路上</t>
  </si>
  <si>
    <t>驾马车</t>
  </si>
  <si>
    <t>去驾马车路上</t>
  </si>
  <si>
    <t>UNLOAD_FOR_WAGON</t>
  </si>
  <si>
    <t>卸货%s</t>
  </si>
  <si>
    <t>为马车装卸货物</t>
  </si>
  <si>
    <t>LOAD_TO_WAGON</t>
  </si>
  <si>
    <t>装载%s</t>
  </si>
  <si>
    <t>WAGON_CLEAR_TRANSPORT</t>
  </si>
  <si>
    <t>清空马车的路上</t>
  </si>
  <si>
    <t>GATHER_HONEY</t>
  </si>
  <si>
    <t>收集蜂蜜</t>
  </si>
  <si>
    <t>收集蜂蜜路上</t>
  </si>
  <si>
    <t>FLOWER_POT_WATERING</t>
  </si>
  <si>
    <t>浇花</t>
  </si>
  <si>
    <t>浇花路上</t>
  </si>
  <si>
    <t>CUT_APART_BIG_FISH</t>
  </si>
  <si>
    <t>RETURN_OF_EQUIPMENT</t>
  </si>
  <si>
    <t>归还武器装备</t>
  </si>
  <si>
    <t>挖掘古墓</t>
  </si>
  <si>
    <t>修葺古墓</t>
  </si>
  <si>
    <t>GATHER_BIG_TREE</t>
  </si>
  <si>
    <t>砍伐巨树</t>
  </si>
  <si>
    <t>砍伐巨树的路上</t>
  </si>
  <si>
    <t>PICK_UP_SOLDIER_DEAD_BODY</t>
  </si>
  <si>
    <t>战场收尸</t>
  </si>
  <si>
    <t>战场收尸的路上</t>
  </si>
  <si>
    <t>PICK_UP_ON_BATTLE</t>
  </si>
  <si>
    <t>捡战利品</t>
  </si>
  <si>
    <t>捡战利品的路上</t>
  </si>
  <si>
    <t>RESCUE_SOLDIER</t>
  </si>
  <si>
    <t>战场救援</t>
  </si>
  <si>
    <t>清理传染源</t>
  </si>
  <si>
    <t>PICK_UP_SOLDIER_DEAD_BODY_OF_ENEMY</t>
  </si>
  <si>
    <t>搜刮敌军尸体</t>
  </si>
  <si>
    <t>CAPTURE_SOLDIER</t>
  </si>
  <si>
    <t>抓俘虏</t>
  </si>
  <si>
    <t>CONVERT_PRISONER</t>
  </si>
  <si>
    <t>给囚犯洗脑</t>
  </si>
  <si>
    <t>EXECUTION_PRISONER</t>
  </si>
  <si>
    <t>处决囚犯</t>
  </si>
  <si>
    <t>处决囚犯的路上</t>
  </si>
  <si>
    <t>CATCH_MOUNT</t>
  </si>
  <si>
    <t>捕捉战斗坐骑</t>
  </si>
  <si>
    <t>RESCUE_CARAVAN_MEMBER</t>
  </si>
  <si>
    <t>救援商队成员</t>
  </si>
  <si>
    <t>WRITE_BOOK</t>
  </si>
  <si>
    <t>编写%s</t>
  </si>
  <si>
    <t>编写%s的路上</t>
  </si>
  <si>
    <t>PREPARE_CANNON_BALL</t>
  </si>
  <si>
    <t>RECEIVE_PASSENGERS</t>
  </si>
  <si>
    <t>接待旅客</t>
  </si>
  <si>
    <t>接待旅客的路上</t>
  </si>
  <si>
    <t>RESCUE_TRAVELLER</t>
  </si>
  <si>
    <t>救援旅客</t>
  </si>
  <si>
    <t>救援旅客的路上</t>
  </si>
  <si>
    <t>TRAVELLER_SHOPPING</t>
  </si>
  <si>
    <t>购物</t>
  </si>
  <si>
    <t>购物的路上</t>
  </si>
  <si>
    <t>TRAVELLER_CHECK_IN</t>
  </si>
  <si>
    <t>入住登记</t>
  </si>
  <si>
    <t>入住登记的路上</t>
  </si>
  <si>
    <t>RESTORE_FACILITY</t>
  </si>
  <si>
    <t>修复%s</t>
  </si>
  <si>
    <t>修复%s的路上</t>
  </si>
  <si>
    <t>TRANSPORT_BY_WAGON_IN_NO_FIXED_ROUTE_MODE</t>
    <phoneticPr fontId="3" type="noConversion"/>
  </si>
  <si>
    <t>DRIVE_WAGON</t>
    <phoneticPr fontId="3" type="noConversion"/>
  </si>
  <si>
    <t>DROP_STUFF</t>
    <phoneticPr fontId="3" type="noConversion"/>
  </si>
  <si>
    <t>CLEAN_INFECTION_SOURCE</t>
    <phoneticPr fontId="3" type="noConversion"/>
  </si>
  <si>
    <t>SEE_PATIENT</t>
    <phoneticPr fontId="3" type="noConversion"/>
  </si>
  <si>
    <t>REPLENISH</t>
    <phoneticPr fontId="3" type="noConversion"/>
  </si>
  <si>
    <t>_force_interrupt#int</t>
    <phoneticPr fontId="3" type="noConversion"/>
  </si>
  <si>
    <r>
      <t>SEE_DOCTOR</t>
    </r>
    <r>
      <rPr>
        <sz val="11"/>
        <color theme="1"/>
        <rFont val="宋体"/>
        <family val="3"/>
        <charset val="134"/>
        <scheme val="minor"/>
      </rPr>
      <t>_ON_ILL_BY_INFECT</t>
    </r>
    <phoneticPr fontId="3" type="noConversion"/>
  </si>
  <si>
    <t>PARK_WAGON_IN_FREE_MODE</t>
    <phoneticPr fontId="3" type="noConversion"/>
  </si>
  <si>
    <t>FIND_FAVORITE</t>
    <phoneticPr fontId="3" type="noConversion"/>
  </si>
  <si>
    <t>FIND_FOOD</t>
    <phoneticPr fontId="3" type="noConversion"/>
  </si>
  <si>
    <t>ATTEND_BANQUET</t>
    <phoneticPr fontId="3" type="noConversion"/>
  </si>
  <si>
    <t>参加宴会</t>
    <phoneticPr fontId="3" type="noConversion"/>
  </si>
  <si>
    <t>参加宴会的路上</t>
    <phoneticPr fontId="3" type="noConversion"/>
  </si>
  <si>
    <t>GOTO_CHURCH_OF_LIZARD_MAN</t>
    <phoneticPr fontId="3" type="noConversion"/>
  </si>
  <si>
    <t>WORK_TRANSPORT</t>
    <phoneticPr fontId="3" type="noConversion"/>
  </si>
  <si>
    <t>GO_TO_ATTACK_ON_CRAZY</t>
    <phoneticPr fontId="3" type="noConversion"/>
  </si>
  <si>
    <t>CHANGE_MOUNT_ANIMAL</t>
    <phoneticPr fontId="3" type="noConversion"/>
  </si>
  <si>
    <t>CUT_OFF_GRASS</t>
    <phoneticPr fontId="3" type="noConversion"/>
  </si>
  <si>
    <t>REPAIR_WORK_FACILITY</t>
    <phoneticPr fontId="3" type="noConversion"/>
  </si>
  <si>
    <t>REPAIR_BUILD_TRANSPORT</t>
    <phoneticPr fontId="3" type="noConversion"/>
  </si>
  <si>
    <t>FIND_RING</t>
    <phoneticPr fontId="3" type="noConversion"/>
  </si>
  <si>
    <t>FIND_NACKLACE</t>
    <phoneticPr fontId="3" type="noConversion"/>
  </si>
  <si>
    <t>PASTURE_KILL_ANIMAL</t>
    <phoneticPr fontId="3" type="noConversion"/>
  </si>
  <si>
    <t>501001:喂鸡;501002:放羊;501003:喂牛;501004:喂马;501005:喂猪;501006:喂驯狼</t>
    <phoneticPr fontId="3" type="noConversion"/>
  </si>
  <si>
    <t>501001:喂鸡的路上;501002:放羊的路上;501003:喂牛的路上;501004:喂马的路上;501005:喂豬的路上;501006:喂驯狼的路上</t>
    <phoneticPr fontId="3" type="noConversion"/>
  </si>
  <si>
    <t>COLLECT_WILD_VEGETABLE</t>
    <phoneticPr fontId="3" type="noConversion"/>
  </si>
  <si>
    <t>COLLECT_HERB</t>
    <phoneticPr fontId="3" type="noConversion"/>
  </si>
  <si>
    <t>COLLECT_GRASS</t>
    <phoneticPr fontId="3" type="noConversion"/>
  </si>
  <si>
    <t>GET_BOOK</t>
    <phoneticPr fontId="3" type="noConversion"/>
  </si>
  <si>
    <t>领取启蒙书</t>
  </si>
  <si>
    <t>TRAVELLER_TAKE_FOOD</t>
    <phoneticPr fontId="3" type="noConversion"/>
  </si>
  <si>
    <t>COURTSHIP</t>
    <phoneticPr fontId="3" type="noConversion"/>
  </si>
  <si>
    <t>FIND_MILITIA_EQUIP</t>
    <phoneticPr fontId="3" type="noConversion"/>
  </si>
  <si>
    <t>SET_TRAP</t>
    <phoneticPr fontId="3" type="noConversion"/>
  </si>
  <si>
    <t>WORK_TRANSPORT_FOR_MILL</t>
    <phoneticPr fontId="3" type="noConversion"/>
  </si>
  <si>
    <r>
      <t>FIND_</t>
    </r>
    <r>
      <rPr>
        <sz val="11"/>
        <color theme="1"/>
        <rFont val="宋体"/>
        <family val="3"/>
        <charset val="134"/>
        <scheme val="minor"/>
      </rPr>
      <t>MILK</t>
    </r>
    <phoneticPr fontId="3" type="noConversion"/>
  </si>
  <si>
    <r>
      <t>FIND_</t>
    </r>
    <r>
      <rPr>
        <sz val="11"/>
        <color theme="1"/>
        <rFont val="宋体"/>
        <family val="3"/>
        <charset val="134"/>
        <scheme val="minor"/>
      </rPr>
      <t>EGG</t>
    </r>
    <phoneticPr fontId="3" type="noConversion"/>
  </si>
  <si>
    <t>FIND_SPIRITUAL_BOOK</t>
    <phoneticPr fontId="3" type="noConversion"/>
  </si>
  <si>
    <t>TRANSPORT_FOR_MUSHROOM_BOX</t>
    <phoneticPr fontId="3" type="noConversion"/>
  </si>
  <si>
    <t>MUSHROOM_WATERING</t>
    <phoneticPr fontId="3" type="noConversion"/>
  </si>
  <si>
    <t>FIND_MINISTER_TO_TELL</t>
    <phoneticPr fontId="3" type="noConversion"/>
  </si>
  <si>
    <t>FETCH_ANIMAL_FOR_ALTER</t>
    <phoneticPr fontId="3" type="noConversion"/>
  </si>
  <si>
    <t>GET_LIEF_VALUE_BOOK</t>
    <phoneticPr fontId="3" type="noConversion"/>
  </si>
  <si>
    <r>
      <t>i</t>
    </r>
    <r>
      <rPr>
        <sz val="11"/>
        <color theme="1"/>
        <rFont val="宋体"/>
        <family val="3"/>
        <charset val="134"/>
        <scheme val="minor"/>
      </rPr>
      <t>s_work#int</t>
    </r>
    <phoneticPr fontId="3" type="noConversion"/>
  </si>
  <si>
    <t>用时统计，是否计为工作</t>
    <phoneticPr fontId="3" type="noConversion"/>
  </si>
  <si>
    <t>时间统计描述</t>
    <phoneticPr fontId="3" type="noConversion"/>
  </si>
  <si>
    <t>时间统计移动描述</t>
    <phoneticPr fontId="3" type="noConversion"/>
  </si>
  <si>
    <r>
      <t>!desc</t>
    </r>
    <r>
      <rPr>
        <sz val="11"/>
        <color theme="1"/>
        <rFont val="宋体"/>
        <family val="3"/>
        <charset val="134"/>
        <scheme val="minor"/>
      </rPr>
      <t>_for_time_use</t>
    </r>
    <r>
      <rPr>
        <sz val="11"/>
        <color theme="1"/>
        <rFont val="宋体"/>
        <family val="3"/>
        <charset val="134"/>
        <scheme val="minor"/>
      </rPr>
      <t>#str</t>
    </r>
    <phoneticPr fontId="3" type="noConversion"/>
  </si>
  <si>
    <r>
      <t>!desc_moving</t>
    </r>
    <r>
      <rPr>
        <sz val="11"/>
        <color theme="1"/>
        <rFont val="宋体"/>
        <family val="3"/>
        <charset val="134"/>
        <scheme val="minor"/>
      </rPr>
      <t>_for_time_use</t>
    </r>
    <r>
      <rPr>
        <sz val="11"/>
        <color theme="1"/>
        <rFont val="宋体"/>
        <family val="3"/>
        <charset val="134"/>
        <scheme val="minor"/>
      </rPr>
      <t>#str</t>
    </r>
    <phoneticPr fontId="3" type="noConversion"/>
  </si>
  <si>
    <t>寻找偏好物</t>
    <phoneticPr fontId="3" type="noConversion"/>
  </si>
  <si>
    <t>寻找偏好物的路上</t>
    <phoneticPr fontId="3" type="noConversion"/>
  </si>
  <si>
    <t>运输物品的路上</t>
    <phoneticPr fontId="3" type="noConversion"/>
  </si>
  <si>
    <t>建造设施</t>
    <phoneticPr fontId="3" type="noConversion"/>
  </si>
  <si>
    <t>建造设施的路上</t>
    <phoneticPr fontId="3" type="noConversion"/>
  </si>
  <si>
    <t>搬运物品的路上</t>
    <phoneticPr fontId="3" type="noConversion"/>
  </si>
  <si>
    <t>饲养动物</t>
    <phoneticPr fontId="3" type="noConversion"/>
  </si>
  <si>
    <t>宰杀动物</t>
    <phoneticPr fontId="3" type="noConversion"/>
  </si>
  <si>
    <t>收获动物产出</t>
    <phoneticPr fontId="3" type="noConversion"/>
  </si>
  <si>
    <t>捕捉动物</t>
    <phoneticPr fontId="3" type="noConversion"/>
  </si>
  <si>
    <t>拆除设施</t>
    <phoneticPr fontId="3" type="noConversion"/>
  </si>
  <si>
    <t>饲养动物的路上</t>
    <phoneticPr fontId="3" type="noConversion"/>
  </si>
  <si>
    <t>宰杀动物的路上</t>
    <phoneticPr fontId="3" type="noConversion"/>
  </si>
  <si>
    <t>收获动物产出的路上</t>
    <phoneticPr fontId="3" type="noConversion"/>
  </si>
  <si>
    <t>捕捉动物的路上</t>
    <phoneticPr fontId="3" type="noConversion"/>
  </si>
  <si>
    <t>拆除设施的路上</t>
    <phoneticPr fontId="3" type="noConversion"/>
  </si>
  <si>
    <t>分解动物尸体</t>
    <phoneticPr fontId="3" type="noConversion"/>
  </si>
  <si>
    <t>分解动物尸体的路上</t>
    <phoneticPr fontId="3" type="noConversion"/>
  </si>
  <si>
    <t>批量运输物品的路上</t>
    <phoneticPr fontId="3" type="noConversion"/>
  </si>
  <si>
    <t>分解大鱼</t>
    <phoneticPr fontId="3" type="noConversion"/>
  </si>
  <si>
    <t>分解大鱼的路上</t>
    <phoneticPr fontId="3" type="noConversion"/>
  </si>
  <si>
    <t>写书</t>
    <phoneticPr fontId="3" type="noConversion"/>
  </si>
  <si>
    <t>写书的路上</t>
    <phoneticPr fontId="3" type="noConversion"/>
  </si>
  <si>
    <t>修复建筑</t>
    <phoneticPr fontId="3" type="noConversion"/>
  </si>
  <si>
    <t>修复建筑的路上</t>
    <phoneticPr fontId="3" type="noConversion"/>
  </si>
  <si>
    <t>马车装卸货物</t>
    <phoneticPr fontId="3" type="noConversion"/>
  </si>
  <si>
    <t>马车运输的路上</t>
    <phoneticPr fontId="3" type="noConversion"/>
  </si>
  <si>
    <t>维修设施</t>
    <phoneticPr fontId="3" type="noConversion"/>
  </si>
  <si>
    <t>制造产品</t>
    <phoneticPr fontId="3" type="noConversion"/>
  </si>
  <si>
    <t>制造产品的路上</t>
    <phoneticPr fontId="3" type="noConversion"/>
  </si>
  <si>
    <t>搬出物品</t>
    <phoneticPr fontId="3" type="noConversion"/>
  </si>
  <si>
    <t>搬出物品的路上</t>
    <phoneticPr fontId="3" type="noConversion"/>
  </si>
  <si>
    <t>装卸物品</t>
    <phoneticPr fontId="3" type="noConversion"/>
  </si>
  <si>
    <t>批量装卸物品</t>
    <phoneticPr fontId="3" type="noConversion"/>
  </si>
  <si>
    <t>PRISONER_TO_MINE</t>
    <phoneticPr fontId="3" type="noConversion"/>
  </si>
  <si>
    <t>TRAVELLER_BUY_MEDICINE</t>
    <phoneticPr fontId="3" type="noConversion"/>
  </si>
  <si>
    <t>高优先任务：
强制打断低优先任务</t>
    <phoneticPr fontId="3" type="noConversion"/>
  </si>
  <si>
    <t>MOVE_MONSTER_EGG</t>
    <phoneticPr fontId="3" type="noConversion"/>
  </si>
  <si>
    <t>迁移巨型蛋</t>
    <phoneticPr fontId="3" type="noConversion"/>
  </si>
  <si>
    <t>迁移巨型蛋的路上</t>
    <phoneticPr fontId="3" type="noConversion"/>
  </si>
  <si>
    <t>TRANSPORT_BATCH_BIND_WORKER</t>
    <phoneticPr fontId="3" type="noConversion"/>
  </si>
  <si>
    <t>ESCAPE_WHEN_TOO_CROWD_AND_SLEEP_ON_GROUND</t>
    <phoneticPr fontId="3" type="noConversion"/>
  </si>
  <si>
    <t>GO_TO_TOILET</t>
    <phoneticPr fontId="3" type="noConversion"/>
  </si>
  <si>
    <t>拾荒者可接的任务</t>
    <phoneticPr fontId="3" type="noConversion"/>
  </si>
  <si>
    <t>专业采集工可接的任务</t>
    <phoneticPr fontId="3" type="noConversion"/>
  </si>
  <si>
    <r>
      <t>h</t>
    </r>
    <r>
      <rPr>
        <sz val="11"/>
        <color theme="1"/>
        <rFont val="宋体"/>
        <family val="3"/>
        <charset val="134"/>
        <scheme val="minor"/>
      </rPr>
      <t>ire_worker_for_collect#int</t>
    </r>
    <phoneticPr fontId="3" type="noConversion"/>
  </si>
  <si>
    <t>hire_worker_for_pick_up#int</t>
    <phoneticPr fontId="3" type="noConversion"/>
  </si>
  <si>
    <t>COLLECT_OF_COLLECTION_POINT</t>
    <phoneticPr fontId="3" type="noConversion"/>
  </si>
  <si>
    <t>FEED_ME_BY_HANDYMAN</t>
    <phoneticPr fontId="3" type="noConversion"/>
  </si>
  <si>
    <t>GIVE_ME_CLOTHES_BY_HANDYMAN</t>
    <phoneticPr fontId="3" type="noConversion"/>
  </si>
  <si>
    <t>CLEAR_POKER_TABLE</t>
    <phoneticPr fontId="3" type="noConversion"/>
  </si>
  <si>
    <t>PLAY_POKER</t>
    <phoneticPr fontId="3" type="noConversion"/>
  </si>
  <si>
    <t>PLAY_ROULETTE_WHEEL</t>
    <phoneticPr fontId="3" type="noConversion"/>
  </si>
  <si>
    <t>TAKE_BATH</t>
    <phoneticPr fontId="3" type="noConversion"/>
  </si>
  <si>
    <t>TRANSPORT_FOR_ROULETTE_WHEEL</t>
    <phoneticPr fontId="3" type="noConversion"/>
  </si>
  <si>
    <t>ADD_FUEL_TO_PUBLIC_BATH</t>
    <phoneticPr fontId="3" type="noConversion"/>
  </si>
  <si>
    <t>TRANSPORT_FOR_PUBLIC_BATH</t>
    <phoneticPr fontId="3" type="noConversion"/>
  </si>
  <si>
    <t>TURN_OFF_PUBLIC_BATH</t>
    <phoneticPr fontId="3" type="noConversion"/>
  </si>
  <si>
    <t>TURN_ON_PUBLIC_BATH</t>
    <phoneticPr fontId="3" type="noConversion"/>
  </si>
  <si>
    <t>SOLDIER_TRAINING</t>
    <phoneticPr fontId="3" type="noConversion"/>
  </si>
  <si>
    <t>CLEAR_TRANSPORT</t>
    <phoneticPr fontId="3" type="noConversion"/>
  </si>
  <si>
    <t>清理物品</t>
    <phoneticPr fontId="3" type="noConversion"/>
  </si>
  <si>
    <t>清理物品的路上</t>
    <phoneticPr fontId="3" type="noConversion"/>
  </si>
  <si>
    <t>FIND_BOOK_TO_LEARN_OF_NOBLE</t>
    <phoneticPr fontId="3" type="noConversion"/>
  </si>
  <si>
    <t>_daytime_only#int</t>
    <phoneticPr fontId="3" type="noConversion"/>
  </si>
  <si>
    <t>仅白天的工作</t>
    <phoneticPr fontId="3" type="noConversion"/>
  </si>
  <si>
    <t>TRANSPORT_FOR_FLOWER_POT</t>
    <phoneticPr fontId="3" type="noConversion"/>
  </si>
  <si>
    <r>
      <t>F</t>
    </r>
    <r>
      <rPr>
        <sz val="11"/>
        <color theme="1"/>
        <rFont val="宋体"/>
        <family val="3"/>
        <charset val="134"/>
        <scheme val="minor"/>
      </rPr>
      <t>LOWER_POT</t>
    </r>
    <r>
      <rPr>
        <sz val="11"/>
        <color theme="1"/>
        <rFont val="宋体"/>
        <family val="3"/>
        <charset val="134"/>
        <scheme val="minor"/>
      </rPr>
      <t>_CUTTING_TREE</t>
    </r>
    <phoneticPr fontId="3" type="noConversion"/>
  </si>
  <si>
    <t>FLOWER_POT_GATHER_WILD_VEGETABLE</t>
    <phoneticPr fontId="3" type="noConversion"/>
  </si>
  <si>
    <t>ESCAPE_TO_OTHER_TERRITORY</t>
    <phoneticPr fontId="3" type="noConversion"/>
  </si>
  <si>
    <t>PRISONER_TO_ESCAPE</t>
    <phoneticPr fontId="3" type="noConversion"/>
  </si>
  <si>
    <r>
      <t>R</t>
    </r>
    <r>
      <rPr>
        <sz val="11"/>
        <color theme="1"/>
        <rFont val="宋体"/>
        <family val="3"/>
        <charset val="134"/>
        <scheme val="minor"/>
      </rPr>
      <t>EPAIR_HIVE</t>
    </r>
    <phoneticPr fontId="3" type="noConversion"/>
  </si>
  <si>
    <t>is_handyman_task#int</t>
    <phoneticPr fontId="3" type="noConversion"/>
  </si>
  <si>
    <t>clear_bag_first#int</t>
    <phoneticPr fontId="3" type="noConversion"/>
  </si>
  <si>
    <t>_need_stroage_barn#int</t>
    <phoneticPr fontId="3" type="noConversion"/>
  </si>
  <si>
    <t>采摘</t>
    <phoneticPr fontId="3" type="noConversion"/>
  </si>
  <si>
    <t>采摘的路上</t>
    <phoneticPr fontId="3" type="noConversion"/>
  </si>
  <si>
    <t>PRAISE_KING</t>
    <phoneticPr fontId="3" type="noConversion"/>
  </si>
  <si>
    <t>CROP_FEILD_CUTTING_FRUIT_TREE</t>
    <phoneticPr fontId="3" type="noConversion"/>
  </si>
  <si>
    <t>FETCH_ANIMAL_AS_MOUNT</t>
    <phoneticPr fontId="3" type="noConversion"/>
  </si>
  <si>
    <t>REBEL</t>
    <phoneticPr fontId="3" type="noConversion"/>
  </si>
  <si>
    <t>是否是杂工作
在有杂工时，职业工人拒绝接收该 任务</t>
    <phoneticPr fontId="3" type="noConversion"/>
  </si>
  <si>
    <r>
      <t>is</t>
    </r>
    <r>
      <rPr>
        <sz val="11"/>
        <color theme="1"/>
        <rFont val="宋体"/>
        <family val="3"/>
        <charset val="134"/>
        <scheme val="minor"/>
      </rPr>
      <t>_build_task#int</t>
    </r>
    <phoneticPr fontId="3" type="noConversion"/>
  </si>
  <si>
    <t>建筑任务</t>
    <phoneticPr fontId="3" type="noConversion"/>
  </si>
  <si>
    <t>RETIRE</t>
    <phoneticPr fontId="3" type="noConversion"/>
  </si>
  <si>
    <t>是否检查目的地为危险标记区域</t>
    <phoneticPr fontId="3" type="noConversion"/>
  </si>
  <si>
    <t>check_dangerous_area#int</t>
    <phoneticPr fontId="3" type="noConversion"/>
  </si>
  <si>
    <t>REPAIR_CRAB_POT</t>
    <phoneticPr fontId="3" type="noConversion"/>
  </si>
  <si>
    <t>COLLECT_STONE</t>
    <phoneticPr fontId="3" type="noConversion"/>
  </si>
  <si>
    <t>SEND_FLOWER_FOR_WEDDING_ANNIVERSARY</t>
    <phoneticPr fontId="3" type="noConversion"/>
  </si>
  <si>
    <t>SEND_FLOWER_TO_TEACHER</t>
    <phoneticPr fontId="3" type="noConversion"/>
  </si>
  <si>
    <t>SEND_FLOWER_TO_DOCTOR</t>
    <phoneticPr fontId="3" type="noConversion"/>
  </si>
  <si>
    <t>采集石料的路上</t>
  </si>
  <si>
    <t>换衣服</t>
  </si>
  <si>
    <t>换工具</t>
  </si>
  <si>
    <t>吃食物</t>
  </si>
  <si>
    <t>取暖</t>
  </si>
  <si>
    <t>装备武器</t>
  </si>
  <si>
    <t>装备盔甲</t>
  </si>
  <si>
    <t>装备盾牌</t>
  </si>
  <si>
    <t>装备坐骑</t>
  </si>
  <si>
    <t>装备战车</t>
  </si>
  <si>
    <t>换雨伞</t>
  </si>
  <si>
    <t>更换皮包</t>
  </si>
  <si>
    <t>收纳马车</t>
  </si>
  <si>
    <t>寻找%s</t>
  </si>
  <si>
    <t>上厕所</t>
  </si>
  <si>
    <t>嗜血发疯中</t>
  </si>
  <si>
    <t>更换坐骑</t>
  </si>
  <si>
    <t>穿戴魔法戒指</t>
  </si>
  <si>
    <t>穿戴魔法项链</t>
  </si>
  <si>
    <t>阅读启蒙书</t>
  </si>
  <si>
    <t>进餐</t>
  </si>
  <si>
    <t>求爱</t>
  </si>
  <si>
    <t>领取民兵装备</t>
  </si>
  <si>
    <t>享用牛奶</t>
  </si>
  <si>
    <t>享用鸡蛋</t>
  </si>
  <si>
    <t>阅读</t>
  </si>
  <si>
    <t>倾诉</t>
  </si>
  <si>
    <t>寻找人生真谛</t>
  </si>
  <si>
    <t>买药</t>
  </si>
  <si>
    <t>学习</t>
  </si>
  <si>
    <t>沐浴</t>
  </si>
  <si>
    <t>玩轮盘</t>
  </si>
  <si>
    <t>投奔其它领主</t>
  </si>
  <si>
    <t>膜拜领主</t>
  </si>
  <si>
    <t>叛逃</t>
  </si>
  <si>
    <t>返回村庄</t>
  </si>
  <si>
    <t>杀%s</t>
  </si>
  <si>
    <t>501002:剪羊毛;501001:捡鸡蛋;501003:挤牛奶</t>
  </si>
  <si>
    <t>搬运建造材料%s</t>
  </si>
  <si>
    <t>清理%s</t>
  </si>
  <si>
    <t>搬出%s</t>
  </si>
  <si>
    <t>马车运输%s</t>
  </si>
  <si>
    <t>维修%s</t>
  </si>
  <si>
    <t>收割野草</t>
  </si>
  <si>
    <t>布置陷阱</t>
  </si>
  <si>
    <t>给蘑菇浇水</t>
  </si>
  <si>
    <t>献祭动物</t>
  </si>
  <si>
    <t>被罚挖矿</t>
  </si>
  <si>
    <t>迁移巨型蛋</t>
  </si>
  <si>
    <t>搜集资源</t>
  </si>
  <si>
    <t>喂养他人婴儿</t>
  </si>
  <si>
    <t>给他人婴儿穿衣</t>
  </si>
  <si>
    <t>收拾扑克桌</t>
  </si>
  <si>
    <t>玩扑克</t>
  </si>
  <si>
    <t>维护轮盘</t>
  </si>
  <si>
    <t>清点浴场收入</t>
  </si>
  <si>
    <t>军事训练</t>
  </si>
  <si>
    <t>采摘%s</t>
  </si>
  <si>
    <t>清理枯树</t>
  </si>
  <si>
    <t>采集花盆中的野菜</t>
  </si>
  <si>
    <t>逃跑</t>
  </si>
  <si>
    <t>维修蜂房</t>
  </si>
  <si>
    <t>维修蟹笼</t>
  </si>
  <si>
    <t>寻找食物</t>
  </si>
  <si>
    <t>收纳马车的路上</t>
  </si>
  <si>
    <t>上厕所的路上</t>
  </si>
  <si>
    <t>寻找魔法戒指</t>
  </si>
  <si>
    <t>寻找魔法项链</t>
  </si>
  <si>
    <t>进餐的路上</t>
  </si>
  <si>
    <t>求爱的路上</t>
  </si>
  <si>
    <t>寻找牛奶</t>
  </si>
  <si>
    <t>寻找鸡蛋</t>
  </si>
  <si>
    <t>寻找书籍</t>
  </si>
  <si>
    <t>找先知倾诉</t>
  </si>
  <si>
    <t>买药的路上</t>
  </si>
  <si>
    <t>沐浴的路上</t>
  </si>
  <si>
    <t>玩轮盘的路上</t>
  </si>
  <si>
    <t>投奔其它领主的路上</t>
  </si>
  <si>
    <t>去膜拜领主的路上</t>
  </si>
  <si>
    <t>叛逃的路上</t>
  </si>
  <si>
    <t>501002:剪羊毛的路上;501001:捡鸡蛋的路上;501003:挤牛奶的路上</t>
  </si>
  <si>
    <t>搬运建造材料%s的路上</t>
  </si>
  <si>
    <t>搬出%s的路上</t>
  </si>
  <si>
    <t>维修%s的路上</t>
  </si>
  <si>
    <t>收割野草的路上</t>
  </si>
  <si>
    <t>布置陷阱的路上</t>
  </si>
  <si>
    <t>去给蘑菇浇水的路上</t>
  </si>
  <si>
    <t>献祭动物的路上</t>
  </si>
  <si>
    <t>挖矿的路上</t>
  </si>
  <si>
    <t>迁移巨型蛋的路上</t>
  </si>
  <si>
    <t>搜集资源的路上</t>
  </si>
  <si>
    <t>喂养他人婴儿的路上</t>
  </si>
  <si>
    <t>给他人婴儿穿衣的路上</t>
  </si>
  <si>
    <t>收拾扑克桌的路上</t>
  </si>
  <si>
    <t>玩扑克的路上</t>
  </si>
  <si>
    <t>维护轮盘的路上</t>
  </si>
  <si>
    <t>清点浴场收入的路上</t>
  </si>
  <si>
    <t>军事训练的路上</t>
  </si>
  <si>
    <t>清理%s的路上</t>
  </si>
  <si>
    <t>采摘%s的路上</t>
  </si>
  <si>
    <t>清理枯树的路上</t>
  </si>
  <si>
    <t>采集花盆中的野菜的路上</t>
  </si>
  <si>
    <t>维修蜂房的路上</t>
  </si>
  <si>
    <t>维修蟹笼的路上</t>
  </si>
  <si>
    <t>向老师送花</t>
    <phoneticPr fontId="3" type="noConversion"/>
  </si>
  <si>
    <t>向伴侣送花</t>
    <phoneticPr fontId="3" type="noConversion"/>
  </si>
  <si>
    <t>向伴侣送花的路上</t>
    <phoneticPr fontId="3" type="noConversion"/>
  </si>
  <si>
    <t>向老师送花的路上</t>
    <phoneticPr fontId="3" type="noConversion"/>
  </si>
  <si>
    <t>向医生送花</t>
    <phoneticPr fontId="3" type="noConversion"/>
  </si>
  <si>
    <t>向医生送花的路上</t>
    <phoneticPr fontId="3" type="noConversion"/>
  </si>
  <si>
    <t>LOOK_AFTER_PATIENT</t>
    <phoneticPr fontId="3" type="noConversion"/>
  </si>
  <si>
    <t>DIG_ANCIENT_TOMB</t>
    <phoneticPr fontId="3" type="noConversion"/>
  </si>
  <si>
    <r>
      <t>REPAIR</t>
    </r>
    <r>
      <rPr>
        <sz val="11"/>
        <color theme="1"/>
        <rFont val="宋体"/>
        <family val="3"/>
        <charset val="134"/>
        <scheme val="minor"/>
      </rPr>
      <t>_ANCIENT</t>
    </r>
    <r>
      <rPr>
        <sz val="11"/>
        <color theme="1"/>
        <rFont val="宋体"/>
        <charset val="134"/>
        <scheme val="minor"/>
      </rPr>
      <t>_TOMB</t>
    </r>
    <phoneticPr fontId="3" type="noConversion"/>
  </si>
  <si>
    <t>f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</si>
</sst>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0"/>
      <color theme="1"/>
      <name val="Arial"/>
      <family val="2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/>
    <xf numFmtId="0" fontId="0" fillId="0" borderId="1" xfId="0" applyBorder="1" applyAlignment="1">
      <alignment wrapText="1"/>
    </xf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/>
    <xf numFmtId="0" fontId="0" fillId="4" borderId="1" xfId="0" applyFill="1" applyBorder="1" applyAlignment="1">
      <alignment wrapText="1"/>
    </xf>
    <xf numFmtId="0" fontId="1" fillId="3" borderId="1" xfId="0" applyFont="1" applyFill="1" applyBorder="1" applyAlignment="1">
      <alignment vertical="center"/>
    </xf>
    <xf numFmtId="0" fontId="0" fillId="5" borderId="1" xfId="0" applyFill="1" applyBorder="1"/>
    <xf numFmtId="0" fontId="2" fillId="4" borderId="1" xfId="0" applyFont="1" applyFill="1" applyBorder="1"/>
    <xf numFmtId="0" fontId="2" fillId="0" borderId="1" xfId="0" applyFont="1" applyBorder="1"/>
    <xf numFmtId="0" fontId="2" fillId="2" borderId="1" xfId="0" applyFont="1" applyFill="1" applyBorder="1"/>
    <xf numFmtId="0" fontId="2" fillId="0" borderId="1" xfId="0" applyFont="1" applyBorder="1" applyAlignment="1">
      <alignment wrapText="1"/>
    </xf>
    <xf numFmtId="0" fontId="2" fillId="5" borderId="1" xfId="0" applyFont="1" applyFill="1" applyBorder="1"/>
    <xf numFmtId="0" fontId="2" fillId="2" borderId="1" xfId="0" applyFont="1" applyFill="1" applyBorder="1" applyAlignment="1">
      <alignment wrapText="1"/>
    </xf>
    <xf numFmtId="0" fontId="0" fillId="0" borderId="2" xfId="0" applyBorder="1"/>
    <xf numFmtId="0" fontId="2" fillId="0" borderId="2" xfId="0" applyFont="1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98"/>
  <sheetViews>
    <sheetView tabSelected="1" workbookViewId="0">
      <pane ySplit="1" topLeftCell="A159" activePane="bottomLeft" state="frozen"/>
      <selection pane="bottomLeft" activeCell="H176" sqref="H1:H1048576"/>
    </sheetView>
  </sheetViews>
  <sheetFormatPr defaultColWidth="9" defaultRowHeight="13.5" x14ac:dyDescent="0.15"/>
  <cols>
    <col min="1" max="1" width="7.125" customWidth="1"/>
    <col min="2" max="2" width="38.125" customWidth="1"/>
    <col min="3" max="3" width="4.625" customWidth="1"/>
    <col min="4" max="4" width="6.875" customWidth="1"/>
    <col min="5" max="6" width="5.75" customWidth="1"/>
    <col min="7" max="7" width="9" customWidth="1"/>
    <col min="9" max="9" width="6" customWidth="1"/>
    <col min="10" max="10" width="6.75" customWidth="1"/>
    <col min="11" max="11" width="8.125" customWidth="1"/>
    <col min="12" max="12" width="8.875" customWidth="1"/>
    <col min="13" max="13" width="3.625" customWidth="1"/>
    <col min="14" max="14" width="5.5" customWidth="1"/>
    <col min="16" max="17" width="18.25" customWidth="1"/>
    <col min="18" max="18" width="8.375" style="1" customWidth="1"/>
    <col min="19" max="19" width="4.625" customWidth="1"/>
    <col min="20" max="20" width="6.625" customWidth="1"/>
    <col min="21" max="21" width="5.75" customWidth="1"/>
    <col min="22" max="22" width="8.25" hidden="1" customWidth="1"/>
    <col min="23" max="23" width="8.875" hidden="1" customWidth="1"/>
    <col min="24" max="24" width="7.625" customWidth="1"/>
    <col min="25" max="25" width="6.75" customWidth="1"/>
    <col min="26" max="27" width="8.375" customWidth="1"/>
    <col min="28" max="28" width="6.625" customWidth="1"/>
    <col min="29" max="29" width="28.875" customWidth="1"/>
  </cols>
  <sheetData>
    <row r="1" spans="1:32" ht="94.5" x14ac:dyDescent="0.15">
      <c r="A1" s="2" t="s">
        <v>600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13" t="s">
        <v>431</v>
      </c>
      <c r="H1" s="8" t="s">
        <v>13</v>
      </c>
      <c r="I1" s="13" t="s">
        <v>480</v>
      </c>
      <c r="J1" s="13" t="s">
        <v>478</v>
      </c>
      <c r="K1" s="13" t="s">
        <v>439</v>
      </c>
      <c r="L1" s="2" t="s">
        <v>438</v>
      </c>
      <c r="M1" s="2" t="s">
        <v>5</v>
      </c>
      <c r="N1" s="13" t="s">
        <v>390</v>
      </c>
      <c r="O1" s="8" t="s">
        <v>13</v>
      </c>
      <c r="P1" s="13" t="s">
        <v>391</v>
      </c>
      <c r="Q1" s="13" t="s">
        <v>392</v>
      </c>
      <c r="R1" s="15" t="s">
        <v>476</v>
      </c>
      <c r="S1" s="2" t="s">
        <v>6</v>
      </c>
      <c r="T1" s="2" t="s">
        <v>7</v>
      </c>
      <c r="U1" s="2" t="s">
        <v>8</v>
      </c>
      <c r="V1" s="2" t="s">
        <v>9</v>
      </c>
      <c r="W1" s="2" t="s">
        <v>10</v>
      </c>
      <c r="X1" s="13" t="s">
        <v>460</v>
      </c>
      <c r="Y1" s="2" t="s">
        <v>11</v>
      </c>
      <c r="Z1" s="2" t="s">
        <v>10</v>
      </c>
      <c r="AA1" s="2" t="s">
        <v>9</v>
      </c>
      <c r="AB1" s="2" t="s">
        <v>12</v>
      </c>
      <c r="AC1" s="2"/>
      <c r="AD1" s="3"/>
      <c r="AE1" s="8" t="s">
        <v>13</v>
      </c>
      <c r="AF1" s="8" t="s">
        <v>13</v>
      </c>
    </row>
    <row r="2" spans="1:32" x14ac:dyDescent="0.15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11" t="s">
        <v>351</v>
      </c>
      <c r="H2" s="3" t="str">
        <f>CONCATENATE("desc_",H1,"#str")</f>
        <v>desc_zh-CN#str</v>
      </c>
      <c r="I2" s="11" t="s">
        <v>481</v>
      </c>
      <c r="J2" s="11" t="s">
        <v>477</v>
      </c>
      <c r="K2" s="11" t="s">
        <v>440</v>
      </c>
      <c r="L2" s="11" t="s">
        <v>441</v>
      </c>
      <c r="M2" s="3" t="s">
        <v>20</v>
      </c>
      <c r="N2" s="11" t="s">
        <v>389</v>
      </c>
      <c r="O2" s="3" t="str">
        <f>CONCATENATE("desc_moving_",O1,"#str")</f>
        <v>desc_moving_zh-CN#str</v>
      </c>
      <c r="P2" s="11" t="s">
        <v>393</v>
      </c>
      <c r="Q2" s="11" t="s">
        <v>394</v>
      </c>
      <c r="R2" s="6" t="s">
        <v>467</v>
      </c>
      <c r="S2" s="3" t="s">
        <v>468</v>
      </c>
      <c r="T2" s="3" t="s">
        <v>469</v>
      </c>
      <c r="U2" s="3" t="s">
        <v>21</v>
      </c>
      <c r="V2" s="3" t="s">
        <v>22</v>
      </c>
      <c r="W2" s="3" t="s">
        <v>23</v>
      </c>
      <c r="X2" s="11" t="s">
        <v>459</v>
      </c>
      <c r="Y2" s="3" t="s">
        <v>24</v>
      </c>
      <c r="Z2" s="3" t="s">
        <v>23</v>
      </c>
      <c r="AA2" s="3" t="s">
        <v>22</v>
      </c>
      <c r="AB2" s="3" t="s">
        <v>25</v>
      </c>
      <c r="AC2" s="3" t="s">
        <v>26</v>
      </c>
      <c r="AD2" s="3" t="s">
        <v>27</v>
      </c>
      <c r="AE2" s="3" t="str">
        <f>CONCATENATE("desc_for_time_use_",AE1,"#str")</f>
        <v>desc_for_time_use_zh-CN#str</v>
      </c>
      <c r="AF2" s="3" t="str">
        <f>CONCATENATE("desc_moving_for_time_use_",AF1,"#str")</f>
        <v>desc_moving_for_time_use_zh-CN#str</v>
      </c>
    </row>
    <row r="3" spans="1:32" x14ac:dyDescent="0.15">
      <c r="A3" s="3">
        <v>901</v>
      </c>
      <c r="B3" s="3" t="s">
        <v>355</v>
      </c>
      <c r="C3" s="3">
        <v>1</v>
      </c>
      <c r="D3" s="3">
        <v>1</v>
      </c>
      <c r="E3" s="3">
        <v>1</v>
      </c>
      <c r="F3" s="3">
        <v>1</v>
      </c>
      <c r="G3" s="3">
        <v>0</v>
      </c>
      <c r="H3" s="3" t="s">
        <v>28</v>
      </c>
      <c r="I3" s="11">
        <v>1</v>
      </c>
      <c r="J3" s="11">
        <v>0</v>
      </c>
      <c r="K3" s="11">
        <v>1</v>
      </c>
      <c r="L3" s="11">
        <v>1</v>
      </c>
      <c r="M3" s="3">
        <v>1</v>
      </c>
      <c r="N3" s="3">
        <v>0</v>
      </c>
      <c r="O3" s="3" t="s">
        <v>28</v>
      </c>
      <c r="P3" s="3"/>
      <c r="Q3" s="3"/>
      <c r="R3" s="6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0.1</v>
      </c>
      <c r="Z3" s="3">
        <v>0</v>
      </c>
      <c r="AA3" s="3">
        <v>0</v>
      </c>
      <c r="AB3" s="3">
        <v>0</v>
      </c>
      <c r="AC3" s="3"/>
      <c r="AD3" s="3" t="str">
        <f t="shared" ref="AD3:AD34" si="0">CONCATENATE("public const int ",B3," = ",A3,";")</f>
        <v>public const int FIND_FOOD = 901;</v>
      </c>
      <c r="AE3" s="3" t="str">
        <f>P3 &amp; ""</f>
        <v/>
      </c>
      <c r="AF3" s="3" t="str">
        <f>Q3 &amp; ""</f>
        <v/>
      </c>
    </row>
    <row r="4" spans="1:32" x14ac:dyDescent="0.15">
      <c r="A4" s="3">
        <v>902</v>
      </c>
      <c r="B4" s="3" t="s">
        <v>29</v>
      </c>
      <c r="C4" s="3">
        <v>1</v>
      </c>
      <c r="D4" s="3">
        <v>1</v>
      </c>
      <c r="E4" s="3">
        <v>1</v>
      </c>
      <c r="F4" s="3">
        <v>1</v>
      </c>
      <c r="G4" s="3">
        <v>0</v>
      </c>
      <c r="H4" s="3" t="s">
        <v>30</v>
      </c>
      <c r="I4" s="11">
        <v>1</v>
      </c>
      <c r="J4" s="11">
        <v>0</v>
      </c>
      <c r="K4" s="11">
        <v>1</v>
      </c>
      <c r="L4" s="11">
        <v>1</v>
      </c>
      <c r="M4" s="3">
        <v>0</v>
      </c>
      <c r="N4" s="3">
        <v>0</v>
      </c>
      <c r="O4" s="3" t="s">
        <v>30</v>
      </c>
      <c r="P4" s="3"/>
      <c r="Q4" s="3"/>
      <c r="R4" s="6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0.1</v>
      </c>
      <c r="Z4" s="3">
        <v>0</v>
      </c>
      <c r="AA4" s="3">
        <v>0</v>
      </c>
      <c r="AB4" s="3">
        <v>0</v>
      </c>
      <c r="AC4" s="3"/>
      <c r="AD4" s="3" t="str">
        <f t="shared" si="0"/>
        <v>public const int FIND_WARM = 902;</v>
      </c>
      <c r="AE4" s="3" t="str">
        <f t="shared" ref="AE4:AE79" si="1">P4 &amp; ""</f>
        <v/>
      </c>
      <c r="AF4" s="3" t="str">
        <f t="shared" ref="AF4:AF79" si="2">Q4 &amp; ""</f>
        <v/>
      </c>
    </row>
    <row r="5" spans="1:32" x14ac:dyDescent="0.15">
      <c r="A5" s="3">
        <v>903</v>
      </c>
      <c r="B5" s="3" t="s">
        <v>31</v>
      </c>
      <c r="C5" s="3">
        <v>0</v>
      </c>
      <c r="D5" s="3">
        <v>1</v>
      </c>
      <c r="E5" s="3">
        <v>1</v>
      </c>
      <c r="F5" s="3">
        <v>1</v>
      </c>
      <c r="G5" s="3">
        <v>0</v>
      </c>
      <c r="H5" s="3" t="s">
        <v>32</v>
      </c>
      <c r="I5" s="11">
        <v>1</v>
      </c>
      <c r="J5" s="11">
        <v>0</v>
      </c>
      <c r="K5" s="11">
        <v>1</v>
      </c>
      <c r="L5" s="11">
        <v>1</v>
      </c>
      <c r="M5" s="3">
        <v>0</v>
      </c>
      <c r="N5" s="3">
        <v>0</v>
      </c>
      <c r="O5" s="3" t="s">
        <v>33</v>
      </c>
      <c r="P5" s="3"/>
      <c r="Q5" s="3"/>
      <c r="R5" s="6">
        <v>0</v>
      </c>
      <c r="S5" s="3">
        <v>1</v>
      </c>
      <c r="T5" s="3">
        <v>0</v>
      </c>
      <c r="U5" s="3">
        <v>0</v>
      </c>
      <c r="V5" s="3">
        <v>0</v>
      </c>
      <c r="W5" s="3">
        <v>0</v>
      </c>
      <c r="X5" s="3">
        <v>1</v>
      </c>
      <c r="Y5" s="3">
        <v>1</v>
      </c>
      <c r="Z5" s="3">
        <v>0</v>
      </c>
      <c r="AA5" s="3">
        <v>0</v>
      </c>
      <c r="AB5" s="3">
        <v>0</v>
      </c>
      <c r="AC5" s="3"/>
      <c r="AD5" s="3" t="str">
        <f t="shared" si="0"/>
        <v>public const int SEE_DOCTOR = 903;</v>
      </c>
      <c r="AE5" s="3" t="str">
        <f t="shared" si="1"/>
        <v/>
      </c>
      <c r="AF5" s="3" t="str">
        <f t="shared" si="2"/>
        <v/>
      </c>
    </row>
    <row r="6" spans="1:32" x14ac:dyDescent="0.15">
      <c r="A6" s="3">
        <v>904</v>
      </c>
      <c r="B6" s="3" t="s">
        <v>34</v>
      </c>
      <c r="C6" s="3">
        <v>0</v>
      </c>
      <c r="D6" s="3">
        <v>1</v>
      </c>
      <c r="E6" s="3">
        <v>1</v>
      </c>
      <c r="F6" s="3">
        <v>0</v>
      </c>
      <c r="G6" s="3">
        <v>0</v>
      </c>
      <c r="H6" s="3" t="s">
        <v>35</v>
      </c>
      <c r="I6" s="11">
        <v>1</v>
      </c>
      <c r="J6" s="11">
        <v>0</v>
      </c>
      <c r="K6" s="11">
        <v>1</v>
      </c>
      <c r="L6" s="11">
        <v>1</v>
      </c>
      <c r="M6" s="3">
        <v>1</v>
      </c>
      <c r="N6" s="3">
        <v>0</v>
      </c>
      <c r="O6" s="3" t="s">
        <v>36</v>
      </c>
      <c r="P6" s="3"/>
      <c r="Q6" s="3"/>
      <c r="R6" s="6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1</v>
      </c>
      <c r="Y6" s="3">
        <v>0.3</v>
      </c>
      <c r="Z6" s="3">
        <v>0</v>
      </c>
      <c r="AA6" s="3">
        <v>0</v>
      </c>
      <c r="AB6" s="3">
        <v>0</v>
      </c>
      <c r="AC6" s="3"/>
      <c r="AD6" s="3" t="str">
        <f t="shared" si="0"/>
        <v>public const int EAT_HERBS = 904;</v>
      </c>
      <c r="AE6" s="3" t="str">
        <f t="shared" si="1"/>
        <v/>
      </c>
      <c r="AF6" s="3" t="str">
        <f t="shared" si="2"/>
        <v/>
      </c>
    </row>
    <row r="7" spans="1:32" x14ac:dyDescent="0.15">
      <c r="A7" s="3">
        <v>905</v>
      </c>
      <c r="B7" s="3" t="s">
        <v>37</v>
      </c>
      <c r="C7" s="3">
        <v>0</v>
      </c>
      <c r="D7" s="3">
        <v>1</v>
      </c>
      <c r="E7" s="3">
        <v>1</v>
      </c>
      <c r="F7" s="3">
        <v>0</v>
      </c>
      <c r="G7" s="3">
        <v>0</v>
      </c>
      <c r="H7" s="3" t="s">
        <v>38</v>
      </c>
      <c r="I7" s="11">
        <v>1</v>
      </c>
      <c r="J7" s="11">
        <v>0</v>
      </c>
      <c r="K7" s="11">
        <v>1</v>
      </c>
      <c r="L7" s="11">
        <v>1</v>
      </c>
      <c r="M7" s="3">
        <v>0</v>
      </c>
      <c r="N7" s="3">
        <v>0</v>
      </c>
      <c r="O7" s="3" t="s">
        <v>39</v>
      </c>
      <c r="P7" s="3"/>
      <c r="Q7" s="3"/>
      <c r="R7" s="6">
        <v>0</v>
      </c>
      <c r="S7" s="3">
        <v>1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0.5</v>
      </c>
      <c r="Z7" s="3">
        <v>0</v>
      </c>
      <c r="AA7" s="3">
        <v>0</v>
      </c>
      <c r="AB7" s="3">
        <v>0</v>
      </c>
      <c r="AC7" s="3"/>
      <c r="AD7" s="3" t="str">
        <f t="shared" si="0"/>
        <v>public const int JOY = 905;</v>
      </c>
      <c r="AE7" s="3" t="str">
        <f t="shared" si="1"/>
        <v/>
      </c>
      <c r="AF7" s="3" t="str">
        <f t="shared" si="2"/>
        <v/>
      </c>
    </row>
    <row r="8" spans="1:32" x14ac:dyDescent="0.15">
      <c r="A8" s="3">
        <v>906</v>
      </c>
      <c r="B8" s="3" t="s">
        <v>40</v>
      </c>
      <c r="C8" s="3">
        <v>1</v>
      </c>
      <c r="D8" s="3">
        <v>1</v>
      </c>
      <c r="E8" s="3">
        <v>1</v>
      </c>
      <c r="F8" s="3">
        <v>1</v>
      </c>
      <c r="G8" s="3">
        <v>1</v>
      </c>
      <c r="H8" s="3" t="s">
        <v>41</v>
      </c>
      <c r="I8" s="11">
        <v>1</v>
      </c>
      <c r="J8" s="11">
        <v>0</v>
      </c>
      <c r="K8" s="11">
        <v>1</v>
      </c>
      <c r="L8" s="11">
        <v>1</v>
      </c>
      <c r="M8" s="3">
        <v>0</v>
      </c>
      <c r="N8" s="3">
        <v>0</v>
      </c>
      <c r="O8" s="3" t="s">
        <v>41</v>
      </c>
      <c r="P8" s="3"/>
      <c r="Q8" s="3"/>
      <c r="R8" s="6">
        <v>0</v>
      </c>
      <c r="S8" s="3">
        <v>0</v>
      </c>
      <c r="T8" s="3">
        <v>0</v>
      </c>
      <c r="U8" s="3">
        <v>0</v>
      </c>
      <c r="V8" s="3">
        <v>1</v>
      </c>
      <c r="W8" s="3">
        <v>0.5</v>
      </c>
      <c r="X8" s="3">
        <v>0</v>
      </c>
      <c r="Y8" s="3">
        <v>0.1</v>
      </c>
      <c r="Z8" s="5">
        <v>0</v>
      </c>
      <c r="AA8" s="5">
        <v>1</v>
      </c>
      <c r="AB8" s="3">
        <v>0</v>
      </c>
      <c r="AC8" s="3"/>
      <c r="AD8" s="3" t="str">
        <f t="shared" si="0"/>
        <v>public const int FIRE_FIGHT = 906;</v>
      </c>
      <c r="AE8" s="3" t="str">
        <f t="shared" si="1"/>
        <v/>
      </c>
      <c r="AF8" s="3" t="str">
        <f t="shared" si="2"/>
        <v/>
      </c>
    </row>
    <row r="9" spans="1:32" x14ac:dyDescent="0.15">
      <c r="A9" s="3">
        <v>907</v>
      </c>
      <c r="B9" s="3" t="s">
        <v>42</v>
      </c>
      <c r="C9" s="3">
        <v>0</v>
      </c>
      <c r="D9" s="3">
        <v>1</v>
      </c>
      <c r="E9" s="3">
        <v>1</v>
      </c>
      <c r="F9" s="3">
        <v>1</v>
      </c>
      <c r="G9" s="3">
        <v>0</v>
      </c>
      <c r="H9" s="3" t="s">
        <v>488</v>
      </c>
      <c r="I9" s="11">
        <v>1</v>
      </c>
      <c r="J9" s="11">
        <v>0</v>
      </c>
      <c r="K9" s="11">
        <v>1</v>
      </c>
      <c r="L9" s="11">
        <v>1</v>
      </c>
      <c r="M9" s="3">
        <v>1</v>
      </c>
      <c r="N9" s="3">
        <v>0</v>
      </c>
      <c r="O9" s="3" t="s">
        <v>43</v>
      </c>
      <c r="P9" s="3"/>
      <c r="Q9" s="3"/>
      <c r="R9" s="6">
        <v>0</v>
      </c>
      <c r="S9" s="3">
        <v>1</v>
      </c>
      <c r="T9" s="3">
        <v>0</v>
      </c>
      <c r="U9" s="3">
        <v>0</v>
      </c>
      <c r="V9" s="3">
        <v>0</v>
      </c>
      <c r="W9" s="3">
        <v>0</v>
      </c>
      <c r="X9" s="3">
        <v>1</v>
      </c>
      <c r="Y9" s="3">
        <v>0.1</v>
      </c>
      <c r="Z9" s="3">
        <v>0</v>
      </c>
      <c r="AA9" s="3">
        <v>0</v>
      </c>
      <c r="AB9" s="3">
        <v>0</v>
      </c>
      <c r="AC9" s="3"/>
      <c r="AD9" s="3" t="str">
        <f t="shared" si="0"/>
        <v>public const int FIND_CLOTHES = 907;</v>
      </c>
      <c r="AE9" s="3" t="str">
        <f t="shared" si="1"/>
        <v/>
      </c>
      <c r="AF9" s="3" t="str">
        <f t="shared" si="2"/>
        <v/>
      </c>
    </row>
    <row r="10" spans="1:32" x14ac:dyDescent="0.15">
      <c r="A10" s="3">
        <v>908</v>
      </c>
      <c r="B10" s="3" t="s">
        <v>44</v>
      </c>
      <c r="C10" s="3">
        <v>0</v>
      </c>
      <c r="D10" s="3">
        <v>1</v>
      </c>
      <c r="E10" s="3">
        <v>1</v>
      </c>
      <c r="F10" s="3">
        <v>1</v>
      </c>
      <c r="G10" s="3">
        <v>0</v>
      </c>
      <c r="H10" s="3" t="s">
        <v>489</v>
      </c>
      <c r="I10" s="11">
        <v>1</v>
      </c>
      <c r="J10" s="11">
        <v>0</v>
      </c>
      <c r="K10" s="11">
        <v>1</v>
      </c>
      <c r="L10" s="11">
        <v>1</v>
      </c>
      <c r="M10" s="3">
        <v>1</v>
      </c>
      <c r="N10" s="3">
        <v>0</v>
      </c>
      <c r="O10" s="3" t="s">
        <v>45</v>
      </c>
      <c r="P10" s="3"/>
      <c r="Q10" s="3"/>
      <c r="R10" s="6">
        <v>0</v>
      </c>
      <c r="S10" s="3">
        <v>1</v>
      </c>
      <c r="T10" s="3">
        <v>0</v>
      </c>
      <c r="U10" s="3">
        <v>0</v>
      </c>
      <c r="V10" s="3">
        <v>0</v>
      </c>
      <c r="W10" s="3">
        <v>0</v>
      </c>
      <c r="X10" s="3">
        <v>1</v>
      </c>
      <c r="Y10" s="3">
        <v>0.1</v>
      </c>
      <c r="Z10" s="3">
        <v>0</v>
      </c>
      <c r="AA10" s="3">
        <v>0</v>
      </c>
      <c r="AB10" s="3">
        <v>0</v>
      </c>
      <c r="AC10" s="3"/>
      <c r="AD10" s="3" t="str">
        <f t="shared" si="0"/>
        <v>public const int FIND_TOOL = 908;</v>
      </c>
      <c r="AE10" s="3" t="str">
        <f t="shared" si="1"/>
        <v/>
      </c>
      <c r="AF10" s="3" t="str">
        <f t="shared" si="2"/>
        <v/>
      </c>
    </row>
    <row r="11" spans="1:32" x14ac:dyDescent="0.15">
      <c r="A11" s="3">
        <v>909</v>
      </c>
      <c r="B11" s="3" t="s">
        <v>46</v>
      </c>
      <c r="C11" s="3">
        <v>0</v>
      </c>
      <c r="D11" s="3">
        <v>1</v>
      </c>
      <c r="E11" s="3">
        <v>1</v>
      </c>
      <c r="F11" s="3">
        <v>0</v>
      </c>
      <c r="G11" s="3">
        <v>0</v>
      </c>
      <c r="H11" s="3" t="s">
        <v>47</v>
      </c>
      <c r="I11" s="11">
        <v>1</v>
      </c>
      <c r="J11" s="11">
        <v>0</v>
      </c>
      <c r="K11" s="11">
        <v>1</v>
      </c>
      <c r="L11" s="11">
        <v>1</v>
      </c>
      <c r="M11" s="3">
        <v>0</v>
      </c>
      <c r="N11" s="3">
        <v>0</v>
      </c>
      <c r="O11" s="3" t="s">
        <v>48</v>
      </c>
      <c r="P11" s="3"/>
      <c r="Q11" s="3"/>
      <c r="R11" s="6">
        <v>0</v>
      </c>
      <c r="S11" s="3">
        <v>1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2</v>
      </c>
      <c r="Z11" s="3">
        <v>0</v>
      </c>
      <c r="AA11" s="3">
        <v>0</v>
      </c>
      <c r="AB11" s="3">
        <v>0</v>
      </c>
      <c r="AC11" s="3"/>
      <c r="AD11" s="3" t="str">
        <f t="shared" si="0"/>
        <v>public const int GOTO_CHURCH = 909;</v>
      </c>
      <c r="AE11" s="3" t="str">
        <f t="shared" si="1"/>
        <v/>
      </c>
      <c r="AF11" s="3" t="str">
        <f t="shared" si="2"/>
        <v/>
      </c>
    </row>
    <row r="12" spans="1:32" x14ac:dyDescent="0.15">
      <c r="A12" s="3">
        <v>910</v>
      </c>
      <c r="B12" s="3" t="s">
        <v>49</v>
      </c>
      <c r="C12" s="3">
        <v>0</v>
      </c>
      <c r="D12" s="3">
        <v>1</v>
      </c>
      <c r="E12" s="3">
        <v>1</v>
      </c>
      <c r="F12" s="3">
        <v>0</v>
      </c>
      <c r="G12" s="3">
        <v>0</v>
      </c>
      <c r="H12" s="3" t="s">
        <v>50</v>
      </c>
      <c r="I12" s="11">
        <v>1</v>
      </c>
      <c r="J12" s="11">
        <v>0</v>
      </c>
      <c r="K12" s="11">
        <v>1</v>
      </c>
      <c r="L12" s="11">
        <v>1</v>
      </c>
      <c r="M12" s="3">
        <v>0</v>
      </c>
      <c r="N12" s="3">
        <v>0</v>
      </c>
      <c r="O12" s="3" t="s">
        <v>51</v>
      </c>
      <c r="P12" s="3"/>
      <c r="Q12" s="3"/>
      <c r="R12" s="6">
        <v>0</v>
      </c>
      <c r="S12" s="3">
        <v>1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7</v>
      </c>
      <c r="Z12" s="3">
        <v>0</v>
      </c>
      <c r="AA12" s="3">
        <v>0</v>
      </c>
      <c r="AB12" s="3">
        <v>0</v>
      </c>
      <c r="AC12" s="3"/>
      <c r="AD12" s="3" t="str">
        <f t="shared" si="0"/>
        <v>public const int GOTO_SCHOOL = 910;</v>
      </c>
      <c r="AE12" s="3" t="str">
        <f t="shared" si="1"/>
        <v/>
      </c>
      <c r="AF12" s="3" t="str">
        <f t="shared" si="2"/>
        <v/>
      </c>
    </row>
    <row r="13" spans="1:32" x14ac:dyDescent="0.15">
      <c r="A13" s="3">
        <v>911</v>
      </c>
      <c r="B13" s="3" t="s">
        <v>52</v>
      </c>
      <c r="C13" s="3">
        <v>0</v>
      </c>
      <c r="D13" s="3">
        <v>1</v>
      </c>
      <c r="E13" s="3">
        <v>1</v>
      </c>
      <c r="F13" s="3">
        <v>0</v>
      </c>
      <c r="G13" s="3">
        <v>0</v>
      </c>
      <c r="H13" s="3" t="s">
        <v>53</v>
      </c>
      <c r="I13" s="11">
        <v>1</v>
      </c>
      <c r="J13" s="11">
        <v>0</v>
      </c>
      <c r="K13" s="11">
        <v>1</v>
      </c>
      <c r="L13" s="11">
        <v>1</v>
      </c>
      <c r="M13" s="3">
        <v>0</v>
      </c>
      <c r="N13" s="3">
        <v>0</v>
      </c>
      <c r="O13" s="3" t="s">
        <v>54</v>
      </c>
      <c r="P13" s="3"/>
      <c r="Q13" s="3"/>
      <c r="R13" s="6">
        <v>0</v>
      </c>
      <c r="S13" s="3">
        <v>1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0.5</v>
      </c>
      <c r="Z13" s="3">
        <v>0</v>
      </c>
      <c r="AA13" s="3">
        <v>0</v>
      </c>
      <c r="AB13" s="3">
        <v>0</v>
      </c>
      <c r="AC13" s="3"/>
      <c r="AD13" s="3" t="str">
        <f t="shared" si="0"/>
        <v>public const int GOTO_CEMETERY = 911;</v>
      </c>
      <c r="AE13" s="3" t="str">
        <f t="shared" si="1"/>
        <v/>
      </c>
      <c r="AF13" s="3" t="str">
        <f t="shared" si="2"/>
        <v/>
      </c>
    </row>
    <row r="14" spans="1:32" x14ac:dyDescent="0.15">
      <c r="A14" s="3">
        <v>912</v>
      </c>
      <c r="B14" s="3" t="s">
        <v>55</v>
      </c>
      <c r="C14" s="3">
        <v>1</v>
      </c>
      <c r="D14" s="3">
        <v>1</v>
      </c>
      <c r="E14" s="3">
        <v>1</v>
      </c>
      <c r="F14" s="3">
        <v>0</v>
      </c>
      <c r="G14" s="3">
        <v>0</v>
      </c>
      <c r="H14" s="3" t="s">
        <v>56</v>
      </c>
      <c r="I14" s="11">
        <v>1</v>
      </c>
      <c r="J14" s="11">
        <v>0</v>
      </c>
      <c r="K14" s="11">
        <v>1</v>
      </c>
      <c r="L14" s="11">
        <v>1</v>
      </c>
      <c r="M14" s="3">
        <v>1</v>
      </c>
      <c r="N14" s="3">
        <v>0</v>
      </c>
      <c r="O14" s="3" t="s">
        <v>57</v>
      </c>
      <c r="P14" s="3"/>
      <c r="Q14" s="3"/>
      <c r="R14" s="6">
        <v>0</v>
      </c>
      <c r="S14" s="3">
        <v>1</v>
      </c>
      <c r="T14" s="3">
        <v>0</v>
      </c>
      <c r="U14" s="3">
        <v>0</v>
      </c>
      <c r="V14" s="3">
        <v>0</v>
      </c>
      <c r="W14" s="3">
        <v>0</v>
      </c>
      <c r="X14" s="3">
        <v>1</v>
      </c>
      <c r="Y14" s="3">
        <v>0.2</v>
      </c>
      <c r="Z14" s="3">
        <v>0</v>
      </c>
      <c r="AA14" s="3">
        <v>0</v>
      </c>
      <c r="AB14" s="3">
        <v>0</v>
      </c>
      <c r="AC14" s="3"/>
      <c r="AD14" s="3" t="str">
        <f t="shared" si="0"/>
        <v>public const int FIND_WINE = 912;</v>
      </c>
      <c r="AE14" s="3" t="str">
        <f t="shared" si="1"/>
        <v/>
      </c>
      <c r="AF14" s="3" t="str">
        <f t="shared" si="2"/>
        <v/>
      </c>
    </row>
    <row r="15" spans="1:32" x14ac:dyDescent="0.15">
      <c r="A15" s="3">
        <v>913</v>
      </c>
      <c r="B15" s="3" t="s">
        <v>58</v>
      </c>
      <c r="C15" s="3">
        <v>1</v>
      </c>
      <c r="D15" s="3">
        <v>1</v>
      </c>
      <c r="E15" s="3">
        <v>1</v>
      </c>
      <c r="F15" s="4">
        <v>1</v>
      </c>
      <c r="G15" s="3">
        <v>0</v>
      </c>
      <c r="H15" s="3" t="s">
        <v>59</v>
      </c>
      <c r="I15" s="11">
        <v>1</v>
      </c>
      <c r="J15" s="11">
        <v>0</v>
      </c>
      <c r="K15" s="11">
        <v>1</v>
      </c>
      <c r="L15" s="11">
        <v>1</v>
      </c>
      <c r="M15" s="3">
        <v>0</v>
      </c>
      <c r="N15" s="3">
        <v>0</v>
      </c>
      <c r="O15" s="3" t="s">
        <v>59</v>
      </c>
      <c r="P15" s="3"/>
      <c r="Q15" s="3"/>
      <c r="R15" s="6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0.01</v>
      </c>
      <c r="Z15" s="3">
        <v>0</v>
      </c>
      <c r="AA15" s="3">
        <v>0</v>
      </c>
      <c r="AB15" s="3">
        <v>0</v>
      </c>
      <c r="AC15" s="3"/>
      <c r="AD15" s="3" t="str">
        <f t="shared" si="0"/>
        <v>public const int PUT = 913;</v>
      </c>
      <c r="AE15" s="3" t="str">
        <f t="shared" si="1"/>
        <v/>
      </c>
      <c r="AF15" s="3" t="str">
        <f t="shared" si="2"/>
        <v/>
      </c>
    </row>
    <row r="16" spans="1:32" x14ac:dyDescent="0.15">
      <c r="A16" s="3">
        <v>914</v>
      </c>
      <c r="B16" s="3" t="s">
        <v>60</v>
      </c>
      <c r="C16" s="3">
        <v>1</v>
      </c>
      <c r="D16" s="3">
        <v>1</v>
      </c>
      <c r="E16" s="3">
        <v>1</v>
      </c>
      <c r="F16" s="3">
        <v>0</v>
      </c>
      <c r="G16" s="3">
        <v>0</v>
      </c>
      <c r="H16" s="3" t="s">
        <v>59</v>
      </c>
      <c r="I16" s="11">
        <v>1</v>
      </c>
      <c r="J16" s="11">
        <v>0</v>
      </c>
      <c r="K16" s="11">
        <v>1</v>
      </c>
      <c r="L16" s="11">
        <v>1</v>
      </c>
      <c r="M16" s="3">
        <v>0</v>
      </c>
      <c r="N16" s="3">
        <v>0</v>
      </c>
      <c r="O16" s="3" t="s">
        <v>59</v>
      </c>
      <c r="P16" s="3"/>
      <c r="Q16" s="3"/>
      <c r="R16" s="6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0.01</v>
      </c>
      <c r="Z16" s="3">
        <v>0</v>
      </c>
      <c r="AA16" s="3">
        <v>0</v>
      </c>
      <c r="AB16" s="3">
        <v>0</v>
      </c>
      <c r="AC16" s="3"/>
      <c r="AD16" s="3" t="str">
        <f t="shared" si="0"/>
        <v>public const int PUT_WHEN_IDLE = 914;</v>
      </c>
      <c r="AE16" s="3" t="str">
        <f t="shared" si="1"/>
        <v/>
      </c>
      <c r="AF16" s="3" t="str">
        <f t="shared" si="2"/>
        <v/>
      </c>
    </row>
    <row r="17" spans="1:32" x14ac:dyDescent="0.15">
      <c r="A17" s="3">
        <v>915</v>
      </c>
      <c r="B17" s="3" t="s">
        <v>61</v>
      </c>
      <c r="C17" s="3">
        <v>0</v>
      </c>
      <c r="D17" s="3">
        <v>1</v>
      </c>
      <c r="E17" s="3">
        <v>1</v>
      </c>
      <c r="F17" s="3">
        <v>1</v>
      </c>
      <c r="G17" s="3">
        <v>1</v>
      </c>
      <c r="H17" s="3" t="s">
        <v>62</v>
      </c>
      <c r="I17" s="11">
        <v>1</v>
      </c>
      <c r="J17" s="11">
        <v>0</v>
      </c>
      <c r="K17" s="11">
        <v>1</v>
      </c>
      <c r="L17" s="11">
        <v>1</v>
      </c>
      <c r="M17" s="3">
        <v>0</v>
      </c>
      <c r="N17" s="3">
        <v>0</v>
      </c>
      <c r="O17" s="3" t="s">
        <v>63</v>
      </c>
      <c r="P17" s="3"/>
      <c r="Q17" s="3"/>
      <c r="R17" s="6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0.1</v>
      </c>
      <c r="Z17" s="3">
        <v>0</v>
      </c>
      <c r="AA17" s="3">
        <v>0</v>
      </c>
      <c r="AB17" s="3">
        <v>0</v>
      </c>
      <c r="AC17" s="3"/>
      <c r="AD17" s="3" t="str">
        <f t="shared" si="0"/>
        <v>public const int GOTO_SLEEP = 915;</v>
      </c>
      <c r="AE17" s="3" t="str">
        <f t="shared" si="1"/>
        <v/>
      </c>
      <c r="AF17" s="3" t="str">
        <f t="shared" si="2"/>
        <v/>
      </c>
    </row>
    <row r="18" spans="1:32" x14ac:dyDescent="0.15">
      <c r="A18" s="3">
        <v>916</v>
      </c>
      <c r="B18" s="3" t="s">
        <v>64</v>
      </c>
      <c r="C18" s="3">
        <v>1</v>
      </c>
      <c r="D18" s="3">
        <v>1</v>
      </c>
      <c r="E18" s="3">
        <v>1</v>
      </c>
      <c r="F18" s="3">
        <v>1</v>
      </c>
      <c r="G18" s="3">
        <v>1</v>
      </c>
      <c r="H18" s="3" t="s">
        <v>65</v>
      </c>
      <c r="I18" s="11">
        <v>1</v>
      </c>
      <c r="J18" s="11">
        <v>0</v>
      </c>
      <c r="K18" s="11">
        <v>1</v>
      </c>
      <c r="L18" s="11">
        <v>1</v>
      </c>
      <c r="M18" s="3">
        <v>1</v>
      </c>
      <c r="N18" s="3">
        <v>0</v>
      </c>
      <c r="O18" s="3" t="s">
        <v>66</v>
      </c>
      <c r="P18" s="3"/>
      <c r="Q18" s="3"/>
      <c r="R18" s="6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0.5</v>
      </c>
      <c r="Z18" s="3">
        <v>0</v>
      </c>
      <c r="AA18" s="3">
        <v>0</v>
      </c>
      <c r="AB18" s="3">
        <v>0</v>
      </c>
      <c r="AC18" s="3"/>
      <c r="AD18" s="3" t="str">
        <f t="shared" si="0"/>
        <v>public const int FEED_ME = 916;</v>
      </c>
      <c r="AE18" s="3" t="str">
        <f t="shared" si="1"/>
        <v/>
      </c>
      <c r="AF18" s="3" t="str">
        <f t="shared" si="2"/>
        <v/>
      </c>
    </row>
    <row r="19" spans="1:32" x14ac:dyDescent="0.15">
      <c r="A19" s="3">
        <v>917</v>
      </c>
      <c r="B19" s="3" t="s">
        <v>67</v>
      </c>
      <c r="C19" s="3">
        <v>0</v>
      </c>
      <c r="D19" s="3">
        <v>1</v>
      </c>
      <c r="E19" s="3">
        <v>1</v>
      </c>
      <c r="F19" s="3">
        <v>1</v>
      </c>
      <c r="G19" s="3">
        <v>0</v>
      </c>
      <c r="H19" s="3" t="s">
        <v>68</v>
      </c>
      <c r="I19" s="11">
        <v>1</v>
      </c>
      <c r="J19" s="11">
        <v>0</v>
      </c>
      <c r="K19" s="11">
        <v>1</v>
      </c>
      <c r="L19" s="11">
        <v>1</v>
      </c>
      <c r="M19" s="3">
        <v>0</v>
      </c>
      <c r="N19" s="3">
        <v>0</v>
      </c>
      <c r="O19" s="3" t="s">
        <v>69</v>
      </c>
      <c r="P19" s="3"/>
      <c r="Q19" s="3"/>
      <c r="R19" s="6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1</v>
      </c>
      <c r="Z19" s="3">
        <v>0</v>
      </c>
      <c r="AA19" s="3">
        <v>0</v>
      </c>
      <c r="AB19" s="3">
        <v>0</v>
      </c>
      <c r="AC19" s="3"/>
      <c r="AD19" s="3" t="str">
        <f t="shared" si="0"/>
        <v>public const int FORCE_REST = 917;</v>
      </c>
      <c r="AE19" s="3" t="str">
        <f t="shared" si="1"/>
        <v/>
      </c>
      <c r="AF19" s="3" t="str">
        <f t="shared" si="2"/>
        <v/>
      </c>
    </row>
    <row r="20" spans="1:32" x14ac:dyDescent="0.15">
      <c r="A20" s="3">
        <v>918</v>
      </c>
      <c r="B20" s="3" t="s">
        <v>70</v>
      </c>
      <c r="C20" s="3">
        <v>0</v>
      </c>
      <c r="D20" s="3">
        <v>1</v>
      </c>
      <c r="E20" s="3">
        <v>1</v>
      </c>
      <c r="F20" s="3">
        <v>1</v>
      </c>
      <c r="G20" s="3">
        <v>0</v>
      </c>
      <c r="H20" s="3" t="s">
        <v>71</v>
      </c>
      <c r="I20" s="11">
        <v>1</v>
      </c>
      <c r="J20" s="11">
        <v>0</v>
      </c>
      <c r="K20" s="11">
        <v>1</v>
      </c>
      <c r="L20" s="11">
        <v>1</v>
      </c>
      <c r="M20" s="3">
        <v>0</v>
      </c>
      <c r="N20" s="3">
        <v>0</v>
      </c>
      <c r="O20" s="3" t="s">
        <v>72</v>
      </c>
      <c r="P20" s="3"/>
      <c r="Q20" s="3"/>
      <c r="R20" s="6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2</v>
      </c>
      <c r="Z20" s="3">
        <v>0</v>
      </c>
      <c r="AA20" s="3">
        <v>0</v>
      </c>
      <c r="AB20" s="3">
        <v>0</v>
      </c>
      <c r="AC20" s="3" t="s">
        <v>73</v>
      </c>
      <c r="AD20" s="3" t="str">
        <f t="shared" si="0"/>
        <v>public const int MAKE_BABY = 918;</v>
      </c>
      <c r="AE20" s="3" t="str">
        <f t="shared" si="1"/>
        <v/>
      </c>
      <c r="AF20" s="3" t="str">
        <f t="shared" si="2"/>
        <v/>
      </c>
    </row>
    <row r="21" spans="1:32" x14ac:dyDescent="0.15">
      <c r="A21" s="3">
        <v>919</v>
      </c>
      <c r="B21" s="3" t="s">
        <v>74</v>
      </c>
      <c r="C21" s="3">
        <v>0</v>
      </c>
      <c r="D21" s="3">
        <v>1</v>
      </c>
      <c r="E21" s="3">
        <v>1</v>
      </c>
      <c r="F21" s="3">
        <v>0</v>
      </c>
      <c r="G21" s="3">
        <v>0</v>
      </c>
      <c r="H21" s="3" t="s">
        <v>75</v>
      </c>
      <c r="I21" s="11">
        <v>1</v>
      </c>
      <c r="J21" s="11">
        <v>0</v>
      </c>
      <c r="K21" s="11">
        <v>1</v>
      </c>
      <c r="L21" s="11">
        <v>1</v>
      </c>
      <c r="M21" s="3">
        <v>0</v>
      </c>
      <c r="N21" s="3">
        <v>0</v>
      </c>
      <c r="O21" s="3" t="s">
        <v>76</v>
      </c>
      <c r="P21" s="3"/>
      <c r="Q21" s="3"/>
      <c r="R21" s="6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2</v>
      </c>
      <c r="Z21" s="3">
        <v>0</v>
      </c>
      <c r="AA21" s="3">
        <v>0</v>
      </c>
      <c r="AB21" s="3">
        <v>0</v>
      </c>
      <c r="AC21" s="3"/>
      <c r="AD21" s="3" t="str">
        <f t="shared" si="0"/>
        <v>public const int HOSPITALIZATION = 919;</v>
      </c>
      <c r="AE21" s="3" t="str">
        <f t="shared" si="1"/>
        <v/>
      </c>
      <c r="AF21" s="3" t="str">
        <f t="shared" si="2"/>
        <v/>
      </c>
    </row>
    <row r="22" spans="1:32" x14ac:dyDescent="0.15">
      <c r="A22" s="3">
        <v>920</v>
      </c>
      <c r="B22" s="3" t="s">
        <v>77</v>
      </c>
      <c r="C22" s="3">
        <v>0</v>
      </c>
      <c r="D22" s="3">
        <v>1</v>
      </c>
      <c r="E22" s="3">
        <v>1</v>
      </c>
      <c r="F22" s="3">
        <v>1</v>
      </c>
      <c r="G22" s="3">
        <v>1</v>
      </c>
      <c r="H22" s="3" t="s">
        <v>78</v>
      </c>
      <c r="I22" s="11">
        <v>1</v>
      </c>
      <c r="J22" s="11">
        <v>0</v>
      </c>
      <c r="K22" s="11">
        <v>1</v>
      </c>
      <c r="L22" s="11">
        <v>1</v>
      </c>
      <c r="M22" s="3">
        <v>1</v>
      </c>
      <c r="N22" s="3">
        <v>0</v>
      </c>
      <c r="O22" s="3" t="s">
        <v>79</v>
      </c>
      <c r="P22" s="3"/>
      <c r="Q22" s="3"/>
      <c r="R22" s="6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0.1</v>
      </c>
      <c r="Z22" s="3">
        <v>0</v>
      </c>
      <c r="AA22" s="3">
        <v>0</v>
      </c>
      <c r="AB22" s="3">
        <v>0</v>
      </c>
      <c r="AC22" s="3"/>
      <c r="AD22" s="3" t="str">
        <f t="shared" si="0"/>
        <v>public const int GIVE_ME_CLOTHES = 920;</v>
      </c>
      <c r="AE22" s="3" t="str">
        <f t="shared" si="1"/>
        <v/>
      </c>
      <c r="AF22" s="3" t="str">
        <f t="shared" si="2"/>
        <v/>
      </c>
    </row>
    <row r="23" spans="1:32" x14ac:dyDescent="0.15">
      <c r="A23" s="3">
        <v>921</v>
      </c>
      <c r="B23" s="3" t="s">
        <v>80</v>
      </c>
      <c r="C23" s="3">
        <v>0</v>
      </c>
      <c r="D23" s="3">
        <v>1</v>
      </c>
      <c r="E23" s="3">
        <v>0</v>
      </c>
      <c r="F23" s="3">
        <v>0</v>
      </c>
      <c r="G23" s="3">
        <v>0</v>
      </c>
      <c r="H23" s="3" t="s">
        <v>490</v>
      </c>
      <c r="I23" s="11">
        <v>1</v>
      </c>
      <c r="J23" s="11">
        <v>0</v>
      </c>
      <c r="K23" s="11">
        <v>1</v>
      </c>
      <c r="L23" s="11">
        <v>1</v>
      </c>
      <c r="M23" s="3">
        <v>1</v>
      </c>
      <c r="N23" s="3">
        <v>0</v>
      </c>
      <c r="O23" s="3" t="s">
        <v>550</v>
      </c>
      <c r="P23" s="3"/>
      <c r="Q23" s="3"/>
      <c r="R23" s="6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0.2</v>
      </c>
      <c r="Z23" s="3">
        <v>0</v>
      </c>
      <c r="AA23" s="3">
        <v>0</v>
      </c>
      <c r="AB23" s="3">
        <v>0</v>
      </c>
      <c r="AC23" s="3"/>
      <c r="AD23" s="3" t="str">
        <f t="shared" si="0"/>
        <v>public const int FIND_FOOD_WHEN_IDLE = 921;</v>
      </c>
      <c r="AE23" s="3" t="str">
        <f t="shared" si="1"/>
        <v/>
      </c>
      <c r="AF23" s="3" t="str">
        <f t="shared" si="2"/>
        <v/>
      </c>
    </row>
    <row r="24" spans="1:32" x14ac:dyDescent="0.15">
      <c r="A24" s="3">
        <v>922</v>
      </c>
      <c r="B24" s="3" t="s">
        <v>81</v>
      </c>
      <c r="C24" s="3">
        <v>0</v>
      </c>
      <c r="D24" s="3">
        <v>1</v>
      </c>
      <c r="E24" s="3">
        <v>1</v>
      </c>
      <c r="F24" s="3">
        <v>0</v>
      </c>
      <c r="G24" s="3">
        <v>0</v>
      </c>
      <c r="H24" s="3" t="s">
        <v>491</v>
      </c>
      <c r="I24" s="11">
        <v>1</v>
      </c>
      <c r="J24" s="11">
        <v>0</v>
      </c>
      <c r="K24" s="11">
        <v>1</v>
      </c>
      <c r="L24" s="11">
        <v>1</v>
      </c>
      <c r="M24" s="3">
        <v>0</v>
      </c>
      <c r="N24" s="3">
        <v>0</v>
      </c>
      <c r="O24" s="3" t="s">
        <v>30</v>
      </c>
      <c r="P24" s="3"/>
      <c r="Q24" s="3"/>
      <c r="R24" s="6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0.1</v>
      </c>
      <c r="Z24" s="3">
        <v>0</v>
      </c>
      <c r="AA24" s="3">
        <v>0</v>
      </c>
      <c r="AB24" s="3">
        <v>0</v>
      </c>
      <c r="AC24" s="3"/>
      <c r="AD24" s="3" t="str">
        <f t="shared" si="0"/>
        <v>public const int FIND_WARM_WHEN_IDLE = 922;</v>
      </c>
      <c r="AE24" s="3" t="str">
        <f t="shared" si="1"/>
        <v/>
      </c>
      <c r="AF24" s="3" t="str">
        <f t="shared" si="2"/>
        <v/>
      </c>
    </row>
    <row r="25" spans="1:32" x14ac:dyDescent="0.15">
      <c r="A25" s="3">
        <v>923</v>
      </c>
      <c r="B25" s="3" t="s">
        <v>82</v>
      </c>
      <c r="C25" s="3">
        <v>0</v>
      </c>
      <c r="D25" s="3">
        <v>1</v>
      </c>
      <c r="E25" s="3">
        <v>1</v>
      </c>
      <c r="F25" s="3">
        <v>0</v>
      </c>
      <c r="G25" s="3">
        <v>0</v>
      </c>
      <c r="H25" s="3" t="s">
        <v>492</v>
      </c>
      <c r="I25" s="11">
        <v>1</v>
      </c>
      <c r="J25" s="11">
        <v>0</v>
      </c>
      <c r="K25" s="11">
        <v>1</v>
      </c>
      <c r="L25" s="11">
        <v>1</v>
      </c>
      <c r="M25" s="3">
        <v>1</v>
      </c>
      <c r="N25" s="3">
        <v>0</v>
      </c>
      <c r="O25" s="3" t="s">
        <v>83</v>
      </c>
      <c r="P25" s="3"/>
      <c r="Q25" s="3"/>
      <c r="R25" s="6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0.1</v>
      </c>
      <c r="Z25" s="3">
        <v>0</v>
      </c>
      <c r="AA25" s="3">
        <v>0</v>
      </c>
      <c r="AB25" s="3">
        <v>0</v>
      </c>
      <c r="AC25" s="3"/>
      <c r="AD25" s="3" t="str">
        <f t="shared" si="0"/>
        <v>public const int FIND_WEAPON = 923;</v>
      </c>
      <c r="AE25" s="3" t="str">
        <f t="shared" si="1"/>
        <v/>
      </c>
      <c r="AF25" s="3" t="str">
        <f t="shared" si="2"/>
        <v/>
      </c>
    </row>
    <row r="26" spans="1:32" x14ac:dyDescent="0.15">
      <c r="A26" s="3">
        <v>924</v>
      </c>
      <c r="B26" s="3" t="s">
        <v>84</v>
      </c>
      <c r="C26" s="3">
        <v>0</v>
      </c>
      <c r="D26" s="3">
        <v>1</v>
      </c>
      <c r="E26" s="3">
        <v>1</v>
      </c>
      <c r="F26" s="3">
        <v>0</v>
      </c>
      <c r="G26" s="3">
        <v>0</v>
      </c>
      <c r="H26" s="3" t="s">
        <v>493</v>
      </c>
      <c r="I26" s="11">
        <v>1</v>
      </c>
      <c r="J26" s="11">
        <v>0</v>
      </c>
      <c r="K26" s="11">
        <v>1</v>
      </c>
      <c r="L26" s="11">
        <v>1</v>
      </c>
      <c r="M26" s="3">
        <v>1</v>
      </c>
      <c r="N26" s="3">
        <v>0</v>
      </c>
      <c r="O26" s="3" t="s">
        <v>85</v>
      </c>
      <c r="P26" s="3"/>
      <c r="Q26" s="3"/>
      <c r="R26" s="6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0.1</v>
      </c>
      <c r="Z26" s="3">
        <v>0</v>
      </c>
      <c r="AA26" s="3">
        <v>0</v>
      </c>
      <c r="AB26" s="3">
        <v>0</v>
      </c>
      <c r="AC26" s="3"/>
      <c r="AD26" s="3" t="str">
        <f t="shared" si="0"/>
        <v>public const int FIND_ARMOR = 924;</v>
      </c>
      <c r="AE26" s="3" t="str">
        <f t="shared" si="1"/>
        <v/>
      </c>
      <c r="AF26" s="3" t="str">
        <f t="shared" si="2"/>
        <v/>
      </c>
    </row>
    <row r="27" spans="1:32" x14ac:dyDescent="0.15">
      <c r="A27" s="3">
        <v>925</v>
      </c>
      <c r="B27" s="3" t="s">
        <v>86</v>
      </c>
      <c r="C27" s="3">
        <v>0</v>
      </c>
      <c r="D27" s="3">
        <v>1</v>
      </c>
      <c r="E27" s="3">
        <v>1</v>
      </c>
      <c r="F27" s="3">
        <v>0</v>
      </c>
      <c r="G27" s="3">
        <v>0</v>
      </c>
      <c r="H27" s="3" t="s">
        <v>494</v>
      </c>
      <c r="I27" s="11">
        <v>1</v>
      </c>
      <c r="J27" s="11">
        <v>0</v>
      </c>
      <c r="K27" s="11">
        <v>1</v>
      </c>
      <c r="L27" s="11">
        <v>1</v>
      </c>
      <c r="M27" s="3">
        <v>1</v>
      </c>
      <c r="N27" s="3">
        <v>0</v>
      </c>
      <c r="O27" s="3" t="s">
        <v>87</v>
      </c>
      <c r="P27" s="3"/>
      <c r="Q27" s="3"/>
      <c r="R27" s="6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0.1</v>
      </c>
      <c r="Z27" s="3">
        <v>0</v>
      </c>
      <c r="AA27" s="3">
        <v>0</v>
      </c>
      <c r="AB27" s="3">
        <v>0</v>
      </c>
      <c r="AC27" s="3"/>
      <c r="AD27" s="3" t="str">
        <f t="shared" si="0"/>
        <v>public const int FIND_SHIELD = 925;</v>
      </c>
      <c r="AE27" s="3" t="str">
        <f t="shared" si="1"/>
        <v/>
      </c>
      <c r="AF27" s="3" t="str">
        <f t="shared" si="2"/>
        <v/>
      </c>
    </row>
    <row r="28" spans="1:32" x14ac:dyDescent="0.15">
      <c r="A28" s="3">
        <v>926</v>
      </c>
      <c r="B28" s="3" t="s">
        <v>88</v>
      </c>
      <c r="C28" s="3">
        <v>0</v>
      </c>
      <c r="D28" s="3">
        <v>1</v>
      </c>
      <c r="E28" s="3">
        <v>1</v>
      </c>
      <c r="F28" s="3">
        <v>0</v>
      </c>
      <c r="G28" s="3">
        <v>0</v>
      </c>
      <c r="H28" s="3" t="s">
        <v>495</v>
      </c>
      <c r="I28" s="11">
        <v>1</v>
      </c>
      <c r="J28" s="11">
        <v>0</v>
      </c>
      <c r="K28" s="11">
        <v>1</v>
      </c>
      <c r="L28" s="11">
        <v>1</v>
      </c>
      <c r="M28" s="3">
        <v>1</v>
      </c>
      <c r="N28" s="3">
        <v>0</v>
      </c>
      <c r="O28" s="3" t="s">
        <v>89</v>
      </c>
      <c r="P28" s="3"/>
      <c r="Q28" s="3"/>
      <c r="R28" s="6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0.1</v>
      </c>
      <c r="Z28" s="3">
        <v>0</v>
      </c>
      <c r="AA28" s="3">
        <v>0</v>
      </c>
      <c r="AB28" s="3">
        <v>0</v>
      </c>
      <c r="AC28" s="3"/>
      <c r="AD28" s="3" t="str">
        <f t="shared" si="0"/>
        <v>public const int FIND_MOUNT = 926;</v>
      </c>
      <c r="AE28" s="3" t="str">
        <f t="shared" si="1"/>
        <v/>
      </c>
      <c r="AF28" s="3" t="str">
        <f t="shared" si="2"/>
        <v/>
      </c>
    </row>
    <row r="29" spans="1:32" x14ac:dyDescent="0.15">
      <c r="A29" s="3">
        <v>927</v>
      </c>
      <c r="B29" s="3" t="s">
        <v>90</v>
      </c>
      <c r="C29" s="3">
        <v>0</v>
      </c>
      <c r="D29" s="3">
        <v>1</v>
      </c>
      <c r="E29" s="3">
        <v>1</v>
      </c>
      <c r="F29" s="3">
        <v>0</v>
      </c>
      <c r="G29" s="3">
        <v>0</v>
      </c>
      <c r="H29" s="3" t="s">
        <v>496</v>
      </c>
      <c r="I29" s="11">
        <v>1</v>
      </c>
      <c r="J29" s="11">
        <v>0</v>
      </c>
      <c r="K29" s="11">
        <v>1</v>
      </c>
      <c r="L29" s="11">
        <v>1</v>
      </c>
      <c r="M29" s="3">
        <v>1</v>
      </c>
      <c r="N29" s="3">
        <v>0</v>
      </c>
      <c r="O29" s="3" t="s">
        <v>91</v>
      </c>
      <c r="P29" s="3"/>
      <c r="Q29" s="3"/>
      <c r="R29" s="6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0.1</v>
      </c>
      <c r="Z29" s="3">
        <v>0</v>
      </c>
      <c r="AA29" s="3">
        <v>0</v>
      </c>
      <c r="AB29" s="3">
        <v>0</v>
      </c>
      <c r="AC29" s="3"/>
      <c r="AD29" s="3" t="str">
        <f t="shared" si="0"/>
        <v>public const int FIND_CHARIOT = 927;</v>
      </c>
      <c r="AE29" s="3" t="str">
        <f t="shared" si="1"/>
        <v/>
      </c>
      <c r="AF29" s="3" t="str">
        <f t="shared" si="2"/>
        <v/>
      </c>
    </row>
    <row r="30" spans="1:32" x14ac:dyDescent="0.15">
      <c r="A30" s="3">
        <v>928</v>
      </c>
      <c r="B30" s="3" t="s">
        <v>92</v>
      </c>
      <c r="C30" s="3">
        <v>0</v>
      </c>
      <c r="D30" s="3">
        <v>1</v>
      </c>
      <c r="E30" s="3">
        <v>1</v>
      </c>
      <c r="F30" s="3">
        <v>0</v>
      </c>
      <c r="G30" s="3">
        <v>0</v>
      </c>
      <c r="H30" s="3" t="s">
        <v>93</v>
      </c>
      <c r="I30" s="11">
        <v>1</v>
      </c>
      <c r="J30" s="11">
        <v>0</v>
      </c>
      <c r="K30" s="11">
        <v>1</v>
      </c>
      <c r="L30" s="11">
        <v>1</v>
      </c>
      <c r="M30" s="3">
        <v>0</v>
      </c>
      <c r="N30" s="3">
        <v>0</v>
      </c>
      <c r="O30" s="3" t="s">
        <v>93</v>
      </c>
      <c r="P30" s="3"/>
      <c r="Q30" s="3"/>
      <c r="R30" s="6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10</v>
      </c>
      <c r="Z30" s="3">
        <v>0</v>
      </c>
      <c r="AA30" s="3">
        <v>0</v>
      </c>
      <c r="AB30" s="3">
        <v>0</v>
      </c>
      <c r="AC30" s="3"/>
      <c r="AD30" s="3" t="str">
        <f t="shared" si="0"/>
        <v>public const int MAKE_SELF_FEEL_BATTER = 928;</v>
      </c>
      <c r="AE30" s="3" t="str">
        <f t="shared" si="1"/>
        <v/>
      </c>
      <c r="AF30" s="3" t="str">
        <f t="shared" si="2"/>
        <v/>
      </c>
    </row>
    <row r="31" spans="1:32" x14ac:dyDescent="0.15">
      <c r="A31" s="3">
        <v>929</v>
      </c>
      <c r="B31" s="3" t="s">
        <v>94</v>
      </c>
      <c r="C31" s="3">
        <v>1</v>
      </c>
      <c r="D31" s="3">
        <v>1</v>
      </c>
      <c r="E31" s="3">
        <v>1</v>
      </c>
      <c r="F31" s="3">
        <v>0</v>
      </c>
      <c r="G31" s="3">
        <v>0</v>
      </c>
      <c r="H31" s="3" t="s">
        <v>95</v>
      </c>
      <c r="I31" s="11">
        <v>1</v>
      </c>
      <c r="J31" s="11">
        <v>0</v>
      </c>
      <c r="K31" s="11">
        <v>1</v>
      </c>
      <c r="L31" s="11">
        <v>1</v>
      </c>
      <c r="M31" s="3">
        <v>1</v>
      </c>
      <c r="N31" s="3">
        <v>0</v>
      </c>
      <c r="O31" s="3" t="s">
        <v>96</v>
      </c>
      <c r="P31" s="3"/>
      <c r="Q31" s="3"/>
      <c r="R31" s="6">
        <v>0</v>
      </c>
      <c r="S31" s="3">
        <v>1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0.2</v>
      </c>
      <c r="Z31" s="3">
        <v>0</v>
      </c>
      <c r="AA31" s="3">
        <v>0</v>
      </c>
      <c r="AB31" s="3">
        <v>0</v>
      </c>
      <c r="AC31" s="3"/>
      <c r="AD31" s="3" t="str">
        <f t="shared" si="0"/>
        <v>public const int FIND_CHOCOLATE = 929;</v>
      </c>
      <c r="AE31" s="3" t="str">
        <f t="shared" si="1"/>
        <v/>
      </c>
      <c r="AF31" s="3" t="str">
        <f t="shared" si="2"/>
        <v/>
      </c>
    </row>
    <row r="32" spans="1:32" x14ac:dyDescent="0.15">
      <c r="A32" s="3">
        <v>930</v>
      </c>
      <c r="B32" s="3" t="s">
        <v>97</v>
      </c>
      <c r="C32" s="3">
        <v>1</v>
      </c>
      <c r="D32" s="3">
        <v>1</v>
      </c>
      <c r="E32" s="3">
        <v>1</v>
      </c>
      <c r="F32" s="3">
        <v>0</v>
      </c>
      <c r="G32" s="3">
        <v>0</v>
      </c>
      <c r="H32" s="3" t="s">
        <v>98</v>
      </c>
      <c r="I32" s="11">
        <v>1</v>
      </c>
      <c r="J32" s="11">
        <v>0</v>
      </c>
      <c r="K32" s="11">
        <v>1</v>
      </c>
      <c r="L32" s="11">
        <v>1</v>
      </c>
      <c r="M32" s="3">
        <v>1</v>
      </c>
      <c r="N32" s="3">
        <v>0</v>
      </c>
      <c r="O32" s="3" t="s">
        <v>99</v>
      </c>
      <c r="P32" s="3"/>
      <c r="Q32" s="3"/>
      <c r="R32" s="6">
        <v>0</v>
      </c>
      <c r="S32" s="3">
        <v>1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0.2</v>
      </c>
      <c r="Z32" s="3">
        <v>0</v>
      </c>
      <c r="AA32" s="3">
        <v>0</v>
      </c>
      <c r="AB32" s="3">
        <v>0</v>
      </c>
      <c r="AC32" s="3"/>
      <c r="AD32" s="3" t="str">
        <f t="shared" si="0"/>
        <v>public const int FIND_COFFEE = 930;</v>
      </c>
      <c r="AE32" s="3" t="str">
        <f t="shared" si="1"/>
        <v/>
      </c>
      <c r="AF32" s="3" t="str">
        <f t="shared" si="2"/>
        <v/>
      </c>
    </row>
    <row r="33" spans="1:32" x14ac:dyDescent="0.15">
      <c r="A33" s="3">
        <v>931</v>
      </c>
      <c r="B33" s="3" t="s">
        <v>100</v>
      </c>
      <c r="C33" s="3">
        <v>0</v>
      </c>
      <c r="D33" s="3">
        <v>1</v>
      </c>
      <c r="E33" s="3">
        <v>1</v>
      </c>
      <c r="F33" s="3">
        <v>0</v>
      </c>
      <c r="G33" s="3">
        <v>0</v>
      </c>
      <c r="H33" s="3" t="s">
        <v>497</v>
      </c>
      <c r="I33" s="11">
        <v>1</v>
      </c>
      <c r="J33" s="11">
        <v>0</v>
      </c>
      <c r="K33" s="11">
        <v>1</v>
      </c>
      <c r="L33" s="11">
        <v>1</v>
      </c>
      <c r="M33" s="3">
        <v>1</v>
      </c>
      <c r="N33" s="3">
        <v>0</v>
      </c>
      <c r="O33" s="3" t="s">
        <v>101</v>
      </c>
      <c r="P33" s="3"/>
      <c r="Q33" s="3"/>
      <c r="R33" s="6">
        <v>0</v>
      </c>
      <c r="S33" s="3">
        <v>1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0.1</v>
      </c>
      <c r="Z33" s="3">
        <v>0</v>
      </c>
      <c r="AA33" s="3">
        <v>0</v>
      </c>
      <c r="AB33" s="3">
        <v>0</v>
      </c>
      <c r="AC33" s="3"/>
      <c r="AD33" s="3" t="str">
        <f t="shared" si="0"/>
        <v>public const int FIND_UMBRELLA = 931;</v>
      </c>
      <c r="AE33" s="3" t="str">
        <f t="shared" si="1"/>
        <v/>
      </c>
      <c r="AF33" s="3" t="str">
        <f t="shared" si="2"/>
        <v/>
      </c>
    </row>
    <row r="34" spans="1:32" x14ac:dyDescent="0.15">
      <c r="A34" s="3">
        <v>932</v>
      </c>
      <c r="B34" s="3" t="s">
        <v>102</v>
      </c>
      <c r="C34" s="3">
        <v>0</v>
      </c>
      <c r="D34" s="3">
        <v>1</v>
      </c>
      <c r="E34" s="3">
        <v>1</v>
      </c>
      <c r="F34" s="3">
        <v>1</v>
      </c>
      <c r="G34" s="3">
        <v>0</v>
      </c>
      <c r="H34" s="3" t="s">
        <v>103</v>
      </c>
      <c r="I34" s="11">
        <v>0</v>
      </c>
      <c r="J34" s="11">
        <v>0</v>
      </c>
      <c r="K34" s="11">
        <v>1</v>
      </c>
      <c r="L34" s="11">
        <v>1</v>
      </c>
      <c r="M34" s="3">
        <v>0</v>
      </c>
      <c r="N34" s="3">
        <v>0</v>
      </c>
      <c r="O34" s="3" t="s">
        <v>103</v>
      </c>
      <c r="P34" s="3"/>
      <c r="Q34" s="3"/>
      <c r="R34" s="6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0.1</v>
      </c>
      <c r="Z34" s="3">
        <v>0</v>
      </c>
      <c r="AA34" s="3">
        <v>0</v>
      </c>
      <c r="AB34" s="3">
        <v>0</v>
      </c>
      <c r="AC34" s="3"/>
      <c r="AD34" s="3" t="str">
        <f t="shared" si="0"/>
        <v>public const int ESCAPE_WHEN_TOO_UNHAPPY = 932;</v>
      </c>
      <c r="AE34" s="3" t="str">
        <f t="shared" si="1"/>
        <v/>
      </c>
      <c r="AF34" s="3" t="str">
        <f t="shared" si="2"/>
        <v/>
      </c>
    </row>
    <row r="35" spans="1:32" x14ac:dyDescent="0.15">
      <c r="A35" s="3">
        <v>933</v>
      </c>
      <c r="B35" s="3" t="s">
        <v>104</v>
      </c>
      <c r="C35" s="3">
        <v>0</v>
      </c>
      <c r="D35" s="3">
        <v>1</v>
      </c>
      <c r="E35" s="3">
        <v>1</v>
      </c>
      <c r="F35" s="3">
        <v>0</v>
      </c>
      <c r="G35" s="3">
        <v>0</v>
      </c>
      <c r="H35" s="3" t="s">
        <v>105</v>
      </c>
      <c r="I35" s="11">
        <v>1</v>
      </c>
      <c r="J35" s="11">
        <v>0</v>
      </c>
      <c r="K35" s="11">
        <v>1</v>
      </c>
      <c r="L35" s="11">
        <v>1</v>
      </c>
      <c r="M35" s="3">
        <v>1</v>
      </c>
      <c r="N35" s="3">
        <v>0</v>
      </c>
      <c r="O35" s="3" t="s">
        <v>106</v>
      </c>
      <c r="P35" s="3"/>
      <c r="Q35" s="3"/>
      <c r="R35" s="6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1</v>
      </c>
      <c r="Y35" s="3">
        <v>0.1</v>
      </c>
      <c r="Z35" s="3">
        <v>0</v>
      </c>
      <c r="AA35" s="3">
        <v>0</v>
      </c>
      <c r="AB35" s="3">
        <v>0</v>
      </c>
      <c r="AC35" s="3"/>
      <c r="AD35" s="3" t="str">
        <f t="shared" ref="AD35:AD66" si="3">CONCATENATE("public const int ",B35," = ",A35,";")</f>
        <v>public const int GET_MEDICINE = 933;</v>
      </c>
      <c r="AE35" s="3" t="str">
        <f t="shared" si="1"/>
        <v/>
      </c>
      <c r="AF35" s="3" t="str">
        <f t="shared" si="2"/>
        <v/>
      </c>
    </row>
    <row r="36" spans="1:32" x14ac:dyDescent="0.15">
      <c r="A36" s="3">
        <v>934</v>
      </c>
      <c r="B36" s="3" t="s">
        <v>107</v>
      </c>
      <c r="C36" s="3">
        <v>0</v>
      </c>
      <c r="D36" s="3">
        <v>1</v>
      </c>
      <c r="E36" s="3">
        <v>1</v>
      </c>
      <c r="F36" s="3">
        <v>0</v>
      </c>
      <c r="G36" s="3">
        <v>0</v>
      </c>
      <c r="H36" s="3" t="s">
        <v>498</v>
      </c>
      <c r="I36" s="11">
        <v>1</v>
      </c>
      <c r="J36" s="11">
        <v>0</v>
      </c>
      <c r="K36" s="11">
        <v>1</v>
      </c>
      <c r="L36" s="11">
        <v>1</v>
      </c>
      <c r="M36" s="3">
        <v>1</v>
      </c>
      <c r="N36" s="3">
        <v>0</v>
      </c>
      <c r="O36" s="3" t="s">
        <v>108</v>
      </c>
      <c r="P36" s="3"/>
      <c r="Q36" s="3"/>
      <c r="R36" s="6">
        <v>0</v>
      </c>
      <c r="S36" s="3">
        <v>1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0.1</v>
      </c>
      <c r="Z36" s="3">
        <v>0</v>
      </c>
      <c r="AA36" s="3">
        <v>0</v>
      </c>
      <c r="AB36" s="3">
        <v>0</v>
      </c>
      <c r="AC36" s="3"/>
      <c r="AD36" s="3" t="str">
        <f t="shared" si="3"/>
        <v>public const int FIND_LEATHER_BAG = 934;</v>
      </c>
      <c r="AE36" s="3" t="str">
        <f t="shared" si="1"/>
        <v/>
      </c>
      <c r="AF36" s="3" t="str">
        <f t="shared" si="2"/>
        <v/>
      </c>
    </row>
    <row r="37" spans="1:32" x14ac:dyDescent="0.15">
      <c r="A37" s="3">
        <v>935</v>
      </c>
      <c r="B37" s="3" t="s">
        <v>109</v>
      </c>
      <c r="C37" s="3">
        <v>0</v>
      </c>
      <c r="D37" s="3">
        <v>1</v>
      </c>
      <c r="E37" s="3">
        <v>1</v>
      </c>
      <c r="F37" s="3">
        <v>1</v>
      </c>
      <c r="G37" s="3">
        <v>1</v>
      </c>
      <c r="H37" s="3" t="s">
        <v>110</v>
      </c>
      <c r="I37" s="11">
        <v>0</v>
      </c>
      <c r="J37" s="11">
        <v>0</v>
      </c>
      <c r="K37" s="11">
        <v>1</v>
      </c>
      <c r="L37" s="11">
        <v>1</v>
      </c>
      <c r="M37" s="3">
        <v>0</v>
      </c>
      <c r="N37" s="3">
        <v>0</v>
      </c>
      <c r="O37" s="3" t="s">
        <v>110</v>
      </c>
      <c r="P37" s="3"/>
      <c r="Q37" s="3"/>
      <c r="R37" s="6">
        <v>0</v>
      </c>
      <c r="S37" s="3">
        <v>1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0.1</v>
      </c>
      <c r="Z37" s="3">
        <v>0</v>
      </c>
      <c r="AA37" s="3">
        <v>0</v>
      </c>
      <c r="AB37" s="3">
        <v>0</v>
      </c>
      <c r="AC37" s="3"/>
      <c r="AD37" s="3" t="str">
        <f t="shared" si="3"/>
        <v>public const int BE_EXILED = 935;</v>
      </c>
      <c r="AE37" s="3" t="str">
        <f t="shared" si="1"/>
        <v/>
      </c>
      <c r="AF37" s="3" t="str">
        <f t="shared" si="2"/>
        <v/>
      </c>
    </row>
    <row r="38" spans="1:32" x14ac:dyDescent="0.15">
      <c r="A38" s="3">
        <v>936</v>
      </c>
      <c r="B38" s="3" t="s">
        <v>111</v>
      </c>
      <c r="C38" s="3">
        <v>1</v>
      </c>
      <c r="D38" s="3">
        <v>1</v>
      </c>
      <c r="E38" s="3">
        <v>1</v>
      </c>
      <c r="F38" s="3">
        <v>0</v>
      </c>
      <c r="G38" s="3">
        <v>0</v>
      </c>
      <c r="H38" s="3" t="s">
        <v>112</v>
      </c>
      <c r="I38" s="11">
        <v>1</v>
      </c>
      <c r="J38" s="11">
        <v>0</v>
      </c>
      <c r="K38" s="11">
        <v>1</v>
      </c>
      <c r="L38" s="11">
        <v>1</v>
      </c>
      <c r="M38" s="3">
        <v>1</v>
      </c>
      <c r="N38" s="3">
        <v>0</v>
      </c>
      <c r="O38" s="3" t="s">
        <v>113</v>
      </c>
      <c r="P38" s="3"/>
      <c r="Q38" s="3"/>
      <c r="R38" s="6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1</v>
      </c>
      <c r="Y38" s="3">
        <v>0.2</v>
      </c>
      <c r="Z38" s="3">
        <v>0</v>
      </c>
      <c r="AA38" s="3">
        <v>0</v>
      </c>
      <c r="AB38" s="3">
        <v>0</v>
      </c>
      <c r="AC38" s="3"/>
      <c r="AD38" s="3" t="str">
        <f t="shared" si="3"/>
        <v>public const int FIND_HERBAL_TEA = 936;</v>
      </c>
      <c r="AE38" s="3" t="str">
        <f t="shared" si="1"/>
        <v/>
      </c>
      <c r="AF38" s="3" t="str">
        <f t="shared" si="2"/>
        <v/>
      </c>
    </row>
    <row r="39" spans="1:32" x14ac:dyDescent="0.15">
      <c r="A39" s="3">
        <v>937</v>
      </c>
      <c r="B39" s="3" t="s">
        <v>114</v>
      </c>
      <c r="C39" s="3">
        <v>0</v>
      </c>
      <c r="D39" s="3">
        <v>1</v>
      </c>
      <c r="E39" s="3">
        <v>1</v>
      </c>
      <c r="F39" s="3">
        <v>0</v>
      </c>
      <c r="G39" s="3">
        <v>0</v>
      </c>
      <c r="H39" s="3" t="s">
        <v>115</v>
      </c>
      <c r="I39" s="11">
        <v>1</v>
      </c>
      <c r="J39" s="11">
        <v>0</v>
      </c>
      <c r="K39" s="11">
        <v>1</v>
      </c>
      <c r="L39" s="11">
        <v>1</v>
      </c>
      <c r="M39" s="3">
        <v>0</v>
      </c>
      <c r="N39" s="3">
        <v>0</v>
      </c>
      <c r="O39" s="3" t="s">
        <v>116</v>
      </c>
      <c r="P39" s="3"/>
      <c r="Q39" s="3"/>
      <c r="R39" s="6">
        <v>0</v>
      </c>
      <c r="S39" s="3">
        <v>1</v>
      </c>
      <c r="T39" s="3">
        <v>0</v>
      </c>
      <c r="U39" s="3">
        <v>0</v>
      </c>
      <c r="V39" s="3"/>
      <c r="W39" s="3"/>
      <c r="X39" s="3">
        <v>0</v>
      </c>
      <c r="Y39" s="3">
        <v>0.1</v>
      </c>
      <c r="Z39" s="3">
        <v>0</v>
      </c>
      <c r="AA39" s="3">
        <v>0</v>
      </c>
      <c r="AB39" s="3">
        <v>0</v>
      </c>
      <c r="AC39" s="3"/>
      <c r="AD39" s="3" t="str">
        <f t="shared" si="3"/>
        <v>public const int GO_ABOARD = 937;</v>
      </c>
      <c r="AE39" s="3" t="str">
        <f t="shared" si="1"/>
        <v/>
      </c>
      <c r="AF39" s="3" t="str">
        <f t="shared" si="2"/>
        <v/>
      </c>
    </row>
    <row r="40" spans="1:32" x14ac:dyDescent="0.15">
      <c r="A40" s="3">
        <v>938</v>
      </c>
      <c r="B40" s="3" t="s">
        <v>117</v>
      </c>
      <c r="C40" s="3">
        <v>0</v>
      </c>
      <c r="D40" s="3">
        <v>1</v>
      </c>
      <c r="E40" s="3">
        <v>1</v>
      </c>
      <c r="F40" s="3">
        <v>1</v>
      </c>
      <c r="G40" s="3">
        <v>0</v>
      </c>
      <c r="H40" s="3" t="s">
        <v>118</v>
      </c>
      <c r="I40" s="11">
        <v>0</v>
      </c>
      <c r="J40" s="11">
        <v>0</v>
      </c>
      <c r="K40" s="11">
        <v>1</v>
      </c>
      <c r="L40" s="11">
        <v>1</v>
      </c>
      <c r="M40" s="3">
        <v>0</v>
      </c>
      <c r="N40" s="3">
        <v>0</v>
      </c>
      <c r="O40" s="3" t="s">
        <v>118</v>
      </c>
      <c r="P40" s="3"/>
      <c r="Q40" s="3"/>
      <c r="R40" s="6">
        <v>0</v>
      </c>
      <c r="S40" s="3">
        <v>0</v>
      </c>
      <c r="T40" s="3">
        <v>0</v>
      </c>
      <c r="U40" s="3">
        <v>0</v>
      </c>
      <c r="V40" s="3"/>
      <c r="W40" s="3"/>
      <c r="X40" s="3">
        <v>0</v>
      </c>
      <c r="Y40" s="3">
        <v>0.1</v>
      </c>
      <c r="Z40" s="3">
        <v>0</v>
      </c>
      <c r="AA40" s="3">
        <v>0</v>
      </c>
      <c r="AB40" s="3">
        <v>0</v>
      </c>
      <c r="AC40" s="3"/>
      <c r="AD40" s="3" t="str">
        <f t="shared" si="3"/>
        <v>public const int LEAVE_MAP = 938;</v>
      </c>
      <c r="AE40" s="3" t="str">
        <f t="shared" si="1"/>
        <v/>
      </c>
      <c r="AF40" s="3" t="str">
        <f t="shared" si="2"/>
        <v/>
      </c>
    </row>
    <row r="41" spans="1:32" x14ac:dyDescent="0.15">
      <c r="A41" s="3">
        <v>939</v>
      </c>
      <c r="B41" s="11" t="s">
        <v>352</v>
      </c>
      <c r="C41" s="3">
        <v>0</v>
      </c>
      <c r="D41" s="3">
        <v>1</v>
      </c>
      <c r="E41" s="3">
        <v>1</v>
      </c>
      <c r="F41" s="3">
        <v>1</v>
      </c>
      <c r="G41" s="3">
        <v>1</v>
      </c>
      <c r="H41" s="3" t="s">
        <v>32</v>
      </c>
      <c r="I41" s="11">
        <v>1</v>
      </c>
      <c r="J41" s="11">
        <v>0</v>
      </c>
      <c r="K41" s="11">
        <v>1</v>
      </c>
      <c r="L41" s="11">
        <v>1</v>
      </c>
      <c r="M41" s="3">
        <v>0</v>
      </c>
      <c r="N41" s="3">
        <v>0</v>
      </c>
      <c r="O41" s="3" t="s">
        <v>33</v>
      </c>
      <c r="P41" s="3"/>
      <c r="Q41" s="3"/>
      <c r="R41" s="6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1</v>
      </c>
      <c r="Z41" s="3">
        <v>0</v>
      </c>
      <c r="AA41" s="3">
        <v>0</v>
      </c>
      <c r="AB41" s="3">
        <v>0</v>
      </c>
      <c r="AC41" s="3"/>
      <c r="AD41" s="3" t="str">
        <f t="shared" si="3"/>
        <v>public const int SEE_DOCTOR_ON_ILL_BY_INFECT = 939;</v>
      </c>
      <c r="AE41" s="3" t="str">
        <f t="shared" si="1"/>
        <v/>
      </c>
      <c r="AF41" s="3" t="str">
        <f t="shared" si="2"/>
        <v/>
      </c>
    </row>
    <row r="42" spans="1:32" x14ac:dyDescent="0.15">
      <c r="A42" s="3">
        <v>940</v>
      </c>
      <c r="B42" s="11" t="s">
        <v>353</v>
      </c>
      <c r="C42" s="3">
        <v>0</v>
      </c>
      <c r="D42" s="3">
        <v>1</v>
      </c>
      <c r="E42" s="3">
        <v>1</v>
      </c>
      <c r="F42" s="3">
        <v>0</v>
      </c>
      <c r="G42" s="3">
        <v>0</v>
      </c>
      <c r="H42" s="3" t="s">
        <v>499</v>
      </c>
      <c r="I42" s="11">
        <v>1</v>
      </c>
      <c r="J42" s="11">
        <v>0</v>
      </c>
      <c r="K42" s="11">
        <v>1</v>
      </c>
      <c r="L42" s="11">
        <v>1</v>
      </c>
      <c r="M42" s="3">
        <v>0</v>
      </c>
      <c r="N42" s="3">
        <v>0</v>
      </c>
      <c r="O42" s="3" t="s">
        <v>551</v>
      </c>
      <c r="P42" s="3"/>
      <c r="Q42" s="3"/>
      <c r="R42" s="6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0.1</v>
      </c>
      <c r="Z42" s="3">
        <v>0</v>
      </c>
      <c r="AA42" s="3">
        <v>0</v>
      </c>
      <c r="AB42" s="3">
        <v>0</v>
      </c>
      <c r="AC42" s="3"/>
      <c r="AD42" s="3" t="str">
        <f t="shared" si="3"/>
        <v>public const int PARK_WAGON_IN_FREE_MODE = 940;</v>
      </c>
      <c r="AE42" s="3" t="str">
        <f t="shared" si="1"/>
        <v/>
      </c>
      <c r="AF42" s="3" t="str">
        <f t="shared" si="2"/>
        <v/>
      </c>
    </row>
    <row r="43" spans="1:32" x14ac:dyDescent="0.15">
      <c r="A43" s="3">
        <v>941</v>
      </c>
      <c r="B43" s="11" t="s">
        <v>354</v>
      </c>
      <c r="C43" s="3">
        <v>0</v>
      </c>
      <c r="D43" s="3">
        <v>1</v>
      </c>
      <c r="E43" s="3">
        <v>1</v>
      </c>
      <c r="F43" s="3">
        <v>0</v>
      </c>
      <c r="G43" s="3">
        <v>0</v>
      </c>
      <c r="H43" s="3" t="s">
        <v>500</v>
      </c>
      <c r="I43" s="11">
        <v>1</v>
      </c>
      <c r="J43" s="11">
        <v>0</v>
      </c>
      <c r="K43" s="11">
        <v>1</v>
      </c>
      <c r="L43" s="11">
        <v>1</v>
      </c>
      <c r="M43" s="3">
        <v>1</v>
      </c>
      <c r="N43" s="3">
        <v>0</v>
      </c>
      <c r="O43" s="3" t="s">
        <v>500</v>
      </c>
      <c r="P43" s="11" t="s">
        <v>395</v>
      </c>
      <c r="Q43" s="11" t="s">
        <v>396</v>
      </c>
      <c r="R43" s="6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0.1</v>
      </c>
      <c r="Z43" s="3">
        <v>0</v>
      </c>
      <c r="AA43" s="3">
        <v>0</v>
      </c>
      <c r="AB43" s="3">
        <v>0</v>
      </c>
      <c r="AC43" s="3"/>
      <c r="AD43" s="3" t="str">
        <f t="shared" si="3"/>
        <v>public const int FIND_FAVORITE = 941;</v>
      </c>
      <c r="AE43" s="3" t="str">
        <f t="shared" si="1"/>
        <v>寻找偏好物</v>
      </c>
      <c r="AF43" s="3" t="str">
        <f t="shared" si="2"/>
        <v>寻找偏好物的路上</v>
      </c>
    </row>
    <row r="44" spans="1:32" x14ac:dyDescent="0.15">
      <c r="A44" s="3">
        <v>942</v>
      </c>
      <c r="B44" s="11" t="s">
        <v>437</v>
      </c>
      <c r="C44" s="3">
        <v>0</v>
      </c>
      <c r="D44" s="3">
        <v>1</v>
      </c>
      <c r="E44" s="3">
        <v>1</v>
      </c>
      <c r="F44" s="3">
        <v>1</v>
      </c>
      <c r="G44" s="3">
        <v>0</v>
      </c>
      <c r="H44" s="3" t="s">
        <v>501</v>
      </c>
      <c r="I44" s="11">
        <v>1</v>
      </c>
      <c r="J44" s="11">
        <v>0</v>
      </c>
      <c r="K44" s="11">
        <v>1</v>
      </c>
      <c r="L44" s="11">
        <v>1</v>
      </c>
      <c r="M44" s="3">
        <v>0</v>
      </c>
      <c r="N44" s="3">
        <v>0</v>
      </c>
      <c r="O44" s="3" t="s">
        <v>552</v>
      </c>
      <c r="P44" s="11"/>
      <c r="Q44" s="11"/>
      <c r="R44" s="6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1</v>
      </c>
      <c r="Z44" s="3">
        <v>0</v>
      </c>
      <c r="AA44" s="3">
        <v>0</v>
      </c>
      <c r="AB44" s="3">
        <v>0</v>
      </c>
      <c r="AC44" s="3"/>
      <c r="AD44" s="3" t="str">
        <f t="shared" si="3"/>
        <v>public const int GO_TO_TOILET = 942;</v>
      </c>
      <c r="AE44" s="3" t="str">
        <f t="shared" si="1"/>
        <v/>
      </c>
      <c r="AF44" s="3" t="str">
        <f t="shared" si="2"/>
        <v/>
      </c>
    </row>
    <row r="45" spans="1:32" x14ac:dyDescent="0.15">
      <c r="A45" s="3">
        <v>943</v>
      </c>
      <c r="B45" s="3" t="s">
        <v>359</v>
      </c>
      <c r="C45" s="3">
        <v>0</v>
      </c>
      <c r="D45" s="3">
        <v>1</v>
      </c>
      <c r="E45" s="3">
        <v>1</v>
      </c>
      <c r="F45" s="3">
        <v>1</v>
      </c>
      <c r="G45" s="3">
        <v>1</v>
      </c>
      <c r="H45" s="3" t="s">
        <v>47</v>
      </c>
      <c r="I45" s="11">
        <v>1</v>
      </c>
      <c r="J45" s="11">
        <v>0</v>
      </c>
      <c r="K45" s="11">
        <v>1</v>
      </c>
      <c r="L45" s="11">
        <v>1</v>
      </c>
      <c r="M45" s="3">
        <v>0</v>
      </c>
      <c r="N45" s="3">
        <v>0</v>
      </c>
      <c r="O45" s="3" t="s">
        <v>48</v>
      </c>
      <c r="P45" s="3"/>
      <c r="Q45" s="3"/>
      <c r="R45" s="6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2</v>
      </c>
      <c r="Z45" s="3">
        <v>0</v>
      </c>
      <c r="AA45" s="3">
        <v>0</v>
      </c>
      <c r="AB45" s="3">
        <v>0</v>
      </c>
      <c r="AC45" s="3"/>
      <c r="AD45" s="3" t="str">
        <f t="shared" si="3"/>
        <v>public const int GOTO_CHURCH_OF_LIZARD_MAN = 943;</v>
      </c>
      <c r="AE45" s="3" t="str">
        <f t="shared" si="1"/>
        <v/>
      </c>
      <c r="AF45" s="3" t="str">
        <f t="shared" si="2"/>
        <v/>
      </c>
    </row>
    <row r="46" spans="1:32" x14ac:dyDescent="0.15">
      <c r="A46" s="3">
        <v>944</v>
      </c>
      <c r="B46" s="3" t="s">
        <v>361</v>
      </c>
      <c r="C46" s="3">
        <v>0</v>
      </c>
      <c r="D46" s="3">
        <v>1</v>
      </c>
      <c r="E46" s="3">
        <v>1</v>
      </c>
      <c r="F46" s="3">
        <v>1</v>
      </c>
      <c r="G46" s="3">
        <v>1</v>
      </c>
      <c r="H46" s="3" t="s">
        <v>502</v>
      </c>
      <c r="I46" s="11">
        <v>0</v>
      </c>
      <c r="J46" s="11">
        <v>0</v>
      </c>
      <c r="K46" s="11">
        <v>1</v>
      </c>
      <c r="L46" s="11">
        <v>1</v>
      </c>
      <c r="M46" s="3">
        <v>0</v>
      </c>
      <c r="N46" s="3">
        <v>0</v>
      </c>
      <c r="O46" s="3" t="s">
        <v>502</v>
      </c>
      <c r="P46" s="3"/>
      <c r="Q46" s="3"/>
      <c r="R46" s="6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0.5</v>
      </c>
      <c r="Z46" s="3">
        <v>0</v>
      </c>
      <c r="AA46" s="3">
        <v>0</v>
      </c>
      <c r="AB46" s="3">
        <v>0</v>
      </c>
      <c r="AC46" s="3"/>
      <c r="AD46" s="3" t="str">
        <f t="shared" si="3"/>
        <v>public const int GO_TO_ATTACK_ON_CRAZY = 944;</v>
      </c>
      <c r="AE46" s="3" t="str">
        <f t="shared" si="1"/>
        <v/>
      </c>
      <c r="AF46" s="3" t="str">
        <f t="shared" si="2"/>
        <v/>
      </c>
    </row>
    <row r="47" spans="1:32" x14ac:dyDescent="0.15">
      <c r="A47" s="3">
        <v>945</v>
      </c>
      <c r="B47" s="11" t="s">
        <v>362</v>
      </c>
      <c r="C47" s="3">
        <v>0</v>
      </c>
      <c r="D47" s="3">
        <v>1</v>
      </c>
      <c r="E47" s="3">
        <v>1</v>
      </c>
      <c r="F47" s="3">
        <v>1</v>
      </c>
      <c r="G47" s="3">
        <v>1</v>
      </c>
      <c r="H47" s="3" t="s">
        <v>503</v>
      </c>
      <c r="I47" s="11">
        <v>1</v>
      </c>
      <c r="J47" s="11">
        <v>0</v>
      </c>
      <c r="K47" s="11">
        <v>1</v>
      </c>
      <c r="L47" s="11">
        <v>1</v>
      </c>
      <c r="M47" s="3">
        <v>0</v>
      </c>
      <c r="N47" s="3">
        <v>0</v>
      </c>
      <c r="O47" s="3" t="s">
        <v>503</v>
      </c>
      <c r="P47" s="3"/>
      <c r="Q47" s="3"/>
      <c r="R47" s="6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1</v>
      </c>
      <c r="Y47" s="3">
        <v>0.5</v>
      </c>
      <c r="Z47" s="3">
        <v>0</v>
      </c>
      <c r="AA47" s="3">
        <v>0</v>
      </c>
      <c r="AB47" s="3">
        <v>0</v>
      </c>
      <c r="AC47" s="3"/>
      <c r="AD47" s="3" t="str">
        <f t="shared" si="3"/>
        <v>public const int CHANGE_MOUNT_ANIMAL = 945;</v>
      </c>
      <c r="AE47" s="3" t="str">
        <f t="shared" si="1"/>
        <v/>
      </c>
      <c r="AF47" s="3" t="str">
        <f t="shared" si="2"/>
        <v/>
      </c>
    </row>
    <row r="48" spans="1:32" x14ac:dyDescent="0.15">
      <c r="A48" s="3">
        <v>946</v>
      </c>
      <c r="B48" s="11" t="s">
        <v>366</v>
      </c>
      <c r="C48" s="3">
        <v>0</v>
      </c>
      <c r="D48" s="3">
        <v>1</v>
      </c>
      <c r="E48" s="3">
        <v>1</v>
      </c>
      <c r="F48" s="3">
        <v>1</v>
      </c>
      <c r="G48" s="3">
        <v>0</v>
      </c>
      <c r="H48" s="3" t="s">
        <v>504</v>
      </c>
      <c r="I48" s="11">
        <v>1</v>
      </c>
      <c r="J48" s="11">
        <v>0</v>
      </c>
      <c r="K48" s="11">
        <v>1</v>
      </c>
      <c r="L48" s="11">
        <v>1</v>
      </c>
      <c r="M48" s="3">
        <v>1</v>
      </c>
      <c r="N48" s="3">
        <v>0</v>
      </c>
      <c r="O48" s="3" t="s">
        <v>553</v>
      </c>
      <c r="P48" s="11"/>
      <c r="Q48" s="11"/>
      <c r="R48" s="6">
        <v>0</v>
      </c>
      <c r="S48" s="3">
        <v>1</v>
      </c>
      <c r="T48" s="3">
        <v>0</v>
      </c>
      <c r="U48" s="3">
        <v>0</v>
      </c>
      <c r="V48" s="3">
        <v>0</v>
      </c>
      <c r="W48" s="3">
        <v>0</v>
      </c>
      <c r="X48" s="3">
        <v>1</v>
      </c>
      <c r="Y48" s="3">
        <v>0.1</v>
      </c>
      <c r="Z48" s="3">
        <v>0</v>
      </c>
      <c r="AA48" s="3">
        <v>0</v>
      </c>
      <c r="AB48" s="3">
        <v>0</v>
      </c>
      <c r="AC48" s="3"/>
      <c r="AD48" s="3" t="str">
        <f t="shared" si="3"/>
        <v>public const int FIND_RING = 946;</v>
      </c>
      <c r="AE48" s="3" t="str">
        <f t="shared" si="1"/>
        <v/>
      </c>
      <c r="AF48" s="3" t="str">
        <f t="shared" si="2"/>
        <v/>
      </c>
    </row>
    <row r="49" spans="1:32" x14ac:dyDescent="0.15">
      <c r="A49" s="3">
        <v>947</v>
      </c>
      <c r="B49" s="11" t="s">
        <v>367</v>
      </c>
      <c r="C49" s="3">
        <v>0</v>
      </c>
      <c r="D49" s="3">
        <v>1</v>
      </c>
      <c r="E49" s="3">
        <v>1</v>
      </c>
      <c r="F49" s="3">
        <v>1</v>
      </c>
      <c r="G49" s="3">
        <v>0</v>
      </c>
      <c r="H49" s="3" t="s">
        <v>505</v>
      </c>
      <c r="I49" s="11">
        <v>1</v>
      </c>
      <c r="J49" s="11">
        <v>0</v>
      </c>
      <c r="K49" s="11">
        <v>1</v>
      </c>
      <c r="L49" s="11">
        <v>1</v>
      </c>
      <c r="M49" s="3">
        <v>1</v>
      </c>
      <c r="N49" s="3">
        <v>0</v>
      </c>
      <c r="O49" s="3" t="s">
        <v>554</v>
      </c>
      <c r="P49" s="11"/>
      <c r="Q49" s="11"/>
      <c r="R49" s="6">
        <v>0</v>
      </c>
      <c r="S49" s="3">
        <v>1</v>
      </c>
      <c r="T49" s="3">
        <v>0</v>
      </c>
      <c r="U49" s="3">
        <v>0</v>
      </c>
      <c r="V49" s="3">
        <v>0</v>
      </c>
      <c r="W49" s="3">
        <v>0</v>
      </c>
      <c r="X49" s="3">
        <v>1</v>
      </c>
      <c r="Y49" s="3">
        <v>0.1</v>
      </c>
      <c r="Z49" s="3">
        <v>0</v>
      </c>
      <c r="AA49" s="3">
        <v>0</v>
      </c>
      <c r="AB49" s="3">
        <v>0</v>
      </c>
      <c r="AC49" s="3"/>
      <c r="AD49" s="3" t="str">
        <f t="shared" si="3"/>
        <v>public const int FIND_NACKLACE = 947;</v>
      </c>
      <c r="AE49" s="3" t="str">
        <f t="shared" si="1"/>
        <v/>
      </c>
      <c r="AF49" s="3" t="str">
        <f t="shared" si="2"/>
        <v/>
      </c>
    </row>
    <row r="50" spans="1:32" x14ac:dyDescent="0.15">
      <c r="A50" s="3">
        <v>948</v>
      </c>
      <c r="B50" s="11" t="s">
        <v>374</v>
      </c>
      <c r="C50" s="3">
        <v>0</v>
      </c>
      <c r="D50" s="3">
        <v>1</v>
      </c>
      <c r="E50" s="3">
        <v>1</v>
      </c>
      <c r="F50" s="3">
        <v>1</v>
      </c>
      <c r="G50" s="3">
        <v>0</v>
      </c>
      <c r="H50" s="3" t="s">
        <v>506</v>
      </c>
      <c r="I50" s="11">
        <v>1</v>
      </c>
      <c r="J50" s="11">
        <v>0</v>
      </c>
      <c r="K50" s="11">
        <v>1</v>
      </c>
      <c r="L50" s="11">
        <v>1</v>
      </c>
      <c r="M50" s="3">
        <v>1</v>
      </c>
      <c r="N50" s="3">
        <v>0</v>
      </c>
      <c r="O50" s="3" t="s">
        <v>375</v>
      </c>
      <c r="P50" s="11"/>
      <c r="Q50" s="11"/>
      <c r="R50" s="6">
        <v>0</v>
      </c>
      <c r="S50" s="3">
        <v>1</v>
      </c>
      <c r="T50" s="3">
        <v>0</v>
      </c>
      <c r="U50" s="3">
        <v>0</v>
      </c>
      <c r="V50" s="3">
        <v>0</v>
      </c>
      <c r="W50" s="3">
        <v>0</v>
      </c>
      <c r="X50" s="3">
        <v>1</v>
      </c>
      <c r="Y50" s="3">
        <v>0.1</v>
      </c>
      <c r="Z50" s="3">
        <v>0</v>
      </c>
      <c r="AA50" s="3">
        <v>0</v>
      </c>
      <c r="AB50" s="3">
        <v>0</v>
      </c>
      <c r="AC50" s="3"/>
      <c r="AD50" s="3" t="str">
        <f t="shared" si="3"/>
        <v>public const int GET_BOOK = 948;</v>
      </c>
      <c r="AE50" s="3" t="str">
        <f t="shared" si="1"/>
        <v/>
      </c>
      <c r="AF50" s="3" t="str">
        <f t="shared" si="2"/>
        <v/>
      </c>
    </row>
    <row r="51" spans="1:32" x14ac:dyDescent="0.15">
      <c r="A51" s="3">
        <v>949</v>
      </c>
      <c r="B51" s="11" t="s">
        <v>376</v>
      </c>
      <c r="C51" s="3">
        <v>0</v>
      </c>
      <c r="D51" s="3">
        <v>1</v>
      </c>
      <c r="E51" s="3">
        <v>1</v>
      </c>
      <c r="F51" s="3">
        <v>1</v>
      </c>
      <c r="G51" s="3">
        <v>0</v>
      </c>
      <c r="H51" s="3" t="s">
        <v>507</v>
      </c>
      <c r="I51" s="11">
        <v>1</v>
      </c>
      <c r="J51" s="11">
        <v>0</v>
      </c>
      <c r="K51" s="11">
        <v>1</v>
      </c>
      <c r="L51" s="11">
        <v>1</v>
      </c>
      <c r="M51" s="3">
        <v>1</v>
      </c>
      <c r="N51" s="3">
        <v>0</v>
      </c>
      <c r="O51" s="3" t="s">
        <v>555</v>
      </c>
      <c r="P51" s="11"/>
      <c r="Q51" s="11"/>
      <c r="R51" s="6">
        <v>0</v>
      </c>
      <c r="S51" s="3">
        <v>1</v>
      </c>
      <c r="T51" s="3">
        <v>0</v>
      </c>
      <c r="U51" s="3">
        <v>0</v>
      </c>
      <c r="V51" s="3">
        <v>0</v>
      </c>
      <c r="W51" s="3">
        <v>0</v>
      </c>
      <c r="X51" s="3">
        <v>1</v>
      </c>
      <c r="Y51" s="3">
        <v>0.1</v>
      </c>
      <c r="Z51" s="3">
        <v>0</v>
      </c>
      <c r="AA51" s="3">
        <v>0</v>
      </c>
      <c r="AB51" s="3">
        <v>0</v>
      </c>
      <c r="AC51" s="3"/>
      <c r="AD51" s="3" t="str">
        <f t="shared" si="3"/>
        <v>public const int TRAVELLER_TAKE_FOOD = 949;</v>
      </c>
      <c r="AE51" s="3" t="str">
        <f t="shared" si="1"/>
        <v/>
      </c>
      <c r="AF51" s="3" t="str">
        <f t="shared" si="2"/>
        <v/>
      </c>
    </row>
    <row r="52" spans="1:32" x14ac:dyDescent="0.15">
      <c r="A52" s="3">
        <v>950</v>
      </c>
      <c r="B52" s="11" t="s">
        <v>377</v>
      </c>
      <c r="C52" s="3">
        <v>0</v>
      </c>
      <c r="D52" s="3">
        <v>1</v>
      </c>
      <c r="E52" s="3">
        <v>1</v>
      </c>
      <c r="F52" s="3">
        <v>1</v>
      </c>
      <c r="G52" s="3">
        <v>1</v>
      </c>
      <c r="H52" s="3" t="s">
        <v>508</v>
      </c>
      <c r="I52" s="11">
        <v>1</v>
      </c>
      <c r="J52" s="11">
        <v>0</v>
      </c>
      <c r="K52" s="11">
        <v>1</v>
      </c>
      <c r="L52" s="11">
        <v>1</v>
      </c>
      <c r="M52" s="3">
        <v>0</v>
      </c>
      <c r="N52" s="3">
        <v>0</v>
      </c>
      <c r="O52" s="3" t="s">
        <v>556</v>
      </c>
      <c r="P52" s="11"/>
      <c r="Q52" s="11"/>
      <c r="R52" s="6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2</v>
      </c>
      <c r="Z52" s="3">
        <v>0</v>
      </c>
      <c r="AA52" s="3">
        <v>0</v>
      </c>
      <c r="AB52" s="3">
        <v>0</v>
      </c>
      <c r="AC52" s="3"/>
      <c r="AD52" s="3" t="str">
        <f t="shared" si="3"/>
        <v>public const int COURTSHIP = 950;</v>
      </c>
      <c r="AE52" s="3" t="str">
        <f t="shared" si="1"/>
        <v/>
      </c>
      <c r="AF52" s="3" t="str">
        <f t="shared" si="2"/>
        <v/>
      </c>
    </row>
    <row r="53" spans="1:32" x14ac:dyDescent="0.15">
      <c r="A53" s="3">
        <v>951</v>
      </c>
      <c r="B53" s="11" t="s">
        <v>378</v>
      </c>
      <c r="C53" s="3">
        <v>0</v>
      </c>
      <c r="D53" s="3">
        <v>1</v>
      </c>
      <c r="E53" s="3">
        <v>1</v>
      </c>
      <c r="F53" s="3">
        <v>1</v>
      </c>
      <c r="G53" s="3">
        <v>0</v>
      </c>
      <c r="H53" s="3" t="s">
        <v>509</v>
      </c>
      <c r="I53" s="11">
        <v>1</v>
      </c>
      <c r="J53" s="11">
        <v>0</v>
      </c>
      <c r="K53" s="11">
        <v>1</v>
      </c>
      <c r="L53" s="11">
        <v>1</v>
      </c>
      <c r="M53" s="3">
        <v>1</v>
      </c>
      <c r="N53" s="3">
        <v>0</v>
      </c>
      <c r="O53" s="3" t="s">
        <v>509</v>
      </c>
      <c r="P53" s="11"/>
      <c r="Q53" s="11"/>
      <c r="R53" s="6">
        <v>0</v>
      </c>
      <c r="S53" s="3">
        <v>1</v>
      </c>
      <c r="T53" s="3">
        <v>0</v>
      </c>
      <c r="U53" s="3">
        <v>0</v>
      </c>
      <c r="V53" s="3">
        <v>0</v>
      </c>
      <c r="W53" s="3">
        <v>0</v>
      </c>
      <c r="X53" s="3">
        <v>1</v>
      </c>
      <c r="Y53" s="3">
        <v>0.1</v>
      </c>
      <c r="Z53" s="3">
        <v>0</v>
      </c>
      <c r="AA53" s="3">
        <v>0</v>
      </c>
      <c r="AB53" s="3">
        <v>0</v>
      </c>
      <c r="AC53" s="3"/>
      <c r="AD53" s="3" t="str">
        <f t="shared" si="3"/>
        <v>public const int FIND_MILITIA_EQUIP = 951;</v>
      </c>
      <c r="AE53" s="3" t="str">
        <f t="shared" si="1"/>
        <v/>
      </c>
      <c r="AF53" s="3" t="str">
        <f t="shared" si="2"/>
        <v/>
      </c>
    </row>
    <row r="54" spans="1:32" x14ac:dyDescent="0.15">
      <c r="A54" s="3">
        <v>952</v>
      </c>
      <c r="B54" s="11" t="s">
        <v>381</v>
      </c>
      <c r="C54" s="3">
        <v>1</v>
      </c>
      <c r="D54" s="3">
        <v>1</v>
      </c>
      <c r="E54" s="3">
        <v>1</v>
      </c>
      <c r="F54" s="3">
        <v>0</v>
      </c>
      <c r="G54" s="3">
        <v>0</v>
      </c>
      <c r="H54" s="3" t="s">
        <v>510</v>
      </c>
      <c r="I54" s="11">
        <v>1</v>
      </c>
      <c r="J54" s="11">
        <v>0</v>
      </c>
      <c r="K54" s="11">
        <v>1</v>
      </c>
      <c r="L54" s="11">
        <v>1</v>
      </c>
      <c r="M54" s="3">
        <v>1</v>
      </c>
      <c r="N54" s="3">
        <v>0</v>
      </c>
      <c r="O54" s="3" t="s">
        <v>557</v>
      </c>
      <c r="P54" s="11"/>
      <c r="Q54" s="11"/>
      <c r="R54" s="6">
        <v>0</v>
      </c>
      <c r="S54" s="3">
        <v>1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0.2</v>
      </c>
      <c r="Z54" s="3">
        <v>0</v>
      </c>
      <c r="AA54" s="3">
        <v>0</v>
      </c>
      <c r="AB54" s="3">
        <v>0</v>
      </c>
      <c r="AC54" s="3"/>
      <c r="AD54" s="3" t="str">
        <f t="shared" si="3"/>
        <v>public const int FIND_MILK = 952;</v>
      </c>
      <c r="AE54" s="3" t="str">
        <f t="shared" si="1"/>
        <v/>
      </c>
      <c r="AF54" s="3" t="str">
        <f t="shared" si="2"/>
        <v/>
      </c>
    </row>
    <row r="55" spans="1:32" x14ac:dyDescent="0.15">
      <c r="A55" s="3">
        <v>953</v>
      </c>
      <c r="B55" s="11" t="s">
        <v>382</v>
      </c>
      <c r="C55" s="3">
        <v>1</v>
      </c>
      <c r="D55" s="3">
        <v>1</v>
      </c>
      <c r="E55" s="3">
        <v>1</v>
      </c>
      <c r="F55" s="3">
        <v>0</v>
      </c>
      <c r="G55" s="3">
        <v>0</v>
      </c>
      <c r="H55" s="3" t="s">
        <v>511</v>
      </c>
      <c r="I55" s="11">
        <v>1</v>
      </c>
      <c r="J55" s="11">
        <v>0</v>
      </c>
      <c r="K55" s="11">
        <v>1</v>
      </c>
      <c r="L55" s="11">
        <v>1</v>
      </c>
      <c r="M55" s="3">
        <v>1</v>
      </c>
      <c r="N55" s="3">
        <v>0</v>
      </c>
      <c r="O55" s="3" t="s">
        <v>558</v>
      </c>
      <c r="P55" s="11"/>
      <c r="Q55" s="11"/>
      <c r="R55" s="6">
        <v>0</v>
      </c>
      <c r="S55" s="3">
        <v>1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0.2</v>
      </c>
      <c r="Z55" s="3">
        <v>0</v>
      </c>
      <c r="AA55" s="3">
        <v>0</v>
      </c>
      <c r="AB55" s="3">
        <v>0</v>
      </c>
      <c r="AC55" s="3"/>
      <c r="AD55" s="3" t="str">
        <f t="shared" si="3"/>
        <v>public const int FIND_EGG = 953;</v>
      </c>
      <c r="AE55" s="3" t="str">
        <f t="shared" si="1"/>
        <v/>
      </c>
      <c r="AF55" s="3" t="str">
        <f t="shared" si="2"/>
        <v/>
      </c>
    </row>
    <row r="56" spans="1:32" x14ac:dyDescent="0.15">
      <c r="A56" s="3">
        <v>954</v>
      </c>
      <c r="B56" s="11" t="s">
        <v>383</v>
      </c>
      <c r="C56" s="3">
        <v>1</v>
      </c>
      <c r="D56" s="3">
        <v>1</v>
      </c>
      <c r="E56" s="3">
        <v>1</v>
      </c>
      <c r="F56" s="3">
        <v>0</v>
      </c>
      <c r="G56" s="3">
        <v>0</v>
      </c>
      <c r="H56" s="3" t="s">
        <v>512</v>
      </c>
      <c r="I56" s="11">
        <v>1</v>
      </c>
      <c r="J56" s="11">
        <v>0</v>
      </c>
      <c r="K56" s="11">
        <v>1</v>
      </c>
      <c r="L56" s="11">
        <v>1</v>
      </c>
      <c r="M56" s="3">
        <v>1</v>
      </c>
      <c r="N56" s="3">
        <v>0</v>
      </c>
      <c r="O56" s="3" t="s">
        <v>559</v>
      </c>
      <c r="P56" s="11"/>
      <c r="Q56" s="11"/>
      <c r="R56" s="6">
        <v>0</v>
      </c>
      <c r="S56" s="3">
        <v>1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5</v>
      </c>
      <c r="Z56" s="3">
        <v>0</v>
      </c>
      <c r="AA56" s="3">
        <v>0</v>
      </c>
      <c r="AB56" s="3">
        <v>0</v>
      </c>
      <c r="AC56" s="3"/>
      <c r="AD56" s="3" t="str">
        <f t="shared" si="3"/>
        <v>public const int FIND_SPIRITUAL_BOOK = 954;</v>
      </c>
      <c r="AE56" s="3" t="str">
        <f t="shared" si="1"/>
        <v/>
      </c>
      <c r="AF56" s="3" t="str">
        <f t="shared" si="2"/>
        <v/>
      </c>
    </row>
    <row r="57" spans="1:32" x14ac:dyDescent="0.15">
      <c r="A57" s="3">
        <v>955</v>
      </c>
      <c r="B57" s="3" t="s">
        <v>386</v>
      </c>
      <c r="C57" s="3">
        <v>0</v>
      </c>
      <c r="D57" s="3">
        <v>1</v>
      </c>
      <c r="E57" s="3">
        <v>1</v>
      </c>
      <c r="F57" s="3">
        <v>0</v>
      </c>
      <c r="G57" s="3">
        <v>0</v>
      </c>
      <c r="H57" s="3" t="s">
        <v>513</v>
      </c>
      <c r="I57" s="11">
        <v>1</v>
      </c>
      <c r="J57" s="11">
        <v>0</v>
      </c>
      <c r="K57" s="11">
        <v>1</v>
      </c>
      <c r="L57" s="11">
        <v>1</v>
      </c>
      <c r="M57" s="3">
        <v>0</v>
      </c>
      <c r="N57" s="3">
        <v>0</v>
      </c>
      <c r="O57" s="3" t="s">
        <v>560</v>
      </c>
      <c r="P57" s="11"/>
      <c r="Q57" s="11"/>
      <c r="R57" s="6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5</v>
      </c>
      <c r="Z57" s="3">
        <v>0</v>
      </c>
      <c r="AA57" s="3">
        <v>0</v>
      </c>
      <c r="AB57" s="3">
        <v>0</v>
      </c>
      <c r="AC57" s="3"/>
      <c r="AD57" s="3" t="str">
        <f t="shared" si="3"/>
        <v>public const int FIND_MINISTER_TO_TELL = 955;</v>
      </c>
      <c r="AE57" s="3" t="str">
        <f t="shared" si="1"/>
        <v/>
      </c>
      <c r="AF57" s="3" t="str">
        <f t="shared" si="2"/>
        <v/>
      </c>
    </row>
    <row r="58" spans="1:32" x14ac:dyDescent="0.15">
      <c r="A58" s="3">
        <v>956</v>
      </c>
      <c r="B58" s="11" t="s">
        <v>388</v>
      </c>
      <c r="C58" s="3">
        <v>0</v>
      </c>
      <c r="D58" s="3">
        <v>1</v>
      </c>
      <c r="E58" s="3">
        <v>1</v>
      </c>
      <c r="F58" s="3">
        <v>1</v>
      </c>
      <c r="G58" s="3">
        <v>0</v>
      </c>
      <c r="H58" s="3" t="s">
        <v>514</v>
      </c>
      <c r="I58" s="11">
        <v>1</v>
      </c>
      <c r="J58" s="11">
        <v>0</v>
      </c>
      <c r="K58" s="11">
        <v>1</v>
      </c>
      <c r="L58" s="11">
        <v>1</v>
      </c>
      <c r="M58" s="3">
        <v>1</v>
      </c>
      <c r="N58" s="3">
        <v>0</v>
      </c>
      <c r="O58" s="3" t="s">
        <v>514</v>
      </c>
      <c r="P58" s="11"/>
      <c r="Q58" s="11"/>
      <c r="R58" s="6">
        <v>0</v>
      </c>
      <c r="S58" s="3">
        <v>1</v>
      </c>
      <c r="T58" s="3">
        <v>0</v>
      </c>
      <c r="U58" s="3">
        <v>0</v>
      </c>
      <c r="V58" s="3">
        <v>0</v>
      </c>
      <c r="W58" s="3">
        <v>0</v>
      </c>
      <c r="X58" s="3">
        <v>1</v>
      </c>
      <c r="Y58" s="3">
        <v>0.1</v>
      </c>
      <c r="Z58" s="3">
        <v>0</v>
      </c>
      <c r="AA58" s="3">
        <v>0</v>
      </c>
      <c r="AB58" s="3">
        <v>0</v>
      </c>
      <c r="AC58" s="3"/>
      <c r="AD58" s="3" t="str">
        <f t="shared" si="3"/>
        <v>public const int GET_LIEF_VALUE_BOOK = 956;</v>
      </c>
      <c r="AE58" s="3" t="str">
        <f t="shared" si="1"/>
        <v/>
      </c>
      <c r="AF58" s="3" t="str">
        <f t="shared" si="2"/>
        <v/>
      </c>
    </row>
    <row r="59" spans="1:32" x14ac:dyDescent="0.15">
      <c r="A59" s="3">
        <v>957</v>
      </c>
      <c r="B59" s="11" t="s">
        <v>430</v>
      </c>
      <c r="C59" s="3">
        <v>0</v>
      </c>
      <c r="D59" s="3">
        <v>1</v>
      </c>
      <c r="E59" s="3">
        <v>1</v>
      </c>
      <c r="F59" s="3">
        <v>0</v>
      </c>
      <c r="G59" s="3">
        <v>1</v>
      </c>
      <c r="H59" s="3" t="s">
        <v>515</v>
      </c>
      <c r="I59" s="11">
        <v>1</v>
      </c>
      <c r="J59" s="11">
        <v>0</v>
      </c>
      <c r="K59" s="11">
        <v>1</v>
      </c>
      <c r="L59" s="11">
        <v>1</v>
      </c>
      <c r="M59" s="3">
        <v>1</v>
      </c>
      <c r="N59" s="3">
        <v>0</v>
      </c>
      <c r="O59" s="3" t="s">
        <v>561</v>
      </c>
      <c r="P59" s="11"/>
      <c r="Q59" s="11"/>
      <c r="R59" s="6">
        <v>0</v>
      </c>
      <c r="S59" s="3">
        <v>0</v>
      </c>
      <c r="T59" s="3">
        <v>0</v>
      </c>
      <c r="U59" s="3">
        <v>0</v>
      </c>
      <c r="V59" s="3"/>
      <c r="W59" s="3"/>
      <c r="X59" s="3">
        <v>0</v>
      </c>
      <c r="Y59" s="3">
        <v>0.2</v>
      </c>
      <c r="Z59" s="3">
        <v>0</v>
      </c>
      <c r="AA59" s="3">
        <v>0</v>
      </c>
      <c r="AB59" s="3">
        <v>0</v>
      </c>
      <c r="AC59" s="3"/>
      <c r="AD59" s="3" t="str">
        <f t="shared" si="3"/>
        <v>public const int TRAVELLER_BUY_MEDICINE = 957;</v>
      </c>
      <c r="AE59" s="3"/>
      <c r="AF59" s="3"/>
    </row>
    <row r="60" spans="1:32" x14ac:dyDescent="0.15">
      <c r="A60" s="3">
        <v>958</v>
      </c>
      <c r="B60" s="11" t="s">
        <v>436</v>
      </c>
      <c r="C60" s="3">
        <v>0</v>
      </c>
      <c r="D60" s="3">
        <v>1</v>
      </c>
      <c r="E60" s="3">
        <v>1</v>
      </c>
      <c r="F60" s="3">
        <v>1</v>
      </c>
      <c r="G60" s="3">
        <v>0</v>
      </c>
      <c r="H60" s="3" t="s">
        <v>103</v>
      </c>
      <c r="I60" s="11">
        <v>0</v>
      </c>
      <c r="J60" s="11">
        <v>0</v>
      </c>
      <c r="K60" s="11">
        <v>1</v>
      </c>
      <c r="L60" s="11">
        <v>1</v>
      </c>
      <c r="M60" s="3">
        <v>0</v>
      </c>
      <c r="N60" s="3">
        <v>0</v>
      </c>
      <c r="O60" s="3" t="s">
        <v>103</v>
      </c>
      <c r="P60" s="3"/>
      <c r="Q60" s="3"/>
      <c r="R60" s="6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0.1</v>
      </c>
      <c r="Z60" s="3">
        <v>0</v>
      </c>
      <c r="AA60" s="3">
        <v>0</v>
      </c>
      <c r="AB60" s="3">
        <v>0</v>
      </c>
      <c r="AC60" s="3"/>
      <c r="AD60" s="3" t="str">
        <f t="shared" si="3"/>
        <v>public const int ESCAPE_WHEN_TOO_CROWD_AND_SLEEP_ON_GROUND = 958;</v>
      </c>
      <c r="AE60" s="3" t="str">
        <f t="shared" ref="AE60:AE61" si="4">P60 &amp; ""</f>
        <v/>
      </c>
      <c r="AF60" s="3" t="str">
        <f t="shared" ref="AF60:AF61" si="5">Q60 &amp; ""</f>
        <v/>
      </c>
    </row>
    <row r="61" spans="1:32" x14ac:dyDescent="0.15">
      <c r="A61" s="3">
        <v>959</v>
      </c>
      <c r="B61" s="11" t="s">
        <v>458</v>
      </c>
      <c r="C61" s="3">
        <v>1</v>
      </c>
      <c r="D61" s="3">
        <v>1</v>
      </c>
      <c r="E61" s="3">
        <v>1</v>
      </c>
      <c r="F61" s="3">
        <v>0</v>
      </c>
      <c r="G61" s="3">
        <v>0</v>
      </c>
      <c r="H61" s="3" t="s">
        <v>516</v>
      </c>
      <c r="I61" s="11">
        <v>1</v>
      </c>
      <c r="J61" s="11">
        <v>0</v>
      </c>
      <c r="K61" s="11">
        <v>1</v>
      </c>
      <c r="L61" s="11">
        <v>1</v>
      </c>
      <c r="M61" s="3">
        <v>1</v>
      </c>
      <c r="N61" s="3">
        <v>0</v>
      </c>
      <c r="O61" s="3" t="s">
        <v>559</v>
      </c>
      <c r="P61" s="11"/>
      <c r="Q61" s="11"/>
      <c r="R61" s="6">
        <v>0</v>
      </c>
      <c r="S61" s="3">
        <v>1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5</v>
      </c>
      <c r="Z61" s="3">
        <v>0</v>
      </c>
      <c r="AA61" s="3">
        <v>0</v>
      </c>
      <c r="AB61" s="3">
        <v>0</v>
      </c>
      <c r="AC61" s="3"/>
      <c r="AD61" s="3" t="str">
        <f t="shared" si="3"/>
        <v>public const int FIND_BOOK_TO_LEARN_OF_NOBLE = 959;</v>
      </c>
      <c r="AE61" s="3" t="str">
        <f t="shared" si="4"/>
        <v/>
      </c>
      <c r="AF61" s="3" t="str">
        <f t="shared" si="5"/>
        <v/>
      </c>
    </row>
    <row r="62" spans="1:32" x14ac:dyDescent="0.15">
      <c r="A62" s="3">
        <v>960</v>
      </c>
      <c r="B62" s="11" t="s">
        <v>448</v>
      </c>
      <c r="C62" s="3">
        <v>1</v>
      </c>
      <c r="D62" s="3">
        <v>1</v>
      </c>
      <c r="E62" s="3">
        <v>1</v>
      </c>
      <c r="F62" s="3">
        <v>0</v>
      </c>
      <c r="G62" s="3">
        <v>0</v>
      </c>
      <c r="H62" s="3" t="s">
        <v>517</v>
      </c>
      <c r="I62" s="11">
        <v>1</v>
      </c>
      <c r="J62" s="11">
        <v>0</v>
      </c>
      <c r="K62" s="11">
        <v>0</v>
      </c>
      <c r="L62" s="11">
        <v>0</v>
      </c>
      <c r="M62" s="3">
        <v>0</v>
      </c>
      <c r="N62" s="3">
        <v>0</v>
      </c>
      <c r="O62" s="3" t="s">
        <v>562</v>
      </c>
      <c r="P62" s="11"/>
      <c r="Q62" s="11"/>
      <c r="R62" s="6">
        <v>0</v>
      </c>
      <c r="S62" s="3">
        <v>1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5</v>
      </c>
      <c r="Z62" s="3">
        <v>0</v>
      </c>
      <c r="AA62" s="3">
        <v>0</v>
      </c>
      <c r="AB62" s="3">
        <v>0</v>
      </c>
      <c r="AC62" s="3"/>
      <c r="AD62" s="3" t="str">
        <f t="shared" si="3"/>
        <v>public const int TAKE_BATH = 960;</v>
      </c>
      <c r="AE62" s="3" t="str">
        <f t="shared" ref="AE62" si="6">P62 &amp; ""</f>
        <v/>
      </c>
      <c r="AF62" s="3" t="str">
        <f t="shared" ref="AF62" si="7">Q62 &amp; ""</f>
        <v/>
      </c>
    </row>
    <row r="63" spans="1:32" x14ac:dyDescent="0.15">
      <c r="A63" s="3">
        <v>961</v>
      </c>
      <c r="B63" s="11" t="s">
        <v>447</v>
      </c>
      <c r="C63" s="3">
        <v>1</v>
      </c>
      <c r="D63" s="3">
        <v>1</v>
      </c>
      <c r="E63" s="3">
        <v>1</v>
      </c>
      <c r="F63" s="3">
        <v>0</v>
      </c>
      <c r="G63" s="3">
        <v>0</v>
      </c>
      <c r="H63" s="3" t="s">
        <v>518</v>
      </c>
      <c r="I63" s="11">
        <v>1</v>
      </c>
      <c r="J63" s="11">
        <v>0</v>
      </c>
      <c r="K63" s="11">
        <v>0</v>
      </c>
      <c r="L63" s="11">
        <v>0</v>
      </c>
      <c r="M63" s="3">
        <v>0</v>
      </c>
      <c r="N63" s="3">
        <v>0</v>
      </c>
      <c r="O63" s="3" t="s">
        <v>563</v>
      </c>
      <c r="P63" s="11"/>
      <c r="Q63" s="11"/>
      <c r="R63" s="6">
        <v>0</v>
      </c>
      <c r="S63" s="3">
        <v>1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3</v>
      </c>
      <c r="Z63" s="3">
        <v>0</v>
      </c>
      <c r="AA63" s="3">
        <v>0</v>
      </c>
      <c r="AB63" s="3">
        <v>0</v>
      </c>
      <c r="AC63" s="3"/>
      <c r="AD63" s="3" t="str">
        <f t="shared" si="3"/>
        <v>public const int PLAY_ROULETTE_WHEEL = 961;</v>
      </c>
      <c r="AE63" s="3" t="str">
        <f>P63 &amp; ""</f>
        <v/>
      </c>
      <c r="AF63" s="3" t="str">
        <f>Q63 &amp; ""</f>
        <v/>
      </c>
    </row>
    <row r="64" spans="1:32" x14ac:dyDescent="0.15">
      <c r="A64" s="3">
        <v>962</v>
      </c>
      <c r="B64" s="11" t="s">
        <v>464</v>
      </c>
      <c r="C64" s="3">
        <v>0</v>
      </c>
      <c r="D64" s="3">
        <v>1</v>
      </c>
      <c r="E64" s="3">
        <v>1</v>
      </c>
      <c r="F64" s="3">
        <v>1</v>
      </c>
      <c r="G64" s="3">
        <v>1</v>
      </c>
      <c r="H64" s="3" t="s">
        <v>519</v>
      </c>
      <c r="I64" s="11">
        <v>0</v>
      </c>
      <c r="J64" s="11">
        <v>0</v>
      </c>
      <c r="K64" s="11">
        <v>1</v>
      </c>
      <c r="L64" s="11">
        <v>1</v>
      </c>
      <c r="M64" s="3">
        <v>0</v>
      </c>
      <c r="N64" s="3">
        <v>0</v>
      </c>
      <c r="O64" s="3" t="s">
        <v>564</v>
      </c>
      <c r="P64" s="11"/>
      <c r="Q64" s="11"/>
      <c r="R64" s="6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1</v>
      </c>
      <c r="Z64" s="3">
        <v>0</v>
      </c>
      <c r="AA64" s="3">
        <v>0</v>
      </c>
      <c r="AB64" s="3">
        <v>0</v>
      </c>
      <c r="AC64" s="3"/>
      <c r="AD64" s="3" t="str">
        <f t="shared" si="3"/>
        <v>public const int ESCAPE_TO_OTHER_TERRITORY = 962;</v>
      </c>
      <c r="AE64" s="3" t="str">
        <f t="shared" ref="AE64:AE67" si="8">P64 &amp; ""</f>
        <v/>
      </c>
      <c r="AF64" s="3" t="str">
        <f t="shared" ref="AF64:AF67" si="9">Q64 &amp; ""</f>
        <v/>
      </c>
    </row>
    <row r="65" spans="1:32" x14ac:dyDescent="0.15">
      <c r="A65" s="3">
        <v>963</v>
      </c>
      <c r="B65" s="11" t="s">
        <v>472</v>
      </c>
      <c r="C65" s="3">
        <v>0</v>
      </c>
      <c r="D65" s="3">
        <v>1</v>
      </c>
      <c r="E65" s="3">
        <v>1</v>
      </c>
      <c r="F65" s="3">
        <v>0</v>
      </c>
      <c r="G65" s="3">
        <v>0</v>
      </c>
      <c r="H65" s="3" t="s">
        <v>520</v>
      </c>
      <c r="I65" s="11">
        <v>1</v>
      </c>
      <c r="J65" s="11">
        <v>0</v>
      </c>
      <c r="K65" s="11">
        <v>1</v>
      </c>
      <c r="L65" s="11">
        <v>1</v>
      </c>
      <c r="M65" s="3">
        <v>0</v>
      </c>
      <c r="N65" s="3">
        <v>0</v>
      </c>
      <c r="O65" s="3" t="s">
        <v>565</v>
      </c>
      <c r="P65" s="3"/>
      <c r="Q65" s="3"/>
      <c r="R65" s="6">
        <v>0</v>
      </c>
      <c r="S65" s="3">
        <v>1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2</v>
      </c>
      <c r="Z65" s="3">
        <v>0</v>
      </c>
      <c r="AA65" s="3">
        <v>0</v>
      </c>
      <c r="AB65" s="3">
        <v>0</v>
      </c>
      <c r="AC65" s="3"/>
      <c r="AD65" s="3" t="str">
        <f t="shared" si="3"/>
        <v>public const int PRAISE_KING = 963;</v>
      </c>
      <c r="AE65" s="3" t="str">
        <f t="shared" si="8"/>
        <v/>
      </c>
      <c r="AF65" s="3" t="str">
        <f t="shared" si="9"/>
        <v/>
      </c>
    </row>
    <row r="66" spans="1:32" x14ac:dyDescent="0.15">
      <c r="A66" s="3">
        <v>964</v>
      </c>
      <c r="B66" s="11" t="s">
        <v>475</v>
      </c>
      <c r="C66" s="3">
        <v>0</v>
      </c>
      <c r="D66" s="3">
        <v>1</v>
      </c>
      <c r="E66" s="3">
        <v>1</v>
      </c>
      <c r="F66" s="3">
        <v>1</v>
      </c>
      <c r="G66" s="3">
        <v>1</v>
      </c>
      <c r="H66" s="3" t="s">
        <v>521</v>
      </c>
      <c r="I66" s="11">
        <v>0</v>
      </c>
      <c r="J66" s="11">
        <v>0</v>
      </c>
      <c r="K66" s="11">
        <v>1</v>
      </c>
      <c r="L66" s="11">
        <v>1</v>
      </c>
      <c r="M66" s="3">
        <v>0</v>
      </c>
      <c r="N66" s="3">
        <v>0</v>
      </c>
      <c r="O66" s="3" t="s">
        <v>566</v>
      </c>
      <c r="P66" s="3"/>
      <c r="Q66" s="3"/>
      <c r="R66" s="6">
        <v>0</v>
      </c>
      <c r="S66" s="3">
        <v>0</v>
      </c>
      <c r="T66" s="3">
        <v>0</v>
      </c>
      <c r="U66" s="3">
        <v>0</v>
      </c>
      <c r="V66" s="3"/>
      <c r="W66" s="3"/>
      <c r="X66" s="3">
        <v>0</v>
      </c>
      <c r="Y66" s="3">
        <v>0.1</v>
      </c>
      <c r="Z66" s="3">
        <v>0</v>
      </c>
      <c r="AA66" s="3">
        <v>0</v>
      </c>
      <c r="AB66" s="3">
        <v>0</v>
      </c>
      <c r="AC66" s="3"/>
      <c r="AD66" s="3" t="str">
        <f t="shared" si="3"/>
        <v>public const int REBEL = 964;</v>
      </c>
      <c r="AE66" s="3" t="str">
        <f t="shared" si="8"/>
        <v/>
      </c>
      <c r="AF66" s="3" t="str">
        <f t="shared" si="9"/>
        <v/>
      </c>
    </row>
    <row r="67" spans="1:32" x14ac:dyDescent="0.15">
      <c r="A67" s="3">
        <v>965</v>
      </c>
      <c r="B67" s="11" t="s">
        <v>479</v>
      </c>
      <c r="C67" s="3">
        <v>0</v>
      </c>
      <c r="D67" s="3">
        <v>1</v>
      </c>
      <c r="E67" s="3">
        <v>1</v>
      </c>
      <c r="F67" s="3">
        <v>0</v>
      </c>
      <c r="G67" s="3">
        <v>0</v>
      </c>
      <c r="H67" s="3" t="s">
        <v>522</v>
      </c>
      <c r="I67" s="11">
        <v>0</v>
      </c>
      <c r="J67" s="11">
        <v>0</v>
      </c>
      <c r="K67" s="11">
        <v>1</v>
      </c>
      <c r="L67" s="11">
        <v>1</v>
      </c>
      <c r="M67" s="3">
        <v>0</v>
      </c>
      <c r="N67" s="3">
        <v>0</v>
      </c>
      <c r="O67" s="3" t="s">
        <v>522</v>
      </c>
      <c r="P67" s="3"/>
      <c r="Q67" s="3"/>
      <c r="R67" s="6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0.1</v>
      </c>
      <c r="Z67" s="3">
        <v>0</v>
      </c>
      <c r="AA67" s="3">
        <v>0</v>
      </c>
      <c r="AB67" s="3">
        <v>0</v>
      </c>
      <c r="AC67" s="3"/>
      <c r="AD67" s="3" t="str">
        <f t="shared" ref="AD67:AD98" si="10">CONCATENATE("public const int ",B67," = ",A67,";")</f>
        <v>public const int RETIRE = 965;</v>
      </c>
      <c r="AE67" s="3" t="str">
        <f t="shared" si="8"/>
        <v/>
      </c>
      <c r="AF67" s="3" t="str">
        <f t="shared" si="9"/>
        <v/>
      </c>
    </row>
    <row r="68" spans="1:32" x14ac:dyDescent="0.15">
      <c r="A68" s="3">
        <v>966</v>
      </c>
      <c r="B68" s="11" t="s">
        <v>484</v>
      </c>
      <c r="C68" s="3">
        <v>0</v>
      </c>
      <c r="D68" s="3">
        <v>1</v>
      </c>
      <c r="E68" s="3">
        <v>1</v>
      </c>
      <c r="F68" s="3">
        <v>0</v>
      </c>
      <c r="G68" s="3">
        <v>0</v>
      </c>
      <c r="H68" s="16" t="s">
        <v>592</v>
      </c>
      <c r="I68" s="11">
        <v>1</v>
      </c>
      <c r="J68" s="11">
        <v>0</v>
      </c>
      <c r="K68" s="11">
        <v>0</v>
      </c>
      <c r="L68" s="11">
        <v>0</v>
      </c>
      <c r="M68" s="3">
        <v>1</v>
      </c>
      <c r="N68" s="3">
        <v>0</v>
      </c>
      <c r="O68" s="17" t="s">
        <v>593</v>
      </c>
      <c r="P68" s="3"/>
      <c r="Q68" s="3"/>
      <c r="R68" s="6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1</v>
      </c>
      <c r="Y68" s="3">
        <v>0.1</v>
      </c>
      <c r="Z68" s="3">
        <v>0</v>
      </c>
      <c r="AA68" s="3">
        <v>0</v>
      </c>
      <c r="AB68" s="3">
        <v>0</v>
      </c>
      <c r="AC68" s="3"/>
      <c r="AD68" s="3" t="str">
        <f t="shared" si="10"/>
        <v>public const int SEND_FLOWER_FOR_WEDDING_ANNIVERSARY = 966;</v>
      </c>
      <c r="AE68" s="3"/>
      <c r="AF68" s="3"/>
    </row>
    <row r="69" spans="1:32" x14ac:dyDescent="0.15">
      <c r="A69" s="3">
        <v>967</v>
      </c>
      <c r="B69" s="11" t="s">
        <v>485</v>
      </c>
      <c r="C69" s="3">
        <v>0</v>
      </c>
      <c r="D69" s="3">
        <v>1</v>
      </c>
      <c r="E69" s="3">
        <v>1</v>
      </c>
      <c r="F69" s="3">
        <v>0</v>
      </c>
      <c r="G69" s="3">
        <v>0</v>
      </c>
      <c r="H69" s="11" t="s">
        <v>591</v>
      </c>
      <c r="I69" s="11">
        <v>1</v>
      </c>
      <c r="J69" s="11">
        <v>0</v>
      </c>
      <c r="K69" s="11">
        <v>0</v>
      </c>
      <c r="L69" s="11">
        <v>0</v>
      </c>
      <c r="M69" s="3">
        <v>1</v>
      </c>
      <c r="N69" s="3">
        <v>0</v>
      </c>
      <c r="O69" s="11" t="s">
        <v>594</v>
      </c>
      <c r="P69" s="3"/>
      <c r="Q69" s="3"/>
      <c r="R69" s="6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1</v>
      </c>
      <c r="Y69" s="3">
        <v>0.1</v>
      </c>
      <c r="Z69" s="3">
        <v>0</v>
      </c>
      <c r="AA69" s="3">
        <v>0</v>
      </c>
      <c r="AB69" s="3">
        <v>0</v>
      </c>
      <c r="AC69" s="3"/>
      <c r="AD69" s="3" t="str">
        <f t="shared" si="10"/>
        <v>public const int SEND_FLOWER_TO_TEACHER = 967;</v>
      </c>
      <c r="AE69" s="3"/>
      <c r="AF69" s="3"/>
    </row>
    <row r="70" spans="1:32" x14ac:dyDescent="0.15">
      <c r="A70" s="3">
        <v>968</v>
      </c>
      <c r="B70" s="11" t="s">
        <v>486</v>
      </c>
      <c r="C70" s="3">
        <v>0</v>
      </c>
      <c r="D70" s="3">
        <v>1</v>
      </c>
      <c r="E70" s="3">
        <v>1</v>
      </c>
      <c r="F70" s="3">
        <v>0</v>
      </c>
      <c r="G70" s="3">
        <v>0</v>
      </c>
      <c r="H70" s="11" t="s">
        <v>595</v>
      </c>
      <c r="I70" s="11">
        <v>1</v>
      </c>
      <c r="J70" s="11">
        <v>0</v>
      </c>
      <c r="K70" s="11">
        <v>0</v>
      </c>
      <c r="L70" s="11">
        <v>0</v>
      </c>
      <c r="M70" s="3">
        <v>1</v>
      </c>
      <c r="N70" s="3">
        <v>0</v>
      </c>
      <c r="O70" s="11" t="s">
        <v>596</v>
      </c>
      <c r="P70" s="3"/>
      <c r="Q70" s="3"/>
      <c r="R70" s="6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1</v>
      </c>
      <c r="Y70" s="3">
        <v>0.1</v>
      </c>
      <c r="Z70" s="3">
        <v>0</v>
      </c>
      <c r="AA70" s="3">
        <v>0</v>
      </c>
      <c r="AB70" s="3">
        <v>0</v>
      </c>
      <c r="AC70" s="3"/>
      <c r="AD70" s="3" t="str">
        <f t="shared" si="10"/>
        <v>public const int SEND_FLOWER_TO_DOCTOR = 968;</v>
      </c>
      <c r="AE70" s="3"/>
      <c r="AF70" s="3"/>
    </row>
    <row r="71" spans="1:32" x14ac:dyDescent="0.15">
      <c r="A71" s="3">
        <v>1</v>
      </c>
      <c r="B71" s="11" t="s">
        <v>483</v>
      </c>
      <c r="C71" s="3">
        <v>0</v>
      </c>
      <c r="D71" s="3">
        <v>0</v>
      </c>
      <c r="E71" s="3">
        <v>1</v>
      </c>
      <c r="F71" s="3">
        <v>0</v>
      </c>
      <c r="G71" s="3">
        <v>0</v>
      </c>
      <c r="H71" s="3" t="s">
        <v>119</v>
      </c>
      <c r="I71" s="11">
        <v>1</v>
      </c>
      <c r="J71" s="11">
        <v>0</v>
      </c>
      <c r="K71" s="3">
        <v>1</v>
      </c>
      <c r="L71" s="3">
        <v>0</v>
      </c>
      <c r="M71" s="3">
        <v>0</v>
      </c>
      <c r="N71" s="3">
        <v>1</v>
      </c>
      <c r="O71" s="3" t="s">
        <v>487</v>
      </c>
      <c r="P71" s="11"/>
      <c r="Q71" s="11"/>
      <c r="R71" s="6">
        <v>1</v>
      </c>
      <c r="S71" s="3">
        <v>1</v>
      </c>
      <c r="T71" s="3">
        <v>0</v>
      </c>
      <c r="U71" s="3">
        <v>1</v>
      </c>
      <c r="V71" s="3">
        <v>1</v>
      </c>
      <c r="W71" s="3">
        <v>0.5</v>
      </c>
      <c r="X71" s="3">
        <v>1</v>
      </c>
      <c r="Y71" s="3">
        <v>0.75</v>
      </c>
      <c r="Z71" s="3">
        <v>0.4</v>
      </c>
      <c r="AA71" s="3">
        <v>1</v>
      </c>
      <c r="AB71" s="3">
        <v>0</v>
      </c>
      <c r="AC71" s="3" t="s">
        <v>120</v>
      </c>
      <c r="AD71" s="3" t="str">
        <f t="shared" si="10"/>
        <v>public const int COLLECT_STONE = 1;</v>
      </c>
      <c r="AE71" s="3" t="str">
        <f t="shared" si="1"/>
        <v/>
      </c>
      <c r="AF71" s="3" t="str">
        <f t="shared" si="2"/>
        <v/>
      </c>
    </row>
    <row r="72" spans="1:32" x14ac:dyDescent="0.15">
      <c r="A72" s="3">
        <v>2</v>
      </c>
      <c r="B72" s="3" t="s">
        <v>121</v>
      </c>
      <c r="C72" s="3">
        <v>0</v>
      </c>
      <c r="D72" s="3">
        <v>0</v>
      </c>
      <c r="E72" s="3">
        <v>1</v>
      </c>
      <c r="F72" s="3">
        <v>0</v>
      </c>
      <c r="G72" s="3">
        <v>0</v>
      </c>
      <c r="H72" s="3" t="s">
        <v>122</v>
      </c>
      <c r="I72" s="11">
        <v>1</v>
      </c>
      <c r="J72" s="11">
        <v>0</v>
      </c>
      <c r="K72" s="3">
        <v>1</v>
      </c>
      <c r="L72" s="3">
        <v>0</v>
      </c>
      <c r="M72" s="3">
        <v>0</v>
      </c>
      <c r="N72" s="3">
        <v>1</v>
      </c>
      <c r="O72" s="3" t="s">
        <v>123</v>
      </c>
      <c r="P72" s="3"/>
      <c r="Q72" s="3"/>
      <c r="R72" s="6">
        <v>1</v>
      </c>
      <c r="S72" s="3">
        <v>1</v>
      </c>
      <c r="T72" s="3">
        <v>0</v>
      </c>
      <c r="U72" s="3">
        <v>1</v>
      </c>
      <c r="V72" s="3">
        <v>1</v>
      </c>
      <c r="W72" s="3">
        <v>0.5</v>
      </c>
      <c r="X72" s="3">
        <v>1</v>
      </c>
      <c r="Y72" s="3">
        <v>0.5</v>
      </c>
      <c r="Z72" s="3">
        <v>0.4</v>
      </c>
      <c r="AA72" s="3">
        <v>1</v>
      </c>
      <c r="AB72" s="3">
        <v>0</v>
      </c>
      <c r="AC72" s="3" t="s">
        <v>120</v>
      </c>
      <c r="AD72" s="3" t="str">
        <f t="shared" si="10"/>
        <v>public const int COLLECT_WOOD = 2;</v>
      </c>
      <c r="AE72" s="3" t="str">
        <f t="shared" si="1"/>
        <v/>
      </c>
      <c r="AF72" s="3" t="str">
        <f t="shared" si="2"/>
        <v/>
      </c>
    </row>
    <row r="73" spans="1:32" x14ac:dyDescent="0.15">
      <c r="A73" s="3">
        <v>3</v>
      </c>
      <c r="B73" s="3" t="s">
        <v>124</v>
      </c>
      <c r="C73" s="3">
        <v>0</v>
      </c>
      <c r="D73" s="3">
        <v>0</v>
      </c>
      <c r="E73" s="3">
        <v>1</v>
      </c>
      <c r="F73" s="3">
        <v>0</v>
      </c>
      <c r="G73" s="3">
        <v>0</v>
      </c>
      <c r="H73" s="3" t="s">
        <v>125</v>
      </c>
      <c r="I73" s="11">
        <v>1</v>
      </c>
      <c r="J73" s="11">
        <v>0</v>
      </c>
      <c r="K73" s="3">
        <v>1</v>
      </c>
      <c r="L73" s="3">
        <v>0</v>
      </c>
      <c r="M73" s="3">
        <v>0</v>
      </c>
      <c r="N73" s="3">
        <v>1</v>
      </c>
      <c r="O73" s="3" t="s">
        <v>126</v>
      </c>
      <c r="P73" s="3"/>
      <c r="Q73" s="3"/>
      <c r="R73" s="6">
        <v>1</v>
      </c>
      <c r="S73" s="3">
        <v>1</v>
      </c>
      <c r="T73" s="3">
        <v>0</v>
      </c>
      <c r="U73" s="3">
        <v>1</v>
      </c>
      <c r="V73" s="3">
        <v>1</v>
      </c>
      <c r="W73" s="3">
        <v>0.5</v>
      </c>
      <c r="X73" s="3">
        <v>1</v>
      </c>
      <c r="Y73" s="3">
        <v>0.75</v>
      </c>
      <c r="Z73" s="3">
        <v>0.4</v>
      </c>
      <c r="AA73" s="3">
        <v>1</v>
      </c>
      <c r="AB73" s="3">
        <v>0</v>
      </c>
      <c r="AC73" s="3" t="s">
        <v>120</v>
      </c>
      <c r="AD73" s="3" t="str">
        <f t="shared" si="10"/>
        <v>public const int COLLECT_IRON = 3;</v>
      </c>
      <c r="AE73" s="3" t="str">
        <f t="shared" si="1"/>
        <v/>
      </c>
      <c r="AF73" s="3" t="str">
        <f t="shared" si="2"/>
        <v/>
      </c>
    </row>
    <row r="74" spans="1:32" x14ac:dyDescent="0.15">
      <c r="A74" s="3">
        <v>4</v>
      </c>
      <c r="B74" s="3" t="s">
        <v>127</v>
      </c>
      <c r="C74" s="3">
        <v>0</v>
      </c>
      <c r="D74" s="3">
        <v>1</v>
      </c>
      <c r="E74" s="3">
        <v>1</v>
      </c>
      <c r="F74" s="3">
        <v>0</v>
      </c>
      <c r="G74" s="3">
        <v>0</v>
      </c>
      <c r="H74" s="3" t="s">
        <v>128</v>
      </c>
      <c r="I74" s="11">
        <v>1</v>
      </c>
      <c r="J74" s="11">
        <v>0</v>
      </c>
      <c r="K74" s="3">
        <v>0</v>
      </c>
      <c r="L74" s="3">
        <v>0</v>
      </c>
      <c r="M74" s="5">
        <v>1</v>
      </c>
      <c r="N74" s="3">
        <v>1</v>
      </c>
      <c r="O74" s="3" t="s">
        <v>129</v>
      </c>
      <c r="P74" s="10" t="s">
        <v>427</v>
      </c>
      <c r="Q74" s="10" t="s">
        <v>397</v>
      </c>
      <c r="R74" s="6">
        <v>1</v>
      </c>
      <c r="S74" s="3">
        <v>0</v>
      </c>
      <c r="T74" s="3">
        <v>0</v>
      </c>
      <c r="U74" s="3">
        <v>0</v>
      </c>
      <c r="V74" s="3">
        <v>1</v>
      </c>
      <c r="W74" s="3">
        <v>0.5</v>
      </c>
      <c r="X74" s="3">
        <v>0</v>
      </c>
      <c r="Y74" s="3">
        <v>0.2</v>
      </c>
      <c r="Z74" s="3">
        <v>0.1</v>
      </c>
      <c r="AA74" s="3">
        <v>1</v>
      </c>
      <c r="AB74" s="3">
        <v>0</v>
      </c>
      <c r="AC74" s="3"/>
      <c r="AD74" s="3" t="str">
        <f t="shared" si="10"/>
        <v>public const int TRANSPORT = 4;</v>
      </c>
      <c r="AE74" s="3" t="str">
        <f t="shared" si="1"/>
        <v>装卸物品</v>
      </c>
      <c r="AF74" s="3" t="str">
        <f t="shared" si="2"/>
        <v>运输物品的路上</v>
      </c>
    </row>
    <row r="75" spans="1:32" x14ac:dyDescent="0.15">
      <c r="A75" s="3">
        <v>5</v>
      </c>
      <c r="B75" s="3" t="s">
        <v>130</v>
      </c>
      <c r="C75" s="3">
        <v>0</v>
      </c>
      <c r="D75" s="3">
        <v>0</v>
      </c>
      <c r="E75" s="3">
        <v>1</v>
      </c>
      <c r="F75" s="3">
        <v>0</v>
      </c>
      <c r="G75" s="3">
        <v>1</v>
      </c>
      <c r="H75" s="3" t="s">
        <v>131</v>
      </c>
      <c r="I75" s="11">
        <v>1</v>
      </c>
      <c r="J75" s="11">
        <v>1</v>
      </c>
      <c r="K75" s="3">
        <v>0</v>
      </c>
      <c r="L75" s="3">
        <v>0</v>
      </c>
      <c r="M75" s="5">
        <v>0</v>
      </c>
      <c r="N75" s="3">
        <v>1</v>
      </c>
      <c r="O75" s="3" t="s">
        <v>132</v>
      </c>
      <c r="P75" s="10" t="s">
        <v>398</v>
      </c>
      <c r="Q75" s="10" t="s">
        <v>399</v>
      </c>
      <c r="R75" s="6">
        <v>0</v>
      </c>
      <c r="S75" s="3">
        <v>0</v>
      </c>
      <c r="T75" s="3">
        <v>0</v>
      </c>
      <c r="U75" s="3">
        <v>0</v>
      </c>
      <c r="V75" s="3">
        <v>1</v>
      </c>
      <c r="W75" s="3">
        <v>0.5</v>
      </c>
      <c r="X75" s="3">
        <v>0</v>
      </c>
      <c r="Y75" s="3">
        <v>0.4</v>
      </c>
      <c r="Z75" s="3">
        <v>0.1</v>
      </c>
      <c r="AA75" s="3">
        <v>1</v>
      </c>
      <c r="AB75" s="3">
        <v>0</v>
      </c>
      <c r="AC75" s="3"/>
      <c r="AD75" s="3" t="str">
        <f t="shared" si="10"/>
        <v>public const int BUILD = 5;</v>
      </c>
      <c r="AE75" s="3" t="str">
        <f t="shared" si="1"/>
        <v>建造设施</v>
      </c>
      <c r="AF75" s="3" t="str">
        <f t="shared" si="2"/>
        <v>建造设施的路上</v>
      </c>
    </row>
    <row r="76" spans="1:32" x14ac:dyDescent="0.15">
      <c r="A76" s="3">
        <v>6</v>
      </c>
      <c r="B76" s="3" t="s">
        <v>133</v>
      </c>
      <c r="C76" s="3">
        <v>0</v>
      </c>
      <c r="D76" s="3">
        <v>0</v>
      </c>
      <c r="E76" s="3">
        <v>1</v>
      </c>
      <c r="F76" s="3">
        <v>0</v>
      </c>
      <c r="G76" s="3">
        <v>0</v>
      </c>
      <c r="H76" s="3" t="s">
        <v>134</v>
      </c>
      <c r="I76" s="11">
        <v>1</v>
      </c>
      <c r="J76" s="11">
        <v>0</v>
      </c>
      <c r="K76" s="3">
        <v>0</v>
      </c>
      <c r="L76" s="3">
        <v>1</v>
      </c>
      <c r="M76" s="5">
        <v>0</v>
      </c>
      <c r="N76" s="3">
        <v>1</v>
      </c>
      <c r="O76" s="3" t="s">
        <v>135</v>
      </c>
      <c r="P76" s="10" t="s">
        <v>427</v>
      </c>
      <c r="Q76" s="10" t="s">
        <v>400</v>
      </c>
      <c r="R76" s="6">
        <v>1</v>
      </c>
      <c r="S76" s="3">
        <v>1</v>
      </c>
      <c r="T76" s="3">
        <v>0</v>
      </c>
      <c r="U76" s="3">
        <v>0</v>
      </c>
      <c r="V76" s="3">
        <v>1</v>
      </c>
      <c r="W76" s="3">
        <v>0.5</v>
      </c>
      <c r="X76" s="3">
        <v>0</v>
      </c>
      <c r="Y76" s="3">
        <v>0.1</v>
      </c>
      <c r="Z76" s="3">
        <v>0.25</v>
      </c>
      <c r="AA76" s="3">
        <v>1</v>
      </c>
      <c r="AB76" s="3">
        <v>0</v>
      </c>
      <c r="AC76" s="3"/>
      <c r="AD76" s="3" t="str">
        <f t="shared" si="10"/>
        <v>public const int PICK_UP = 6;</v>
      </c>
      <c r="AE76" s="3" t="str">
        <f t="shared" si="1"/>
        <v>装卸物品</v>
      </c>
      <c r="AF76" s="3" t="str">
        <f t="shared" si="2"/>
        <v>搬运物品的路上</v>
      </c>
    </row>
    <row r="77" spans="1:32" s="1" customFormat="1" x14ac:dyDescent="0.15">
      <c r="A77" s="3">
        <v>7</v>
      </c>
      <c r="B77" s="6" t="s">
        <v>136</v>
      </c>
      <c r="C77" s="6">
        <v>0</v>
      </c>
      <c r="D77" s="6">
        <v>0</v>
      </c>
      <c r="E77" s="6">
        <v>1</v>
      </c>
      <c r="F77" s="6">
        <v>0</v>
      </c>
      <c r="G77" s="6">
        <v>1</v>
      </c>
      <c r="H77" s="3" t="s">
        <v>137</v>
      </c>
      <c r="I77" s="11">
        <v>1</v>
      </c>
      <c r="J77" s="11">
        <v>0</v>
      </c>
      <c r="K77" s="3">
        <v>0</v>
      </c>
      <c r="L77" s="3">
        <v>0</v>
      </c>
      <c r="M77" s="6">
        <v>0</v>
      </c>
      <c r="N77" s="3">
        <v>1</v>
      </c>
      <c r="O77" s="3" t="s">
        <v>138</v>
      </c>
      <c r="P77" s="6"/>
      <c r="Q77" s="6"/>
      <c r="R77" s="6">
        <v>0</v>
      </c>
      <c r="S77" s="6">
        <v>0</v>
      </c>
      <c r="T77" s="6">
        <v>0</v>
      </c>
      <c r="U77" s="6">
        <v>0</v>
      </c>
      <c r="V77" s="6">
        <v>1</v>
      </c>
      <c r="W77" s="6">
        <v>1</v>
      </c>
      <c r="X77" s="6">
        <v>0</v>
      </c>
      <c r="Y77" s="6">
        <v>0.75</v>
      </c>
      <c r="Z77" s="6">
        <v>0.1</v>
      </c>
      <c r="AA77" s="6">
        <v>1</v>
      </c>
      <c r="AB77" s="6">
        <v>0</v>
      </c>
      <c r="AC77" s="6"/>
      <c r="AD77" s="3" t="str">
        <f t="shared" si="10"/>
        <v>public const int CROP_FEILD_SOW = 7;</v>
      </c>
      <c r="AE77" s="3" t="str">
        <f t="shared" si="1"/>
        <v/>
      </c>
      <c r="AF77" s="3" t="str">
        <f t="shared" si="2"/>
        <v/>
      </c>
    </row>
    <row r="78" spans="1:32" s="1" customFormat="1" x14ac:dyDescent="0.15">
      <c r="A78" s="3">
        <v>8</v>
      </c>
      <c r="B78" s="6" t="s">
        <v>139</v>
      </c>
      <c r="C78" s="6">
        <v>0</v>
      </c>
      <c r="D78" s="6">
        <v>0</v>
      </c>
      <c r="E78" s="6">
        <v>1</v>
      </c>
      <c r="F78" s="6">
        <v>0</v>
      </c>
      <c r="G78" s="6">
        <v>1</v>
      </c>
      <c r="H78" s="3" t="s">
        <v>140</v>
      </c>
      <c r="I78" s="11">
        <v>1</v>
      </c>
      <c r="J78" s="11">
        <v>0</v>
      </c>
      <c r="K78" s="3">
        <v>0</v>
      </c>
      <c r="L78" s="3">
        <v>0</v>
      </c>
      <c r="M78" s="6">
        <v>0</v>
      </c>
      <c r="N78" s="3">
        <v>1</v>
      </c>
      <c r="O78" s="3" t="s">
        <v>141</v>
      </c>
      <c r="P78" s="6"/>
      <c r="Q78" s="6"/>
      <c r="R78" s="6">
        <v>0</v>
      </c>
      <c r="S78" s="6">
        <v>1</v>
      </c>
      <c r="T78" s="6">
        <v>1</v>
      </c>
      <c r="U78" s="6">
        <v>0</v>
      </c>
      <c r="V78" s="6">
        <v>1</v>
      </c>
      <c r="W78" s="6">
        <v>1</v>
      </c>
      <c r="X78" s="6">
        <v>0</v>
      </c>
      <c r="Y78" s="6">
        <v>0.75</v>
      </c>
      <c r="Z78" s="6">
        <v>0.2</v>
      </c>
      <c r="AA78" s="6">
        <v>1</v>
      </c>
      <c r="AB78" s="6">
        <v>0</v>
      </c>
      <c r="AC78" s="6"/>
      <c r="AD78" s="3" t="str">
        <f t="shared" si="10"/>
        <v>public const int CROP_FEILD_HARVEST = 8;</v>
      </c>
      <c r="AE78" s="3" t="str">
        <f t="shared" si="1"/>
        <v/>
      </c>
      <c r="AF78" s="3" t="str">
        <f t="shared" si="2"/>
        <v/>
      </c>
    </row>
    <row r="79" spans="1:32" s="1" customFormat="1" x14ac:dyDescent="0.15">
      <c r="A79" s="3">
        <v>38</v>
      </c>
      <c r="B79" s="6" t="s">
        <v>142</v>
      </c>
      <c r="C79" s="6">
        <v>0</v>
      </c>
      <c r="D79" s="6">
        <v>0</v>
      </c>
      <c r="E79" s="6">
        <v>1</v>
      </c>
      <c r="F79" s="6">
        <v>0</v>
      </c>
      <c r="G79" s="6">
        <v>0</v>
      </c>
      <c r="H79" s="3" t="s">
        <v>143</v>
      </c>
      <c r="I79" s="11">
        <v>1</v>
      </c>
      <c r="J79" s="11">
        <v>0</v>
      </c>
      <c r="K79" s="3">
        <v>0</v>
      </c>
      <c r="L79" s="3">
        <v>0</v>
      </c>
      <c r="M79" s="6">
        <v>0</v>
      </c>
      <c r="N79" s="3">
        <v>1</v>
      </c>
      <c r="O79" s="3" t="s">
        <v>144</v>
      </c>
      <c r="P79" s="6"/>
      <c r="Q79" s="6"/>
      <c r="R79" s="6">
        <v>0</v>
      </c>
      <c r="S79" s="6">
        <v>0</v>
      </c>
      <c r="T79" s="6">
        <v>0</v>
      </c>
      <c r="U79" s="6">
        <v>0</v>
      </c>
      <c r="V79" s="6">
        <v>1</v>
      </c>
      <c r="W79" s="6">
        <v>0.5</v>
      </c>
      <c r="X79" s="6">
        <v>0</v>
      </c>
      <c r="Y79" s="6">
        <v>0.75</v>
      </c>
      <c r="Z79" s="6">
        <v>0.1</v>
      </c>
      <c r="AA79" s="6">
        <v>1</v>
      </c>
      <c r="AB79" s="6">
        <v>0</v>
      </c>
      <c r="AC79" s="6"/>
      <c r="AD79" s="3" t="str">
        <f t="shared" si="10"/>
        <v>public const int WATERING = 38;</v>
      </c>
      <c r="AE79" s="3" t="str">
        <f t="shared" si="1"/>
        <v/>
      </c>
      <c r="AF79" s="3" t="str">
        <f t="shared" si="2"/>
        <v/>
      </c>
    </row>
    <row r="80" spans="1:32" s="1" customFormat="1" x14ac:dyDescent="0.15">
      <c r="A80" s="3">
        <v>39</v>
      </c>
      <c r="B80" s="6" t="s">
        <v>145</v>
      </c>
      <c r="C80" s="6">
        <v>0</v>
      </c>
      <c r="D80" s="6">
        <v>0</v>
      </c>
      <c r="E80" s="6">
        <v>1</v>
      </c>
      <c r="F80" s="6">
        <v>0</v>
      </c>
      <c r="G80" s="6">
        <v>0</v>
      </c>
      <c r="H80" s="3" t="s">
        <v>146</v>
      </c>
      <c r="I80" s="11">
        <v>1</v>
      </c>
      <c r="J80" s="11">
        <v>0</v>
      </c>
      <c r="K80" s="3">
        <v>0</v>
      </c>
      <c r="L80" s="3">
        <v>0</v>
      </c>
      <c r="M80" s="6">
        <v>1</v>
      </c>
      <c r="N80" s="3">
        <v>1</v>
      </c>
      <c r="O80" s="3" t="s">
        <v>147</v>
      </c>
      <c r="P80" s="6"/>
      <c r="Q80" s="6"/>
      <c r="R80" s="6">
        <v>0</v>
      </c>
      <c r="S80" s="6">
        <v>0</v>
      </c>
      <c r="T80" s="6">
        <v>0</v>
      </c>
      <c r="U80" s="6">
        <v>0</v>
      </c>
      <c r="V80" s="6">
        <v>1</v>
      </c>
      <c r="W80" s="6">
        <v>0.5</v>
      </c>
      <c r="X80" s="6">
        <v>0</v>
      </c>
      <c r="Y80" s="6">
        <v>0.75</v>
      </c>
      <c r="Z80" s="6">
        <v>0.1</v>
      </c>
      <c r="AA80" s="6">
        <v>1</v>
      </c>
      <c r="AB80" s="6">
        <v>0</v>
      </c>
      <c r="AC80" s="6"/>
      <c r="AD80" s="3" t="str">
        <f t="shared" si="10"/>
        <v>public const int FERTILIZING = 39;</v>
      </c>
      <c r="AE80" s="3" t="str">
        <f t="shared" ref="AE80:AE143" si="11">P80 &amp; ""</f>
        <v/>
      </c>
      <c r="AF80" s="3" t="str">
        <f t="shared" ref="AF80:AF143" si="12">Q80 &amp; ""</f>
        <v/>
      </c>
    </row>
    <row r="81" spans="1:32" x14ac:dyDescent="0.15">
      <c r="A81" s="3">
        <v>9</v>
      </c>
      <c r="B81" s="11" t="s">
        <v>473</v>
      </c>
      <c r="C81" s="3">
        <v>0</v>
      </c>
      <c r="D81" s="3">
        <v>0</v>
      </c>
      <c r="E81" s="3">
        <v>1</v>
      </c>
      <c r="F81" s="3">
        <v>0</v>
      </c>
      <c r="G81" s="3">
        <v>0</v>
      </c>
      <c r="H81" s="3" t="s">
        <v>148</v>
      </c>
      <c r="I81" s="11">
        <v>1</v>
      </c>
      <c r="J81" s="11">
        <v>0</v>
      </c>
      <c r="K81" s="3">
        <v>0</v>
      </c>
      <c r="L81" s="3">
        <v>0</v>
      </c>
      <c r="M81" s="3">
        <v>0</v>
      </c>
      <c r="N81" s="3">
        <v>1</v>
      </c>
      <c r="O81" s="3" t="s">
        <v>149</v>
      </c>
      <c r="P81" s="3"/>
      <c r="Q81" s="3"/>
      <c r="R81" s="6">
        <v>1</v>
      </c>
      <c r="S81" s="3">
        <v>0</v>
      </c>
      <c r="T81" s="3">
        <v>0</v>
      </c>
      <c r="U81" s="3">
        <v>0</v>
      </c>
      <c r="V81" s="3">
        <v>1</v>
      </c>
      <c r="W81" s="3">
        <v>2</v>
      </c>
      <c r="X81" s="3">
        <v>0</v>
      </c>
      <c r="Y81" s="3">
        <v>0.5</v>
      </c>
      <c r="Z81" s="3">
        <v>0.25</v>
      </c>
      <c r="AA81" s="3">
        <v>1</v>
      </c>
      <c r="AB81" s="3">
        <v>0</v>
      </c>
      <c r="AC81" s="3"/>
      <c r="AD81" s="3" t="str">
        <f t="shared" si="10"/>
        <v>public const int CROP_FEILD_CUTTING_FRUIT_TREE = 9;</v>
      </c>
      <c r="AE81" s="3" t="str">
        <f t="shared" si="11"/>
        <v/>
      </c>
      <c r="AF81" s="3" t="str">
        <f t="shared" si="12"/>
        <v/>
      </c>
    </row>
    <row r="82" spans="1:32" x14ac:dyDescent="0.15">
      <c r="A82" s="3">
        <v>10</v>
      </c>
      <c r="B82" s="3" t="s">
        <v>150</v>
      </c>
      <c r="C82" s="3">
        <v>0</v>
      </c>
      <c r="D82" s="3">
        <v>0</v>
      </c>
      <c r="E82" s="3">
        <v>1</v>
      </c>
      <c r="F82" s="3">
        <v>0</v>
      </c>
      <c r="G82" s="3">
        <v>0</v>
      </c>
      <c r="H82" s="3" t="s">
        <v>151</v>
      </c>
      <c r="I82" s="11">
        <v>1</v>
      </c>
      <c r="J82" s="11">
        <v>0</v>
      </c>
      <c r="K82" s="3">
        <v>0</v>
      </c>
      <c r="L82" s="3">
        <v>0</v>
      </c>
      <c r="M82" s="3">
        <v>0</v>
      </c>
      <c r="N82" s="3">
        <v>1</v>
      </c>
      <c r="O82" s="3" t="s">
        <v>152</v>
      </c>
      <c r="P82" s="3"/>
      <c r="Q82" s="3"/>
      <c r="R82" s="6">
        <v>0</v>
      </c>
      <c r="S82" s="3">
        <v>0</v>
      </c>
      <c r="T82" s="3">
        <v>0</v>
      </c>
      <c r="U82" s="3">
        <v>1</v>
      </c>
      <c r="V82" s="3">
        <v>1</v>
      </c>
      <c r="W82" s="3">
        <v>0.5</v>
      </c>
      <c r="X82" s="3">
        <v>0</v>
      </c>
      <c r="Y82" s="3">
        <v>5</v>
      </c>
      <c r="Z82" s="3">
        <v>0.4</v>
      </c>
      <c r="AA82" s="3">
        <v>1</v>
      </c>
      <c r="AB82" s="3">
        <v>0</v>
      </c>
      <c r="AC82" s="3"/>
      <c r="AD82" s="3" t="str">
        <f t="shared" si="10"/>
        <v>public const int MINE = 10;</v>
      </c>
      <c r="AE82" s="3" t="str">
        <f t="shared" si="11"/>
        <v/>
      </c>
      <c r="AF82" s="3" t="str">
        <f t="shared" si="12"/>
        <v/>
      </c>
    </row>
    <row r="83" spans="1:32" x14ac:dyDescent="0.15">
      <c r="A83" s="3">
        <v>11</v>
      </c>
      <c r="B83" s="3" t="s">
        <v>153</v>
      </c>
      <c r="C83" s="3">
        <v>0</v>
      </c>
      <c r="D83" s="3">
        <v>0</v>
      </c>
      <c r="E83" s="3">
        <v>1</v>
      </c>
      <c r="F83" s="3">
        <v>0</v>
      </c>
      <c r="G83" s="3">
        <v>0</v>
      </c>
      <c r="H83" s="3" t="s">
        <v>154</v>
      </c>
      <c r="I83" s="11">
        <v>1</v>
      </c>
      <c r="J83" s="11">
        <v>0</v>
      </c>
      <c r="K83" s="3">
        <v>0</v>
      </c>
      <c r="L83" s="3">
        <v>0</v>
      </c>
      <c r="M83" s="3">
        <v>0</v>
      </c>
      <c r="N83" s="3">
        <v>1</v>
      </c>
      <c r="O83" s="3" t="s">
        <v>155</v>
      </c>
      <c r="P83" s="3"/>
      <c r="Q83" s="3"/>
      <c r="R83" s="6">
        <v>0</v>
      </c>
      <c r="S83" s="3">
        <v>0</v>
      </c>
      <c r="T83" s="3">
        <v>0</v>
      </c>
      <c r="U83" s="3">
        <v>1</v>
      </c>
      <c r="V83" s="3">
        <v>1</v>
      </c>
      <c r="W83" s="3">
        <v>0.5</v>
      </c>
      <c r="X83" s="3">
        <v>0</v>
      </c>
      <c r="Y83" s="3">
        <v>5</v>
      </c>
      <c r="Z83" s="3">
        <v>0.3</v>
      </c>
      <c r="AA83" s="3">
        <v>1</v>
      </c>
      <c r="AB83" s="3">
        <v>0</v>
      </c>
      <c r="AC83" s="3"/>
      <c r="AD83" s="3" t="str">
        <f t="shared" si="10"/>
        <v>public const int QUARRY = 11;</v>
      </c>
      <c r="AE83" s="3" t="str">
        <f t="shared" si="11"/>
        <v/>
      </c>
      <c r="AF83" s="3" t="str">
        <f t="shared" si="12"/>
        <v/>
      </c>
    </row>
    <row r="84" spans="1:32" x14ac:dyDescent="0.15">
      <c r="A84" s="3">
        <v>12</v>
      </c>
      <c r="B84" s="3" t="s">
        <v>156</v>
      </c>
      <c r="C84" s="3">
        <v>0</v>
      </c>
      <c r="D84" s="3">
        <v>0</v>
      </c>
      <c r="E84" s="3">
        <v>1</v>
      </c>
      <c r="F84" s="3">
        <v>0</v>
      </c>
      <c r="G84" s="3">
        <v>0</v>
      </c>
      <c r="H84" s="3" t="s">
        <v>157</v>
      </c>
      <c r="I84" s="11">
        <v>1</v>
      </c>
      <c r="J84" s="11">
        <v>0</v>
      </c>
      <c r="K84" s="3">
        <v>0</v>
      </c>
      <c r="L84" s="3">
        <v>0</v>
      </c>
      <c r="M84" s="3">
        <v>0</v>
      </c>
      <c r="N84" s="3">
        <v>1</v>
      </c>
      <c r="O84" s="3" t="s">
        <v>158</v>
      </c>
      <c r="P84" s="3"/>
      <c r="Q84" s="3"/>
      <c r="R84" s="6">
        <v>0</v>
      </c>
      <c r="S84" s="3">
        <v>0</v>
      </c>
      <c r="T84" s="3">
        <v>1</v>
      </c>
      <c r="U84" s="3">
        <v>0</v>
      </c>
      <c r="V84" s="3">
        <v>1</v>
      </c>
      <c r="W84" s="3">
        <v>0.5</v>
      </c>
      <c r="X84" s="3">
        <v>0</v>
      </c>
      <c r="Y84" s="3">
        <v>1</v>
      </c>
      <c r="Z84" s="3">
        <v>0.25</v>
      </c>
      <c r="AA84" s="3">
        <v>1</v>
      </c>
      <c r="AB84" s="3">
        <v>0</v>
      </c>
      <c r="AC84" s="3"/>
      <c r="AD84" s="3" t="str">
        <f t="shared" si="10"/>
        <v>public const int FISHING = 12;</v>
      </c>
      <c r="AE84" s="3" t="str">
        <f t="shared" si="11"/>
        <v/>
      </c>
      <c r="AF84" s="3" t="str">
        <f t="shared" si="12"/>
        <v/>
      </c>
    </row>
    <row r="85" spans="1:32" x14ac:dyDescent="0.15">
      <c r="A85" s="3">
        <v>13</v>
      </c>
      <c r="B85" s="3" t="s">
        <v>159</v>
      </c>
      <c r="C85" s="3">
        <v>0</v>
      </c>
      <c r="D85" s="3">
        <v>0</v>
      </c>
      <c r="E85" s="3">
        <v>1</v>
      </c>
      <c r="F85" s="3">
        <v>0</v>
      </c>
      <c r="G85" s="3">
        <v>0</v>
      </c>
      <c r="H85" s="5" t="s">
        <v>369</v>
      </c>
      <c r="I85" s="11">
        <v>1</v>
      </c>
      <c r="J85" s="11">
        <v>0</v>
      </c>
      <c r="K85" s="3">
        <v>0</v>
      </c>
      <c r="L85" s="3">
        <v>0</v>
      </c>
      <c r="M85" s="5">
        <v>0</v>
      </c>
      <c r="N85" s="3">
        <v>1</v>
      </c>
      <c r="O85" s="5" t="s">
        <v>370</v>
      </c>
      <c r="P85" s="10" t="s">
        <v>401</v>
      </c>
      <c r="Q85" s="10" t="s">
        <v>406</v>
      </c>
      <c r="R85" s="6">
        <v>0</v>
      </c>
      <c r="S85" s="3">
        <v>1</v>
      </c>
      <c r="T85" s="3">
        <v>0</v>
      </c>
      <c r="U85" s="3">
        <v>0</v>
      </c>
      <c r="V85" s="3">
        <v>1</v>
      </c>
      <c r="W85" s="3">
        <v>0.5</v>
      </c>
      <c r="X85" s="3">
        <v>1</v>
      </c>
      <c r="Y85" s="3">
        <v>1</v>
      </c>
      <c r="Z85" s="3">
        <v>0.1</v>
      </c>
      <c r="AA85" s="3">
        <v>1</v>
      </c>
      <c r="AB85" s="3">
        <v>0</v>
      </c>
      <c r="AC85" s="3"/>
      <c r="AD85" s="3" t="str">
        <f t="shared" si="10"/>
        <v>public const int PASTURE_GROW = 13;</v>
      </c>
      <c r="AE85" s="3" t="str">
        <f t="shared" si="11"/>
        <v>饲养动物</v>
      </c>
      <c r="AF85" s="3" t="str">
        <f t="shared" si="12"/>
        <v>饲养动物的路上</v>
      </c>
    </row>
    <row r="86" spans="1:32" x14ac:dyDescent="0.15">
      <c r="A86" s="3">
        <v>14</v>
      </c>
      <c r="B86" s="3" t="s">
        <v>368</v>
      </c>
      <c r="C86" s="3">
        <v>0</v>
      </c>
      <c r="D86" s="3">
        <v>0</v>
      </c>
      <c r="E86" s="3">
        <v>1</v>
      </c>
      <c r="F86" s="3">
        <v>0</v>
      </c>
      <c r="G86" s="3">
        <v>0</v>
      </c>
      <c r="H86" s="3" t="s">
        <v>523</v>
      </c>
      <c r="I86" s="11">
        <v>1</v>
      </c>
      <c r="J86" s="11">
        <v>0</v>
      </c>
      <c r="K86" s="3">
        <v>0</v>
      </c>
      <c r="L86" s="3">
        <v>0</v>
      </c>
      <c r="M86" s="5">
        <v>0</v>
      </c>
      <c r="N86" s="3">
        <v>1</v>
      </c>
      <c r="O86" s="3" t="s">
        <v>160</v>
      </c>
      <c r="P86" s="10" t="s">
        <v>402</v>
      </c>
      <c r="Q86" s="10" t="s">
        <v>407</v>
      </c>
      <c r="R86" s="6">
        <v>0</v>
      </c>
      <c r="S86" s="3">
        <v>0</v>
      </c>
      <c r="T86" s="3">
        <v>0</v>
      </c>
      <c r="U86" s="3">
        <v>0</v>
      </c>
      <c r="V86" s="3">
        <v>1</v>
      </c>
      <c r="W86" s="3">
        <v>0.5</v>
      </c>
      <c r="X86" s="3">
        <v>1</v>
      </c>
      <c r="Y86" s="3">
        <v>0.2</v>
      </c>
      <c r="Z86" s="3">
        <v>0.25</v>
      </c>
      <c r="AA86" s="3">
        <v>1</v>
      </c>
      <c r="AB86" s="3">
        <v>0</v>
      </c>
      <c r="AC86" s="3"/>
      <c r="AD86" s="3" t="str">
        <f t="shared" si="10"/>
        <v>public const int PASTURE_KILL_ANIMAL = 14;</v>
      </c>
      <c r="AE86" s="3" t="str">
        <f t="shared" si="11"/>
        <v>宰杀动物</v>
      </c>
      <c r="AF86" s="3" t="str">
        <f t="shared" si="12"/>
        <v>宰杀动物的路上</v>
      </c>
    </row>
    <row r="87" spans="1:32" x14ac:dyDescent="0.15">
      <c r="A87" s="3">
        <v>15</v>
      </c>
      <c r="B87" s="3" t="s">
        <v>161</v>
      </c>
      <c r="C87" s="3">
        <v>0</v>
      </c>
      <c r="D87" s="3">
        <v>0</v>
      </c>
      <c r="E87" s="3">
        <v>1</v>
      </c>
      <c r="F87" s="3">
        <v>0</v>
      </c>
      <c r="G87" s="3">
        <v>0</v>
      </c>
      <c r="H87" s="3" t="s">
        <v>524</v>
      </c>
      <c r="I87" s="11">
        <v>1</v>
      </c>
      <c r="J87" s="11">
        <v>0</v>
      </c>
      <c r="K87" s="3">
        <v>0</v>
      </c>
      <c r="L87" s="3">
        <v>0</v>
      </c>
      <c r="M87" s="5">
        <v>0</v>
      </c>
      <c r="N87" s="3">
        <v>1</v>
      </c>
      <c r="O87" s="3" t="s">
        <v>567</v>
      </c>
      <c r="P87" s="10" t="s">
        <v>403</v>
      </c>
      <c r="Q87" s="10" t="s">
        <v>408</v>
      </c>
      <c r="R87" s="6">
        <v>0</v>
      </c>
      <c r="S87" s="3">
        <v>0</v>
      </c>
      <c r="T87" s="3">
        <v>1</v>
      </c>
      <c r="U87" s="3">
        <v>0</v>
      </c>
      <c r="V87" s="3">
        <v>1</v>
      </c>
      <c r="W87" s="3">
        <v>0.5</v>
      </c>
      <c r="X87" s="3">
        <v>1</v>
      </c>
      <c r="Y87" s="3">
        <v>0.2</v>
      </c>
      <c r="Z87" s="3">
        <v>0.25</v>
      </c>
      <c r="AA87" s="3">
        <v>1</v>
      </c>
      <c r="AB87" s="3">
        <v>0</v>
      </c>
      <c r="AC87" s="3"/>
      <c r="AD87" s="3" t="str">
        <f t="shared" si="10"/>
        <v>public const int PASTURE_CREATE_PRODUCT = 15;</v>
      </c>
      <c r="AE87" s="3" t="str">
        <f t="shared" si="11"/>
        <v>收获动物产出</v>
      </c>
      <c r="AF87" s="3" t="str">
        <f t="shared" si="12"/>
        <v>收获动物产出的路上</v>
      </c>
    </row>
    <row r="88" spans="1:32" x14ac:dyDescent="0.15">
      <c r="A88" s="3">
        <v>16</v>
      </c>
      <c r="B88" s="3" t="s">
        <v>162</v>
      </c>
      <c r="C88" s="3">
        <v>0</v>
      </c>
      <c r="D88" s="3">
        <v>0</v>
      </c>
      <c r="E88" s="3">
        <v>1</v>
      </c>
      <c r="F88" s="3">
        <v>0</v>
      </c>
      <c r="G88" s="3">
        <v>0</v>
      </c>
      <c r="H88" s="3" t="s">
        <v>163</v>
      </c>
      <c r="I88" s="11">
        <v>1</v>
      </c>
      <c r="J88" s="11">
        <v>0</v>
      </c>
      <c r="K88" s="3">
        <v>0</v>
      </c>
      <c r="L88" s="3">
        <v>0</v>
      </c>
      <c r="M88" s="5">
        <v>0</v>
      </c>
      <c r="N88" s="3">
        <v>1</v>
      </c>
      <c r="O88" s="3" t="s">
        <v>164</v>
      </c>
      <c r="P88" s="10" t="s">
        <v>404</v>
      </c>
      <c r="Q88" s="10" t="s">
        <v>409</v>
      </c>
      <c r="R88" s="6">
        <v>0</v>
      </c>
      <c r="S88" s="3">
        <v>1</v>
      </c>
      <c r="T88" s="3">
        <v>0</v>
      </c>
      <c r="U88" s="3">
        <v>0</v>
      </c>
      <c r="V88" s="3">
        <v>1</v>
      </c>
      <c r="W88" s="3">
        <v>0.5</v>
      </c>
      <c r="X88" s="3">
        <v>0</v>
      </c>
      <c r="Y88" s="3">
        <v>0.2</v>
      </c>
      <c r="Z88" s="3">
        <v>0.1</v>
      </c>
      <c r="AA88" s="3">
        <v>1</v>
      </c>
      <c r="AB88" s="3">
        <v>0</v>
      </c>
      <c r="AC88" s="3"/>
      <c r="AD88" s="3" t="str">
        <f t="shared" si="10"/>
        <v>public const int PASTURE_CATCH = 16;</v>
      </c>
      <c r="AE88" s="3" t="str">
        <f t="shared" si="11"/>
        <v>捕捉动物</v>
      </c>
      <c r="AF88" s="3" t="str">
        <f t="shared" si="12"/>
        <v>捕捉动物的路上</v>
      </c>
    </row>
    <row r="89" spans="1:32" x14ac:dyDescent="0.15">
      <c r="A89" s="3">
        <v>17</v>
      </c>
      <c r="B89" s="3" t="s">
        <v>165</v>
      </c>
      <c r="C89" s="3">
        <v>1</v>
      </c>
      <c r="D89" s="3">
        <v>1</v>
      </c>
      <c r="E89" s="3">
        <v>1</v>
      </c>
      <c r="F89" s="3">
        <v>0</v>
      </c>
      <c r="G89" s="3">
        <v>0</v>
      </c>
      <c r="H89" s="3" t="s">
        <v>166</v>
      </c>
      <c r="I89" s="11">
        <v>1</v>
      </c>
      <c r="J89" s="11">
        <v>0</v>
      </c>
      <c r="K89" s="3">
        <v>0</v>
      </c>
      <c r="L89" s="3">
        <v>0</v>
      </c>
      <c r="M89" s="5">
        <v>0</v>
      </c>
      <c r="N89" s="3">
        <v>1</v>
      </c>
      <c r="O89" s="3" t="s">
        <v>167</v>
      </c>
      <c r="P89" s="10" t="s">
        <v>405</v>
      </c>
      <c r="Q89" s="10" t="s">
        <v>410</v>
      </c>
      <c r="R89" s="6">
        <v>0</v>
      </c>
      <c r="S89" s="3">
        <v>1</v>
      </c>
      <c r="T89" s="3">
        <v>0</v>
      </c>
      <c r="U89" s="3">
        <v>0</v>
      </c>
      <c r="V89" s="3">
        <v>1</v>
      </c>
      <c r="W89" s="3">
        <v>0.5</v>
      </c>
      <c r="X89" s="3">
        <v>0</v>
      </c>
      <c r="Y89" s="3">
        <v>0.5</v>
      </c>
      <c r="Z89" s="3">
        <v>0.25</v>
      </c>
      <c r="AA89" s="3">
        <v>1</v>
      </c>
      <c r="AB89" s="3">
        <v>0</v>
      </c>
      <c r="AC89" s="3"/>
      <c r="AD89" s="3" t="str">
        <f t="shared" si="10"/>
        <v>public const int DISMANTLE = 17;</v>
      </c>
      <c r="AE89" s="3" t="str">
        <f t="shared" si="11"/>
        <v>拆除设施</v>
      </c>
      <c r="AF89" s="3" t="str">
        <f t="shared" si="12"/>
        <v>拆除设施的路上</v>
      </c>
    </row>
    <row r="90" spans="1:32" x14ac:dyDescent="0.15">
      <c r="A90" s="3">
        <v>18</v>
      </c>
      <c r="B90" s="3" t="s">
        <v>168</v>
      </c>
      <c r="C90" s="3">
        <v>0</v>
      </c>
      <c r="D90" s="3">
        <v>0</v>
      </c>
      <c r="E90" s="3">
        <v>1</v>
      </c>
      <c r="F90" s="3">
        <v>0</v>
      </c>
      <c r="G90" s="3">
        <v>0</v>
      </c>
      <c r="H90" s="3" t="s">
        <v>169</v>
      </c>
      <c r="I90" s="11">
        <v>1</v>
      </c>
      <c r="J90" s="11">
        <v>0</v>
      </c>
      <c r="K90" s="3">
        <v>0</v>
      </c>
      <c r="L90" s="3">
        <v>0</v>
      </c>
      <c r="M90" s="3">
        <v>0</v>
      </c>
      <c r="N90" s="3">
        <v>1</v>
      </c>
      <c r="O90" s="3" t="s">
        <v>170</v>
      </c>
      <c r="P90" s="3"/>
      <c r="Q90" s="3"/>
      <c r="R90" s="6">
        <v>0</v>
      </c>
      <c r="S90" s="3">
        <v>1</v>
      </c>
      <c r="T90" s="3">
        <v>0</v>
      </c>
      <c r="U90" s="3">
        <v>0</v>
      </c>
      <c r="V90" s="3">
        <v>1</v>
      </c>
      <c r="W90" s="3">
        <v>0.5</v>
      </c>
      <c r="X90" s="3">
        <v>0</v>
      </c>
      <c r="Y90" s="3">
        <v>0.1</v>
      </c>
      <c r="Z90" s="3">
        <v>0.1</v>
      </c>
      <c r="AA90" s="3">
        <v>1</v>
      </c>
      <c r="AB90" s="3">
        <v>0</v>
      </c>
      <c r="AC90" s="3"/>
      <c r="AD90" s="3" t="str">
        <f t="shared" si="10"/>
        <v>public const int CROP_FEILD_CUT_OFF = 18;</v>
      </c>
      <c r="AE90" s="3" t="str">
        <f t="shared" si="11"/>
        <v/>
      </c>
      <c r="AF90" s="3" t="str">
        <f t="shared" si="12"/>
        <v/>
      </c>
    </row>
    <row r="91" spans="1:32" x14ac:dyDescent="0.15">
      <c r="A91" s="3">
        <v>19</v>
      </c>
      <c r="B91" s="3" t="s">
        <v>171</v>
      </c>
      <c r="C91" s="3">
        <v>0</v>
      </c>
      <c r="D91" s="3">
        <v>0</v>
      </c>
      <c r="E91" s="3">
        <v>1</v>
      </c>
      <c r="F91" s="3">
        <v>0</v>
      </c>
      <c r="G91" s="3">
        <v>0</v>
      </c>
      <c r="H91" s="3" t="s">
        <v>172</v>
      </c>
      <c r="I91" s="11">
        <v>1</v>
      </c>
      <c r="J91" s="11">
        <v>0</v>
      </c>
      <c r="K91" s="3">
        <v>0</v>
      </c>
      <c r="L91" s="3">
        <v>0</v>
      </c>
      <c r="M91" s="3">
        <v>0</v>
      </c>
      <c r="N91" s="3">
        <v>1</v>
      </c>
      <c r="O91" s="3" t="s">
        <v>173</v>
      </c>
      <c r="P91" s="3"/>
      <c r="Q91" s="3"/>
      <c r="R91" s="6">
        <v>0</v>
      </c>
      <c r="S91" s="3">
        <v>0</v>
      </c>
      <c r="T91" s="3">
        <v>0</v>
      </c>
      <c r="U91" s="3">
        <v>0</v>
      </c>
      <c r="V91" s="3">
        <v>1</v>
      </c>
      <c r="W91" s="3">
        <v>0.5</v>
      </c>
      <c r="X91" s="3">
        <v>1</v>
      </c>
      <c r="Y91" s="3">
        <v>0.5</v>
      </c>
      <c r="Z91" s="3">
        <v>0.25</v>
      </c>
      <c r="AA91" s="3">
        <v>1</v>
      </c>
      <c r="AB91" s="3">
        <v>0</v>
      </c>
      <c r="AC91" s="3"/>
      <c r="AD91" s="3" t="str">
        <f t="shared" si="10"/>
        <v>public const int TREE_PLANTING = 19;</v>
      </c>
      <c r="AE91" s="3" t="str">
        <f t="shared" si="11"/>
        <v/>
      </c>
      <c r="AF91" s="3" t="str">
        <f t="shared" si="12"/>
        <v/>
      </c>
    </row>
    <row r="92" spans="1:32" x14ac:dyDescent="0.15">
      <c r="A92" s="3">
        <v>20</v>
      </c>
      <c r="B92" s="3" t="s">
        <v>174</v>
      </c>
      <c r="C92" s="3">
        <v>0</v>
      </c>
      <c r="D92" s="3">
        <v>0</v>
      </c>
      <c r="E92" s="3">
        <v>1</v>
      </c>
      <c r="F92" s="3">
        <v>0</v>
      </c>
      <c r="G92" s="3">
        <v>0</v>
      </c>
      <c r="H92" s="3" t="s">
        <v>175</v>
      </c>
      <c r="I92" s="11">
        <v>1</v>
      </c>
      <c r="J92" s="11">
        <v>0</v>
      </c>
      <c r="K92" s="3">
        <v>0</v>
      </c>
      <c r="L92" s="3">
        <v>0</v>
      </c>
      <c r="M92" s="3">
        <v>0</v>
      </c>
      <c r="N92" s="3">
        <v>1</v>
      </c>
      <c r="O92" s="3" t="s">
        <v>176</v>
      </c>
      <c r="P92" s="3"/>
      <c r="Q92" s="3"/>
      <c r="R92" s="6">
        <v>0</v>
      </c>
      <c r="S92" s="3">
        <v>0</v>
      </c>
      <c r="T92" s="3">
        <v>0</v>
      </c>
      <c r="U92" s="3">
        <v>1</v>
      </c>
      <c r="V92" s="3">
        <v>1</v>
      </c>
      <c r="W92" s="3">
        <v>0.5</v>
      </c>
      <c r="X92" s="3">
        <v>1</v>
      </c>
      <c r="Y92" s="3">
        <v>0.5</v>
      </c>
      <c r="Z92" s="3">
        <v>0.25</v>
      </c>
      <c r="AA92" s="3">
        <v>1</v>
      </c>
      <c r="AB92" s="3">
        <v>0</v>
      </c>
      <c r="AC92" s="3" t="s">
        <v>120</v>
      </c>
      <c r="AD92" s="3" t="str">
        <f t="shared" si="10"/>
        <v>public const int TREE_CUT_DOWN = 20;</v>
      </c>
      <c r="AE92" s="3" t="str">
        <f t="shared" si="11"/>
        <v/>
      </c>
      <c r="AF92" s="3" t="str">
        <f t="shared" si="12"/>
        <v/>
      </c>
    </row>
    <row r="93" spans="1:32" x14ac:dyDescent="0.15">
      <c r="A93" s="3">
        <v>21</v>
      </c>
      <c r="B93" s="3" t="s">
        <v>177</v>
      </c>
      <c r="C93" s="3">
        <v>0</v>
      </c>
      <c r="D93" s="3">
        <v>0</v>
      </c>
      <c r="E93" s="3">
        <v>1</v>
      </c>
      <c r="F93" s="3">
        <v>0</v>
      </c>
      <c r="G93" s="3">
        <v>0</v>
      </c>
      <c r="H93" s="3" t="s">
        <v>178</v>
      </c>
      <c r="I93" s="11">
        <v>1</v>
      </c>
      <c r="J93" s="11">
        <v>0</v>
      </c>
      <c r="K93" s="3">
        <v>0</v>
      </c>
      <c r="L93" s="3">
        <v>0</v>
      </c>
      <c r="M93" s="3">
        <v>0</v>
      </c>
      <c r="N93" s="3">
        <v>1</v>
      </c>
      <c r="O93" s="3" t="s">
        <v>178</v>
      </c>
      <c r="P93" s="3"/>
      <c r="Q93" s="3"/>
      <c r="R93" s="6">
        <v>0</v>
      </c>
      <c r="S93" s="3">
        <v>0</v>
      </c>
      <c r="T93" s="3">
        <v>1</v>
      </c>
      <c r="U93" s="3">
        <v>0</v>
      </c>
      <c r="V93" s="3">
        <v>1</v>
      </c>
      <c r="W93" s="3">
        <v>0.5</v>
      </c>
      <c r="X93" s="3">
        <v>1</v>
      </c>
      <c r="Y93" s="3">
        <v>0.5</v>
      </c>
      <c r="Z93" s="3">
        <v>0.25</v>
      </c>
      <c r="AA93" s="3">
        <v>1</v>
      </c>
      <c r="AB93" s="3">
        <v>0</v>
      </c>
      <c r="AC93" s="3" t="s">
        <v>120</v>
      </c>
      <c r="AD93" s="3" t="str">
        <f t="shared" si="10"/>
        <v>public const int GATHER_WILD_VEGETABLE = 21;</v>
      </c>
      <c r="AE93" s="3" t="str">
        <f t="shared" si="11"/>
        <v/>
      </c>
      <c r="AF93" s="3" t="str">
        <f t="shared" si="12"/>
        <v/>
      </c>
    </row>
    <row r="94" spans="1:32" x14ac:dyDescent="0.15">
      <c r="A94" s="3">
        <v>22</v>
      </c>
      <c r="B94" s="3" t="s">
        <v>179</v>
      </c>
      <c r="C94" s="3">
        <v>0</v>
      </c>
      <c r="D94" s="3">
        <v>0</v>
      </c>
      <c r="E94" s="3">
        <v>1</v>
      </c>
      <c r="F94" s="3">
        <v>0</v>
      </c>
      <c r="G94" s="3">
        <v>0</v>
      </c>
      <c r="H94" s="3" t="s">
        <v>180</v>
      </c>
      <c r="I94" s="11">
        <v>1</v>
      </c>
      <c r="J94" s="11">
        <v>0</v>
      </c>
      <c r="K94" s="3">
        <v>0</v>
      </c>
      <c r="L94" s="3">
        <v>0</v>
      </c>
      <c r="M94" s="3">
        <v>0</v>
      </c>
      <c r="N94" s="3">
        <v>1</v>
      </c>
      <c r="O94" s="3" t="s">
        <v>180</v>
      </c>
      <c r="P94" s="3"/>
      <c r="Q94" s="3"/>
      <c r="R94" s="6">
        <v>0</v>
      </c>
      <c r="S94" s="3">
        <v>0</v>
      </c>
      <c r="T94" s="3">
        <v>1</v>
      </c>
      <c r="U94" s="3">
        <v>0</v>
      </c>
      <c r="V94" s="3">
        <v>1</v>
      </c>
      <c r="W94" s="3">
        <v>0.5</v>
      </c>
      <c r="X94" s="3">
        <v>1</v>
      </c>
      <c r="Y94" s="3">
        <v>0.5</v>
      </c>
      <c r="Z94" s="3">
        <v>0.25</v>
      </c>
      <c r="AA94" s="3">
        <v>1</v>
      </c>
      <c r="AB94" s="3">
        <v>0</v>
      </c>
      <c r="AC94" s="3" t="s">
        <v>120</v>
      </c>
      <c r="AD94" s="3" t="str">
        <f t="shared" si="10"/>
        <v>public const int GATHER_HERB = 22;</v>
      </c>
      <c r="AE94" s="3" t="str">
        <f t="shared" si="11"/>
        <v/>
      </c>
      <c r="AF94" s="3" t="str">
        <f t="shared" si="12"/>
        <v/>
      </c>
    </row>
    <row r="95" spans="1:32" s="1" customFormat="1" x14ac:dyDescent="0.15">
      <c r="A95" s="3">
        <v>23</v>
      </c>
      <c r="B95" s="6" t="s">
        <v>181</v>
      </c>
      <c r="C95" s="6">
        <v>0</v>
      </c>
      <c r="D95" s="6">
        <v>0</v>
      </c>
      <c r="E95" s="6">
        <v>1</v>
      </c>
      <c r="F95" s="6">
        <v>0</v>
      </c>
      <c r="G95" s="6">
        <v>0</v>
      </c>
      <c r="H95" s="3" t="s">
        <v>182</v>
      </c>
      <c r="I95" s="11">
        <v>1</v>
      </c>
      <c r="J95" s="11">
        <v>0</v>
      </c>
      <c r="K95" s="3">
        <v>0</v>
      </c>
      <c r="L95" s="3">
        <v>0</v>
      </c>
      <c r="M95" s="6">
        <v>0</v>
      </c>
      <c r="N95" s="3">
        <v>1</v>
      </c>
      <c r="O95" s="3" t="s">
        <v>183</v>
      </c>
      <c r="P95" s="12" t="s">
        <v>423</v>
      </c>
      <c r="Q95" s="12" t="s">
        <v>424</v>
      </c>
      <c r="R95" s="6">
        <v>0</v>
      </c>
      <c r="S95" s="6">
        <v>0</v>
      </c>
      <c r="T95" s="6">
        <v>1</v>
      </c>
      <c r="U95" s="6">
        <v>0</v>
      </c>
      <c r="V95" s="6">
        <v>1</v>
      </c>
      <c r="W95" s="6">
        <v>1</v>
      </c>
      <c r="X95" s="6">
        <v>0</v>
      </c>
      <c r="Y95" s="6">
        <v>5</v>
      </c>
      <c r="Z95" s="6">
        <v>0.25</v>
      </c>
      <c r="AA95" s="6">
        <v>1</v>
      </c>
      <c r="AB95" s="6">
        <v>1</v>
      </c>
      <c r="AC95" s="6"/>
      <c r="AD95" s="3" t="str">
        <f t="shared" si="10"/>
        <v>public const int MAKE = 23;</v>
      </c>
      <c r="AE95" s="3" t="str">
        <f t="shared" si="11"/>
        <v>制造产品</v>
      </c>
      <c r="AF95" s="3" t="str">
        <f t="shared" si="12"/>
        <v>制造产品的路上</v>
      </c>
    </row>
    <row r="96" spans="1:32" s="1" customFormat="1" x14ac:dyDescent="0.15">
      <c r="A96" s="3">
        <v>24</v>
      </c>
      <c r="B96" s="6" t="s">
        <v>184</v>
      </c>
      <c r="C96" s="6">
        <v>0</v>
      </c>
      <c r="D96" s="6">
        <v>0</v>
      </c>
      <c r="E96" s="6">
        <v>1</v>
      </c>
      <c r="F96" s="6">
        <v>0</v>
      </c>
      <c r="G96" s="6">
        <v>0</v>
      </c>
      <c r="H96" s="3" t="s">
        <v>185</v>
      </c>
      <c r="I96" s="11">
        <v>1</v>
      </c>
      <c r="J96" s="11">
        <v>0</v>
      </c>
      <c r="K96" s="3">
        <v>0</v>
      </c>
      <c r="L96" s="3">
        <v>0</v>
      </c>
      <c r="M96" s="6">
        <v>0</v>
      </c>
      <c r="N96" s="3">
        <v>1</v>
      </c>
      <c r="O96" s="3" t="s">
        <v>186</v>
      </c>
      <c r="P96" s="6"/>
      <c r="Q96" s="6"/>
      <c r="R96" s="6">
        <v>0</v>
      </c>
      <c r="S96" s="6">
        <v>0</v>
      </c>
      <c r="T96" s="6">
        <v>0</v>
      </c>
      <c r="U96" s="6">
        <v>1</v>
      </c>
      <c r="V96" s="6">
        <v>1</v>
      </c>
      <c r="W96" s="6">
        <v>1</v>
      </c>
      <c r="X96" s="6">
        <v>0</v>
      </c>
      <c r="Y96" s="6">
        <v>1</v>
      </c>
      <c r="Z96" s="6">
        <v>0.25</v>
      </c>
      <c r="AA96" s="6">
        <v>1</v>
      </c>
      <c r="AB96" s="6">
        <v>0</v>
      </c>
      <c r="AC96" s="6"/>
      <c r="AD96" s="3" t="str">
        <f t="shared" si="10"/>
        <v>public const int CUT_WOOD = 24;</v>
      </c>
      <c r="AE96" s="3" t="str">
        <f t="shared" si="11"/>
        <v/>
      </c>
      <c r="AF96" s="3" t="str">
        <f t="shared" si="12"/>
        <v/>
      </c>
    </row>
    <row r="97" spans="1:32" x14ac:dyDescent="0.15">
      <c r="A97" s="3">
        <v>25</v>
      </c>
      <c r="B97" s="3" t="s">
        <v>187</v>
      </c>
      <c r="C97" s="3">
        <v>0</v>
      </c>
      <c r="D97" s="3">
        <v>0</v>
      </c>
      <c r="E97" s="3">
        <v>1</v>
      </c>
      <c r="F97" s="3">
        <v>0</v>
      </c>
      <c r="G97" s="3">
        <v>0</v>
      </c>
      <c r="H97" s="3" t="s">
        <v>188</v>
      </c>
      <c r="I97" s="11">
        <v>1</v>
      </c>
      <c r="J97" s="11">
        <v>0</v>
      </c>
      <c r="K97" s="3">
        <v>0</v>
      </c>
      <c r="L97" s="3">
        <v>0</v>
      </c>
      <c r="M97" s="3">
        <v>0</v>
      </c>
      <c r="N97" s="3">
        <v>1</v>
      </c>
      <c r="O97" s="3" t="s">
        <v>188</v>
      </c>
      <c r="P97" s="3"/>
      <c r="Q97" s="3"/>
      <c r="R97" s="6">
        <v>0</v>
      </c>
      <c r="S97" s="3">
        <v>0</v>
      </c>
      <c r="T97" s="3">
        <v>1</v>
      </c>
      <c r="U97" s="3">
        <v>0</v>
      </c>
      <c r="V97" s="3">
        <v>1</v>
      </c>
      <c r="W97" s="3">
        <v>1</v>
      </c>
      <c r="X97" s="3">
        <v>1</v>
      </c>
      <c r="Y97" s="3">
        <v>1</v>
      </c>
      <c r="Z97" s="3">
        <v>0.25</v>
      </c>
      <c r="AA97" s="3">
        <v>1</v>
      </c>
      <c r="AB97" s="3">
        <v>0</v>
      </c>
      <c r="AC97" s="3"/>
      <c r="AD97" s="3" t="str">
        <f t="shared" si="10"/>
        <v>public const int HUNT = 25;</v>
      </c>
      <c r="AE97" s="3" t="str">
        <f t="shared" si="11"/>
        <v/>
      </c>
      <c r="AF97" s="3" t="str">
        <f t="shared" si="12"/>
        <v/>
      </c>
    </row>
    <row r="98" spans="1:32" x14ac:dyDescent="0.15">
      <c r="A98" s="3">
        <v>26</v>
      </c>
      <c r="B98" s="3" t="s">
        <v>189</v>
      </c>
      <c r="C98" s="3">
        <v>0</v>
      </c>
      <c r="D98" s="3">
        <v>0</v>
      </c>
      <c r="E98" s="3">
        <v>1</v>
      </c>
      <c r="F98" s="3">
        <v>0</v>
      </c>
      <c r="G98" s="3">
        <v>0</v>
      </c>
      <c r="H98" s="3" t="s">
        <v>190</v>
      </c>
      <c r="I98" s="11">
        <v>1</v>
      </c>
      <c r="J98" s="11">
        <v>0</v>
      </c>
      <c r="K98" s="3">
        <v>0</v>
      </c>
      <c r="L98" s="3">
        <v>0</v>
      </c>
      <c r="M98" s="3">
        <v>0</v>
      </c>
      <c r="N98" s="3">
        <v>1</v>
      </c>
      <c r="O98" s="3" t="s">
        <v>190</v>
      </c>
      <c r="P98" s="3"/>
      <c r="Q98" s="3"/>
      <c r="R98" s="6">
        <v>0</v>
      </c>
      <c r="S98" s="3">
        <v>1</v>
      </c>
      <c r="T98" s="3">
        <v>0</v>
      </c>
      <c r="U98" s="3">
        <v>0</v>
      </c>
      <c r="V98" s="3">
        <v>1</v>
      </c>
      <c r="W98" s="3">
        <v>0.5</v>
      </c>
      <c r="X98" s="3">
        <v>1</v>
      </c>
      <c r="Y98" s="3">
        <v>1</v>
      </c>
      <c r="Z98" s="3">
        <v>0.1</v>
      </c>
      <c r="AA98" s="3">
        <v>1</v>
      </c>
      <c r="AB98" s="3">
        <v>0</v>
      </c>
      <c r="AC98" s="3"/>
      <c r="AD98" s="3" t="str">
        <f t="shared" si="10"/>
        <v>public const int SEEK = 26;</v>
      </c>
      <c r="AE98" s="3" t="str">
        <f t="shared" si="11"/>
        <v/>
      </c>
      <c r="AF98" s="3" t="str">
        <f t="shared" si="12"/>
        <v/>
      </c>
    </row>
    <row r="99" spans="1:32" x14ac:dyDescent="0.15">
      <c r="A99" s="3">
        <v>27</v>
      </c>
      <c r="B99" s="3" t="s">
        <v>191</v>
      </c>
      <c r="C99" s="3">
        <v>0</v>
      </c>
      <c r="D99" s="3">
        <v>0</v>
      </c>
      <c r="E99" s="3">
        <v>1</v>
      </c>
      <c r="F99" s="3">
        <v>0</v>
      </c>
      <c r="G99" s="3">
        <v>0</v>
      </c>
      <c r="H99" s="3" t="s">
        <v>192</v>
      </c>
      <c r="I99" s="11">
        <v>1</v>
      </c>
      <c r="J99" s="11">
        <v>0</v>
      </c>
      <c r="K99" s="3">
        <v>0</v>
      </c>
      <c r="L99" s="3">
        <v>0</v>
      </c>
      <c r="M99" s="5">
        <v>0</v>
      </c>
      <c r="N99" s="3">
        <v>1</v>
      </c>
      <c r="O99" s="3" t="s">
        <v>193</v>
      </c>
      <c r="P99" s="10" t="s">
        <v>411</v>
      </c>
      <c r="Q99" s="10" t="s">
        <v>412</v>
      </c>
      <c r="R99" s="6">
        <v>0</v>
      </c>
      <c r="S99" s="3">
        <v>0</v>
      </c>
      <c r="T99" s="3">
        <v>0</v>
      </c>
      <c r="U99" s="3">
        <v>0</v>
      </c>
      <c r="V99" s="3">
        <v>1</v>
      </c>
      <c r="W99" s="3">
        <v>0.5</v>
      </c>
      <c r="X99" s="3">
        <v>1</v>
      </c>
      <c r="Y99" s="3">
        <v>1</v>
      </c>
      <c r="Z99" s="3">
        <v>0.25</v>
      </c>
      <c r="AA99" s="3">
        <v>1</v>
      </c>
      <c r="AB99" s="3">
        <v>0</v>
      </c>
      <c r="AC99" s="3"/>
      <c r="AD99" s="3" t="str">
        <f t="shared" ref="AD99:AD130" si="13">CONCATENATE("public const int ",B99," = ",A99,";")</f>
        <v>public const int CUT_APART_ANIMAL_DEAD_BODY_HUNTER = 27;</v>
      </c>
      <c r="AE99" s="3" t="str">
        <f t="shared" si="11"/>
        <v>分解动物尸体</v>
      </c>
      <c r="AF99" s="3" t="str">
        <f t="shared" si="12"/>
        <v>分解动物尸体的路上</v>
      </c>
    </row>
    <row r="100" spans="1:32" x14ac:dyDescent="0.15">
      <c r="A100" s="3">
        <v>28</v>
      </c>
      <c r="B100" s="3" t="s">
        <v>194</v>
      </c>
      <c r="C100" s="3">
        <v>0</v>
      </c>
      <c r="D100" s="3">
        <v>0</v>
      </c>
      <c r="E100" s="3">
        <v>1</v>
      </c>
      <c r="F100" s="3">
        <v>0</v>
      </c>
      <c r="G100" s="3">
        <v>0</v>
      </c>
      <c r="H100" s="3" t="s">
        <v>192</v>
      </c>
      <c r="I100" s="11">
        <v>1</v>
      </c>
      <c r="J100" s="11">
        <v>0</v>
      </c>
      <c r="K100" s="3">
        <v>0</v>
      </c>
      <c r="L100" s="3">
        <v>0</v>
      </c>
      <c r="M100" s="5">
        <v>0</v>
      </c>
      <c r="N100" s="3">
        <v>1</v>
      </c>
      <c r="O100" s="3" t="s">
        <v>193</v>
      </c>
      <c r="P100" s="10" t="s">
        <v>411</v>
      </c>
      <c r="Q100" s="10" t="s">
        <v>412</v>
      </c>
      <c r="R100" s="6">
        <v>0</v>
      </c>
      <c r="S100" s="3">
        <v>0</v>
      </c>
      <c r="T100" s="3">
        <v>0</v>
      </c>
      <c r="U100" s="3">
        <v>0</v>
      </c>
      <c r="V100" s="3">
        <v>1</v>
      </c>
      <c r="W100" s="3">
        <v>0.5</v>
      </c>
      <c r="X100" s="3">
        <v>1</v>
      </c>
      <c r="Y100" s="3">
        <v>1</v>
      </c>
      <c r="Z100" s="3">
        <v>0.25</v>
      </c>
      <c r="AA100" s="3">
        <v>1</v>
      </c>
      <c r="AB100" s="3">
        <v>0</v>
      </c>
      <c r="AC100" s="3"/>
      <c r="AD100" s="3" t="str">
        <f t="shared" si="13"/>
        <v>public const int CUT_APART_ANIMAL_DEAD_BODY_HERDSMAN = 28;</v>
      </c>
      <c r="AE100" s="3" t="str">
        <f t="shared" si="11"/>
        <v>分解动物尸体</v>
      </c>
      <c r="AF100" s="3" t="str">
        <f t="shared" si="12"/>
        <v>分解动物尸体的路上</v>
      </c>
    </row>
    <row r="101" spans="1:32" x14ac:dyDescent="0.15">
      <c r="A101" s="3">
        <v>29</v>
      </c>
      <c r="B101" s="3" t="s">
        <v>195</v>
      </c>
      <c r="C101" s="3">
        <v>0</v>
      </c>
      <c r="D101" s="3">
        <v>0</v>
      </c>
      <c r="E101" s="3">
        <v>1</v>
      </c>
      <c r="F101" s="3">
        <v>0</v>
      </c>
      <c r="G101" s="3">
        <v>0</v>
      </c>
      <c r="H101" s="3" t="s">
        <v>196</v>
      </c>
      <c r="I101" s="11">
        <v>1</v>
      </c>
      <c r="J101" s="11">
        <v>0</v>
      </c>
      <c r="K101" s="3">
        <v>0</v>
      </c>
      <c r="L101" s="3">
        <v>0</v>
      </c>
      <c r="M101" s="5">
        <v>0</v>
      </c>
      <c r="N101" s="3">
        <v>1</v>
      </c>
      <c r="O101" s="3" t="s">
        <v>197</v>
      </c>
      <c r="P101" s="5"/>
      <c r="Q101" s="5"/>
      <c r="R101" s="6">
        <v>0</v>
      </c>
      <c r="S101" s="3">
        <v>1</v>
      </c>
      <c r="T101" s="3">
        <v>0</v>
      </c>
      <c r="U101" s="3">
        <v>0</v>
      </c>
      <c r="V101" s="3">
        <v>1</v>
      </c>
      <c r="W101" s="3">
        <v>0.5</v>
      </c>
      <c r="X101" s="3">
        <v>0</v>
      </c>
      <c r="Y101" s="3">
        <v>30</v>
      </c>
      <c r="Z101" s="3">
        <v>0</v>
      </c>
      <c r="AA101" s="3">
        <v>0</v>
      </c>
      <c r="AB101" s="3">
        <v>0</v>
      </c>
      <c r="AC101" s="3"/>
      <c r="AD101" s="3" t="str">
        <f t="shared" si="13"/>
        <v>public const int PREACH = 29;</v>
      </c>
      <c r="AE101" s="3" t="str">
        <f t="shared" si="11"/>
        <v/>
      </c>
      <c r="AF101" s="3" t="str">
        <f t="shared" si="12"/>
        <v/>
      </c>
    </row>
    <row r="102" spans="1:32" x14ac:dyDescent="0.15">
      <c r="A102" s="3">
        <v>30</v>
      </c>
      <c r="B102" s="3" t="s">
        <v>198</v>
      </c>
      <c r="C102" s="3">
        <v>0</v>
      </c>
      <c r="D102" s="3">
        <v>0</v>
      </c>
      <c r="E102" s="3">
        <v>1</v>
      </c>
      <c r="F102" s="3">
        <v>0</v>
      </c>
      <c r="G102" s="3">
        <v>0</v>
      </c>
      <c r="H102" s="3" t="s">
        <v>199</v>
      </c>
      <c r="I102" s="11">
        <v>1</v>
      </c>
      <c r="J102" s="11">
        <v>0</v>
      </c>
      <c r="K102" s="3">
        <v>0</v>
      </c>
      <c r="L102" s="3">
        <v>0</v>
      </c>
      <c r="M102" s="5">
        <v>0</v>
      </c>
      <c r="N102" s="3">
        <v>1</v>
      </c>
      <c r="O102" s="3" t="s">
        <v>200</v>
      </c>
      <c r="P102" s="5"/>
      <c r="Q102" s="5"/>
      <c r="R102" s="6">
        <v>0</v>
      </c>
      <c r="S102" s="3">
        <v>1</v>
      </c>
      <c r="T102" s="3">
        <v>0</v>
      </c>
      <c r="U102" s="3">
        <v>0</v>
      </c>
      <c r="V102" s="3">
        <v>1</v>
      </c>
      <c r="W102" s="3">
        <v>0.5</v>
      </c>
      <c r="X102" s="3">
        <v>0</v>
      </c>
      <c r="Y102" s="3">
        <v>30</v>
      </c>
      <c r="Z102" s="3">
        <v>0</v>
      </c>
      <c r="AA102" s="3">
        <v>0</v>
      </c>
      <c r="AB102" s="3">
        <v>0</v>
      </c>
      <c r="AC102" s="3"/>
      <c r="AD102" s="3" t="str">
        <f t="shared" si="13"/>
        <v>public const int TEACHING = 30;</v>
      </c>
      <c r="AE102" s="3" t="str">
        <f t="shared" si="11"/>
        <v/>
      </c>
      <c r="AF102" s="3" t="str">
        <f t="shared" si="12"/>
        <v/>
      </c>
    </row>
    <row r="103" spans="1:32" x14ac:dyDescent="0.15">
      <c r="A103" s="3">
        <v>31</v>
      </c>
      <c r="B103" s="11" t="s">
        <v>350</v>
      </c>
      <c r="C103" s="3">
        <v>0</v>
      </c>
      <c r="D103" s="3">
        <v>1</v>
      </c>
      <c r="E103" s="3">
        <v>1</v>
      </c>
      <c r="F103" s="3">
        <v>0</v>
      </c>
      <c r="G103" s="3">
        <v>0</v>
      </c>
      <c r="H103" s="3" t="s">
        <v>201</v>
      </c>
      <c r="I103" s="11">
        <v>1</v>
      </c>
      <c r="J103" s="11">
        <v>0</v>
      </c>
      <c r="K103" s="3">
        <v>0</v>
      </c>
      <c r="L103" s="3">
        <v>0</v>
      </c>
      <c r="M103" s="5">
        <v>1</v>
      </c>
      <c r="N103" s="3">
        <v>1</v>
      </c>
      <c r="O103" s="3" t="s">
        <v>202</v>
      </c>
      <c r="P103" s="5"/>
      <c r="Q103" s="5"/>
      <c r="R103" s="6">
        <v>1</v>
      </c>
      <c r="S103" s="3">
        <v>0</v>
      </c>
      <c r="T103" s="3">
        <v>0</v>
      </c>
      <c r="U103" s="3">
        <v>0</v>
      </c>
      <c r="V103" s="3">
        <v>1</v>
      </c>
      <c r="W103" s="3">
        <v>0.5</v>
      </c>
      <c r="X103" s="3">
        <v>0</v>
      </c>
      <c r="Y103" s="3">
        <v>0.1</v>
      </c>
      <c r="Z103" s="3">
        <v>0.1</v>
      </c>
      <c r="AA103" s="3">
        <v>1</v>
      </c>
      <c r="AB103" s="3">
        <v>0</v>
      </c>
      <c r="AC103" s="3"/>
      <c r="AD103" s="3" t="str">
        <f t="shared" si="13"/>
        <v>public const int REPLENISH = 31;</v>
      </c>
      <c r="AE103" s="3" t="str">
        <f t="shared" si="11"/>
        <v/>
      </c>
      <c r="AF103" s="3" t="str">
        <f t="shared" si="12"/>
        <v/>
      </c>
    </row>
    <row r="104" spans="1:32" x14ac:dyDescent="0.15">
      <c r="A104" s="3">
        <v>33</v>
      </c>
      <c r="B104" s="11" t="s">
        <v>349</v>
      </c>
      <c r="C104" s="3">
        <v>0</v>
      </c>
      <c r="D104" s="3">
        <v>0</v>
      </c>
      <c r="E104" s="3">
        <v>1</v>
      </c>
      <c r="F104" s="3">
        <v>0</v>
      </c>
      <c r="G104" s="3">
        <v>1</v>
      </c>
      <c r="H104" s="3" t="s">
        <v>203</v>
      </c>
      <c r="I104" s="11">
        <v>1</v>
      </c>
      <c r="J104" s="11">
        <v>0</v>
      </c>
      <c r="K104" s="3">
        <v>0</v>
      </c>
      <c r="L104" s="3">
        <v>0</v>
      </c>
      <c r="M104" s="5">
        <v>0</v>
      </c>
      <c r="N104" s="3">
        <v>1</v>
      </c>
      <c r="O104" s="3" t="s">
        <v>204</v>
      </c>
      <c r="P104" s="5"/>
      <c r="Q104" s="5"/>
      <c r="R104" s="6">
        <v>0</v>
      </c>
      <c r="S104" s="3">
        <v>1</v>
      </c>
      <c r="T104" s="3">
        <v>0</v>
      </c>
      <c r="U104" s="3">
        <v>0</v>
      </c>
      <c r="V104" s="3">
        <v>1</v>
      </c>
      <c r="W104" s="3">
        <v>0.5</v>
      </c>
      <c r="X104" s="3">
        <v>0</v>
      </c>
      <c r="Y104" s="3">
        <v>60</v>
      </c>
      <c r="Z104" s="3">
        <v>0</v>
      </c>
      <c r="AA104" s="3">
        <v>0</v>
      </c>
      <c r="AB104" s="3">
        <v>0</v>
      </c>
      <c r="AC104" s="3"/>
      <c r="AD104" s="3" t="str">
        <f t="shared" si="13"/>
        <v>public const int SEE_PATIENT = 33;</v>
      </c>
      <c r="AE104" s="3" t="str">
        <f t="shared" si="11"/>
        <v/>
      </c>
      <c r="AF104" s="3" t="str">
        <f t="shared" si="12"/>
        <v/>
      </c>
    </row>
    <row r="105" spans="1:32" x14ac:dyDescent="0.15">
      <c r="A105" s="3">
        <v>34</v>
      </c>
      <c r="B105" s="3" t="s">
        <v>205</v>
      </c>
      <c r="C105" s="3">
        <v>0</v>
      </c>
      <c r="D105" s="3">
        <v>1</v>
      </c>
      <c r="E105" s="3">
        <v>1</v>
      </c>
      <c r="F105" s="3">
        <v>0</v>
      </c>
      <c r="G105" s="3">
        <v>0</v>
      </c>
      <c r="H105" s="3" t="s">
        <v>206</v>
      </c>
      <c r="I105" s="11">
        <v>1</v>
      </c>
      <c r="J105" s="11">
        <v>0</v>
      </c>
      <c r="K105" s="3">
        <v>0</v>
      </c>
      <c r="L105" s="3">
        <v>0</v>
      </c>
      <c r="M105" s="5">
        <v>0</v>
      </c>
      <c r="N105" s="3">
        <v>1</v>
      </c>
      <c r="O105" s="3" t="s">
        <v>207</v>
      </c>
      <c r="P105" s="5"/>
      <c r="Q105" s="5"/>
      <c r="R105" s="6">
        <v>0</v>
      </c>
      <c r="S105" s="3">
        <v>1</v>
      </c>
      <c r="T105" s="3">
        <v>0</v>
      </c>
      <c r="U105" s="3">
        <v>0</v>
      </c>
      <c r="V105" s="3">
        <v>1</v>
      </c>
      <c r="W105" s="3">
        <v>0.5</v>
      </c>
      <c r="X105" s="3">
        <v>0</v>
      </c>
      <c r="Y105" s="3">
        <v>0.2</v>
      </c>
      <c r="Z105" s="3">
        <v>0</v>
      </c>
      <c r="AA105" s="3">
        <v>0</v>
      </c>
      <c r="AB105" s="3">
        <v>0</v>
      </c>
      <c r="AC105" s="3"/>
      <c r="AD105" s="3" t="str">
        <f t="shared" si="13"/>
        <v>public const int BONFIRE_PARTY = 34;</v>
      </c>
      <c r="AE105" s="3" t="str">
        <f t="shared" si="11"/>
        <v/>
      </c>
      <c r="AF105" s="3" t="str">
        <f t="shared" si="12"/>
        <v/>
      </c>
    </row>
    <row r="106" spans="1:32" x14ac:dyDescent="0.15">
      <c r="A106" s="3">
        <v>35</v>
      </c>
      <c r="B106" s="3" t="s">
        <v>208</v>
      </c>
      <c r="C106" s="3">
        <v>0</v>
      </c>
      <c r="D106" s="3">
        <v>1</v>
      </c>
      <c r="E106" s="3">
        <v>1</v>
      </c>
      <c r="F106" s="3">
        <v>0</v>
      </c>
      <c r="G106" s="3">
        <v>0</v>
      </c>
      <c r="H106" s="3" t="s">
        <v>209</v>
      </c>
      <c r="I106" s="11">
        <v>1</v>
      </c>
      <c r="J106" s="11">
        <v>0</v>
      </c>
      <c r="K106" s="3">
        <v>0</v>
      </c>
      <c r="L106" s="3">
        <v>0</v>
      </c>
      <c r="M106" s="3">
        <v>0</v>
      </c>
      <c r="N106" s="3">
        <v>1</v>
      </c>
      <c r="O106" s="3" t="s">
        <v>210</v>
      </c>
      <c r="P106" s="3"/>
      <c r="Q106" s="3"/>
      <c r="R106" s="6">
        <v>1</v>
      </c>
      <c r="S106" s="3">
        <v>0</v>
      </c>
      <c r="T106" s="3">
        <v>0</v>
      </c>
      <c r="U106" s="3">
        <v>0</v>
      </c>
      <c r="V106" s="3">
        <v>1</v>
      </c>
      <c r="W106" s="3">
        <v>0.5</v>
      </c>
      <c r="X106" s="3">
        <v>1</v>
      </c>
      <c r="Y106" s="5">
        <v>0.05</v>
      </c>
      <c r="Z106" s="3">
        <v>0.1</v>
      </c>
      <c r="AA106" s="3">
        <v>1</v>
      </c>
      <c r="AB106" s="3">
        <v>0</v>
      </c>
      <c r="AC106" s="3" t="s">
        <v>120</v>
      </c>
      <c r="AD106" s="3" t="str">
        <f t="shared" si="13"/>
        <v>public const int CUT_OFF_WILD_VEGETABLE = 35;</v>
      </c>
      <c r="AE106" s="3" t="str">
        <f t="shared" si="11"/>
        <v/>
      </c>
      <c r="AF106" s="3" t="str">
        <f t="shared" si="12"/>
        <v/>
      </c>
    </row>
    <row r="107" spans="1:32" x14ac:dyDescent="0.15">
      <c r="A107" s="3">
        <v>36</v>
      </c>
      <c r="B107" s="3" t="s">
        <v>211</v>
      </c>
      <c r="C107" s="3">
        <v>0</v>
      </c>
      <c r="D107" s="3">
        <v>1</v>
      </c>
      <c r="E107" s="3">
        <v>1</v>
      </c>
      <c r="F107" s="3">
        <v>0</v>
      </c>
      <c r="G107" s="3">
        <v>0</v>
      </c>
      <c r="H107" s="3" t="s">
        <v>209</v>
      </c>
      <c r="I107" s="11">
        <v>1</v>
      </c>
      <c r="J107" s="11">
        <v>0</v>
      </c>
      <c r="K107" s="3">
        <v>0</v>
      </c>
      <c r="L107" s="3">
        <v>0</v>
      </c>
      <c r="M107" s="3">
        <v>0</v>
      </c>
      <c r="N107" s="3">
        <v>1</v>
      </c>
      <c r="O107" s="3" t="s">
        <v>210</v>
      </c>
      <c r="P107" s="3"/>
      <c r="Q107" s="3"/>
      <c r="R107" s="6">
        <v>1</v>
      </c>
      <c r="S107" s="3">
        <v>0</v>
      </c>
      <c r="T107" s="3">
        <v>0</v>
      </c>
      <c r="U107" s="3">
        <v>0</v>
      </c>
      <c r="V107" s="3">
        <v>1</v>
      </c>
      <c r="W107" s="3">
        <v>0.5</v>
      </c>
      <c r="X107" s="3">
        <v>1</v>
      </c>
      <c r="Y107" s="5">
        <v>0.05</v>
      </c>
      <c r="Z107" s="3">
        <v>0.1</v>
      </c>
      <c r="AA107" s="3">
        <v>1</v>
      </c>
      <c r="AB107" s="3">
        <v>0</v>
      </c>
      <c r="AC107" s="3" t="s">
        <v>120</v>
      </c>
      <c r="AD107" s="3" t="str">
        <f t="shared" si="13"/>
        <v>public const int CUT_OFF_HERB = 36;</v>
      </c>
      <c r="AE107" s="3" t="str">
        <f t="shared" si="11"/>
        <v/>
      </c>
      <c r="AF107" s="3" t="str">
        <f t="shared" si="12"/>
        <v/>
      </c>
    </row>
    <row r="108" spans="1:32" x14ac:dyDescent="0.15">
      <c r="A108" s="3">
        <v>37</v>
      </c>
      <c r="B108" s="3" t="s">
        <v>212</v>
      </c>
      <c r="C108" s="3">
        <v>0</v>
      </c>
      <c r="D108" s="3">
        <v>1</v>
      </c>
      <c r="E108" s="3">
        <v>1</v>
      </c>
      <c r="F108" s="3">
        <v>0</v>
      </c>
      <c r="G108" s="3">
        <v>0</v>
      </c>
      <c r="H108" s="3" t="s">
        <v>213</v>
      </c>
      <c r="I108" s="11">
        <v>1</v>
      </c>
      <c r="J108" s="11">
        <v>0</v>
      </c>
      <c r="K108" s="3">
        <v>0</v>
      </c>
      <c r="L108" s="3">
        <v>0</v>
      </c>
      <c r="M108" s="3">
        <v>0</v>
      </c>
      <c r="N108" s="3">
        <v>1</v>
      </c>
      <c r="O108" s="3" t="s">
        <v>214</v>
      </c>
      <c r="P108" s="3"/>
      <c r="Q108" s="3"/>
      <c r="R108" s="6">
        <v>1</v>
      </c>
      <c r="S108" s="3">
        <v>0</v>
      </c>
      <c r="T108" s="3">
        <v>0</v>
      </c>
      <c r="U108" s="3">
        <v>0</v>
      </c>
      <c r="V108" s="3">
        <v>1</v>
      </c>
      <c r="W108" s="3">
        <v>0.5</v>
      </c>
      <c r="X108" s="3">
        <v>1</v>
      </c>
      <c r="Y108" s="5">
        <v>0.05</v>
      </c>
      <c r="Z108" s="3">
        <v>0.1</v>
      </c>
      <c r="AA108" s="3">
        <v>1</v>
      </c>
      <c r="AB108" s="3">
        <v>0</v>
      </c>
      <c r="AC108" s="3" t="s">
        <v>120</v>
      </c>
      <c r="AD108" s="3" t="str">
        <f t="shared" si="13"/>
        <v>public const int CUT_OFF_FLOWER_WILD = 37;</v>
      </c>
      <c r="AE108" s="3" t="str">
        <f t="shared" si="11"/>
        <v/>
      </c>
      <c r="AF108" s="3" t="str">
        <f t="shared" si="12"/>
        <v/>
      </c>
    </row>
    <row r="109" spans="1:32" x14ac:dyDescent="0.15">
      <c r="A109" s="3">
        <v>40</v>
      </c>
      <c r="B109" s="11" t="s">
        <v>597</v>
      </c>
      <c r="C109" s="3">
        <v>0</v>
      </c>
      <c r="D109" s="3">
        <v>1</v>
      </c>
      <c r="E109" s="3">
        <v>1</v>
      </c>
      <c r="F109" s="3">
        <v>0</v>
      </c>
      <c r="G109" s="3">
        <v>0</v>
      </c>
      <c r="H109" s="3" t="s">
        <v>215</v>
      </c>
      <c r="I109" s="11">
        <v>1</v>
      </c>
      <c r="J109" s="11">
        <v>0</v>
      </c>
      <c r="K109" s="3">
        <v>0</v>
      </c>
      <c r="L109" s="3">
        <v>0</v>
      </c>
      <c r="M109" s="3">
        <v>0</v>
      </c>
      <c r="N109" s="3">
        <v>1</v>
      </c>
      <c r="O109" s="3" t="s">
        <v>216</v>
      </c>
      <c r="P109" s="3"/>
      <c r="Q109" s="3"/>
      <c r="R109" s="6">
        <v>0</v>
      </c>
      <c r="S109" s="3">
        <v>0</v>
      </c>
      <c r="T109" s="3">
        <v>0</v>
      </c>
      <c r="U109" s="3">
        <v>0</v>
      </c>
      <c r="V109" s="3">
        <v>1</v>
      </c>
      <c r="W109" s="3">
        <v>0.5</v>
      </c>
      <c r="X109" s="3">
        <v>0</v>
      </c>
      <c r="Y109" s="3">
        <v>0.1</v>
      </c>
      <c r="Z109" s="3">
        <v>0.1</v>
      </c>
      <c r="AA109" s="3">
        <v>1</v>
      </c>
      <c r="AB109" s="3">
        <v>0</v>
      </c>
      <c r="AC109" s="3"/>
      <c r="AD109" s="3" t="str">
        <f t="shared" si="13"/>
        <v>public const int LOOK_AFTER_PATIENT = 40;</v>
      </c>
      <c r="AE109" s="3" t="str">
        <f t="shared" si="11"/>
        <v/>
      </c>
      <c r="AF109" s="3" t="str">
        <f t="shared" si="12"/>
        <v/>
      </c>
    </row>
    <row r="110" spans="1:32" x14ac:dyDescent="0.15">
      <c r="A110" s="3">
        <v>41</v>
      </c>
      <c r="B110" s="3" t="s">
        <v>217</v>
      </c>
      <c r="C110" s="3">
        <v>0</v>
      </c>
      <c r="D110" s="3">
        <v>0</v>
      </c>
      <c r="E110" s="3">
        <v>1</v>
      </c>
      <c r="F110" s="3">
        <v>0</v>
      </c>
      <c r="G110" s="3">
        <v>0</v>
      </c>
      <c r="H110" s="3" t="s">
        <v>218</v>
      </c>
      <c r="I110" s="11">
        <v>1</v>
      </c>
      <c r="J110" s="11">
        <v>0</v>
      </c>
      <c r="K110" s="3">
        <v>0</v>
      </c>
      <c r="L110" s="3">
        <v>0</v>
      </c>
      <c r="M110" s="3">
        <v>0</v>
      </c>
      <c r="N110" s="3">
        <v>1</v>
      </c>
      <c r="O110" s="3" t="s">
        <v>219</v>
      </c>
      <c r="P110" s="3"/>
      <c r="Q110" s="3"/>
      <c r="R110" s="6">
        <v>1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0.1</v>
      </c>
      <c r="Z110" s="3">
        <v>0</v>
      </c>
      <c r="AA110" s="3">
        <v>0</v>
      </c>
      <c r="AB110" s="3">
        <v>0</v>
      </c>
      <c r="AC110" s="3"/>
      <c r="AD110" s="3" t="str">
        <f t="shared" si="13"/>
        <v>public const int TURN_OFF_BRAZIER = 41;</v>
      </c>
      <c r="AE110" s="3" t="str">
        <f t="shared" si="11"/>
        <v/>
      </c>
      <c r="AF110" s="3" t="str">
        <f t="shared" si="12"/>
        <v/>
      </c>
    </row>
    <row r="111" spans="1:32" x14ac:dyDescent="0.15">
      <c r="A111" s="3">
        <v>42</v>
      </c>
      <c r="B111" s="3" t="s">
        <v>220</v>
      </c>
      <c r="C111" s="3">
        <v>0</v>
      </c>
      <c r="D111" s="3">
        <v>0</v>
      </c>
      <c r="E111" s="3">
        <v>1</v>
      </c>
      <c r="F111" s="3">
        <v>1</v>
      </c>
      <c r="G111" s="3">
        <v>1</v>
      </c>
      <c r="H111" s="3" t="s">
        <v>221</v>
      </c>
      <c r="I111" s="11">
        <v>1</v>
      </c>
      <c r="J111" s="11">
        <v>0</v>
      </c>
      <c r="K111" s="3">
        <v>0</v>
      </c>
      <c r="L111" s="3">
        <v>0</v>
      </c>
      <c r="M111" s="3">
        <v>0</v>
      </c>
      <c r="N111" s="3">
        <v>1</v>
      </c>
      <c r="O111" s="3" t="s">
        <v>222</v>
      </c>
      <c r="P111" s="3"/>
      <c r="Q111" s="3"/>
      <c r="R111" s="6">
        <v>1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0.1</v>
      </c>
      <c r="Z111" s="3">
        <v>0</v>
      </c>
      <c r="AA111" s="3">
        <v>0</v>
      </c>
      <c r="AB111" s="3">
        <v>0</v>
      </c>
      <c r="AC111" s="3"/>
      <c r="AD111" s="3" t="str">
        <f t="shared" si="13"/>
        <v>public const int TURN_ON_BRAZIER = 42;</v>
      </c>
      <c r="AE111" s="3" t="str">
        <f t="shared" si="11"/>
        <v/>
      </c>
      <c r="AF111" s="3" t="str">
        <f t="shared" si="12"/>
        <v/>
      </c>
    </row>
    <row r="112" spans="1:32" x14ac:dyDescent="0.15">
      <c r="A112" s="3">
        <v>43</v>
      </c>
      <c r="B112" s="3" t="s">
        <v>223</v>
      </c>
      <c r="C112" s="3">
        <v>0</v>
      </c>
      <c r="D112" s="3">
        <v>0</v>
      </c>
      <c r="E112" s="3">
        <v>1</v>
      </c>
      <c r="F112" s="3">
        <v>0</v>
      </c>
      <c r="G112" s="3">
        <v>0</v>
      </c>
      <c r="H112" s="3" t="s">
        <v>157</v>
      </c>
      <c r="I112" s="11">
        <v>1</v>
      </c>
      <c r="J112" s="11">
        <v>0</v>
      </c>
      <c r="K112" s="3">
        <v>0</v>
      </c>
      <c r="L112" s="3">
        <v>0</v>
      </c>
      <c r="M112" s="3">
        <v>0</v>
      </c>
      <c r="N112" s="3">
        <v>1</v>
      </c>
      <c r="O112" s="3" t="s">
        <v>158</v>
      </c>
      <c r="P112" s="3"/>
      <c r="Q112" s="3"/>
      <c r="R112" s="6">
        <v>1</v>
      </c>
      <c r="S112" s="3">
        <v>0</v>
      </c>
      <c r="T112" s="3">
        <v>1</v>
      </c>
      <c r="U112" s="3">
        <v>0</v>
      </c>
      <c r="V112" s="3">
        <v>1</v>
      </c>
      <c r="W112" s="3">
        <v>0.5</v>
      </c>
      <c r="X112" s="3">
        <v>0</v>
      </c>
      <c r="Y112" s="3">
        <v>1</v>
      </c>
      <c r="Z112" s="3">
        <v>0.1</v>
      </c>
      <c r="AA112" s="3">
        <v>1</v>
      </c>
      <c r="AB112" s="3">
        <v>0</v>
      </c>
      <c r="AC112" s="3"/>
      <c r="AD112" s="3" t="str">
        <f t="shared" si="13"/>
        <v>public const int FISHING_WHILE_IDLE = 43;</v>
      </c>
      <c r="AE112" s="3" t="str">
        <f t="shared" si="11"/>
        <v/>
      </c>
      <c r="AF112" s="3" t="str">
        <f t="shared" si="12"/>
        <v/>
      </c>
    </row>
    <row r="113" spans="1:32" s="1" customFormat="1" x14ac:dyDescent="0.15">
      <c r="A113" s="3">
        <v>44</v>
      </c>
      <c r="B113" s="6" t="s">
        <v>224</v>
      </c>
      <c r="C113" s="6">
        <v>0</v>
      </c>
      <c r="D113" s="6">
        <v>0</v>
      </c>
      <c r="E113" s="6">
        <v>1</v>
      </c>
      <c r="F113" s="6">
        <v>0</v>
      </c>
      <c r="G113" s="6">
        <v>0</v>
      </c>
      <c r="H113" s="3" t="s">
        <v>225</v>
      </c>
      <c r="I113" s="11">
        <v>1</v>
      </c>
      <c r="J113" s="11">
        <v>0</v>
      </c>
      <c r="K113" s="3">
        <v>0</v>
      </c>
      <c r="L113" s="3">
        <v>0</v>
      </c>
      <c r="M113" s="6">
        <v>0</v>
      </c>
      <c r="N113" s="3">
        <v>1</v>
      </c>
      <c r="O113" s="3" t="s">
        <v>226</v>
      </c>
      <c r="P113" s="6"/>
      <c r="Q113" s="6"/>
      <c r="R113" s="6">
        <v>0</v>
      </c>
      <c r="S113" s="6">
        <v>0</v>
      </c>
      <c r="T113" s="6">
        <v>1</v>
      </c>
      <c r="U113" s="6">
        <v>0</v>
      </c>
      <c r="V113" s="6">
        <v>1</v>
      </c>
      <c r="W113" s="6">
        <v>1</v>
      </c>
      <c r="X113" s="6">
        <v>0</v>
      </c>
      <c r="Y113" s="6">
        <v>2</v>
      </c>
      <c r="Z113" s="6">
        <v>0.25</v>
      </c>
      <c r="AA113" s="6">
        <v>1</v>
      </c>
      <c r="AB113" s="6">
        <v>0</v>
      </c>
      <c r="AC113" s="6"/>
      <c r="AD113" s="3" t="str">
        <f t="shared" si="13"/>
        <v>public const int BLACKSMITHING = 44;</v>
      </c>
      <c r="AE113" s="3" t="str">
        <f t="shared" si="11"/>
        <v/>
      </c>
      <c r="AF113" s="3" t="str">
        <f t="shared" si="12"/>
        <v/>
      </c>
    </row>
    <row r="114" spans="1:32" x14ac:dyDescent="0.15">
      <c r="A114" s="3">
        <v>45</v>
      </c>
      <c r="B114" s="3" t="s">
        <v>227</v>
      </c>
      <c r="C114" s="3">
        <v>0</v>
      </c>
      <c r="D114" s="3">
        <v>0</v>
      </c>
      <c r="E114" s="3">
        <v>1</v>
      </c>
      <c r="F114" s="3">
        <v>0</v>
      </c>
      <c r="G114" s="3">
        <v>0</v>
      </c>
      <c r="H114" s="3" t="s">
        <v>228</v>
      </c>
      <c r="I114" s="11">
        <v>1</v>
      </c>
      <c r="J114" s="11">
        <v>0</v>
      </c>
      <c r="K114" s="3">
        <v>0</v>
      </c>
      <c r="L114" s="3">
        <v>0</v>
      </c>
      <c r="M114" s="5">
        <v>0</v>
      </c>
      <c r="N114" s="3">
        <v>1</v>
      </c>
      <c r="O114" s="3" t="s">
        <v>229</v>
      </c>
      <c r="P114" s="5"/>
      <c r="Q114" s="5"/>
      <c r="R114" s="6">
        <v>0</v>
      </c>
      <c r="S114" s="3">
        <v>0</v>
      </c>
      <c r="T114" s="3">
        <v>0</v>
      </c>
      <c r="U114" s="3">
        <v>0</v>
      </c>
      <c r="V114" s="3">
        <v>1</v>
      </c>
      <c r="W114" s="3">
        <v>0.5</v>
      </c>
      <c r="X114" s="3">
        <v>0</v>
      </c>
      <c r="Y114" s="3">
        <v>5</v>
      </c>
      <c r="Z114" s="3">
        <v>0.25</v>
      </c>
      <c r="AA114" s="3">
        <v>1</v>
      </c>
      <c r="AB114" s="3">
        <v>0</v>
      </c>
      <c r="AC114" s="3"/>
      <c r="AD114" s="3" t="str">
        <f t="shared" si="13"/>
        <v>public const int RESEARCH = 45;</v>
      </c>
      <c r="AE114" s="3" t="str">
        <f t="shared" si="11"/>
        <v/>
      </c>
      <c r="AF114" s="3" t="str">
        <f t="shared" si="12"/>
        <v/>
      </c>
    </row>
    <row r="115" spans="1:32" x14ac:dyDescent="0.15">
      <c r="A115" s="3">
        <v>46</v>
      </c>
      <c r="B115" s="3" t="s">
        <v>230</v>
      </c>
      <c r="C115" s="3">
        <v>0</v>
      </c>
      <c r="D115" s="3">
        <v>1</v>
      </c>
      <c r="E115" s="3">
        <v>1</v>
      </c>
      <c r="F115" s="3">
        <v>1</v>
      </c>
      <c r="G115" s="3">
        <v>1</v>
      </c>
      <c r="H115" s="3" t="s">
        <v>231</v>
      </c>
      <c r="I115" s="11">
        <v>1</v>
      </c>
      <c r="J115" s="11">
        <v>0</v>
      </c>
      <c r="K115" s="3">
        <v>0</v>
      </c>
      <c r="L115" s="3">
        <v>0</v>
      </c>
      <c r="M115" s="3">
        <v>1</v>
      </c>
      <c r="N115" s="3">
        <v>1</v>
      </c>
      <c r="O115" s="3" t="s">
        <v>232</v>
      </c>
      <c r="P115" s="5"/>
      <c r="Q115" s="5"/>
      <c r="R115" s="6">
        <v>1</v>
      </c>
      <c r="S115" s="3">
        <v>0</v>
      </c>
      <c r="T115" s="3">
        <v>0</v>
      </c>
      <c r="U115" s="3">
        <v>0</v>
      </c>
      <c r="V115" s="3">
        <v>1</v>
      </c>
      <c r="W115" s="3">
        <v>0.5</v>
      </c>
      <c r="X115" s="3">
        <v>0</v>
      </c>
      <c r="Y115" s="3">
        <v>0.1</v>
      </c>
      <c r="Z115" s="3">
        <v>0</v>
      </c>
      <c r="AA115" s="3">
        <v>0</v>
      </c>
      <c r="AB115" s="3">
        <v>0</v>
      </c>
      <c r="AC115" s="3"/>
      <c r="AD115" s="3" t="str">
        <f t="shared" si="13"/>
        <v>public const int ADD_FUEL = 46;</v>
      </c>
      <c r="AE115" s="3" t="str">
        <f t="shared" si="11"/>
        <v/>
      </c>
      <c r="AF115" s="3" t="str">
        <f t="shared" si="12"/>
        <v/>
      </c>
    </row>
    <row r="116" spans="1:32" x14ac:dyDescent="0.15">
      <c r="A116" s="3">
        <v>47</v>
      </c>
      <c r="B116" s="3" t="s">
        <v>233</v>
      </c>
      <c r="C116" s="3">
        <v>0</v>
      </c>
      <c r="D116" s="3">
        <v>1</v>
      </c>
      <c r="E116" s="3">
        <v>1</v>
      </c>
      <c r="F116" s="3">
        <v>1</v>
      </c>
      <c r="G116" s="3">
        <v>0</v>
      </c>
      <c r="H116" s="3" t="s">
        <v>234</v>
      </c>
      <c r="I116" s="11">
        <v>1</v>
      </c>
      <c r="J116" s="11">
        <v>0</v>
      </c>
      <c r="K116" s="3">
        <v>0</v>
      </c>
      <c r="L116" s="3">
        <v>0</v>
      </c>
      <c r="M116" s="5">
        <v>0</v>
      </c>
      <c r="N116" s="3">
        <v>1</v>
      </c>
      <c r="O116" s="3" t="s">
        <v>235</v>
      </c>
      <c r="P116" s="5"/>
      <c r="Q116" s="5"/>
      <c r="R116" s="6">
        <v>1</v>
      </c>
      <c r="S116" s="3">
        <v>0</v>
      </c>
      <c r="T116" s="3">
        <v>0</v>
      </c>
      <c r="U116" s="3">
        <v>0</v>
      </c>
      <c r="V116" s="3">
        <v>1</v>
      </c>
      <c r="W116" s="3">
        <v>0.5</v>
      </c>
      <c r="X116" s="3">
        <v>0</v>
      </c>
      <c r="Y116" s="3">
        <v>0.1</v>
      </c>
      <c r="Z116" s="3">
        <v>0.1</v>
      </c>
      <c r="AA116" s="3">
        <v>1</v>
      </c>
      <c r="AB116" s="3">
        <v>0</v>
      </c>
      <c r="AC116" s="3"/>
      <c r="AD116" s="3" t="str">
        <f t="shared" si="13"/>
        <v>public const int RESCUE = 47;</v>
      </c>
      <c r="AE116" s="3" t="str">
        <f t="shared" si="11"/>
        <v/>
      </c>
      <c r="AF116" s="3" t="str">
        <f t="shared" si="12"/>
        <v/>
      </c>
    </row>
    <row r="117" spans="1:32" x14ac:dyDescent="0.15">
      <c r="A117" s="3">
        <v>48</v>
      </c>
      <c r="B117" s="3" t="s">
        <v>236</v>
      </c>
      <c r="C117" s="3">
        <v>0</v>
      </c>
      <c r="D117" s="3">
        <v>1</v>
      </c>
      <c r="E117" s="3">
        <v>1</v>
      </c>
      <c r="F117" s="3">
        <v>1</v>
      </c>
      <c r="G117" s="3">
        <v>1</v>
      </c>
      <c r="H117" s="3" t="s">
        <v>237</v>
      </c>
      <c r="I117" s="11">
        <v>1</v>
      </c>
      <c r="J117" s="11">
        <v>0</v>
      </c>
      <c r="K117" s="3">
        <v>0</v>
      </c>
      <c r="L117" s="3">
        <v>0</v>
      </c>
      <c r="M117" s="5">
        <v>1</v>
      </c>
      <c r="N117" s="3">
        <v>1</v>
      </c>
      <c r="O117" s="3" t="s">
        <v>238</v>
      </c>
      <c r="P117" s="5"/>
      <c r="Q117" s="5"/>
      <c r="R117" s="6">
        <v>0</v>
      </c>
      <c r="S117" s="3">
        <v>0</v>
      </c>
      <c r="T117" s="3">
        <v>0</v>
      </c>
      <c r="U117" s="3">
        <v>0</v>
      </c>
      <c r="V117" s="3">
        <v>1</v>
      </c>
      <c r="W117" s="3">
        <v>0.5</v>
      </c>
      <c r="X117" s="3">
        <v>0</v>
      </c>
      <c r="Y117" s="3">
        <v>0.1</v>
      </c>
      <c r="Z117" s="3">
        <v>0.1</v>
      </c>
      <c r="AA117" s="3">
        <v>1</v>
      </c>
      <c r="AB117" s="3">
        <v>0</v>
      </c>
      <c r="AC117" s="3"/>
      <c r="AD117" s="3" t="str">
        <f t="shared" si="13"/>
        <v>public const int RESCUE_FEED_ME_FOOD = 48;</v>
      </c>
      <c r="AE117" s="3" t="str">
        <f t="shared" si="11"/>
        <v/>
      </c>
      <c r="AF117" s="3" t="str">
        <f t="shared" si="12"/>
        <v/>
      </c>
    </row>
    <row r="118" spans="1:32" x14ac:dyDescent="0.15">
      <c r="A118" s="3">
        <v>49</v>
      </c>
      <c r="B118" s="3" t="s">
        <v>239</v>
      </c>
      <c r="C118" s="3">
        <v>0</v>
      </c>
      <c r="D118" s="3">
        <v>1</v>
      </c>
      <c r="E118" s="3">
        <v>1</v>
      </c>
      <c r="F118" s="3">
        <v>1</v>
      </c>
      <c r="G118" s="3">
        <v>1</v>
      </c>
      <c r="H118" s="3" t="s">
        <v>240</v>
      </c>
      <c r="I118" s="11">
        <v>1</v>
      </c>
      <c r="J118" s="11">
        <v>0</v>
      </c>
      <c r="K118" s="3">
        <v>0</v>
      </c>
      <c r="L118" s="3">
        <v>0</v>
      </c>
      <c r="M118" s="5">
        <v>1</v>
      </c>
      <c r="N118" s="3">
        <v>1</v>
      </c>
      <c r="O118" s="3" t="s">
        <v>238</v>
      </c>
      <c r="P118" s="5"/>
      <c r="Q118" s="5"/>
      <c r="R118" s="6">
        <v>0</v>
      </c>
      <c r="S118" s="3">
        <v>0</v>
      </c>
      <c r="T118" s="3">
        <v>0</v>
      </c>
      <c r="U118" s="3">
        <v>0</v>
      </c>
      <c r="V118" s="3">
        <v>1</v>
      </c>
      <c r="W118" s="3">
        <v>0.5</v>
      </c>
      <c r="X118" s="3">
        <v>0</v>
      </c>
      <c r="Y118" s="3">
        <v>0.1</v>
      </c>
      <c r="Z118" s="3">
        <v>0.1</v>
      </c>
      <c r="AA118" s="3">
        <v>1</v>
      </c>
      <c r="AB118" s="3">
        <v>0</v>
      </c>
      <c r="AC118" s="3"/>
      <c r="AD118" s="3" t="str">
        <f t="shared" si="13"/>
        <v>public const int RESCUE_FEED_ME_HERB = 49;</v>
      </c>
      <c r="AE118" s="3" t="str">
        <f t="shared" si="11"/>
        <v/>
      </c>
      <c r="AF118" s="3" t="str">
        <f t="shared" si="12"/>
        <v/>
      </c>
    </row>
    <row r="119" spans="1:32" x14ac:dyDescent="0.15">
      <c r="A119" s="3">
        <v>50</v>
      </c>
      <c r="B119" s="3" t="s">
        <v>360</v>
      </c>
      <c r="C119" s="3">
        <v>0</v>
      </c>
      <c r="D119" s="3">
        <v>1</v>
      </c>
      <c r="E119" s="3">
        <v>1</v>
      </c>
      <c r="F119" s="3">
        <v>0</v>
      </c>
      <c r="G119" s="3">
        <v>0</v>
      </c>
      <c r="H119" s="3" t="s">
        <v>128</v>
      </c>
      <c r="I119" s="11">
        <v>1</v>
      </c>
      <c r="J119" s="11">
        <v>0</v>
      </c>
      <c r="K119" s="3">
        <v>0</v>
      </c>
      <c r="L119" s="3">
        <v>0</v>
      </c>
      <c r="M119" s="3">
        <v>1</v>
      </c>
      <c r="N119" s="3">
        <v>1</v>
      </c>
      <c r="O119" s="3" t="s">
        <v>129</v>
      </c>
      <c r="P119" s="10" t="s">
        <v>427</v>
      </c>
      <c r="Q119" s="10" t="s">
        <v>397</v>
      </c>
      <c r="R119" s="6">
        <v>0</v>
      </c>
      <c r="S119" s="3">
        <v>0</v>
      </c>
      <c r="T119" s="3">
        <v>0</v>
      </c>
      <c r="U119" s="3">
        <v>0</v>
      </c>
      <c r="V119" s="3">
        <v>1</v>
      </c>
      <c r="W119" s="3">
        <v>0.5</v>
      </c>
      <c r="X119" s="3">
        <v>0</v>
      </c>
      <c r="Y119" s="3">
        <v>0.2</v>
      </c>
      <c r="Z119" s="3">
        <v>0.1</v>
      </c>
      <c r="AA119" s="3">
        <v>1</v>
      </c>
      <c r="AB119" s="3">
        <v>0</v>
      </c>
      <c r="AC119" s="3"/>
      <c r="AD119" s="3" t="str">
        <f t="shared" si="13"/>
        <v>public const int WORK_TRANSPORT = 50;</v>
      </c>
      <c r="AE119" s="3" t="str">
        <f t="shared" si="11"/>
        <v>装卸物品</v>
      </c>
      <c r="AF119" s="3" t="str">
        <f t="shared" si="12"/>
        <v>运输物品的路上</v>
      </c>
    </row>
    <row r="120" spans="1:32" x14ac:dyDescent="0.15">
      <c r="A120" s="3">
        <v>51</v>
      </c>
      <c r="B120" s="3" t="s">
        <v>241</v>
      </c>
      <c r="C120" s="3">
        <v>0</v>
      </c>
      <c r="D120" s="3">
        <v>1</v>
      </c>
      <c r="E120" s="3">
        <v>1</v>
      </c>
      <c r="F120" s="3">
        <v>0</v>
      </c>
      <c r="G120" s="3">
        <v>0</v>
      </c>
      <c r="H120" s="3" t="s">
        <v>242</v>
      </c>
      <c r="I120" s="11">
        <v>1</v>
      </c>
      <c r="J120" s="11">
        <v>0</v>
      </c>
      <c r="K120" s="3">
        <v>0</v>
      </c>
      <c r="L120" s="3">
        <v>0</v>
      </c>
      <c r="M120" s="3">
        <v>1</v>
      </c>
      <c r="N120" s="3">
        <v>1</v>
      </c>
      <c r="O120" s="3" t="s">
        <v>243</v>
      </c>
      <c r="P120" s="3"/>
      <c r="Q120" s="3"/>
      <c r="R120" s="6">
        <v>0</v>
      </c>
      <c r="S120" s="3">
        <v>0</v>
      </c>
      <c r="T120" s="3">
        <v>0</v>
      </c>
      <c r="U120" s="3">
        <v>0</v>
      </c>
      <c r="V120" s="3">
        <v>1</v>
      </c>
      <c r="W120" s="3">
        <v>0.5</v>
      </c>
      <c r="X120" s="3">
        <v>0</v>
      </c>
      <c r="Y120" s="3">
        <v>0.3</v>
      </c>
      <c r="Z120" s="3">
        <v>0.1</v>
      </c>
      <c r="AA120" s="3">
        <v>1</v>
      </c>
      <c r="AB120" s="3">
        <v>0</v>
      </c>
      <c r="AC120" s="3"/>
      <c r="AD120" s="3" t="str">
        <f t="shared" si="13"/>
        <v>public const int TRANSPORT_IN_BARRACKS = 51;</v>
      </c>
      <c r="AE120" s="3" t="str">
        <f t="shared" si="11"/>
        <v/>
      </c>
      <c r="AF120" s="3" t="str">
        <f t="shared" si="12"/>
        <v/>
      </c>
    </row>
    <row r="121" spans="1:32" x14ac:dyDescent="0.15">
      <c r="A121" s="3">
        <v>52</v>
      </c>
      <c r="B121" s="3" t="s">
        <v>244</v>
      </c>
      <c r="C121" s="3">
        <v>0</v>
      </c>
      <c r="D121" s="3">
        <v>1</v>
      </c>
      <c r="E121" s="3">
        <v>1</v>
      </c>
      <c r="F121" s="3">
        <v>0</v>
      </c>
      <c r="G121" s="3">
        <v>0</v>
      </c>
      <c r="H121" s="3" t="s">
        <v>245</v>
      </c>
      <c r="I121" s="11">
        <v>1</v>
      </c>
      <c r="J121" s="11">
        <v>0</v>
      </c>
      <c r="K121" s="3">
        <v>0</v>
      </c>
      <c r="L121" s="3">
        <v>1</v>
      </c>
      <c r="M121" s="3">
        <v>0</v>
      </c>
      <c r="N121" s="3">
        <v>1</v>
      </c>
      <c r="O121" s="3" t="s">
        <v>246</v>
      </c>
      <c r="P121" s="3"/>
      <c r="Q121" s="3"/>
      <c r="R121" s="6">
        <v>1</v>
      </c>
      <c r="S121" s="3">
        <v>1</v>
      </c>
      <c r="T121" s="3">
        <v>0</v>
      </c>
      <c r="U121" s="3">
        <v>0</v>
      </c>
      <c r="V121" s="3">
        <v>1</v>
      </c>
      <c r="W121" s="3">
        <v>0.5</v>
      </c>
      <c r="X121" s="3">
        <v>0</v>
      </c>
      <c r="Y121" s="3">
        <v>0.1</v>
      </c>
      <c r="Z121" s="3">
        <v>0.1</v>
      </c>
      <c r="AA121" s="3">
        <v>1</v>
      </c>
      <c r="AB121" s="3">
        <v>0</v>
      </c>
      <c r="AC121" s="3"/>
      <c r="AD121" s="3" t="str">
        <f t="shared" si="13"/>
        <v>public const int PICK_UP_NPC_DEAD_BODY = 52;</v>
      </c>
      <c r="AE121" s="3" t="str">
        <f t="shared" si="11"/>
        <v/>
      </c>
      <c r="AF121" s="3" t="str">
        <f t="shared" si="12"/>
        <v/>
      </c>
    </row>
    <row r="122" spans="1:32" x14ac:dyDescent="0.15">
      <c r="A122" s="3">
        <v>53</v>
      </c>
      <c r="B122" s="3" t="s">
        <v>247</v>
      </c>
      <c r="C122" s="3">
        <v>0</v>
      </c>
      <c r="D122" s="3">
        <v>1</v>
      </c>
      <c r="E122" s="3">
        <v>1</v>
      </c>
      <c r="F122" s="3">
        <v>0</v>
      </c>
      <c r="G122" s="3">
        <v>0</v>
      </c>
      <c r="H122" s="3" t="s">
        <v>248</v>
      </c>
      <c r="I122" s="11">
        <v>1</v>
      </c>
      <c r="J122" s="11">
        <v>0</v>
      </c>
      <c r="K122" s="3">
        <v>0</v>
      </c>
      <c r="L122" s="3">
        <v>0</v>
      </c>
      <c r="M122" s="3">
        <v>1</v>
      </c>
      <c r="N122" s="3">
        <v>1</v>
      </c>
      <c r="O122" s="3" t="s">
        <v>249</v>
      </c>
      <c r="P122" s="3"/>
      <c r="Q122" s="3"/>
      <c r="R122" s="6">
        <v>1</v>
      </c>
      <c r="S122" s="3">
        <v>1</v>
      </c>
      <c r="T122" s="3">
        <v>0</v>
      </c>
      <c r="U122" s="3">
        <v>0</v>
      </c>
      <c r="V122" s="3">
        <v>1</v>
      </c>
      <c r="W122" s="3">
        <v>0.5</v>
      </c>
      <c r="X122" s="3">
        <v>0</v>
      </c>
      <c r="Y122" s="3">
        <v>0.1</v>
      </c>
      <c r="Z122" s="3">
        <v>0.1</v>
      </c>
      <c r="AA122" s="3">
        <v>1</v>
      </c>
      <c r="AB122" s="3">
        <v>0</v>
      </c>
      <c r="AC122" s="3"/>
      <c r="AD122" s="3" t="str">
        <f t="shared" si="13"/>
        <v>public const int CARRY_NPC_DEAD_BODY = 53;</v>
      </c>
      <c r="AE122" s="3" t="str">
        <f t="shared" si="11"/>
        <v/>
      </c>
      <c r="AF122" s="3" t="str">
        <f t="shared" si="12"/>
        <v/>
      </c>
    </row>
    <row r="123" spans="1:32" x14ac:dyDescent="0.15">
      <c r="A123" s="3">
        <v>54</v>
      </c>
      <c r="B123" s="3" t="s">
        <v>250</v>
      </c>
      <c r="C123" s="3">
        <v>0</v>
      </c>
      <c r="D123" s="3">
        <v>1</v>
      </c>
      <c r="E123" s="3">
        <v>1</v>
      </c>
      <c r="F123" s="3">
        <v>0</v>
      </c>
      <c r="G123" s="3">
        <v>0</v>
      </c>
      <c r="H123" s="3" t="s">
        <v>251</v>
      </c>
      <c r="I123" s="11">
        <v>1</v>
      </c>
      <c r="J123" s="11">
        <v>0</v>
      </c>
      <c r="K123" s="3">
        <v>0</v>
      </c>
      <c r="L123" s="3">
        <v>0</v>
      </c>
      <c r="M123" s="3">
        <v>1</v>
      </c>
      <c r="N123" s="3">
        <v>0</v>
      </c>
      <c r="O123" s="3" t="s">
        <v>252</v>
      </c>
      <c r="P123" s="3"/>
      <c r="Q123" s="3"/>
      <c r="R123" s="6">
        <v>0</v>
      </c>
      <c r="S123" s="3">
        <v>1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0.5</v>
      </c>
      <c r="Z123" s="3">
        <v>0</v>
      </c>
      <c r="AA123" s="3">
        <v>0</v>
      </c>
      <c r="AB123" s="3">
        <v>0</v>
      </c>
      <c r="AC123" s="3"/>
      <c r="AD123" s="3" t="str">
        <f t="shared" si="13"/>
        <v>public const int MOURN = 54;</v>
      </c>
      <c r="AE123" s="3" t="str">
        <f t="shared" si="11"/>
        <v/>
      </c>
      <c r="AF123" s="3" t="str">
        <f t="shared" si="12"/>
        <v/>
      </c>
    </row>
    <row r="124" spans="1:32" x14ac:dyDescent="0.15">
      <c r="A124" s="3">
        <v>55</v>
      </c>
      <c r="B124" s="3" t="s">
        <v>253</v>
      </c>
      <c r="C124" s="3">
        <v>0</v>
      </c>
      <c r="D124" s="3">
        <v>0</v>
      </c>
      <c r="E124" s="3">
        <v>1</v>
      </c>
      <c r="F124" s="3">
        <v>0</v>
      </c>
      <c r="G124" s="3">
        <v>0</v>
      </c>
      <c r="H124" s="3" t="s">
        <v>254</v>
      </c>
      <c r="I124" s="11">
        <v>1</v>
      </c>
      <c r="J124" s="11">
        <v>0</v>
      </c>
      <c r="K124" s="3">
        <v>0</v>
      </c>
      <c r="L124" s="3">
        <v>0</v>
      </c>
      <c r="M124" s="5">
        <v>0</v>
      </c>
      <c r="N124" s="3">
        <v>1</v>
      </c>
      <c r="O124" s="3" t="s">
        <v>255</v>
      </c>
      <c r="P124" s="5"/>
      <c r="Q124" s="5"/>
      <c r="R124" s="6">
        <v>0</v>
      </c>
      <c r="S124" s="3">
        <v>1</v>
      </c>
      <c r="T124" s="3">
        <v>0</v>
      </c>
      <c r="U124" s="3">
        <v>0</v>
      </c>
      <c r="V124" s="3">
        <v>1</v>
      </c>
      <c r="W124" s="3">
        <v>0.5</v>
      </c>
      <c r="X124" s="3">
        <v>0</v>
      </c>
      <c r="Y124" s="3">
        <v>5</v>
      </c>
      <c r="Z124" s="3">
        <v>0</v>
      </c>
      <c r="AA124" s="3">
        <v>0</v>
      </c>
      <c r="AB124" s="3">
        <v>0</v>
      </c>
      <c r="AC124" s="3"/>
      <c r="AD124" s="3" t="str">
        <f t="shared" si="13"/>
        <v>public const int BELIEF_SELF_TEACH = 55;</v>
      </c>
      <c r="AE124" s="3" t="str">
        <f t="shared" si="11"/>
        <v/>
      </c>
      <c r="AF124" s="3" t="str">
        <f t="shared" si="12"/>
        <v/>
      </c>
    </row>
    <row r="125" spans="1:32" x14ac:dyDescent="0.15">
      <c r="A125" s="3">
        <v>56</v>
      </c>
      <c r="B125" s="3" t="s">
        <v>256</v>
      </c>
      <c r="C125" s="3">
        <v>0</v>
      </c>
      <c r="D125" s="3">
        <v>0</v>
      </c>
      <c r="E125" s="3">
        <v>1</v>
      </c>
      <c r="F125" s="3">
        <v>0</v>
      </c>
      <c r="G125" s="3">
        <v>0</v>
      </c>
      <c r="H125" s="3" t="s">
        <v>257</v>
      </c>
      <c r="I125" s="11">
        <v>1</v>
      </c>
      <c r="J125" s="11">
        <v>0</v>
      </c>
      <c r="K125" s="3">
        <v>0</v>
      </c>
      <c r="L125" s="3">
        <v>0</v>
      </c>
      <c r="M125" s="3">
        <v>1</v>
      </c>
      <c r="N125" s="3">
        <v>1</v>
      </c>
      <c r="O125" s="3" t="s">
        <v>258</v>
      </c>
      <c r="P125" s="5"/>
      <c r="Q125" s="5"/>
      <c r="R125" s="6">
        <v>0</v>
      </c>
      <c r="S125" s="3">
        <v>0</v>
      </c>
      <c r="T125" s="3">
        <v>1</v>
      </c>
      <c r="U125" s="3">
        <v>0</v>
      </c>
      <c r="V125" s="3">
        <v>1</v>
      </c>
      <c r="W125" s="3">
        <v>1</v>
      </c>
      <c r="X125" s="3">
        <v>0</v>
      </c>
      <c r="Y125" s="3">
        <v>0.1</v>
      </c>
      <c r="Z125" s="3">
        <v>0.1</v>
      </c>
      <c r="AA125" s="3">
        <v>1</v>
      </c>
      <c r="AB125" s="3">
        <v>0</v>
      </c>
      <c r="AC125" s="3"/>
      <c r="AD125" s="3" t="str">
        <f t="shared" si="13"/>
        <v>public const int ADD_FUEL_TO_COOK_TABLE = 56;</v>
      </c>
      <c r="AE125" s="3" t="str">
        <f t="shared" si="11"/>
        <v/>
      </c>
      <c r="AF125" s="3" t="str">
        <f t="shared" si="12"/>
        <v/>
      </c>
    </row>
    <row r="126" spans="1:32" x14ac:dyDescent="0.15">
      <c r="A126" s="3">
        <v>57</v>
      </c>
      <c r="B126" s="3" t="s">
        <v>259</v>
      </c>
      <c r="C126" s="3">
        <v>0</v>
      </c>
      <c r="D126" s="3">
        <v>0</v>
      </c>
      <c r="E126" s="3">
        <v>1</v>
      </c>
      <c r="F126" s="3">
        <v>0</v>
      </c>
      <c r="G126" s="3">
        <v>0</v>
      </c>
      <c r="H126" s="3" t="s">
        <v>260</v>
      </c>
      <c r="I126" s="11">
        <v>1</v>
      </c>
      <c r="J126" s="11">
        <v>0</v>
      </c>
      <c r="K126" s="3">
        <v>0</v>
      </c>
      <c r="L126" s="3">
        <v>0</v>
      </c>
      <c r="M126" s="3">
        <v>0</v>
      </c>
      <c r="N126" s="3">
        <v>1</v>
      </c>
      <c r="O126" s="3" t="s">
        <v>260</v>
      </c>
      <c r="P126" s="3"/>
      <c r="Q126" s="3"/>
      <c r="R126" s="6">
        <v>0</v>
      </c>
      <c r="S126" s="3">
        <v>0</v>
      </c>
      <c r="T126" s="3">
        <v>0</v>
      </c>
      <c r="U126" s="3">
        <v>0</v>
      </c>
      <c r="V126" s="3">
        <v>1</v>
      </c>
      <c r="W126" s="3">
        <v>1</v>
      </c>
      <c r="X126" s="3">
        <v>1</v>
      </c>
      <c r="Y126" s="3">
        <v>0.1</v>
      </c>
      <c r="Z126" s="3">
        <v>0.1</v>
      </c>
      <c r="AA126" s="3">
        <v>1</v>
      </c>
      <c r="AB126" s="3">
        <v>0</v>
      </c>
      <c r="AC126" s="3"/>
      <c r="AD126" s="3" t="str">
        <f t="shared" si="13"/>
        <v>public const int CARRY_ANIMAL_DEAD_BODY = 57;</v>
      </c>
      <c r="AE126" s="3" t="str">
        <f t="shared" si="11"/>
        <v/>
      </c>
      <c r="AF126" s="3" t="str">
        <f t="shared" si="12"/>
        <v/>
      </c>
    </row>
    <row r="127" spans="1:32" x14ac:dyDescent="0.15">
      <c r="A127" s="3">
        <v>58</v>
      </c>
      <c r="B127" s="3" t="s">
        <v>261</v>
      </c>
      <c r="C127" s="3">
        <v>0</v>
      </c>
      <c r="D127" s="3">
        <v>1</v>
      </c>
      <c r="E127" s="3">
        <v>1</v>
      </c>
      <c r="F127" s="3">
        <v>0</v>
      </c>
      <c r="G127" s="3">
        <v>0</v>
      </c>
      <c r="H127" s="3" t="s">
        <v>262</v>
      </c>
      <c r="I127" s="11">
        <v>1</v>
      </c>
      <c r="J127" s="11">
        <v>0</v>
      </c>
      <c r="K127" s="3">
        <v>0</v>
      </c>
      <c r="L127" s="3">
        <v>0</v>
      </c>
      <c r="M127" s="5">
        <v>1</v>
      </c>
      <c r="N127" s="3">
        <v>1</v>
      </c>
      <c r="O127" s="3" t="s">
        <v>263</v>
      </c>
      <c r="P127" s="10" t="s">
        <v>428</v>
      </c>
      <c r="Q127" s="10" t="s">
        <v>413</v>
      </c>
      <c r="R127" s="6">
        <v>0</v>
      </c>
      <c r="S127" s="3">
        <v>0</v>
      </c>
      <c r="T127" s="3">
        <v>0</v>
      </c>
      <c r="U127" s="3">
        <v>0</v>
      </c>
      <c r="V127" s="3">
        <v>1</v>
      </c>
      <c r="W127" s="3">
        <v>0.5</v>
      </c>
      <c r="X127" s="3">
        <v>0</v>
      </c>
      <c r="Y127" s="3">
        <v>0.2</v>
      </c>
      <c r="Z127" s="3">
        <v>0.1</v>
      </c>
      <c r="AA127" s="3">
        <v>1</v>
      </c>
      <c r="AB127" s="3">
        <v>0</v>
      </c>
      <c r="AC127" s="3"/>
      <c r="AD127" s="3" t="str">
        <f t="shared" si="13"/>
        <v>public const int TRANSPORT_BATCH = 58;</v>
      </c>
      <c r="AE127" s="3" t="str">
        <f t="shared" si="11"/>
        <v>批量装卸物品</v>
      </c>
      <c r="AF127" s="3" t="str">
        <f t="shared" si="12"/>
        <v>批量运输物品的路上</v>
      </c>
    </row>
    <row r="128" spans="1:32" x14ac:dyDescent="0.15">
      <c r="A128" s="3">
        <v>59</v>
      </c>
      <c r="B128" s="3" t="s">
        <v>264</v>
      </c>
      <c r="C128" s="3">
        <v>0</v>
      </c>
      <c r="D128" s="3">
        <v>1</v>
      </c>
      <c r="E128" s="3">
        <v>1</v>
      </c>
      <c r="F128" s="3">
        <v>0</v>
      </c>
      <c r="G128" s="3">
        <v>0</v>
      </c>
      <c r="H128" s="3" t="s">
        <v>265</v>
      </c>
      <c r="I128" s="11">
        <v>1</v>
      </c>
      <c r="J128" s="11">
        <v>0</v>
      </c>
      <c r="K128" s="3">
        <v>0</v>
      </c>
      <c r="L128" s="3">
        <v>0</v>
      </c>
      <c r="M128" s="7">
        <v>0</v>
      </c>
      <c r="N128" s="3">
        <v>1</v>
      </c>
      <c r="O128" s="3" t="s">
        <v>265</v>
      </c>
      <c r="P128" s="7"/>
      <c r="Q128" s="7"/>
      <c r="R128" s="6">
        <v>0</v>
      </c>
      <c r="S128" s="3">
        <v>1</v>
      </c>
      <c r="T128" s="3">
        <v>0</v>
      </c>
      <c r="U128" s="3">
        <v>1</v>
      </c>
      <c r="V128" s="3">
        <v>1</v>
      </c>
      <c r="W128" s="3">
        <v>0.5</v>
      </c>
      <c r="X128" s="3">
        <v>0</v>
      </c>
      <c r="Y128" s="3">
        <v>0.1</v>
      </c>
      <c r="Z128" s="3">
        <v>0</v>
      </c>
      <c r="AA128" s="3">
        <v>1</v>
      </c>
      <c r="AB128" s="3">
        <v>0</v>
      </c>
      <c r="AC128" s="3"/>
      <c r="AD128" s="3" t="str">
        <f t="shared" si="13"/>
        <v>public const int PASTURE_CLEAR_FAECES = 59;</v>
      </c>
      <c r="AE128" s="3" t="str">
        <f t="shared" si="11"/>
        <v/>
      </c>
      <c r="AF128" s="3" t="str">
        <f t="shared" si="12"/>
        <v/>
      </c>
    </row>
    <row r="129" spans="1:32" x14ac:dyDescent="0.15">
      <c r="A129" s="3">
        <v>60</v>
      </c>
      <c r="B129" s="3" t="s">
        <v>266</v>
      </c>
      <c r="C129" s="3">
        <v>0</v>
      </c>
      <c r="D129" s="3">
        <v>1</v>
      </c>
      <c r="E129" s="3">
        <v>1</v>
      </c>
      <c r="F129" s="3">
        <v>0</v>
      </c>
      <c r="G129" s="3">
        <v>0</v>
      </c>
      <c r="H129" s="3" t="s">
        <v>267</v>
      </c>
      <c r="I129" s="11">
        <v>1</v>
      </c>
      <c r="J129" s="11">
        <v>0</v>
      </c>
      <c r="K129" s="3">
        <v>0</v>
      </c>
      <c r="L129" s="3">
        <v>0</v>
      </c>
      <c r="M129" s="7">
        <v>1</v>
      </c>
      <c r="N129" s="3">
        <v>1</v>
      </c>
      <c r="O129" s="3" t="s">
        <v>267</v>
      </c>
      <c r="P129" s="7"/>
      <c r="Q129" s="7"/>
      <c r="R129" s="6">
        <v>0</v>
      </c>
      <c r="S129" s="3">
        <v>0</v>
      </c>
      <c r="T129" s="3">
        <v>1</v>
      </c>
      <c r="U129" s="3">
        <v>0</v>
      </c>
      <c r="V129" s="3">
        <v>1</v>
      </c>
      <c r="W129" s="3">
        <v>0.5</v>
      </c>
      <c r="X129" s="3">
        <v>0</v>
      </c>
      <c r="Y129" s="3">
        <v>0.1</v>
      </c>
      <c r="Z129" s="3">
        <v>0.25</v>
      </c>
      <c r="AA129" s="3">
        <v>1</v>
      </c>
      <c r="AB129" s="3">
        <v>0</v>
      </c>
      <c r="AC129" s="3"/>
      <c r="AD129" s="3" t="str">
        <f t="shared" si="13"/>
        <v>public const int CATCH_CRAB = 60;</v>
      </c>
      <c r="AE129" s="3" t="str">
        <f t="shared" si="11"/>
        <v/>
      </c>
      <c r="AF129" s="3" t="str">
        <f t="shared" si="12"/>
        <v/>
      </c>
    </row>
    <row r="130" spans="1:32" x14ac:dyDescent="0.15">
      <c r="A130" s="3">
        <v>61</v>
      </c>
      <c r="B130" s="3" t="s">
        <v>268</v>
      </c>
      <c r="C130" s="3">
        <v>0</v>
      </c>
      <c r="D130" s="3">
        <v>0</v>
      </c>
      <c r="E130" s="3">
        <v>1</v>
      </c>
      <c r="F130" s="3">
        <v>0</v>
      </c>
      <c r="G130" s="3">
        <v>1</v>
      </c>
      <c r="H130" s="3" t="s">
        <v>525</v>
      </c>
      <c r="I130" s="11">
        <v>1</v>
      </c>
      <c r="J130" s="11">
        <v>1</v>
      </c>
      <c r="K130" s="3">
        <v>0</v>
      </c>
      <c r="L130" s="3">
        <v>0</v>
      </c>
      <c r="M130" s="5">
        <v>1</v>
      </c>
      <c r="N130" s="3">
        <v>1</v>
      </c>
      <c r="O130" s="3" t="s">
        <v>568</v>
      </c>
      <c r="P130" s="10" t="s">
        <v>427</v>
      </c>
      <c r="Q130" s="10" t="s">
        <v>397</v>
      </c>
      <c r="R130" s="6">
        <v>0</v>
      </c>
      <c r="S130" s="3">
        <v>0</v>
      </c>
      <c r="T130" s="3">
        <v>0</v>
      </c>
      <c r="U130" s="3">
        <v>0</v>
      </c>
      <c r="V130" s="3">
        <v>1</v>
      </c>
      <c r="W130" s="3">
        <v>0.5</v>
      </c>
      <c r="X130" s="3">
        <v>0</v>
      </c>
      <c r="Y130" s="3">
        <v>0.2</v>
      </c>
      <c r="Z130" s="3">
        <v>0.1</v>
      </c>
      <c r="AA130" s="3">
        <v>1</v>
      </c>
      <c r="AB130" s="3">
        <v>0</v>
      </c>
      <c r="AC130" s="3"/>
      <c r="AD130" s="3" t="str">
        <f t="shared" si="13"/>
        <v>public const int BUILD_TRANSPORT = 61;</v>
      </c>
      <c r="AE130" s="3" t="str">
        <f t="shared" si="11"/>
        <v>装卸物品</v>
      </c>
      <c r="AF130" s="3" t="str">
        <f t="shared" si="12"/>
        <v>运输物品的路上</v>
      </c>
    </row>
    <row r="131" spans="1:32" x14ac:dyDescent="0.15">
      <c r="A131" s="3">
        <v>62</v>
      </c>
      <c r="B131" s="3" t="s">
        <v>269</v>
      </c>
      <c r="C131" s="3">
        <v>0</v>
      </c>
      <c r="D131" s="3">
        <v>1</v>
      </c>
      <c r="E131" s="3">
        <v>1</v>
      </c>
      <c r="F131" s="3">
        <v>0</v>
      </c>
      <c r="G131" s="3">
        <v>0</v>
      </c>
      <c r="H131" s="3" t="s">
        <v>270</v>
      </c>
      <c r="I131" s="11">
        <v>1</v>
      </c>
      <c r="J131" s="11">
        <v>0</v>
      </c>
      <c r="K131" s="3">
        <v>0</v>
      </c>
      <c r="L131" s="3">
        <v>0</v>
      </c>
      <c r="M131" s="7">
        <v>0</v>
      </c>
      <c r="N131" s="3">
        <v>0</v>
      </c>
      <c r="O131" s="3" t="s">
        <v>271</v>
      </c>
      <c r="P131" s="7"/>
      <c r="Q131" s="7"/>
      <c r="R131" s="6">
        <v>0</v>
      </c>
      <c r="S131" s="3">
        <v>0</v>
      </c>
      <c r="T131" s="3">
        <v>0</v>
      </c>
      <c r="U131" s="3">
        <v>0</v>
      </c>
      <c r="V131" s="3">
        <v>1</v>
      </c>
      <c r="W131" s="3">
        <v>0.5</v>
      </c>
      <c r="X131" s="3">
        <v>0</v>
      </c>
      <c r="Y131" s="3">
        <v>3</v>
      </c>
      <c r="Z131" s="3">
        <v>0</v>
      </c>
      <c r="AA131" s="3">
        <v>0</v>
      </c>
      <c r="AB131" s="3">
        <v>0</v>
      </c>
      <c r="AC131" s="3"/>
      <c r="AD131" s="3" t="str">
        <f t="shared" ref="AD131:AD162" si="14">CONCATENATE("public const int ",B131," = ",A131,";")</f>
        <v>public const int LOOK_AFTER_ELDER_AND_SEE_LAST = 62;</v>
      </c>
      <c r="AE131" s="3" t="str">
        <f t="shared" si="11"/>
        <v/>
      </c>
      <c r="AF131" s="3" t="str">
        <f t="shared" si="12"/>
        <v/>
      </c>
    </row>
    <row r="132" spans="1:32" x14ac:dyDescent="0.15">
      <c r="A132" s="3">
        <v>63</v>
      </c>
      <c r="B132" s="3" t="s">
        <v>272</v>
      </c>
      <c r="C132" s="3">
        <v>1</v>
      </c>
      <c r="D132" s="3">
        <v>1</v>
      </c>
      <c r="E132" s="3">
        <v>1</v>
      </c>
      <c r="F132" s="3">
        <v>1</v>
      </c>
      <c r="G132" s="3">
        <v>1</v>
      </c>
      <c r="H132" s="3" t="s">
        <v>273</v>
      </c>
      <c r="I132" s="11">
        <v>0</v>
      </c>
      <c r="J132" s="11">
        <v>0</v>
      </c>
      <c r="K132" s="3">
        <v>0</v>
      </c>
      <c r="L132" s="3">
        <v>0</v>
      </c>
      <c r="M132" s="7">
        <v>0</v>
      </c>
      <c r="N132" s="3">
        <v>0</v>
      </c>
      <c r="O132" s="3" t="s">
        <v>274</v>
      </c>
      <c r="P132" s="7"/>
      <c r="Q132" s="7"/>
      <c r="R132" s="6">
        <v>0</v>
      </c>
      <c r="S132" s="3">
        <v>0</v>
      </c>
      <c r="T132" s="3">
        <v>0</v>
      </c>
      <c r="U132" s="3">
        <v>0</v>
      </c>
      <c r="V132" s="3">
        <v>1</v>
      </c>
      <c r="W132" s="3">
        <v>0.5</v>
      </c>
      <c r="X132" s="3">
        <v>0</v>
      </c>
      <c r="Y132" s="3">
        <v>3</v>
      </c>
      <c r="Z132" s="3">
        <v>0</v>
      </c>
      <c r="AA132" s="3">
        <v>0</v>
      </c>
      <c r="AB132" s="3">
        <v>0</v>
      </c>
      <c r="AC132" s="3"/>
      <c r="AD132" s="3" t="str">
        <f t="shared" si="14"/>
        <v>public const int STAY_AT_BED_TO_DIE = 63;</v>
      </c>
      <c r="AE132" s="3" t="str">
        <f t="shared" si="11"/>
        <v/>
      </c>
      <c r="AF132" s="3" t="str">
        <f t="shared" si="12"/>
        <v/>
      </c>
    </row>
    <row r="133" spans="1:32" x14ac:dyDescent="0.15">
      <c r="A133" s="3">
        <v>64</v>
      </c>
      <c r="B133" s="3" t="s">
        <v>275</v>
      </c>
      <c r="C133" s="3">
        <v>0</v>
      </c>
      <c r="D133" s="3">
        <v>1</v>
      </c>
      <c r="E133" s="3">
        <v>1</v>
      </c>
      <c r="F133" s="3">
        <v>0</v>
      </c>
      <c r="G133" s="3">
        <v>0</v>
      </c>
      <c r="H133" s="3" t="s">
        <v>276</v>
      </c>
      <c r="I133" s="11">
        <v>1</v>
      </c>
      <c r="J133" s="11">
        <v>0</v>
      </c>
      <c r="K133" s="3">
        <v>0</v>
      </c>
      <c r="L133" s="3">
        <v>0</v>
      </c>
      <c r="M133" s="5">
        <v>0</v>
      </c>
      <c r="N133" s="3">
        <v>1</v>
      </c>
      <c r="O133" s="3" t="s">
        <v>277</v>
      </c>
      <c r="P133" s="5"/>
      <c r="Q133" s="5"/>
      <c r="R133" s="6">
        <v>1</v>
      </c>
      <c r="S133" s="3">
        <v>0</v>
      </c>
      <c r="T133" s="3">
        <v>0</v>
      </c>
      <c r="U133" s="3">
        <v>0</v>
      </c>
      <c r="V133" s="3">
        <v>1</v>
      </c>
      <c r="W133" s="3">
        <v>0.5</v>
      </c>
      <c r="X133" s="3">
        <v>0</v>
      </c>
      <c r="Y133" s="3">
        <v>0.1</v>
      </c>
      <c r="Z133" s="3">
        <v>0.1</v>
      </c>
      <c r="AA133" s="3">
        <v>1</v>
      </c>
      <c r="AB133" s="3">
        <v>0</v>
      </c>
      <c r="AC133" s="3"/>
      <c r="AD133" s="3" t="str">
        <f t="shared" si="14"/>
        <v>public const int PICK_UP_WAGON = 64;</v>
      </c>
      <c r="AE133" s="3" t="str">
        <f t="shared" si="11"/>
        <v/>
      </c>
      <c r="AF133" s="3" t="str">
        <f t="shared" si="12"/>
        <v/>
      </c>
    </row>
    <row r="134" spans="1:32" x14ac:dyDescent="0.15">
      <c r="A134" s="3">
        <v>65</v>
      </c>
      <c r="B134" s="3" t="s">
        <v>278</v>
      </c>
      <c r="C134" s="3">
        <v>0</v>
      </c>
      <c r="D134" s="3">
        <v>1</v>
      </c>
      <c r="E134" s="3">
        <v>1</v>
      </c>
      <c r="F134" s="3">
        <v>0</v>
      </c>
      <c r="G134" s="3">
        <v>0</v>
      </c>
      <c r="H134" s="3" t="s">
        <v>279</v>
      </c>
      <c r="I134" s="11">
        <v>1</v>
      </c>
      <c r="J134" s="11">
        <v>0</v>
      </c>
      <c r="K134" s="3">
        <v>0</v>
      </c>
      <c r="L134" s="3">
        <v>0</v>
      </c>
      <c r="M134" s="5">
        <v>0</v>
      </c>
      <c r="N134" s="3">
        <v>1</v>
      </c>
      <c r="O134" s="3" t="s">
        <v>280</v>
      </c>
      <c r="P134" s="5"/>
      <c r="Q134" s="5"/>
      <c r="R134" s="6">
        <v>0</v>
      </c>
      <c r="S134" s="3">
        <v>0</v>
      </c>
      <c r="T134" s="3">
        <v>0</v>
      </c>
      <c r="U134" s="3">
        <v>0</v>
      </c>
      <c r="V134" s="3">
        <v>1</v>
      </c>
      <c r="W134" s="3">
        <v>0.5</v>
      </c>
      <c r="X134" s="3">
        <v>0</v>
      </c>
      <c r="Y134" s="3">
        <v>0.1</v>
      </c>
      <c r="Z134" s="3">
        <v>0</v>
      </c>
      <c r="AA134" s="3">
        <v>0</v>
      </c>
      <c r="AB134" s="3">
        <v>0</v>
      </c>
      <c r="AC134" s="3"/>
      <c r="AD134" s="3" t="str">
        <f t="shared" si="14"/>
        <v>public const int FETCH_HORSE_FOR_WAGON = 65;</v>
      </c>
      <c r="AE134" s="3" t="str">
        <f t="shared" si="11"/>
        <v/>
      </c>
      <c r="AF134" s="3" t="str">
        <f t="shared" si="12"/>
        <v/>
      </c>
    </row>
    <row r="135" spans="1:32" x14ac:dyDescent="0.15">
      <c r="A135" s="3">
        <v>66</v>
      </c>
      <c r="B135" s="14" t="s">
        <v>346</v>
      </c>
      <c r="C135" s="3">
        <v>0</v>
      </c>
      <c r="D135" s="3">
        <v>1</v>
      </c>
      <c r="E135" s="3">
        <v>1</v>
      </c>
      <c r="F135" s="3">
        <v>0</v>
      </c>
      <c r="G135" s="3">
        <v>0</v>
      </c>
      <c r="H135" s="3" t="s">
        <v>281</v>
      </c>
      <c r="I135" s="11">
        <v>1</v>
      </c>
      <c r="J135" s="11">
        <v>0</v>
      </c>
      <c r="K135" s="3">
        <v>0</v>
      </c>
      <c r="L135" s="3">
        <v>0</v>
      </c>
      <c r="M135" s="5">
        <v>0</v>
      </c>
      <c r="N135" s="3">
        <v>1</v>
      </c>
      <c r="O135" s="3" t="s">
        <v>282</v>
      </c>
      <c r="P135" s="5"/>
      <c r="Q135" s="5"/>
      <c r="R135" s="6">
        <v>0</v>
      </c>
      <c r="S135" s="3">
        <v>0</v>
      </c>
      <c r="T135" s="3">
        <v>0</v>
      </c>
      <c r="U135" s="3">
        <v>0</v>
      </c>
      <c r="V135" s="3">
        <v>1</v>
      </c>
      <c r="W135" s="3">
        <v>0.5</v>
      </c>
      <c r="X135" s="3">
        <v>0</v>
      </c>
      <c r="Y135" s="3">
        <v>0.1</v>
      </c>
      <c r="Z135" s="3">
        <v>0.1</v>
      </c>
      <c r="AA135" s="3">
        <v>1</v>
      </c>
      <c r="AB135" s="3">
        <v>0</v>
      </c>
      <c r="AC135" s="3"/>
      <c r="AD135" s="3" t="str">
        <f t="shared" si="14"/>
        <v>public const int DRIVE_WAGON = 66;</v>
      </c>
      <c r="AE135" s="3" t="str">
        <f t="shared" si="11"/>
        <v/>
      </c>
      <c r="AF135" s="3" t="str">
        <f t="shared" si="12"/>
        <v/>
      </c>
    </row>
    <row r="136" spans="1:32" x14ac:dyDescent="0.15">
      <c r="A136" s="3">
        <v>67</v>
      </c>
      <c r="B136" s="9" t="s">
        <v>283</v>
      </c>
      <c r="C136" s="3">
        <v>0</v>
      </c>
      <c r="D136" s="3">
        <v>1</v>
      </c>
      <c r="E136" s="3">
        <v>1</v>
      </c>
      <c r="F136" s="3">
        <v>0</v>
      </c>
      <c r="G136" s="3">
        <v>0</v>
      </c>
      <c r="H136" s="3" t="s">
        <v>284</v>
      </c>
      <c r="I136" s="11">
        <v>1</v>
      </c>
      <c r="J136" s="11">
        <v>0</v>
      </c>
      <c r="K136" s="3">
        <v>0</v>
      </c>
      <c r="L136" s="3">
        <v>0</v>
      </c>
      <c r="M136" s="5">
        <v>1</v>
      </c>
      <c r="N136" s="3">
        <v>1</v>
      </c>
      <c r="O136" s="3" t="s">
        <v>285</v>
      </c>
      <c r="P136" s="5"/>
      <c r="Q136" s="5"/>
      <c r="R136" s="6">
        <v>0</v>
      </c>
      <c r="S136" s="3">
        <v>0</v>
      </c>
      <c r="T136" s="3">
        <v>0</v>
      </c>
      <c r="U136" s="3">
        <v>0</v>
      </c>
      <c r="V136" s="3">
        <v>1</v>
      </c>
      <c r="W136" s="3">
        <v>0.5</v>
      </c>
      <c r="X136" s="3">
        <v>0</v>
      </c>
      <c r="Y136" s="3">
        <v>0.5</v>
      </c>
      <c r="Z136" s="3">
        <v>0.1</v>
      </c>
      <c r="AA136" s="3">
        <v>1</v>
      </c>
      <c r="AB136" s="3">
        <v>0</v>
      </c>
      <c r="AC136" s="3"/>
      <c r="AD136" s="3" t="str">
        <f t="shared" si="14"/>
        <v>public const int UNLOAD_FOR_WAGON = 67;</v>
      </c>
      <c r="AE136" s="3" t="str">
        <f t="shared" si="11"/>
        <v/>
      </c>
      <c r="AF136" s="3" t="str">
        <f t="shared" si="12"/>
        <v/>
      </c>
    </row>
    <row r="137" spans="1:32" x14ac:dyDescent="0.15">
      <c r="A137" s="3">
        <v>68</v>
      </c>
      <c r="B137" s="9" t="s">
        <v>286</v>
      </c>
      <c r="C137" s="3">
        <v>0</v>
      </c>
      <c r="D137" s="3">
        <v>1</v>
      </c>
      <c r="E137" s="3">
        <v>1</v>
      </c>
      <c r="F137" s="3">
        <v>0</v>
      </c>
      <c r="G137" s="3">
        <v>0</v>
      </c>
      <c r="H137" s="3" t="s">
        <v>287</v>
      </c>
      <c r="I137" s="11">
        <v>1</v>
      </c>
      <c r="J137" s="11">
        <v>0</v>
      </c>
      <c r="K137" s="3">
        <v>0</v>
      </c>
      <c r="L137" s="3">
        <v>0</v>
      </c>
      <c r="M137" s="5">
        <v>1</v>
      </c>
      <c r="N137" s="3">
        <v>1</v>
      </c>
      <c r="O137" s="3" t="s">
        <v>285</v>
      </c>
      <c r="P137" s="5"/>
      <c r="Q137" s="5"/>
      <c r="R137" s="6">
        <v>0</v>
      </c>
      <c r="S137" s="3">
        <v>0</v>
      </c>
      <c r="T137" s="3">
        <v>0</v>
      </c>
      <c r="U137" s="3">
        <v>0</v>
      </c>
      <c r="V137" s="3">
        <v>1</v>
      </c>
      <c r="W137" s="3">
        <v>0.5</v>
      </c>
      <c r="X137" s="3">
        <v>0</v>
      </c>
      <c r="Y137" s="3">
        <v>0.5</v>
      </c>
      <c r="Z137" s="3">
        <v>0.1</v>
      </c>
      <c r="AA137" s="3">
        <v>1</v>
      </c>
      <c r="AB137" s="3">
        <v>0</v>
      </c>
      <c r="AC137" s="3"/>
      <c r="AD137" s="3" t="str">
        <f t="shared" si="14"/>
        <v>public const int LOAD_TO_WAGON = 68;</v>
      </c>
      <c r="AE137" s="3" t="str">
        <f t="shared" si="11"/>
        <v/>
      </c>
      <c r="AF137" s="3" t="str">
        <f t="shared" si="12"/>
        <v/>
      </c>
    </row>
    <row r="138" spans="1:32" x14ac:dyDescent="0.15">
      <c r="A138" s="3">
        <v>69</v>
      </c>
      <c r="B138" s="3" t="s">
        <v>288</v>
      </c>
      <c r="C138" s="3">
        <v>0</v>
      </c>
      <c r="D138" s="3">
        <v>1</v>
      </c>
      <c r="E138" s="3">
        <v>1</v>
      </c>
      <c r="F138" s="3">
        <v>0</v>
      </c>
      <c r="G138" s="3">
        <v>0</v>
      </c>
      <c r="H138" s="3" t="s">
        <v>526</v>
      </c>
      <c r="I138" s="11">
        <v>1</v>
      </c>
      <c r="J138" s="11">
        <v>0</v>
      </c>
      <c r="K138" s="3">
        <v>0</v>
      </c>
      <c r="L138" s="3">
        <v>0</v>
      </c>
      <c r="M138" s="5">
        <v>1</v>
      </c>
      <c r="N138" s="3">
        <v>1</v>
      </c>
      <c r="O138" s="3" t="s">
        <v>289</v>
      </c>
      <c r="P138" s="5"/>
      <c r="Q138" s="5"/>
      <c r="R138" s="6">
        <v>1</v>
      </c>
      <c r="S138" s="3">
        <v>0</v>
      </c>
      <c r="T138" s="3">
        <v>0</v>
      </c>
      <c r="U138" s="3">
        <v>0</v>
      </c>
      <c r="V138" s="3">
        <v>1</v>
      </c>
      <c r="W138" s="3">
        <v>0.5</v>
      </c>
      <c r="X138" s="3">
        <v>0</v>
      </c>
      <c r="Y138" s="3">
        <v>0.1</v>
      </c>
      <c r="Z138" s="3">
        <v>0.1</v>
      </c>
      <c r="AA138" s="3">
        <v>1</v>
      </c>
      <c r="AB138" s="3">
        <v>0</v>
      </c>
      <c r="AC138" s="3"/>
      <c r="AD138" s="3" t="str">
        <f t="shared" si="14"/>
        <v>public const int WAGON_CLEAR_TRANSPORT = 69;</v>
      </c>
      <c r="AE138" s="3" t="str">
        <f t="shared" si="11"/>
        <v/>
      </c>
      <c r="AF138" s="3" t="str">
        <f t="shared" si="12"/>
        <v/>
      </c>
    </row>
    <row r="139" spans="1:32" x14ac:dyDescent="0.15">
      <c r="A139" s="3">
        <v>70</v>
      </c>
      <c r="B139" s="3" t="s">
        <v>290</v>
      </c>
      <c r="C139" s="3">
        <v>0</v>
      </c>
      <c r="D139" s="3">
        <v>1</v>
      </c>
      <c r="E139" s="3">
        <v>1</v>
      </c>
      <c r="F139" s="3">
        <v>0</v>
      </c>
      <c r="G139" s="3">
        <v>0</v>
      </c>
      <c r="H139" s="3" t="s">
        <v>291</v>
      </c>
      <c r="I139" s="11">
        <v>1</v>
      </c>
      <c r="J139" s="11">
        <v>0</v>
      </c>
      <c r="K139" s="3">
        <v>0</v>
      </c>
      <c r="L139" s="3">
        <v>0</v>
      </c>
      <c r="M139" s="7">
        <v>1</v>
      </c>
      <c r="N139" s="3">
        <v>1</v>
      </c>
      <c r="O139" s="3" t="s">
        <v>292</v>
      </c>
      <c r="P139" s="7"/>
      <c r="Q139" s="7"/>
      <c r="R139" s="6">
        <v>0</v>
      </c>
      <c r="S139" s="3">
        <v>0</v>
      </c>
      <c r="T139" s="3">
        <v>1</v>
      </c>
      <c r="U139" s="3">
        <v>0</v>
      </c>
      <c r="V139" s="3">
        <v>1</v>
      </c>
      <c r="W139" s="3">
        <v>0.5</v>
      </c>
      <c r="X139" s="3">
        <v>1</v>
      </c>
      <c r="Y139" s="3">
        <v>1</v>
      </c>
      <c r="Z139" s="3">
        <v>0.1</v>
      </c>
      <c r="AA139" s="3">
        <v>1</v>
      </c>
      <c r="AB139" s="3">
        <v>0</v>
      </c>
      <c r="AC139" s="3"/>
      <c r="AD139" s="3" t="str">
        <f t="shared" si="14"/>
        <v>public const int GATHER_HONEY = 70;</v>
      </c>
      <c r="AE139" s="3" t="str">
        <f t="shared" si="11"/>
        <v/>
      </c>
      <c r="AF139" s="3" t="str">
        <f t="shared" si="12"/>
        <v/>
      </c>
    </row>
    <row r="140" spans="1:32" x14ac:dyDescent="0.15">
      <c r="A140" s="3">
        <v>71</v>
      </c>
      <c r="B140" s="3" t="s">
        <v>293</v>
      </c>
      <c r="C140" s="3">
        <v>0</v>
      </c>
      <c r="D140" s="3">
        <v>1</v>
      </c>
      <c r="E140" s="3">
        <v>1</v>
      </c>
      <c r="F140" s="3">
        <v>0</v>
      </c>
      <c r="G140" s="3">
        <v>0</v>
      </c>
      <c r="H140" s="3" t="s">
        <v>294</v>
      </c>
      <c r="I140" s="11">
        <v>1</v>
      </c>
      <c r="J140" s="11">
        <v>0</v>
      </c>
      <c r="K140" s="3">
        <v>0</v>
      </c>
      <c r="L140" s="3">
        <v>0</v>
      </c>
      <c r="M140" s="2">
        <v>0</v>
      </c>
      <c r="N140" s="3">
        <v>1</v>
      </c>
      <c r="O140" s="3" t="s">
        <v>295</v>
      </c>
      <c r="P140" s="2"/>
      <c r="Q140" s="2"/>
      <c r="R140" s="6">
        <v>1</v>
      </c>
      <c r="S140" s="3">
        <v>0</v>
      </c>
      <c r="T140" s="3">
        <v>0</v>
      </c>
      <c r="U140" s="3">
        <v>0</v>
      </c>
      <c r="V140" s="3">
        <v>1</v>
      </c>
      <c r="W140" s="3">
        <v>0.5</v>
      </c>
      <c r="X140" s="3">
        <v>1</v>
      </c>
      <c r="Y140" s="3">
        <v>0.3</v>
      </c>
      <c r="Z140" s="3">
        <v>0.1</v>
      </c>
      <c r="AA140" s="3">
        <v>1</v>
      </c>
      <c r="AB140" s="3">
        <v>0</v>
      </c>
      <c r="AC140" s="3"/>
      <c r="AD140" s="3" t="str">
        <f t="shared" si="14"/>
        <v>public const int FLOWER_POT_WATERING = 71;</v>
      </c>
      <c r="AE140" s="3" t="str">
        <f t="shared" si="11"/>
        <v/>
      </c>
      <c r="AF140" s="3" t="str">
        <f t="shared" si="12"/>
        <v/>
      </c>
    </row>
    <row r="141" spans="1:32" x14ac:dyDescent="0.15">
      <c r="A141" s="3">
        <v>72</v>
      </c>
      <c r="B141" s="3" t="s">
        <v>347</v>
      </c>
      <c r="C141" s="3">
        <v>0</v>
      </c>
      <c r="D141" s="3">
        <v>1</v>
      </c>
      <c r="E141" s="3">
        <v>1</v>
      </c>
      <c r="F141" s="3">
        <v>0</v>
      </c>
      <c r="G141" s="3">
        <v>0</v>
      </c>
      <c r="H141" s="3" t="s">
        <v>527</v>
      </c>
      <c r="I141" s="11">
        <v>1</v>
      </c>
      <c r="J141" s="11">
        <v>0</v>
      </c>
      <c r="K141" s="3">
        <v>0</v>
      </c>
      <c r="L141" s="3">
        <v>0</v>
      </c>
      <c r="M141" s="5">
        <v>1</v>
      </c>
      <c r="N141" s="3">
        <v>1</v>
      </c>
      <c r="O141" s="3" t="s">
        <v>569</v>
      </c>
      <c r="P141" s="10" t="s">
        <v>425</v>
      </c>
      <c r="Q141" s="10" t="s">
        <v>426</v>
      </c>
      <c r="R141" s="6">
        <v>0</v>
      </c>
      <c r="S141" s="3">
        <v>0</v>
      </c>
      <c r="T141" s="3">
        <v>0</v>
      </c>
      <c r="U141" s="3">
        <v>0</v>
      </c>
      <c r="V141" s="3">
        <v>1</v>
      </c>
      <c r="W141" s="3">
        <v>0.5</v>
      </c>
      <c r="X141" s="3">
        <v>0</v>
      </c>
      <c r="Y141" s="3">
        <v>0.2</v>
      </c>
      <c r="Z141" s="3">
        <v>0.1</v>
      </c>
      <c r="AA141" s="3">
        <v>1</v>
      </c>
      <c r="AB141" s="3">
        <v>0</v>
      </c>
      <c r="AC141" s="3"/>
      <c r="AD141" s="3" t="str">
        <f t="shared" si="14"/>
        <v>public const int DROP_STUFF = 72;</v>
      </c>
      <c r="AE141" s="3" t="str">
        <f t="shared" si="11"/>
        <v>搬出物品</v>
      </c>
      <c r="AF141" s="3" t="str">
        <f t="shared" si="12"/>
        <v>搬出物品的路上</v>
      </c>
    </row>
    <row r="142" spans="1:32" x14ac:dyDescent="0.15">
      <c r="A142" s="3">
        <v>73</v>
      </c>
      <c r="B142" s="3" t="s">
        <v>296</v>
      </c>
      <c r="C142" s="3">
        <v>0</v>
      </c>
      <c r="D142" s="3">
        <v>0</v>
      </c>
      <c r="E142" s="3">
        <v>1</v>
      </c>
      <c r="F142" s="3">
        <v>0</v>
      </c>
      <c r="G142" s="3">
        <v>0</v>
      </c>
      <c r="H142" s="3" t="s">
        <v>192</v>
      </c>
      <c r="I142" s="11">
        <v>1</v>
      </c>
      <c r="J142" s="11">
        <v>0</v>
      </c>
      <c r="K142" s="3">
        <v>0</v>
      </c>
      <c r="L142" s="3">
        <v>0</v>
      </c>
      <c r="M142" s="3">
        <v>0</v>
      </c>
      <c r="N142" s="3">
        <v>1</v>
      </c>
      <c r="O142" s="3" t="s">
        <v>193</v>
      </c>
      <c r="P142" s="11" t="s">
        <v>414</v>
      </c>
      <c r="Q142" s="11" t="s">
        <v>415</v>
      </c>
      <c r="R142" s="6">
        <v>0</v>
      </c>
      <c r="S142" s="3">
        <v>0</v>
      </c>
      <c r="T142" s="3">
        <v>0</v>
      </c>
      <c r="U142" s="3">
        <v>0</v>
      </c>
      <c r="V142" s="3">
        <v>1</v>
      </c>
      <c r="W142" s="3">
        <v>0.5</v>
      </c>
      <c r="X142" s="3">
        <v>1</v>
      </c>
      <c r="Y142" s="3">
        <v>0.5</v>
      </c>
      <c r="Z142" s="3">
        <v>0.25</v>
      </c>
      <c r="AA142" s="3">
        <v>1</v>
      </c>
      <c r="AB142" s="3">
        <v>0</v>
      </c>
      <c r="AC142" s="3"/>
      <c r="AD142" s="3" t="str">
        <f t="shared" si="14"/>
        <v>public const int CUT_APART_BIG_FISH = 73;</v>
      </c>
      <c r="AE142" s="3" t="str">
        <f t="shared" si="11"/>
        <v>分解大鱼</v>
      </c>
      <c r="AF142" s="3" t="str">
        <f t="shared" si="12"/>
        <v>分解大鱼的路上</v>
      </c>
    </row>
    <row r="143" spans="1:32" x14ac:dyDescent="0.15">
      <c r="A143" s="3">
        <v>74</v>
      </c>
      <c r="B143" s="3" t="s">
        <v>297</v>
      </c>
      <c r="C143" s="3">
        <v>0</v>
      </c>
      <c r="D143" s="3">
        <v>1</v>
      </c>
      <c r="E143" s="3">
        <v>1</v>
      </c>
      <c r="F143" s="3">
        <v>0</v>
      </c>
      <c r="G143" s="3">
        <v>0</v>
      </c>
      <c r="H143" s="3" t="s">
        <v>298</v>
      </c>
      <c r="I143" s="11">
        <v>1</v>
      </c>
      <c r="J143" s="11">
        <v>0</v>
      </c>
      <c r="K143" s="3">
        <v>0</v>
      </c>
      <c r="L143" s="3">
        <v>0</v>
      </c>
      <c r="M143" s="3">
        <v>0</v>
      </c>
      <c r="N143" s="3">
        <v>1</v>
      </c>
      <c r="O143" s="3" t="s">
        <v>298</v>
      </c>
      <c r="P143" s="3"/>
      <c r="Q143" s="3"/>
      <c r="R143" s="6">
        <v>0</v>
      </c>
      <c r="S143" s="3">
        <v>0</v>
      </c>
      <c r="T143" s="3">
        <v>0</v>
      </c>
      <c r="U143" s="3">
        <v>0</v>
      </c>
      <c r="V143" s="3">
        <v>1</v>
      </c>
      <c r="W143" s="3">
        <v>0.5</v>
      </c>
      <c r="X143" s="3">
        <v>0</v>
      </c>
      <c r="Y143" s="3">
        <v>0.1</v>
      </c>
      <c r="Z143" s="3">
        <v>0</v>
      </c>
      <c r="AA143" s="3">
        <v>0</v>
      </c>
      <c r="AB143" s="3">
        <v>0</v>
      </c>
      <c r="AC143" s="3"/>
      <c r="AD143" s="3" t="str">
        <f t="shared" si="14"/>
        <v>public const int RETURN_OF_EQUIPMENT = 74;</v>
      </c>
      <c r="AE143" s="3" t="str">
        <f t="shared" si="11"/>
        <v/>
      </c>
      <c r="AF143" s="3" t="str">
        <f t="shared" si="12"/>
        <v/>
      </c>
    </row>
    <row r="144" spans="1:32" x14ac:dyDescent="0.15">
      <c r="A144" s="3">
        <v>75</v>
      </c>
      <c r="B144" s="11" t="s">
        <v>598</v>
      </c>
      <c r="C144" s="3">
        <v>0</v>
      </c>
      <c r="D144" s="3">
        <v>1</v>
      </c>
      <c r="E144" s="3">
        <v>1</v>
      </c>
      <c r="F144" s="3">
        <v>0</v>
      </c>
      <c r="G144" s="3">
        <v>0</v>
      </c>
      <c r="H144" s="3" t="s">
        <v>299</v>
      </c>
      <c r="I144" s="11">
        <v>1</v>
      </c>
      <c r="J144" s="11">
        <v>0</v>
      </c>
      <c r="K144" s="3">
        <v>0</v>
      </c>
      <c r="L144" s="3">
        <v>0</v>
      </c>
      <c r="M144" s="3">
        <v>0</v>
      </c>
      <c r="N144" s="3">
        <v>1</v>
      </c>
      <c r="O144" s="3" t="s">
        <v>299</v>
      </c>
      <c r="P144" s="3"/>
      <c r="Q144" s="3"/>
      <c r="R144" s="6">
        <v>0</v>
      </c>
      <c r="S144" s="3">
        <v>0</v>
      </c>
      <c r="T144" s="3">
        <v>0</v>
      </c>
      <c r="U144" s="3">
        <v>0</v>
      </c>
      <c r="V144" s="3">
        <v>1</v>
      </c>
      <c r="W144" s="3">
        <v>0.5</v>
      </c>
      <c r="X144" s="3">
        <v>1</v>
      </c>
      <c r="Y144" s="3">
        <v>0.4</v>
      </c>
      <c r="Z144" s="3">
        <v>0.1</v>
      </c>
      <c r="AA144" s="3">
        <v>1</v>
      </c>
      <c r="AB144" s="3">
        <v>0</v>
      </c>
      <c r="AC144" s="3"/>
      <c r="AD144" s="3" t="str">
        <f t="shared" si="14"/>
        <v>public const int DIG_ANCIENT_TOMB = 75;</v>
      </c>
      <c r="AE144" s="3" t="str">
        <f t="shared" ref="AE144:AE177" si="15">P144 &amp; ""</f>
        <v/>
      </c>
      <c r="AF144" s="3" t="str">
        <f t="shared" ref="AF144:AF177" si="16">Q144 &amp; ""</f>
        <v/>
      </c>
    </row>
    <row r="145" spans="1:32" x14ac:dyDescent="0.15">
      <c r="A145" s="3">
        <v>76</v>
      </c>
      <c r="B145" s="11" t="s">
        <v>599</v>
      </c>
      <c r="C145" s="3">
        <v>0</v>
      </c>
      <c r="D145" s="3">
        <v>1</v>
      </c>
      <c r="E145" s="3">
        <v>1</v>
      </c>
      <c r="F145" s="3">
        <v>0</v>
      </c>
      <c r="G145" s="3">
        <v>0</v>
      </c>
      <c r="H145" s="3" t="s">
        <v>300</v>
      </c>
      <c r="I145" s="11">
        <v>1</v>
      </c>
      <c r="J145" s="11">
        <v>0</v>
      </c>
      <c r="K145" s="3">
        <v>0</v>
      </c>
      <c r="L145" s="3">
        <v>0</v>
      </c>
      <c r="M145" s="3">
        <v>0</v>
      </c>
      <c r="N145" s="3">
        <v>1</v>
      </c>
      <c r="O145" s="3" t="s">
        <v>300</v>
      </c>
      <c r="P145" s="3"/>
      <c r="Q145" s="3"/>
      <c r="R145" s="6">
        <v>0</v>
      </c>
      <c r="S145" s="3">
        <v>0</v>
      </c>
      <c r="T145" s="3">
        <v>0</v>
      </c>
      <c r="U145" s="3">
        <v>0</v>
      </c>
      <c r="V145" s="3">
        <v>1</v>
      </c>
      <c r="W145" s="3">
        <v>0.5</v>
      </c>
      <c r="X145" s="3">
        <v>1</v>
      </c>
      <c r="Y145" s="3">
        <v>0.4</v>
      </c>
      <c r="Z145" s="3">
        <v>0.1</v>
      </c>
      <c r="AA145" s="3">
        <v>1</v>
      </c>
      <c r="AB145" s="3">
        <v>0</v>
      </c>
      <c r="AC145" s="3"/>
      <c r="AD145" s="3" t="str">
        <f t="shared" si="14"/>
        <v>public const int REPAIR_ANCIENT_TOMB = 76;</v>
      </c>
      <c r="AE145" s="3" t="str">
        <f t="shared" si="15"/>
        <v/>
      </c>
      <c r="AF145" s="3" t="str">
        <f t="shared" si="16"/>
        <v/>
      </c>
    </row>
    <row r="146" spans="1:32" x14ac:dyDescent="0.15">
      <c r="A146" s="3">
        <v>77</v>
      </c>
      <c r="B146" s="3" t="s">
        <v>301</v>
      </c>
      <c r="C146" s="3">
        <v>0</v>
      </c>
      <c r="D146" s="3">
        <v>0</v>
      </c>
      <c r="E146" s="3">
        <v>1</v>
      </c>
      <c r="F146" s="3">
        <v>0</v>
      </c>
      <c r="G146" s="3">
        <v>0</v>
      </c>
      <c r="H146" s="3" t="s">
        <v>302</v>
      </c>
      <c r="I146" s="11">
        <v>1</v>
      </c>
      <c r="J146" s="11">
        <v>0</v>
      </c>
      <c r="K146" s="3">
        <v>0</v>
      </c>
      <c r="L146" s="3">
        <v>0</v>
      </c>
      <c r="M146" s="3">
        <v>1</v>
      </c>
      <c r="N146" s="3">
        <v>1</v>
      </c>
      <c r="O146" s="3" t="s">
        <v>303</v>
      </c>
      <c r="P146" s="3"/>
      <c r="Q146" s="3"/>
      <c r="R146" s="6">
        <v>1</v>
      </c>
      <c r="S146" s="3">
        <v>0</v>
      </c>
      <c r="T146" s="3">
        <v>0</v>
      </c>
      <c r="U146" s="3">
        <v>1</v>
      </c>
      <c r="V146" s="3">
        <v>1</v>
      </c>
      <c r="W146" s="3">
        <v>0.5</v>
      </c>
      <c r="X146" s="3">
        <v>1</v>
      </c>
      <c r="Y146" s="3">
        <v>0.5</v>
      </c>
      <c r="Z146" s="3">
        <v>0.25</v>
      </c>
      <c r="AA146" s="3">
        <v>1</v>
      </c>
      <c r="AB146" s="3">
        <v>0</v>
      </c>
      <c r="AC146" s="3" t="s">
        <v>120</v>
      </c>
      <c r="AD146" s="3" t="str">
        <f t="shared" si="14"/>
        <v>public const int GATHER_BIG_TREE = 77;</v>
      </c>
      <c r="AE146" s="3" t="str">
        <f t="shared" si="15"/>
        <v/>
      </c>
      <c r="AF146" s="3" t="str">
        <f t="shared" si="16"/>
        <v/>
      </c>
    </row>
    <row r="147" spans="1:32" x14ac:dyDescent="0.15">
      <c r="A147" s="3">
        <v>78</v>
      </c>
      <c r="B147" s="3" t="s">
        <v>304</v>
      </c>
      <c r="C147" s="3">
        <v>0</v>
      </c>
      <c r="D147" s="3">
        <v>1</v>
      </c>
      <c r="E147" s="3">
        <v>1</v>
      </c>
      <c r="F147" s="3">
        <v>0</v>
      </c>
      <c r="G147" s="3">
        <v>0</v>
      </c>
      <c r="H147" s="3" t="s">
        <v>305</v>
      </c>
      <c r="I147" s="11">
        <v>1</v>
      </c>
      <c r="J147" s="11">
        <v>0</v>
      </c>
      <c r="K147" s="3">
        <v>0</v>
      </c>
      <c r="L147" s="3">
        <v>1</v>
      </c>
      <c r="M147" s="3">
        <v>0</v>
      </c>
      <c r="N147" s="3">
        <v>1</v>
      </c>
      <c r="O147" s="3" t="s">
        <v>306</v>
      </c>
      <c r="P147" s="3"/>
      <c r="Q147" s="3"/>
      <c r="R147" s="6">
        <v>0</v>
      </c>
      <c r="S147" s="3">
        <v>0</v>
      </c>
      <c r="T147" s="3">
        <v>0</v>
      </c>
      <c r="U147" s="3">
        <v>0</v>
      </c>
      <c r="V147" s="3">
        <v>1</v>
      </c>
      <c r="W147" s="3">
        <v>0.5</v>
      </c>
      <c r="X147" s="3">
        <v>0</v>
      </c>
      <c r="Y147" s="3">
        <v>0.1</v>
      </c>
      <c r="Z147" s="3">
        <v>0.1</v>
      </c>
      <c r="AA147" s="3">
        <v>1</v>
      </c>
      <c r="AB147" s="3">
        <v>0</v>
      </c>
      <c r="AC147" s="3"/>
      <c r="AD147" s="3" t="str">
        <f t="shared" si="14"/>
        <v>public const int PICK_UP_SOLDIER_DEAD_BODY = 78;</v>
      </c>
      <c r="AE147" s="3" t="str">
        <f t="shared" si="15"/>
        <v/>
      </c>
      <c r="AF147" s="3" t="str">
        <f t="shared" si="16"/>
        <v/>
      </c>
    </row>
    <row r="148" spans="1:32" x14ac:dyDescent="0.15">
      <c r="A148" s="3">
        <v>79</v>
      </c>
      <c r="B148" s="3" t="s">
        <v>307</v>
      </c>
      <c r="C148" s="3">
        <v>0</v>
      </c>
      <c r="D148" s="3">
        <v>1</v>
      </c>
      <c r="E148" s="3">
        <v>1</v>
      </c>
      <c r="F148" s="3">
        <v>0</v>
      </c>
      <c r="G148" s="3">
        <v>0</v>
      </c>
      <c r="H148" s="3" t="s">
        <v>308</v>
      </c>
      <c r="I148" s="11">
        <v>1</v>
      </c>
      <c r="J148" s="11">
        <v>0</v>
      </c>
      <c r="K148" s="3">
        <v>0</v>
      </c>
      <c r="L148" s="3">
        <v>1</v>
      </c>
      <c r="M148" s="3">
        <v>0</v>
      </c>
      <c r="N148" s="3">
        <v>1</v>
      </c>
      <c r="O148" s="3" t="s">
        <v>309</v>
      </c>
      <c r="P148" s="3"/>
      <c r="Q148" s="3"/>
      <c r="R148" s="6">
        <v>0</v>
      </c>
      <c r="S148" s="3">
        <v>0</v>
      </c>
      <c r="T148" s="3">
        <v>0</v>
      </c>
      <c r="U148" s="3">
        <v>0</v>
      </c>
      <c r="V148" s="3">
        <v>1</v>
      </c>
      <c r="W148" s="3">
        <v>0.5</v>
      </c>
      <c r="X148" s="3">
        <v>0</v>
      </c>
      <c r="Y148" s="3">
        <v>0.1</v>
      </c>
      <c r="Z148" s="3">
        <v>0.25</v>
      </c>
      <c r="AA148" s="3">
        <v>1</v>
      </c>
      <c r="AB148" s="3">
        <v>0</v>
      </c>
      <c r="AC148" s="3"/>
      <c r="AD148" s="3" t="str">
        <f t="shared" si="14"/>
        <v>public const int PICK_UP_ON_BATTLE = 79;</v>
      </c>
      <c r="AE148" s="3" t="str">
        <f t="shared" si="15"/>
        <v/>
      </c>
      <c r="AF148" s="3" t="str">
        <f t="shared" si="16"/>
        <v/>
      </c>
    </row>
    <row r="149" spans="1:32" x14ac:dyDescent="0.15">
      <c r="A149" s="3">
        <v>80</v>
      </c>
      <c r="B149" s="3" t="s">
        <v>310</v>
      </c>
      <c r="C149" s="3">
        <v>0</v>
      </c>
      <c r="D149" s="3">
        <v>1</v>
      </c>
      <c r="E149" s="3">
        <v>1</v>
      </c>
      <c r="F149" s="3">
        <v>1</v>
      </c>
      <c r="G149" s="3">
        <v>1</v>
      </c>
      <c r="H149" s="3" t="s">
        <v>311</v>
      </c>
      <c r="I149" s="11">
        <v>1</v>
      </c>
      <c r="J149" s="11">
        <v>0</v>
      </c>
      <c r="K149" s="3">
        <v>0</v>
      </c>
      <c r="L149" s="3">
        <v>0</v>
      </c>
      <c r="M149" s="3">
        <v>0</v>
      </c>
      <c r="N149" s="3">
        <v>1</v>
      </c>
      <c r="O149" s="3" t="s">
        <v>311</v>
      </c>
      <c r="P149" s="3"/>
      <c r="Q149" s="3"/>
      <c r="R149" s="6">
        <v>0</v>
      </c>
      <c r="S149" s="3">
        <v>0</v>
      </c>
      <c r="T149" s="3">
        <v>0</v>
      </c>
      <c r="U149" s="3">
        <v>0</v>
      </c>
      <c r="V149" s="3">
        <v>1</v>
      </c>
      <c r="W149" s="3">
        <v>0.5</v>
      </c>
      <c r="X149" s="3">
        <v>0</v>
      </c>
      <c r="Y149" s="3">
        <v>0.1</v>
      </c>
      <c r="Z149" s="3">
        <v>0.1</v>
      </c>
      <c r="AA149" s="3">
        <v>1</v>
      </c>
      <c r="AB149" s="3">
        <v>0</v>
      </c>
      <c r="AC149" s="3"/>
      <c r="AD149" s="3" t="str">
        <f t="shared" si="14"/>
        <v>public const int RESCUE_SOLDIER = 80;</v>
      </c>
      <c r="AE149" s="3" t="str">
        <f t="shared" si="15"/>
        <v/>
      </c>
      <c r="AF149" s="3" t="str">
        <f t="shared" si="16"/>
        <v/>
      </c>
    </row>
    <row r="150" spans="1:32" x14ac:dyDescent="0.15">
      <c r="A150" s="3">
        <v>81</v>
      </c>
      <c r="B150" s="11" t="s">
        <v>348</v>
      </c>
      <c r="C150" s="3">
        <v>1</v>
      </c>
      <c r="D150" s="3">
        <v>1</v>
      </c>
      <c r="E150" s="3">
        <v>1</v>
      </c>
      <c r="F150" s="3">
        <v>1</v>
      </c>
      <c r="G150" s="3">
        <v>1</v>
      </c>
      <c r="H150" s="3" t="s">
        <v>312</v>
      </c>
      <c r="I150" s="11">
        <v>1</v>
      </c>
      <c r="J150" s="11">
        <v>0</v>
      </c>
      <c r="K150" s="3">
        <v>0</v>
      </c>
      <c r="L150" s="3">
        <v>0</v>
      </c>
      <c r="M150" s="3">
        <v>0</v>
      </c>
      <c r="N150" s="3">
        <v>1</v>
      </c>
      <c r="O150" s="3" t="s">
        <v>312</v>
      </c>
      <c r="P150" s="3"/>
      <c r="Q150" s="3"/>
      <c r="R150" s="6">
        <v>0</v>
      </c>
      <c r="S150" s="3">
        <v>0</v>
      </c>
      <c r="T150" s="3">
        <v>0</v>
      </c>
      <c r="U150" s="3">
        <v>0</v>
      </c>
      <c r="V150" s="3">
        <v>1</v>
      </c>
      <c r="W150" s="3">
        <v>0.5</v>
      </c>
      <c r="X150" s="3">
        <v>0</v>
      </c>
      <c r="Y150" s="3">
        <v>0.3</v>
      </c>
      <c r="Z150" s="3">
        <v>0.1</v>
      </c>
      <c r="AA150" s="3">
        <v>1</v>
      </c>
      <c r="AB150" s="3">
        <v>0</v>
      </c>
      <c r="AC150" s="3"/>
      <c r="AD150" s="3" t="str">
        <f t="shared" si="14"/>
        <v>public const int CLEAN_INFECTION_SOURCE = 81;</v>
      </c>
      <c r="AE150" s="3" t="str">
        <f t="shared" si="15"/>
        <v/>
      </c>
      <c r="AF150" s="3" t="str">
        <f t="shared" si="16"/>
        <v/>
      </c>
    </row>
    <row r="151" spans="1:32" x14ac:dyDescent="0.15">
      <c r="A151" s="3">
        <v>82</v>
      </c>
      <c r="B151" s="3" t="s">
        <v>313</v>
      </c>
      <c r="C151" s="3">
        <v>0</v>
      </c>
      <c r="D151" s="3">
        <v>1</v>
      </c>
      <c r="E151" s="3">
        <v>1</v>
      </c>
      <c r="F151" s="3">
        <v>0</v>
      </c>
      <c r="G151" s="3">
        <v>0</v>
      </c>
      <c r="H151" s="3" t="s">
        <v>314</v>
      </c>
      <c r="I151" s="11">
        <v>1</v>
      </c>
      <c r="J151" s="11">
        <v>0</v>
      </c>
      <c r="K151" s="3">
        <v>0</v>
      </c>
      <c r="L151" s="3">
        <v>0</v>
      </c>
      <c r="M151" s="3">
        <v>0</v>
      </c>
      <c r="N151" s="3">
        <v>1</v>
      </c>
      <c r="O151" s="3" t="s">
        <v>314</v>
      </c>
      <c r="P151" s="3"/>
      <c r="Q151" s="3"/>
      <c r="R151" s="6">
        <v>0</v>
      </c>
      <c r="S151" s="3">
        <v>0</v>
      </c>
      <c r="T151" s="3">
        <v>0</v>
      </c>
      <c r="U151" s="3">
        <v>0</v>
      </c>
      <c r="V151" s="3">
        <v>1</v>
      </c>
      <c r="W151" s="3">
        <v>0.5</v>
      </c>
      <c r="X151" s="3">
        <v>0</v>
      </c>
      <c r="Y151" s="3">
        <v>0.1</v>
      </c>
      <c r="Z151" s="3">
        <v>0.1</v>
      </c>
      <c r="AA151" s="3">
        <v>1</v>
      </c>
      <c r="AB151" s="3">
        <v>0</v>
      </c>
      <c r="AC151" s="3"/>
      <c r="AD151" s="3" t="str">
        <f t="shared" si="14"/>
        <v>public const int PICK_UP_SOLDIER_DEAD_BODY_OF_ENEMY = 82;</v>
      </c>
      <c r="AE151" s="3" t="str">
        <f t="shared" si="15"/>
        <v/>
      </c>
      <c r="AF151" s="3" t="str">
        <f t="shared" si="16"/>
        <v/>
      </c>
    </row>
    <row r="152" spans="1:32" x14ac:dyDescent="0.15">
      <c r="A152" s="3">
        <v>83</v>
      </c>
      <c r="B152" s="3" t="s">
        <v>315</v>
      </c>
      <c r="C152" s="3">
        <v>0</v>
      </c>
      <c r="D152" s="3">
        <v>1</v>
      </c>
      <c r="E152" s="3">
        <v>1</v>
      </c>
      <c r="F152" s="3">
        <v>1</v>
      </c>
      <c r="G152" s="3">
        <v>0</v>
      </c>
      <c r="H152" s="3" t="s">
        <v>316</v>
      </c>
      <c r="I152" s="11">
        <v>1</v>
      </c>
      <c r="J152" s="11">
        <v>0</v>
      </c>
      <c r="K152" s="3">
        <v>0</v>
      </c>
      <c r="L152" s="3">
        <v>0</v>
      </c>
      <c r="M152" s="3">
        <v>0</v>
      </c>
      <c r="N152" s="3">
        <v>1</v>
      </c>
      <c r="O152" s="3" t="s">
        <v>316</v>
      </c>
      <c r="P152" s="3"/>
      <c r="Q152" s="3"/>
      <c r="R152" s="6">
        <v>0</v>
      </c>
      <c r="S152" s="3">
        <v>0</v>
      </c>
      <c r="T152" s="3">
        <v>0</v>
      </c>
      <c r="U152" s="3">
        <v>0</v>
      </c>
      <c r="V152" s="3">
        <v>1</v>
      </c>
      <c r="W152" s="3">
        <v>0.5</v>
      </c>
      <c r="X152" s="3">
        <v>1</v>
      </c>
      <c r="Y152" s="3">
        <v>0.1</v>
      </c>
      <c r="Z152" s="3">
        <v>0.1</v>
      </c>
      <c r="AA152" s="3">
        <v>1</v>
      </c>
      <c r="AB152" s="3">
        <v>0</v>
      </c>
      <c r="AC152" s="3"/>
      <c r="AD152" s="3" t="str">
        <f t="shared" si="14"/>
        <v>public const int CAPTURE_SOLDIER = 83;</v>
      </c>
      <c r="AE152" s="3" t="str">
        <f t="shared" si="15"/>
        <v/>
      </c>
      <c r="AF152" s="3" t="str">
        <f t="shared" si="16"/>
        <v/>
      </c>
    </row>
    <row r="153" spans="1:32" x14ac:dyDescent="0.15">
      <c r="A153" s="3">
        <v>85</v>
      </c>
      <c r="B153" s="3" t="s">
        <v>317</v>
      </c>
      <c r="C153" s="3">
        <v>0</v>
      </c>
      <c r="D153" s="3">
        <v>1</v>
      </c>
      <c r="E153" s="3">
        <v>1</v>
      </c>
      <c r="F153" s="3">
        <v>1</v>
      </c>
      <c r="G153" s="3">
        <v>0</v>
      </c>
      <c r="H153" s="3" t="s">
        <v>318</v>
      </c>
      <c r="I153" s="11">
        <v>1</v>
      </c>
      <c r="J153" s="11">
        <v>0</v>
      </c>
      <c r="K153" s="3">
        <v>0</v>
      </c>
      <c r="L153" s="3">
        <v>0</v>
      </c>
      <c r="M153" s="3">
        <v>0</v>
      </c>
      <c r="N153" s="3">
        <v>1</v>
      </c>
      <c r="O153" s="3" t="s">
        <v>318</v>
      </c>
      <c r="P153" s="3"/>
      <c r="Q153" s="3"/>
      <c r="R153" s="6">
        <v>0</v>
      </c>
      <c r="S153" s="3">
        <v>0</v>
      </c>
      <c r="T153" s="3">
        <v>0</v>
      </c>
      <c r="U153" s="3">
        <v>0</v>
      </c>
      <c r="V153" s="3">
        <v>1</v>
      </c>
      <c r="W153" s="3">
        <v>0.5</v>
      </c>
      <c r="X153" s="3">
        <v>1</v>
      </c>
      <c r="Y153" s="3">
        <v>5</v>
      </c>
      <c r="Z153" s="3">
        <v>0.1</v>
      </c>
      <c r="AA153" s="3">
        <v>1</v>
      </c>
      <c r="AB153" s="3">
        <v>0</v>
      </c>
      <c r="AC153" s="3"/>
      <c r="AD153" s="3" t="str">
        <f t="shared" si="14"/>
        <v>public const int CONVERT_PRISONER = 85;</v>
      </c>
      <c r="AE153" s="3" t="str">
        <f t="shared" si="15"/>
        <v/>
      </c>
      <c r="AF153" s="3" t="str">
        <f t="shared" si="16"/>
        <v/>
      </c>
    </row>
    <row r="154" spans="1:32" x14ac:dyDescent="0.15">
      <c r="A154" s="3">
        <v>86</v>
      </c>
      <c r="B154" s="3" t="s">
        <v>319</v>
      </c>
      <c r="C154" s="3">
        <v>0</v>
      </c>
      <c r="D154" s="3">
        <v>1</v>
      </c>
      <c r="E154" s="3">
        <v>1</v>
      </c>
      <c r="F154" s="3">
        <v>1</v>
      </c>
      <c r="G154" s="3">
        <v>0</v>
      </c>
      <c r="H154" s="3" t="s">
        <v>320</v>
      </c>
      <c r="I154" s="11">
        <v>1</v>
      </c>
      <c r="J154" s="11">
        <v>0</v>
      </c>
      <c r="K154" s="3">
        <v>0</v>
      </c>
      <c r="L154" s="3">
        <v>0</v>
      </c>
      <c r="M154" s="3">
        <v>0</v>
      </c>
      <c r="N154" s="3">
        <v>1</v>
      </c>
      <c r="O154" s="3" t="s">
        <v>321</v>
      </c>
      <c r="P154" s="3"/>
      <c r="Q154" s="3"/>
      <c r="R154" s="6">
        <v>0</v>
      </c>
      <c r="S154" s="3">
        <v>0</v>
      </c>
      <c r="T154" s="3">
        <v>0</v>
      </c>
      <c r="U154" s="3">
        <v>0</v>
      </c>
      <c r="V154" s="3">
        <v>1</v>
      </c>
      <c r="W154" s="3">
        <v>0.5</v>
      </c>
      <c r="X154" s="3">
        <v>1</v>
      </c>
      <c r="Y154" s="3">
        <v>0.1</v>
      </c>
      <c r="Z154" s="3">
        <v>0.1</v>
      </c>
      <c r="AA154" s="3">
        <v>1</v>
      </c>
      <c r="AB154" s="3">
        <v>0</v>
      </c>
      <c r="AC154" s="3"/>
      <c r="AD154" s="3" t="str">
        <f t="shared" si="14"/>
        <v>public const int EXECUTION_PRISONER = 86;</v>
      </c>
      <c r="AE154" s="3" t="str">
        <f t="shared" si="15"/>
        <v/>
      </c>
      <c r="AF154" s="3" t="str">
        <f t="shared" si="16"/>
        <v/>
      </c>
    </row>
    <row r="155" spans="1:32" x14ac:dyDescent="0.15">
      <c r="A155" s="3">
        <v>87</v>
      </c>
      <c r="B155" s="3" t="s">
        <v>322</v>
      </c>
      <c r="C155" s="3">
        <v>0</v>
      </c>
      <c r="D155" s="3">
        <v>1</v>
      </c>
      <c r="E155" s="3">
        <v>1</v>
      </c>
      <c r="F155" s="3">
        <v>0</v>
      </c>
      <c r="G155" s="3">
        <v>0</v>
      </c>
      <c r="H155" s="3" t="s">
        <v>323</v>
      </c>
      <c r="I155" s="11">
        <v>1</v>
      </c>
      <c r="J155" s="11">
        <v>0</v>
      </c>
      <c r="K155" s="3">
        <v>0</v>
      </c>
      <c r="L155" s="3">
        <v>0</v>
      </c>
      <c r="M155" s="5">
        <v>0</v>
      </c>
      <c r="N155" s="3">
        <v>1</v>
      </c>
      <c r="O155" s="3" t="s">
        <v>323</v>
      </c>
      <c r="P155" s="3"/>
      <c r="Q155" s="3"/>
      <c r="R155" s="6">
        <v>0</v>
      </c>
      <c r="S155" s="3">
        <v>0</v>
      </c>
      <c r="T155" s="3">
        <v>0</v>
      </c>
      <c r="U155" s="3">
        <v>0</v>
      </c>
      <c r="V155" s="3">
        <v>1</v>
      </c>
      <c r="W155" s="3">
        <v>0.5</v>
      </c>
      <c r="X155" s="3">
        <v>0</v>
      </c>
      <c r="Y155" s="3">
        <v>0.2</v>
      </c>
      <c r="Z155" s="3">
        <v>0.1</v>
      </c>
      <c r="AA155" s="3">
        <v>1</v>
      </c>
      <c r="AB155" s="3">
        <v>0</v>
      </c>
      <c r="AC155" s="3"/>
      <c r="AD155" s="3" t="str">
        <f t="shared" si="14"/>
        <v>public const int CATCH_MOUNT = 87;</v>
      </c>
      <c r="AE155" s="3" t="str">
        <f t="shared" si="15"/>
        <v/>
      </c>
      <c r="AF155" s="3" t="str">
        <f t="shared" si="16"/>
        <v/>
      </c>
    </row>
    <row r="156" spans="1:32" x14ac:dyDescent="0.15">
      <c r="A156" s="3">
        <v>88</v>
      </c>
      <c r="B156" s="3" t="s">
        <v>324</v>
      </c>
      <c r="C156" s="3">
        <v>0</v>
      </c>
      <c r="D156" s="3">
        <v>1</v>
      </c>
      <c r="E156" s="3">
        <v>1</v>
      </c>
      <c r="F156" s="3">
        <v>1</v>
      </c>
      <c r="G156" s="3">
        <v>0</v>
      </c>
      <c r="H156" s="3" t="s">
        <v>325</v>
      </c>
      <c r="I156" s="11">
        <v>1</v>
      </c>
      <c r="J156" s="11">
        <v>0</v>
      </c>
      <c r="K156" s="3">
        <v>0</v>
      </c>
      <c r="L156" s="3">
        <v>0</v>
      </c>
      <c r="M156" s="3">
        <v>0</v>
      </c>
      <c r="N156" s="3">
        <v>1</v>
      </c>
      <c r="O156" s="3" t="s">
        <v>325</v>
      </c>
      <c r="P156" s="3"/>
      <c r="Q156" s="3"/>
      <c r="R156" s="6">
        <v>0</v>
      </c>
      <c r="S156" s="3">
        <v>0</v>
      </c>
      <c r="T156" s="3">
        <v>0</v>
      </c>
      <c r="U156" s="3">
        <v>0</v>
      </c>
      <c r="V156" s="3">
        <v>1</v>
      </c>
      <c r="W156" s="3">
        <v>0.5</v>
      </c>
      <c r="X156" s="3">
        <v>1</v>
      </c>
      <c r="Y156" s="3">
        <v>0.1</v>
      </c>
      <c r="Z156" s="3">
        <v>0.1</v>
      </c>
      <c r="AA156" s="3">
        <v>1</v>
      </c>
      <c r="AB156" s="3">
        <v>0</v>
      </c>
      <c r="AC156" s="3"/>
      <c r="AD156" s="3" t="str">
        <f t="shared" si="14"/>
        <v>public const int RESCUE_CARAVAN_MEMBER = 88;</v>
      </c>
      <c r="AE156" s="3" t="str">
        <f t="shared" si="15"/>
        <v/>
      </c>
      <c r="AF156" s="3" t="str">
        <f t="shared" si="16"/>
        <v/>
      </c>
    </row>
    <row r="157" spans="1:32" x14ac:dyDescent="0.15">
      <c r="A157" s="3">
        <v>89</v>
      </c>
      <c r="B157" s="11" t="s">
        <v>474</v>
      </c>
      <c r="C157" s="3">
        <v>0</v>
      </c>
      <c r="D157" s="3">
        <v>1</v>
      </c>
      <c r="E157" s="3">
        <v>1</v>
      </c>
      <c r="F157" s="3">
        <v>0</v>
      </c>
      <c r="G157" s="3">
        <v>0</v>
      </c>
      <c r="H157" s="3" t="s">
        <v>89</v>
      </c>
      <c r="I157" s="11">
        <v>1</v>
      </c>
      <c r="J157" s="11">
        <v>0</v>
      </c>
      <c r="K157" s="3">
        <v>0</v>
      </c>
      <c r="L157" s="3">
        <v>0</v>
      </c>
      <c r="M157" s="5">
        <v>0</v>
      </c>
      <c r="N157" s="3">
        <v>1</v>
      </c>
      <c r="O157" s="3" t="s">
        <v>89</v>
      </c>
      <c r="P157" s="3"/>
      <c r="Q157" s="3"/>
      <c r="R157" s="6">
        <v>0</v>
      </c>
      <c r="S157" s="3">
        <v>0</v>
      </c>
      <c r="T157" s="3">
        <v>0</v>
      </c>
      <c r="U157" s="3">
        <v>0</v>
      </c>
      <c r="V157" s="3">
        <v>1</v>
      </c>
      <c r="W157" s="3">
        <v>0.5</v>
      </c>
      <c r="X157" s="3">
        <v>0</v>
      </c>
      <c r="Y157" s="3">
        <v>0.2</v>
      </c>
      <c r="Z157" s="3">
        <v>0.1</v>
      </c>
      <c r="AA157" s="3">
        <v>1</v>
      </c>
      <c r="AB157" s="3">
        <v>0</v>
      </c>
      <c r="AC157" s="3"/>
      <c r="AD157" s="3" t="str">
        <f t="shared" si="14"/>
        <v>public const int FETCH_ANIMAL_AS_MOUNT = 89;</v>
      </c>
      <c r="AE157" s="3" t="str">
        <f t="shared" si="15"/>
        <v/>
      </c>
      <c r="AF157" s="3" t="str">
        <f t="shared" si="16"/>
        <v/>
      </c>
    </row>
    <row r="158" spans="1:32" s="1" customFormat="1" x14ac:dyDescent="0.15">
      <c r="A158" s="3">
        <v>90</v>
      </c>
      <c r="B158" s="3" t="s">
        <v>326</v>
      </c>
      <c r="C158" s="6">
        <v>0</v>
      </c>
      <c r="D158" s="6">
        <v>0</v>
      </c>
      <c r="E158" s="6">
        <v>1</v>
      </c>
      <c r="F158" s="6">
        <v>0</v>
      </c>
      <c r="G158" s="6">
        <v>0</v>
      </c>
      <c r="H158" s="3" t="s">
        <v>327</v>
      </c>
      <c r="I158" s="11">
        <v>1</v>
      </c>
      <c r="J158" s="11">
        <v>0</v>
      </c>
      <c r="K158" s="3">
        <v>0</v>
      </c>
      <c r="L158" s="3">
        <v>0</v>
      </c>
      <c r="M158" s="6">
        <v>0</v>
      </c>
      <c r="N158" s="3">
        <v>1</v>
      </c>
      <c r="O158" s="3" t="s">
        <v>328</v>
      </c>
      <c r="P158" s="12" t="s">
        <v>416</v>
      </c>
      <c r="Q158" s="12" t="s">
        <v>417</v>
      </c>
      <c r="R158" s="6">
        <v>0</v>
      </c>
      <c r="S158" s="6">
        <v>0</v>
      </c>
      <c r="T158" s="6">
        <v>1</v>
      </c>
      <c r="U158" s="6">
        <v>0</v>
      </c>
      <c r="V158" s="6">
        <v>1</v>
      </c>
      <c r="W158" s="6">
        <v>1</v>
      </c>
      <c r="X158" s="6">
        <v>0</v>
      </c>
      <c r="Y158" s="6">
        <v>5</v>
      </c>
      <c r="Z158" s="6">
        <v>0.25</v>
      </c>
      <c r="AA158" s="6">
        <v>1</v>
      </c>
      <c r="AB158" s="6">
        <v>1</v>
      </c>
      <c r="AC158" s="6"/>
      <c r="AD158" s="3" t="str">
        <f t="shared" si="14"/>
        <v>public const int WRITE_BOOK = 90;</v>
      </c>
      <c r="AE158" s="3" t="str">
        <f t="shared" si="15"/>
        <v>写书</v>
      </c>
      <c r="AF158" s="3" t="str">
        <f t="shared" si="16"/>
        <v>写书的路上</v>
      </c>
    </row>
    <row r="159" spans="1:32" x14ac:dyDescent="0.15">
      <c r="A159" s="3">
        <v>91</v>
      </c>
      <c r="B159" s="3" t="s">
        <v>329</v>
      </c>
      <c r="C159" s="3">
        <v>0</v>
      </c>
      <c r="D159" s="3">
        <v>1</v>
      </c>
      <c r="E159" s="3">
        <v>1</v>
      </c>
      <c r="F159" s="3">
        <v>0</v>
      </c>
      <c r="G159" s="3">
        <v>0</v>
      </c>
      <c r="H159" s="3" t="s">
        <v>128</v>
      </c>
      <c r="I159" s="11">
        <v>1</v>
      </c>
      <c r="J159" s="11">
        <v>0</v>
      </c>
      <c r="K159" s="3">
        <v>0</v>
      </c>
      <c r="L159" s="3">
        <v>0</v>
      </c>
      <c r="M159" s="5">
        <v>1</v>
      </c>
      <c r="N159" s="3">
        <v>1</v>
      </c>
      <c r="O159" s="3" t="s">
        <v>129</v>
      </c>
      <c r="P159" s="10" t="s">
        <v>427</v>
      </c>
      <c r="Q159" s="10" t="s">
        <v>397</v>
      </c>
      <c r="R159" s="6">
        <v>1</v>
      </c>
      <c r="S159" s="3">
        <v>0</v>
      </c>
      <c r="T159" s="3">
        <v>0</v>
      </c>
      <c r="U159" s="3">
        <v>0</v>
      </c>
      <c r="V159" s="3">
        <v>1</v>
      </c>
      <c r="W159" s="3">
        <v>0.5</v>
      </c>
      <c r="X159" s="3">
        <v>0</v>
      </c>
      <c r="Y159" s="3">
        <v>2</v>
      </c>
      <c r="Z159" s="3">
        <v>0.1</v>
      </c>
      <c r="AA159" s="3">
        <v>1</v>
      </c>
      <c r="AB159" s="3">
        <v>0</v>
      </c>
      <c r="AC159" s="3"/>
      <c r="AD159" s="3" t="str">
        <f t="shared" si="14"/>
        <v>public const int PREPARE_CANNON_BALL = 91;</v>
      </c>
      <c r="AE159" s="3" t="str">
        <f t="shared" si="15"/>
        <v>装卸物品</v>
      </c>
      <c r="AF159" s="3" t="str">
        <f t="shared" si="16"/>
        <v>运输物品的路上</v>
      </c>
    </row>
    <row r="160" spans="1:32" x14ac:dyDescent="0.15">
      <c r="A160" s="3">
        <v>92</v>
      </c>
      <c r="B160" s="3" t="s">
        <v>330</v>
      </c>
      <c r="C160" s="3">
        <v>0</v>
      </c>
      <c r="D160" s="3">
        <v>0</v>
      </c>
      <c r="E160" s="3">
        <v>1</v>
      </c>
      <c r="F160" s="3">
        <v>0</v>
      </c>
      <c r="G160" s="3">
        <v>0</v>
      </c>
      <c r="H160" s="3" t="s">
        <v>331</v>
      </c>
      <c r="I160" s="11">
        <v>1</v>
      </c>
      <c r="J160" s="11">
        <v>0</v>
      </c>
      <c r="K160" s="3">
        <v>0</v>
      </c>
      <c r="L160" s="3">
        <v>0</v>
      </c>
      <c r="M160" s="5">
        <v>0</v>
      </c>
      <c r="N160" s="3">
        <v>1</v>
      </c>
      <c r="O160" s="3" t="s">
        <v>332</v>
      </c>
      <c r="P160" s="5"/>
      <c r="Q160" s="5"/>
      <c r="R160" s="6">
        <v>0</v>
      </c>
      <c r="S160" s="3">
        <v>1</v>
      </c>
      <c r="T160" s="3">
        <v>0</v>
      </c>
      <c r="U160" s="3">
        <v>0</v>
      </c>
      <c r="V160" s="3">
        <v>1</v>
      </c>
      <c r="W160" s="3">
        <v>0.5</v>
      </c>
      <c r="X160" s="3">
        <v>0</v>
      </c>
      <c r="Y160" s="3">
        <v>10</v>
      </c>
      <c r="Z160" s="3">
        <v>0.1</v>
      </c>
      <c r="AA160" s="3">
        <v>1</v>
      </c>
      <c r="AB160" s="3">
        <v>0</v>
      </c>
      <c r="AC160" s="3"/>
      <c r="AD160" s="3" t="str">
        <f t="shared" si="14"/>
        <v>public const int RECEIVE_PASSENGERS = 92;</v>
      </c>
      <c r="AE160" s="3" t="str">
        <f t="shared" si="15"/>
        <v/>
      </c>
      <c r="AF160" s="3" t="str">
        <f t="shared" si="16"/>
        <v/>
      </c>
    </row>
    <row r="161" spans="1:32" x14ac:dyDescent="0.15">
      <c r="A161" s="3">
        <v>93</v>
      </c>
      <c r="B161" s="3" t="s">
        <v>333</v>
      </c>
      <c r="C161" s="3">
        <v>0</v>
      </c>
      <c r="D161" s="3">
        <v>0</v>
      </c>
      <c r="E161" s="3">
        <v>1</v>
      </c>
      <c r="F161" s="3">
        <v>0</v>
      </c>
      <c r="G161" s="3">
        <v>0</v>
      </c>
      <c r="H161" s="3" t="s">
        <v>334</v>
      </c>
      <c r="I161" s="11">
        <v>1</v>
      </c>
      <c r="J161" s="11">
        <v>0</v>
      </c>
      <c r="K161" s="3">
        <v>0</v>
      </c>
      <c r="L161" s="3">
        <v>0</v>
      </c>
      <c r="M161" s="3">
        <v>0</v>
      </c>
      <c r="N161" s="3">
        <v>1</v>
      </c>
      <c r="O161" s="3" t="s">
        <v>335</v>
      </c>
      <c r="P161" s="3"/>
      <c r="Q161" s="3"/>
      <c r="R161" s="6">
        <v>0</v>
      </c>
      <c r="S161" s="3">
        <v>0</v>
      </c>
      <c r="T161" s="3">
        <v>0</v>
      </c>
      <c r="U161" s="3">
        <v>0</v>
      </c>
      <c r="V161" s="3"/>
      <c r="W161" s="3"/>
      <c r="X161" s="3">
        <v>0</v>
      </c>
      <c r="Y161" s="3">
        <v>0.3</v>
      </c>
      <c r="Z161" s="3">
        <v>0</v>
      </c>
      <c r="AA161" s="3">
        <v>0</v>
      </c>
      <c r="AB161" s="3">
        <v>0</v>
      </c>
      <c r="AC161" s="3"/>
      <c r="AD161" s="3" t="str">
        <f t="shared" si="14"/>
        <v>public const int RESCUE_TRAVELLER = 93;</v>
      </c>
      <c r="AE161" s="3" t="str">
        <f t="shared" si="15"/>
        <v/>
      </c>
      <c r="AF161" s="3" t="str">
        <f t="shared" si="16"/>
        <v/>
      </c>
    </row>
    <row r="162" spans="1:32" x14ac:dyDescent="0.15">
      <c r="A162" s="3">
        <v>94</v>
      </c>
      <c r="B162" s="3" t="s">
        <v>336</v>
      </c>
      <c r="C162" s="3">
        <v>0</v>
      </c>
      <c r="D162" s="3">
        <v>1</v>
      </c>
      <c r="E162" s="3">
        <v>1</v>
      </c>
      <c r="F162" s="3">
        <v>0</v>
      </c>
      <c r="G162" s="3">
        <v>0</v>
      </c>
      <c r="H162" s="3" t="s">
        <v>337</v>
      </c>
      <c r="I162" s="11">
        <v>1</v>
      </c>
      <c r="J162" s="11">
        <v>0</v>
      </c>
      <c r="K162" s="3">
        <v>0</v>
      </c>
      <c r="L162" s="3">
        <v>0</v>
      </c>
      <c r="M162" s="3">
        <v>1</v>
      </c>
      <c r="N162" s="3">
        <v>0</v>
      </c>
      <c r="O162" s="3" t="s">
        <v>338</v>
      </c>
      <c r="P162" s="3"/>
      <c r="Q162" s="3"/>
      <c r="R162" s="6">
        <v>0</v>
      </c>
      <c r="S162" s="3">
        <v>0</v>
      </c>
      <c r="T162" s="3">
        <v>0</v>
      </c>
      <c r="U162" s="3">
        <v>0</v>
      </c>
      <c r="V162" s="3"/>
      <c r="W162" s="3"/>
      <c r="X162" s="3">
        <v>0</v>
      </c>
      <c r="Y162" s="3">
        <v>3</v>
      </c>
      <c r="Z162" s="3">
        <v>0</v>
      </c>
      <c r="AA162" s="3">
        <v>0</v>
      </c>
      <c r="AB162" s="3">
        <v>0</v>
      </c>
      <c r="AC162" s="3"/>
      <c r="AD162" s="3" t="str">
        <f t="shared" si="14"/>
        <v>public const int TRAVELLER_SHOPPING = 94;</v>
      </c>
      <c r="AE162" s="3" t="str">
        <f t="shared" si="15"/>
        <v/>
      </c>
      <c r="AF162" s="3" t="str">
        <f t="shared" si="16"/>
        <v/>
      </c>
    </row>
    <row r="163" spans="1:32" x14ac:dyDescent="0.15">
      <c r="A163" s="3">
        <v>95</v>
      </c>
      <c r="B163" s="3" t="s">
        <v>339</v>
      </c>
      <c r="C163" s="3">
        <v>0</v>
      </c>
      <c r="D163" s="3">
        <v>0</v>
      </c>
      <c r="E163" s="3">
        <v>1</v>
      </c>
      <c r="F163" s="3">
        <v>0</v>
      </c>
      <c r="G163" s="3">
        <v>0</v>
      </c>
      <c r="H163" s="3" t="s">
        <v>340</v>
      </c>
      <c r="I163" s="11">
        <v>1</v>
      </c>
      <c r="J163" s="11">
        <v>0</v>
      </c>
      <c r="K163" s="3">
        <v>0</v>
      </c>
      <c r="L163" s="3">
        <v>0</v>
      </c>
      <c r="M163" s="3">
        <v>0</v>
      </c>
      <c r="N163" s="3">
        <v>0</v>
      </c>
      <c r="O163" s="3" t="s">
        <v>341</v>
      </c>
      <c r="P163" s="3"/>
      <c r="Q163" s="3"/>
      <c r="R163" s="6">
        <v>0</v>
      </c>
      <c r="S163" s="3">
        <v>0</v>
      </c>
      <c r="T163" s="3">
        <v>0</v>
      </c>
      <c r="U163" s="3"/>
      <c r="V163" s="3"/>
      <c r="W163" s="3"/>
      <c r="X163" s="3">
        <v>0</v>
      </c>
      <c r="Y163" s="3">
        <v>3</v>
      </c>
      <c r="Z163" s="3">
        <v>0</v>
      </c>
      <c r="AA163" s="3">
        <v>0</v>
      </c>
      <c r="AB163" s="3">
        <v>0</v>
      </c>
      <c r="AC163" s="3"/>
      <c r="AD163" s="3" t="str">
        <f t="shared" ref="AD163:AD198" si="17">CONCATENATE("public const int ",B163," = ",A163,";")</f>
        <v>public const int TRAVELLER_CHECK_IN = 95;</v>
      </c>
      <c r="AE163" s="3" t="str">
        <f t="shared" si="15"/>
        <v/>
      </c>
      <c r="AF163" s="3" t="str">
        <f t="shared" si="16"/>
        <v/>
      </c>
    </row>
    <row r="164" spans="1:32" x14ac:dyDescent="0.15">
      <c r="A164" s="3">
        <v>96</v>
      </c>
      <c r="B164" s="3" t="s">
        <v>342</v>
      </c>
      <c r="C164" s="3">
        <v>0</v>
      </c>
      <c r="D164" s="3">
        <v>0</v>
      </c>
      <c r="E164" s="3">
        <v>1</v>
      </c>
      <c r="F164" s="3">
        <v>0</v>
      </c>
      <c r="G164" s="3">
        <v>1</v>
      </c>
      <c r="H164" s="3" t="s">
        <v>343</v>
      </c>
      <c r="I164" s="11">
        <v>1</v>
      </c>
      <c r="J164" s="11">
        <v>0</v>
      </c>
      <c r="K164" s="3">
        <v>0</v>
      </c>
      <c r="L164" s="3">
        <v>0</v>
      </c>
      <c r="M164" s="5">
        <v>0</v>
      </c>
      <c r="N164" s="3">
        <v>1</v>
      </c>
      <c r="O164" s="3" t="s">
        <v>344</v>
      </c>
      <c r="P164" s="10" t="s">
        <v>418</v>
      </c>
      <c r="Q164" s="10" t="s">
        <v>419</v>
      </c>
      <c r="R164" s="6">
        <v>0</v>
      </c>
      <c r="S164" s="3">
        <v>0</v>
      </c>
      <c r="T164" s="3">
        <v>0</v>
      </c>
      <c r="U164" s="3">
        <v>0</v>
      </c>
      <c r="V164" s="3">
        <v>1</v>
      </c>
      <c r="W164" s="3">
        <v>0.5</v>
      </c>
      <c r="X164" s="3">
        <v>0</v>
      </c>
      <c r="Y164" s="3">
        <v>0.4</v>
      </c>
      <c r="Z164" s="3">
        <v>0.1</v>
      </c>
      <c r="AA164" s="3">
        <v>1</v>
      </c>
      <c r="AB164" s="3">
        <v>0</v>
      </c>
      <c r="AC164" s="3"/>
      <c r="AD164" s="3" t="str">
        <f t="shared" si="17"/>
        <v>public const int RESTORE_FACILITY = 96;</v>
      </c>
      <c r="AE164" s="3" t="str">
        <f t="shared" si="15"/>
        <v>修复建筑</v>
      </c>
      <c r="AF164" s="3" t="str">
        <f t="shared" si="16"/>
        <v>修复建筑的路上</v>
      </c>
    </row>
    <row r="165" spans="1:32" x14ac:dyDescent="0.15">
      <c r="A165" s="3">
        <v>97</v>
      </c>
      <c r="B165" s="11" t="s">
        <v>345</v>
      </c>
      <c r="C165" s="3">
        <v>0</v>
      </c>
      <c r="D165" s="3">
        <v>1</v>
      </c>
      <c r="E165" s="3">
        <v>1</v>
      </c>
      <c r="F165" s="3">
        <v>0</v>
      </c>
      <c r="G165" s="3">
        <v>0</v>
      </c>
      <c r="H165" s="3" t="s">
        <v>528</v>
      </c>
      <c r="I165" s="11">
        <v>1</v>
      </c>
      <c r="J165" s="11">
        <v>0</v>
      </c>
      <c r="K165" s="3">
        <v>0</v>
      </c>
      <c r="L165" s="3">
        <v>0</v>
      </c>
      <c r="M165" s="5">
        <v>1</v>
      </c>
      <c r="N165" s="3">
        <v>1</v>
      </c>
      <c r="O165" s="3" t="s">
        <v>528</v>
      </c>
      <c r="P165" s="10" t="s">
        <v>420</v>
      </c>
      <c r="Q165" s="10" t="s">
        <v>421</v>
      </c>
      <c r="R165" s="6">
        <v>0</v>
      </c>
      <c r="S165" s="3">
        <v>0</v>
      </c>
      <c r="T165" s="3">
        <v>0</v>
      </c>
      <c r="U165" s="3">
        <v>0</v>
      </c>
      <c r="V165" s="3">
        <v>1</v>
      </c>
      <c r="W165" s="3">
        <v>0.5</v>
      </c>
      <c r="X165" s="3">
        <v>0</v>
      </c>
      <c r="Y165" s="3">
        <v>3</v>
      </c>
      <c r="Z165" s="3">
        <v>0.5</v>
      </c>
      <c r="AA165" s="3">
        <v>1</v>
      </c>
      <c r="AB165" s="3">
        <v>0</v>
      </c>
      <c r="AC165" s="3"/>
      <c r="AD165" s="3" t="str">
        <f t="shared" si="17"/>
        <v>public const int TRANSPORT_BY_WAGON_IN_NO_FIXED_ROUTE_MODE = 97;</v>
      </c>
      <c r="AE165" s="3" t="str">
        <f t="shared" si="15"/>
        <v>马车装卸货物</v>
      </c>
      <c r="AF165" s="3" t="str">
        <f t="shared" si="16"/>
        <v>马车运输的路上</v>
      </c>
    </row>
    <row r="166" spans="1:32" x14ac:dyDescent="0.15">
      <c r="A166" s="3">
        <v>98</v>
      </c>
      <c r="B166" s="11" t="s">
        <v>356</v>
      </c>
      <c r="C166" s="3">
        <v>0</v>
      </c>
      <c r="D166" s="3">
        <v>1</v>
      </c>
      <c r="E166" s="3">
        <v>1</v>
      </c>
      <c r="F166" s="3">
        <v>0</v>
      </c>
      <c r="G166" s="3">
        <v>1</v>
      </c>
      <c r="H166" s="11" t="s">
        <v>357</v>
      </c>
      <c r="I166" s="11">
        <v>1</v>
      </c>
      <c r="J166" s="11">
        <v>0</v>
      </c>
      <c r="K166" s="3">
        <v>0</v>
      </c>
      <c r="L166" s="3">
        <v>0</v>
      </c>
      <c r="M166" s="5">
        <v>1</v>
      </c>
      <c r="N166" s="3">
        <v>1</v>
      </c>
      <c r="O166" s="11" t="s">
        <v>358</v>
      </c>
      <c r="P166" s="10"/>
      <c r="Q166" s="10"/>
      <c r="R166" s="6">
        <v>0</v>
      </c>
      <c r="S166" s="3">
        <v>0</v>
      </c>
      <c r="T166" s="3">
        <v>0</v>
      </c>
      <c r="U166" s="3">
        <v>0</v>
      </c>
      <c r="V166" s="3">
        <v>1</v>
      </c>
      <c r="W166" s="3">
        <v>0.5</v>
      </c>
      <c r="X166" s="3">
        <v>0</v>
      </c>
      <c r="Y166" s="3">
        <v>5</v>
      </c>
      <c r="Z166" s="3">
        <v>0</v>
      </c>
      <c r="AA166" s="3">
        <v>0</v>
      </c>
      <c r="AB166" s="3">
        <v>0</v>
      </c>
      <c r="AC166" s="3"/>
      <c r="AD166" s="3" t="str">
        <f t="shared" si="17"/>
        <v>public const int ATTEND_BANQUET = 98;</v>
      </c>
      <c r="AE166" s="3" t="str">
        <f t="shared" si="15"/>
        <v/>
      </c>
      <c r="AF166" s="3" t="str">
        <f t="shared" si="16"/>
        <v/>
      </c>
    </row>
    <row r="167" spans="1:32" x14ac:dyDescent="0.15">
      <c r="A167" s="3">
        <v>99</v>
      </c>
      <c r="B167" s="3" t="s">
        <v>363</v>
      </c>
      <c r="C167" s="3">
        <v>0</v>
      </c>
      <c r="D167" s="3">
        <v>1</v>
      </c>
      <c r="E167" s="3">
        <v>1</v>
      </c>
      <c r="F167" s="3">
        <v>0</v>
      </c>
      <c r="G167" s="3">
        <v>0</v>
      </c>
      <c r="H167" s="3" t="s">
        <v>209</v>
      </c>
      <c r="I167" s="11">
        <v>1</v>
      </c>
      <c r="J167" s="11">
        <v>0</v>
      </c>
      <c r="K167" s="3">
        <v>0</v>
      </c>
      <c r="L167" s="3">
        <v>0</v>
      </c>
      <c r="M167" s="3">
        <v>0</v>
      </c>
      <c r="N167" s="3">
        <v>1</v>
      </c>
      <c r="O167" s="3" t="s">
        <v>210</v>
      </c>
      <c r="P167" s="3"/>
      <c r="Q167" s="3"/>
      <c r="R167" s="6">
        <v>1</v>
      </c>
      <c r="S167" s="3">
        <v>0</v>
      </c>
      <c r="T167" s="3">
        <v>0</v>
      </c>
      <c r="U167" s="3">
        <v>0</v>
      </c>
      <c r="V167" s="3">
        <v>1</v>
      </c>
      <c r="W167" s="3">
        <v>0.5</v>
      </c>
      <c r="X167" s="3">
        <v>1</v>
      </c>
      <c r="Y167" s="5">
        <v>0.05</v>
      </c>
      <c r="Z167" s="3">
        <v>0.1</v>
      </c>
      <c r="AA167" s="3">
        <v>1</v>
      </c>
      <c r="AB167" s="3">
        <v>0</v>
      </c>
      <c r="AC167" s="3" t="s">
        <v>120</v>
      </c>
      <c r="AD167" s="3" t="str">
        <f t="shared" si="17"/>
        <v>public const int CUT_OFF_GRASS = 99;</v>
      </c>
      <c r="AE167" s="3" t="str">
        <f t="shared" si="15"/>
        <v/>
      </c>
      <c r="AF167" s="3" t="str">
        <f t="shared" si="16"/>
        <v/>
      </c>
    </row>
    <row r="168" spans="1:32" x14ac:dyDescent="0.15">
      <c r="A168" s="3">
        <v>100</v>
      </c>
      <c r="B168" s="11" t="s">
        <v>364</v>
      </c>
      <c r="C168" s="3">
        <v>0</v>
      </c>
      <c r="D168" s="3">
        <v>0</v>
      </c>
      <c r="E168" s="3">
        <v>1</v>
      </c>
      <c r="F168" s="3">
        <v>1</v>
      </c>
      <c r="G168" s="3">
        <v>1</v>
      </c>
      <c r="H168" s="3" t="s">
        <v>529</v>
      </c>
      <c r="I168" s="11">
        <v>1</v>
      </c>
      <c r="J168" s="11">
        <v>0</v>
      </c>
      <c r="K168" s="3">
        <v>0</v>
      </c>
      <c r="L168" s="3">
        <v>0</v>
      </c>
      <c r="M168" s="5">
        <v>0</v>
      </c>
      <c r="N168" s="3">
        <v>1</v>
      </c>
      <c r="O168" s="3" t="s">
        <v>570</v>
      </c>
      <c r="P168" s="10" t="s">
        <v>422</v>
      </c>
      <c r="Q168" s="10" t="s">
        <v>422</v>
      </c>
      <c r="R168" s="6">
        <v>0</v>
      </c>
      <c r="S168" s="3">
        <v>0</v>
      </c>
      <c r="T168" s="3">
        <v>0</v>
      </c>
      <c r="U168" s="3">
        <v>0</v>
      </c>
      <c r="V168" s="3">
        <v>1</v>
      </c>
      <c r="W168" s="3">
        <v>0.5</v>
      </c>
      <c r="X168" s="3">
        <v>1</v>
      </c>
      <c r="Y168" s="3">
        <v>0.4</v>
      </c>
      <c r="Z168" s="3">
        <v>0.1</v>
      </c>
      <c r="AA168" s="3">
        <v>1</v>
      </c>
      <c r="AB168" s="3">
        <v>0</v>
      </c>
      <c r="AC168" s="3"/>
      <c r="AD168" s="3" t="str">
        <f t="shared" si="17"/>
        <v>public const int REPAIR_WORK_FACILITY = 100;</v>
      </c>
      <c r="AE168" s="3" t="str">
        <f t="shared" si="15"/>
        <v>维修设施</v>
      </c>
      <c r="AF168" s="3" t="str">
        <f t="shared" si="16"/>
        <v>维修设施</v>
      </c>
    </row>
    <row r="169" spans="1:32" x14ac:dyDescent="0.15">
      <c r="A169" s="3">
        <v>101</v>
      </c>
      <c r="B169" s="3" t="s">
        <v>365</v>
      </c>
      <c r="C169" s="3">
        <v>0</v>
      </c>
      <c r="D169" s="3">
        <v>0</v>
      </c>
      <c r="E169" s="3">
        <v>1</v>
      </c>
      <c r="F169" s="3">
        <v>1</v>
      </c>
      <c r="G169" s="3">
        <v>1</v>
      </c>
      <c r="H169" s="3" t="s">
        <v>128</v>
      </c>
      <c r="I169" s="11">
        <v>1</v>
      </c>
      <c r="J169" s="11">
        <v>0</v>
      </c>
      <c r="K169" s="3">
        <v>0</v>
      </c>
      <c r="L169" s="3">
        <v>0</v>
      </c>
      <c r="M169" s="5">
        <v>1</v>
      </c>
      <c r="N169" s="3">
        <v>1</v>
      </c>
      <c r="O169" s="3" t="s">
        <v>129</v>
      </c>
      <c r="P169" s="10" t="s">
        <v>427</v>
      </c>
      <c r="Q169" s="10" t="s">
        <v>397</v>
      </c>
      <c r="R169" s="6">
        <v>0</v>
      </c>
      <c r="S169" s="3">
        <v>0</v>
      </c>
      <c r="T169" s="3">
        <v>0</v>
      </c>
      <c r="U169" s="3">
        <v>0</v>
      </c>
      <c r="V169" s="3">
        <v>1</v>
      </c>
      <c r="W169" s="3">
        <v>0.5</v>
      </c>
      <c r="X169" s="3">
        <v>1</v>
      </c>
      <c r="Y169" s="3">
        <v>0.2</v>
      </c>
      <c r="Z169" s="3">
        <v>0.1</v>
      </c>
      <c r="AA169" s="3">
        <v>1</v>
      </c>
      <c r="AB169" s="3">
        <v>0</v>
      </c>
      <c r="AC169" s="3"/>
      <c r="AD169" s="3" t="str">
        <f t="shared" si="17"/>
        <v>public const int REPAIR_BUILD_TRANSPORT = 101;</v>
      </c>
      <c r="AE169" s="3" t="str">
        <f t="shared" si="15"/>
        <v>装卸物品</v>
      </c>
      <c r="AF169" s="3" t="str">
        <f t="shared" si="16"/>
        <v>运输物品的路上</v>
      </c>
    </row>
    <row r="170" spans="1:32" x14ac:dyDescent="0.15">
      <c r="A170" s="3">
        <v>102</v>
      </c>
      <c r="B170" s="3" t="s">
        <v>371</v>
      </c>
      <c r="C170" s="3">
        <v>0</v>
      </c>
      <c r="D170" s="3">
        <v>0</v>
      </c>
      <c r="E170" s="3">
        <v>1</v>
      </c>
      <c r="F170" s="3">
        <v>0</v>
      </c>
      <c r="G170" s="3">
        <v>0</v>
      </c>
      <c r="H170" s="3" t="s">
        <v>178</v>
      </c>
      <c r="I170" s="11">
        <v>1</v>
      </c>
      <c r="J170" s="11">
        <v>0</v>
      </c>
      <c r="K170" s="3">
        <v>1</v>
      </c>
      <c r="L170" s="3">
        <v>0</v>
      </c>
      <c r="M170" s="3">
        <v>0</v>
      </c>
      <c r="N170" s="3">
        <v>1</v>
      </c>
      <c r="O170" s="3" t="s">
        <v>178</v>
      </c>
      <c r="P170" s="3"/>
      <c r="Q170" s="3"/>
      <c r="R170" s="6">
        <v>0</v>
      </c>
      <c r="S170" s="3">
        <v>0</v>
      </c>
      <c r="T170" s="3">
        <v>1</v>
      </c>
      <c r="U170" s="3">
        <v>0</v>
      </c>
      <c r="V170" s="3">
        <v>1</v>
      </c>
      <c r="W170" s="3">
        <v>0.5</v>
      </c>
      <c r="X170" s="3">
        <v>1</v>
      </c>
      <c r="Y170" s="3">
        <v>0.5</v>
      </c>
      <c r="Z170" s="3">
        <v>0.25</v>
      </c>
      <c r="AA170" s="3">
        <v>1</v>
      </c>
      <c r="AB170" s="3">
        <v>0</v>
      </c>
      <c r="AC170" s="3" t="s">
        <v>120</v>
      </c>
      <c r="AD170" s="3" t="str">
        <f t="shared" si="17"/>
        <v>public const int COLLECT_WILD_VEGETABLE = 102;</v>
      </c>
      <c r="AE170" s="3" t="str">
        <f t="shared" si="15"/>
        <v/>
      </c>
      <c r="AF170" s="3" t="str">
        <f t="shared" si="16"/>
        <v/>
      </c>
    </row>
    <row r="171" spans="1:32" x14ac:dyDescent="0.15">
      <c r="A171" s="3">
        <v>103</v>
      </c>
      <c r="B171" s="3" t="s">
        <v>372</v>
      </c>
      <c r="C171" s="3">
        <v>0</v>
      </c>
      <c r="D171" s="3">
        <v>0</v>
      </c>
      <c r="E171" s="3">
        <v>1</v>
      </c>
      <c r="F171" s="3">
        <v>0</v>
      </c>
      <c r="G171" s="3">
        <v>0</v>
      </c>
      <c r="H171" s="3" t="s">
        <v>180</v>
      </c>
      <c r="I171" s="11">
        <v>1</v>
      </c>
      <c r="J171" s="11">
        <v>0</v>
      </c>
      <c r="K171" s="3">
        <v>1</v>
      </c>
      <c r="L171" s="3">
        <v>0</v>
      </c>
      <c r="M171" s="3">
        <v>0</v>
      </c>
      <c r="N171" s="3">
        <v>1</v>
      </c>
      <c r="O171" s="3" t="s">
        <v>180</v>
      </c>
      <c r="P171" s="3"/>
      <c r="Q171" s="3"/>
      <c r="R171" s="6">
        <v>0</v>
      </c>
      <c r="S171" s="3">
        <v>0</v>
      </c>
      <c r="T171" s="3">
        <v>1</v>
      </c>
      <c r="U171" s="3">
        <v>0</v>
      </c>
      <c r="V171" s="3">
        <v>1</v>
      </c>
      <c r="W171" s="3">
        <v>0.5</v>
      </c>
      <c r="X171" s="3">
        <v>1</v>
      </c>
      <c r="Y171" s="3">
        <v>0.5</v>
      </c>
      <c r="Z171" s="3">
        <v>0.25</v>
      </c>
      <c r="AA171" s="3">
        <v>1</v>
      </c>
      <c r="AB171" s="3">
        <v>0</v>
      </c>
      <c r="AC171" s="3" t="s">
        <v>120</v>
      </c>
      <c r="AD171" s="3" t="str">
        <f t="shared" si="17"/>
        <v>public const int COLLECT_HERB = 103;</v>
      </c>
      <c r="AE171" s="3" t="str">
        <f t="shared" si="15"/>
        <v/>
      </c>
      <c r="AF171" s="3" t="str">
        <f t="shared" si="16"/>
        <v/>
      </c>
    </row>
    <row r="172" spans="1:32" x14ac:dyDescent="0.15">
      <c r="A172" s="3">
        <v>104</v>
      </c>
      <c r="B172" s="3" t="s">
        <v>373</v>
      </c>
      <c r="C172" s="3">
        <v>0</v>
      </c>
      <c r="D172" s="3">
        <v>0</v>
      </c>
      <c r="E172" s="3">
        <v>1</v>
      </c>
      <c r="F172" s="3">
        <v>0</v>
      </c>
      <c r="G172" s="3">
        <v>0</v>
      </c>
      <c r="H172" s="3" t="s">
        <v>530</v>
      </c>
      <c r="I172" s="11">
        <v>1</v>
      </c>
      <c r="J172" s="11">
        <v>0</v>
      </c>
      <c r="K172" s="3">
        <v>1</v>
      </c>
      <c r="L172" s="3">
        <v>0</v>
      </c>
      <c r="M172" s="3">
        <v>0</v>
      </c>
      <c r="N172" s="3">
        <v>1</v>
      </c>
      <c r="O172" s="3" t="s">
        <v>571</v>
      </c>
      <c r="P172" s="3"/>
      <c r="Q172" s="3"/>
      <c r="R172" s="6">
        <v>1</v>
      </c>
      <c r="S172" s="3">
        <v>0</v>
      </c>
      <c r="T172" s="3">
        <v>0</v>
      </c>
      <c r="U172" s="3">
        <v>0</v>
      </c>
      <c r="V172" s="3">
        <v>1</v>
      </c>
      <c r="W172" s="3">
        <v>0.5</v>
      </c>
      <c r="X172" s="3">
        <v>1</v>
      </c>
      <c r="Y172" s="5">
        <v>0.05</v>
      </c>
      <c r="Z172" s="3">
        <v>0.1</v>
      </c>
      <c r="AA172" s="3">
        <v>1</v>
      </c>
      <c r="AB172" s="3">
        <v>0</v>
      </c>
      <c r="AC172" s="3" t="s">
        <v>120</v>
      </c>
      <c r="AD172" s="3" t="str">
        <f t="shared" si="17"/>
        <v>public const int COLLECT_GRASS = 104;</v>
      </c>
      <c r="AE172" s="3" t="str">
        <f t="shared" si="15"/>
        <v/>
      </c>
      <c r="AF172" s="3" t="str">
        <f t="shared" si="16"/>
        <v/>
      </c>
    </row>
    <row r="173" spans="1:32" x14ac:dyDescent="0.15">
      <c r="A173" s="3">
        <v>105</v>
      </c>
      <c r="B173" s="3" t="s">
        <v>379</v>
      </c>
      <c r="C173" s="3">
        <v>0</v>
      </c>
      <c r="D173" s="3">
        <v>0</v>
      </c>
      <c r="E173" s="3">
        <v>1</v>
      </c>
      <c r="F173" s="3">
        <v>0</v>
      </c>
      <c r="G173" s="3">
        <v>0</v>
      </c>
      <c r="H173" s="3" t="s">
        <v>531</v>
      </c>
      <c r="I173" s="11">
        <v>1</v>
      </c>
      <c r="J173" s="11">
        <v>0</v>
      </c>
      <c r="K173" s="3">
        <v>0</v>
      </c>
      <c r="L173" s="3">
        <v>0</v>
      </c>
      <c r="M173" s="5">
        <v>0</v>
      </c>
      <c r="N173" s="3">
        <v>1</v>
      </c>
      <c r="O173" s="3" t="s">
        <v>572</v>
      </c>
      <c r="P173" s="5"/>
      <c r="Q173" s="5"/>
      <c r="R173" s="6">
        <v>0</v>
      </c>
      <c r="S173" s="3">
        <v>0</v>
      </c>
      <c r="T173" s="3">
        <v>0</v>
      </c>
      <c r="U173" s="3">
        <v>0</v>
      </c>
      <c r="V173" s="3">
        <v>1</v>
      </c>
      <c r="W173" s="3">
        <v>0.5</v>
      </c>
      <c r="X173" s="3">
        <v>0</v>
      </c>
      <c r="Y173" s="3">
        <v>1</v>
      </c>
      <c r="Z173" s="3">
        <v>0.25</v>
      </c>
      <c r="AA173" s="3">
        <v>1</v>
      </c>
      <c r="AB173" s="3">
        <v>0</v>
      </c>
      <c r="AC173" s="3"/>
      <c r="AD173" s="3" t="str">
        <f t="shared" si="17"/>
        <v>public const int SET_TRAP = 105;</v>
      </c>
      <c r="AE173" s="3" t="str">
        <f t="shared" si="15"/>
        <v/>
      </c>
      <c r="AF173" s="3" t="str">
        <f t="shared" si="16"/>
        <v/>
      </c>
    </row>
    <row r="174" spans="1:32" x14ac:dyDescent="0.15">
      <c r="A174" s="3">
        <v>106</v>
      </c>
      <c r="B174" s="11" t="s">
        <v>380</v>
      </c>
      <c r="C174" s="3">
        <v>0</v>
      </c>
      <c r="D174" s="3">
        <v>1</v>
      </c>
      <c r="E174" s="3">
        <v>1</v>
      </c>
      <c r="F174" s="3">
        <v>0</v>
      </c>
      <c r="G174" s="3">
        <v>0</v>
      </c>
      <c r="H174" s="3" t="s">
        <v>128</v>
      </c>
      <c r="I174" s="11">
        <v>1</v>
      </c>
      <c r="J174" s="11">
        <v>0</v>
      </c>
      <c r="K174" s="3">
        <v>0</v>
      </c>
      <c r="L174" s="3">
        <v>0</v>
      </c>
      <c r="M174" s="3">
        <v>1</v>
      </c>
      <c r="N174" s="3">
        <v>1</v>
      </c>
      <c r="O174" s="3" t="s">
        <v>129</v>
      </c>
      <c r="P174" s="10" t="s">
        <v>427</v>
      </c>
      <c r="Q174" s="10" t="s">
        <v>397</v>
      </c>
      <c r="R174" s="6">
        <v>0</v>
      </c>
      <c r="S174" s="3">
        <v>0</v>
      </c>
      <c r="T174" s="3">
        <v>0</v>
      </c>
      <c r="U174" s="3">
        <v>0</v>
      </c>
      <c r="V174" s="3">
        <v>1</v>
      </c>
      <c r="W174" s="3">
        <v>0.5</v>
      </c>
      <c r="X174" s="3">
        <v>0</v>
      </c>
      <c r="Y174" s="3">
        <v>0.2</v>
      </c>
      <c r="Z174" s="3">
        <v>0.1</v>
      </c>
      <c r="AA174" s="3">
        <v>1</v>
      </c>
      <c r="AB174" s="3">
        <v>0</v>
      </c>
      <c r="AC174" s="3"/>
      <c r="AD174" s="3" t="str">
        <f t="shared" si="17"/>
        <v>public const int WORK_TRANSPORT_FOR_MILL = 106;</v>
      </c>
      <c r="AE174" s="3" t="str">
        <f t="shared" si="15"/>
        <v>装卸物品</v>
      </c>
      <c r="AF174" s="3" t="str">
        <f t="shared" si="16"/>
        <v>运输物品的路上</v>
      </c>
    </row>
    <row r="175" spans="1:32" x14ac:dyDescent="0.15">
      <c r="A175" s="3">
        <v>107</v>
      </c>
      <c r="B175" s="11" t="s">
        <v>384</v>
      </c>
      <c r="C175" s="3">
        <v>0</v>
      </c>
      <c r="D175" s="3">
        <v>1</v>
      </c>
      <c r="E175" s="3">
        <v>1</v>
      </c>
      <c r="F175" s="3">
        <v>0</v>
      </c>
      <c r="G175" s="3">
        <v>0</v>
      </c>
      <c r="H175" s="3" t="s">
        <v>128</v>
      </c>
      <c r="I175" s="11">
        <v>1</v>
      </c>
      <c r="J175" s="11">
        <v>0</v>
      </c>
      <c r="K175" s="3">
        <v>0</v>
      </c>
      <c r="L175" s="3">
        <v>0</v>
      </c>
      <c r="M175" s="3">
        <v>1</v>
      </c>
      <c r="N175" s="3">
        <v>1</v>
      </c>
      <c r="O175" s="3" t="s">
        <v>129</v>
      </c>
      <c r="P175" s="10" t="s">
        <v>427</v>
      </c>
      <c r="Q175" s="10" t="s">
        <v>397</v>
      </c>
      <c r="R175" s="6">
        <v>0</v>
      </c>
      <c r="S175" s="3">
        <v>0</v>
      </c>
      <c r="T175" s="3">
        <v>0</v>
      </c>
      <c r="U175" s="3">
        <v>0</v>
      </c>
      <c r="V175" s="3">
        <v>1</v>
      </c>
      <c r="W175" s="3">
        <v>0.5</v>
      </c>
      <c r="X175" s="3">
        <v>0</v>
      </c>
      <c r="Y175" s="3">
        <v>0.2</v>
      </c>
      <c r="Z175" s="3">
        <v>0.1</v>
      </c>
      <c r="AA175" s="3">
        <v>1</v>
      </c>
      <c r="AB175" s="3">
        <v>0</v>
      </c>
      <c r="AC175" s="3"/>
      <c r="AD175" s="3" t="str">
        <f t="shared" si="17"/>
        <v>public const int TRANSPORT_FOR_MUSHROOM_BOX = 107;</v>
      </c>
      <c r="AE175" s="3" t="str">
        <f t="shared" si="15"/>
        <v>装卸物品</v>
      </c>
      <c r="AF175" s="3" t="str">
        <f t="shared" si="16"/>
        <v>运输物品的路上</v>
      </c>
    </row>
    <row r="176" spans="1:32" s="1" customFormat="1" x14ac:dyDescent="0.15">
      <c r="A176" s="3">
        <v>108</v>
      </c>
      <c r="B176" s="11" t="s">
        <v>385</v>
      </c>
      <c r="C176" s="6">
        <v>0</v>
      </c>
      <c r="D176" s="6">
        <v>0</v>
      </c>
      <c r="E176" s="6">
        <v>1</v>
      </c>
      <c r="F176" s="6">
        <v>0</v>
      </c>
      <c r="G176" s="6">
        <v>0</v>
      </c>
      <c r="H176" s="3" t="s">
        <v>532</v>
      </c>
      <c r="I176" s="11">
        <v>1</v>
      </c>
      <c r="J176" s="11">
        <v>0</v>
      </c>
      <c r="K176" s="3">
        <v>0</v>
      </c>
      <c r="L176" s="3">
        <v>0</v>
      </c>
      <c r="M176" s="6">
        <v>0</v>
      </c>
      <c r="N176" s="3">
        <v>1</v>
      </c>
      <c r="O176" s="3" t="s">
        <v>573</v>
      </c>
      <c r="P176" s="12"/>
      <c r="Q176" s="12"/>
      <c r="R176" s="6">
        <v>0</v>
      </c>
      <c r="S176" s="6">
        <v>0</v>
      </c>
      <c r="T176" s="6">
        <v>0</v>
      </c>
      <c r="U176" s="6">
        <v>0</v>
      </c>
      <c r="V176" s="6">
        <v>1</v>
      </c>
      <c r="W176" s="6">
        <v>0.5</v>
      </c>
      <c r="X176" s="6">
        <v>0</v>
      </c>
      <c r="Y176" s="6">
        <v>0.75</v>
      </c>
      <c r="Z176" s="6">
        <v>0.1</v>
      </c>
      <c r="AA176" s="6">
        <v>1</v>
      </c>
      <c r="AB176" s="6">
        <v>0</v>
      </c>
      <c r="AC176" s="6"/>
      <c r="AD176" s="3" t="str">
        <f t="shared" si="17"/>
        <v>public const int MUSHROOM_WATERING = 108;</v>
      </c>
      <c r="AE176" s="3" t="str">
        <f t="shared" si="15"/>
        <v/>
      </c>
      <c r="AF176" s="3" t="str">
        <f t="shared" si="16"/>
        <v/>
      </c>
    </row>
    <row r="177" spans="1:32" x14ac:dyDescent="0.15">
      <c r="A177" s="3">
        <v>109</v>
      </c>
      <c r="B177" s="11" t="s">
        <v>387</v>
      </c>
      <c r="C177" s="3">
        <v>0</v>
      </c>
      <c r="D177" s="3">
        <v>1</v>
      </c>
      <c r="E177" s="3">
        <v>1</v>
      </c>
      <c r="F177" s="3">
        <v>0</v>
      </c>
      <c r="G177" s="3">
        <v>0</v>
      </c>
      <c r="H177" s="3" t="s">
        <v>533</v>
      </c>
      <c r="I177" s="11">
        <v>1</v>
      </c>
      <c r="J177" s="11">
        <v>0</v>
      </c>
      <c r="K177" s="3">
        <v>0</v>
      </c>
      <c r="L177" s="3">
        <v>0</v>
      </c>
      <c r="M177" s="5">
        <v>0</v>
      </c>
      <c r="N177" s="3">
        <v>1</v>
      </c>
      <c r="O177" s="3" t="s">
        <v>574</v>
      </c>
      <c r="P177" s="5"/>
      <c r="Q177" s="5"/>
      <c r="R177" s="6">
        <v>0</v>
      </c>
      <c r="S177" s="3">
        <v>0</v>
      </c>
      <c r="T177" s="3">
        <v>0</v>
      </c>
      <c r="U177" s="3">
        <v>0</v>
      </c>
      <c r="V177" s="3">
        <v>1</v>
      </c>
      <c r="W177" s="3">
        <v>0.5</v>
      </c>
      <c r="X177" s="3">
        <v>0</v>
      </c>
      <c r="Y177" s="3">
        <v>0.1</v>
      </c>
      <c r="Z177" s="3">
        <v>0</v>
      </c>
      <c r="AA177" s="3">
        <v>0</v>
      </c>
      <c r="AB177" s="3">
        <v>0</v>
      </c>
      <c r="AC177" s="3"/>
      <c r="AD177" s="3" t="str">
        <f t="shared" si="17"/>
        <v>public const int FETCH_ANIMAL_FOR_ALTER = 109;</v>
      </c>
      <c r="AE177" s="3" t="str">
        <f t="shared" si="15"/>
        <v/>
      </c>
      <c r="AF177" s="3" t="str">
        <f t="shared" si="16"/>
        <v/>
      </c>
    </row>
    <row r="178" spans="1:32" x14ac:dyDescent="0.15">
      <c r="A178" s="3">
        <v>110</v>
      </c>
      <c r="B178" s="11" t="s">
        <v>429</v>
      </c>
      <c r="C178" s="3">
        <v>0</v>
      </c>
      <c r="D178" s="3">
        <v>1</v>
      </c>
      <c r="E178" s="3">
        <v>1</v>
      </c>
      <c r="F178" s="3">
        <v>0</v>
      </c>
      <c r="G178" s="3">
        <v>0</v>
      </c>
      <c r="H178" s="3" t="s">
        <v>534</v>
      </c>
      <c r="I178" s="11">
        <v>1</v>
      </c>
      <c r="J178" s="11">
        <v>0</v>
      </c>
      <c r="K178" s="3">
        <v>0</v>
      </c>
      <c r="L178" s="3">
        <v>0</v>
      </c>
      <c r="M178" s="5">
        <v>0</v>
      </c>
      <c r="N178" s="3">
        <v>1</v>
      </c>
      <c r="O178" s="3" t="s">
        <v>575</v>
      </c>
      <c r="P178" s="3"/>
      <c r="Q178" s="3"/>
      <c r="R178" s="6">
        <v>0</v>
      </c>
      <c r="S178" s="3">
        <v>0</v>
      </c>
      <c r="T178" s="3">
        <v>0</v>
      </c>
      <c r="U178" s="3">
        <v>0</v>
      </c>
      <c r="V178" s="3">
        <v>1</v>
      </c>
      <c r="W178" s="3">
        <v>0.5</v>
      </c>
      <c r="X178" s="3">
        <v>0</v>
      </c>
      <c r="Y178" s="3">
        <v>0.75</v>
      </c>
      <c r="Z178" s="3">
        <v>0.4</v>
      </c>
      <c r="AA178" s="3">
        <v>1</v>
      </c>
      <c r="AB178" s="3">
        <v>0</v>
      </c>
      <c r="AC178" s="3"/>
      <c r="AD178" s="3" t="str">
        <f t="shared" si="17"/>
        <v>public const int PRISONER_TO_MINE = 110;</v>
      </c>
      <c r="AE178" s="3"/>
      <c r="AF178" s="3"/>
    </row>
    <row r="179" spans="1:32" x14ac:dyDescent="0.15">
      <c r="A179" s="3">
        <v>111</v>
      </c>
      <c r="B179" s="3" t="s">
        <v>432</v>
      </c>
      <c r="C179" s="3">
        <v>0</v>
      </c>
      <c r="D179" s="3">
        <v>0</v>
      </c>
      <c r="E179" s="3">
        <v>1</v>
      </c>
      <c r="F179" s="3">
        <v>1</v>
      </c>
      <c r="G179" s="3">
        <v>0</v>
      </c>
      <c r="H179" s="3" t="s">
        <v>535</v>
      </c>
      <c r="I179" s="11">
        <v>1</v>
      </c>
      <c r="J179" s="11">
        <v>1</v>
      </c>
      <c r="K179" s="3">
        <v>0</v>
      </c>
      <c r="L179" s="3">
        <v>0</v>
      </c>
      <c r="M179" s="5">
        <v>0</v>
      </c>
      <c r="N179" s="3">
        <v>1</v>
      </c>
      <c r="O179" s="3" t="s">
        <v>576</v>
      </c>
      <c r="P179" s="5" t="s">
        <v>433</v>
      </c>
      <c r="Q179" s="5" t="s">
        <v>434</v>
      </c>
      <c r="R179" s="6">
        <v>0</v>
      </c>
      <c r="S179" s="3">
        <v>0</v>
      </c>
      <c r="T179" s="3">
        <v>0</v>
      </c>
      <c r="U179" s="3">
        <v>0</v>
      </c>
      <c r="V179" s="3">
        <v>1</v>
      </c>
      <c r="W179" s="3">
        <v>0.5</v>
      </c>
      <c r="X179" s="3">
        <v>1</v>
      </c>
      <c r="Y179" s="3">
        <v>0.4</v>
      </c>
      <c r="Z179" s="3">
        <v>0.1</v>
      </c>
      <c r="AA179" s="3">
        <v>1</v>
      </c>
      <c r="AB179" s="3">
        <v>0</v>
      </c>
      <c r="AC179" s="3"/>
      <c r="AD179" s="3" t="str">
        <f t="shared" si="17"/>
        <v>public const int MOVE_MONSTER_EGG = 111;</v>
      </c>
      <c r="AE179" s="3"/>
      <c r="AF179" s="3"/>
    </row>
    <row r="180" spans="1:32" x14ac:dyDescent="0.15">
      <c r="A180" s="3">
        <v>112</v>
      </c>
      <c r="B180" s="11" t="s">
        <v>435</v>
      </c>
      <c r="C180" s="3">
        <v>0</v>
      </c>
      <c r="D180" s="3">
        <v>1</v>
      </c>
      <c r="E180" s="3">
        <v>1</v>
      </c>
      <c r="F180" s="3">
        <v>0</v>
      </c>
      <c r="G180" s="3">
        <v>0</v>
      </c>
      <c r="H180" s="3" t="s">
        <v>262</v>
      </c>
      <c r="I180" s="11">
        <v>1</v>
      </c>
      <c r="J180" s="11">
        <v>0</v>
      </c>
      <c r="K180" s="3">
        <v>0</v>
      </c>
      <c r="L180" s="3">
        <v>0</v>
      </c>
      <c r="M180" s="5">
        <v>1</v>
      </c>
      <c r="N180" s="3">
        <v>1</v>
      </c>
      <c r="O180" s="3" t="s">
        <v>263</v>
      </c>
      <c r="P180" s="10" t="s">
        <v>428</v>
      </c>
      <c r="Q180" s="10" t="s">
        <v>413</v>
      </c>
      <c r="R180" s="6">
        <v>0</v>
      </c>
      <c r="S180" s="3">
        <v>0</v>
      </c>
      <c r="T180" s="3">
        <v>0</v>
      </c>
      <c r="U180" s="3">
        <v>0</v>
      </c>
      <c r="V180" s="3">
        <v>1</v>
      </c>
      <c r="W180" s="3">
        <v>0.5</v>
      </c>
      <c r="X180" s="3">
        <v>0</v>
      </c>
      <c r="Y180" s="3">
        <v>0.2</v>
      </c>
      <c r="Z180" s="3">
        <v>0.1</v>
      </c>
      <c r="AA180" s="3">
        <v>1</v>
      </c>
      <c r="AB180" s="3">
        <v>0</v>
      </c>
      <c r="AC180" s="3"/>
      <c r="AD180" s="3" t="str">
        <f t="shared" si="17"/>
        <v>public const int TRANSPORT_BATCH_BIND_WORKER = 112;</v>
      </c>
      <c r="AE180" s="3" t="str">
        <f t="shared" ref="AE180:AE181" si="18">P180 &amp; ""</f>
        <v>批量装卸物品</v>
      </c>
      <c r="AF180" s="3" t="str">
        <f t="shared" ref="AF180:AF181" si="19">Q180 &amp; ""</f>
        <v>批量运输物品的路上</v>
      </c>
    </row>
    <row r="181" spans="1:32" x14ac:dyDescent="0.15">
      <c r="A181" s="3">
        <v>113</v>
      </c>
      <c r="B181" s="11" t="s">
        <v>442</v>
      </c>
      <c r="C181" s="3">
        <v>0</v>
      </c>
      <c r="D181" s="3">
        <v>0</v>
      </c>
      <c r="E181" s="3">
        <v>1</v>
      </c>
      <c r="F181" s="3">
        <v>0</v>
      </c>
      <c r="G181" s="3">
        <v>0</v>
      </c>
      <c r="H181" s="3" t="s">
        <v>536</v>
      </c>
      <c r="I181" s="11">
        <v>1</v>
      </c>
      <c r="J181" s="11">
        <v>0</v>
      </c>
      <c r="K181" s="3">
        <v>1</v>
      </c>
      <c r="L181" s="3">
        <v>0</v>
      </c>
      <c r="M181" s="3">
        <v>0</v>
      </c>
      <c r="N181" s="3">
        <v>1</v>
      </c>
      <c r="O181" s="3" t="s">
        <v>577</v>
      </c>
      <c r="P181" s="11"/>
      <c r="Q181" s="11"/>
      <c r="R181" s="6">
        <v>1</v>
      </c>
      <c r="S181" s="3">
        <v>0</v>
      </c>
      <c r="T181" s="3">
        <v>0</v>
      </c>
      <c r="U181" s="3">
        <v>1</v>
      </c>
      <c r="V181" s="3">
        <v>1</v>
      </c>
      <c r="W181" s="3">
        <v>0.5</v>
      </c>
      <c r="X181" s="3">
        <v>1</v>
      </c>
      <c r="Y181" s="3">
        <v>0.75</v>
      </c>
      <c r="Z181" s="3">
        <v>0.4</v>
      </c>
      <c r="AA181" s="3">
        <v>1</v>
      </c>
      <c r="AB181" s="3">
        <v>0</v>
      </c>
      <c r="AC181" s="3" t="s">
        <v>120</v>
      </c>
      <c r="AD181" s="3" t="str">
        <f t="shared" si="17"/>
        <v>public const int COLLECT_OF_COLLECTION_POINT = 113;</v>
      </c>
      <c r="AE181" s="3" t="str">
        <f t="shared" si="18"/>
        <v/>
      </c>
      <c r="AF181" s="3" t="str">
        <f t="shared" si="19"/>
        <v/>
      </c>
    </row>
    <row r="182" spans="1:32" x14ac:dyDescent="0.15">
      <c r="A182" s="3">
        <v>114</v>
      </c>
      <c r="B182" s="11" t="s">
        <v>443</v>
      </c>
      <c r="C182" s="3">
        <v>1</v>
      </c>
      <c r="D182" s="3">
        <v>1</v>
      </c>
      <c r="E182" s="3">
        <v>1</v>
      </c>
      <c r="F182" s="3">
        <v>1</v>
      </c>
      <c r="G182" s="3">
        <v>1</v>
      </c>
      <c r="H182" s="3" t="s">
        <v>537</v>
      </c>
      <c r="I182" s="11">
        <v>1</v>
      </c>
      <c r="J182" s="11">
        <v>0</v>
      </c>
      <c r="K182" s="11">
        <v>1</v>
      </c>
      <c r="L182" s="11">
        <v>1</v>
      </c>
      <c r="M182" s="3">
        <v>1</v>
      </c>
      <c r="N182" s="3">
        <v>1</v>
      </c>
      <c r="O182" s="3" t="s">
        <v>578</v>
      </c>
      <c r="P182" s="3"/>
      <c r="Q182" s="3"/>
      <c r="R182" s="6">
        <v>1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0.5</v>
      </c>
      <c r="Z182" s="3">
        <v>0</v>
      </c>
      <c r="AA182" s="3">
        <v>0</v>
      </c>
      <c r="AB182" s="3">
        <v>0</v>
      </c>
      <c r="AC182" s="3"/>
      <c r="AD182" s="3" t="str">
        <f t="shared" si="17"/>
        <v>public const int FEED_ME_BY_HANDYMAN = 114;</v>
      </c>
      <c r="AE182" s="3" t="str">
        <f t="shared" ref="AE182:AE183" si="20">P182 &amp; ""</f>
        <v/>
      </c>
      <c r="AF182" s="3" t="str">
        <f t="shared" ref="AF182:AF183" si="21">Q182 &amp; ""</f>
        <v/>
      </c>
    </row>
    <row r="183" spans="1:32" x14ac:dyDescent="0.15">
      <c r="A183" s="3">
        <v>115</v>
      </c>
      <c r="B183" s="11" t="s">
        <v>444</v>
      </c>
      <c r="C183" s="3">
        <v>0</v>
      </c>
      <c r="D183" s="3">
        <v>1</v>
      </c>
      <c r="E183" s="3">
        <v>1</v>
      </c>
      <c r="F183" s="3">
        <v>1</v>
      </c>
      <c r="G183" s="3">
        <v>1</v>
      </c>
      <c r="H183" s="3" t="s">
        <v>538</v>
      </c>
      <c r="I183" s="11">
        <v>1</v>
      </c>
      <c r="J183" s="11">
        <v>0</v>
      </c>
      <c r="K183" s="11">
        <v>1</v>
      </c>
      <c r="L183" s="11">
        <v>1</v>
      </c>
      <c r="M183" s="3">
        <v>1</v>
      </c>
      <c r="N183" s="3">
        <v>1</v>
      </c>
      <c r="O183" s="3" t="s">
        <v>579</v>
      </c>
      <c r="P183" s="3"/>
      <c r="Q183" s="3"/>
      <c r="R183" s="6">
        <v>1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0.1</v>
      </c>
      <c r="Z183" s="3">
        <v>0</v>
      </c>
      <c r="AA183" s="3">
        <v>0</v>
      </c>
      <c r="AB183" s="3">
        <v>0</v>
      </c>
      <c r="AC183" s="3"/>
      <c r="AD183" s="3" t="str">
        <f t="shared" si="17"/>
        <v>public const int GIVE_ME_CLOTHES_BY_HANDYMAN = 115;</v>
      </c>
      <c r="AE183" s="3" t="str">
        <f t="shared" si="20"/>
        <v/>
      </c>
      <c r="AF183" s="3" t="str">
        <f t="shared" si="21"/>
        <v/>
      </c>
    </row>
    <row r="184" spans="1:32" x14ac:dyDescent="0.15">
      <c r="A184" s="3">
        <v>116</v>
      </c>
      <c r="B184" s="11" t="s">
        <v>445</v>
      </c>
      <c r="C184" s="3">
        <v>0</v>
      </c>
      <c r="D184" s="3">
        <v>0</v>
      </c>
      <c r="E184" s="3">
        <v>1</v>
      </c>
      <c r="F184" s="3">
        <v>0</v>
      </c>
      <c r="G184" s="3">
        <v>0</v>
      </c>
      <c r="H184" s="3" t="s">
        <v>539</v>
      </c>
      <c r="I184" s="11">
        <v>1</v>
      </c>
      <c r="J184" s="11">
        <v>0</v>
      </c>
      <c r="K184" s="3">
        <v>0</v>
      </c>
      <c r="L184" s="3">
        <v>0</v>
      </c>
      <c r="M184" s="5">
        <v>0</v>
      </c>
      <c r="N184" s="3">
        <v>1</v>
      </c>
      <c r="O184" s="3" t="s">
        <v>580</v>
      </c>
      <c r="P184" s="5"/>
      <c r="Q184" s="5"/>
      <c r="R184" s="6">
        <v>0</v>
      </c>
      <c r="S184" s="3">
        <v>0</v>
      </c>
      <c r="T184" s="3">
        <v>0</v>
      </c>
      <c r="U184" s="3">
        <v>0</v>
      </c>
      <c r="V184" s="3">
        <v>1</v>
      </c>
      <c r="W184" s="3">
        <v>0.5</v>
      </c>
      <c r="X184" s="3">
        <v>0</v>
      </c>
      <c r="Y184" s="3">
        <v>1</v>
      </c>
      <c r="Z184" s="3">
        <v>0.1</v>
      </c>
      <c r="AA184" s="3">
        <v>1</v>
      </c>
      <c r="AB184" s="3">
        <v>0</v>
      </c>
      <c r="AC184" s="3"/>
      <c r="AD184" s="3" t="str">
        <f t="shared" si="17"/>
        <v>public const int CLEAR_POKER_TABLE = 116;</v>
      </c>
      <c r="AE184" s="3" t="str">
        <f t="shared" ref="AE184" si="22">P184 &amp; ""</f>
        <v/>
      </c>
      <c r="AF184" s="3" t="str">
        <f t="shared" ref="AF184" si="23">Q184 &amp; ""</f>
        <v/>
      </c>
    </row>
    <row r="185" spans="1:32" x14ac:dyDescent="0.15">
      <c r="A185" s="3">
        <v>117</v>
      </c>
      <c r="B185" s="11" t="s">
        <v>446</v>
      </c>
      <c r="C185" s="3">
        <v>1</v>
      </c>
      <c r="D185" s="3">
        <v>1</v>
      </c>
      <c r="E185" s="3">
        <v>1</v>
      </c>
      <c r="F185" s="3">
        <v>0</v>
      </c>
      <c r="G185" s="3">
        <v>0</v>
      </c>
      <c r="H185" s="3" t="s">
        <v>540</v>
      </c>
      <c r="I185" s="11">
        <v>1</v>
      </c>
      <c r="J185" s="11">
        <v>0</v>
      </c>
      <c r="K185" s="11">
        <v>0</v>
      </c>
      <c r="L185" s="11">
        <v>0</v>
      </c>
      <c r="M185" s="3">
        <v>0</v>
      </c>
      <c r="N185" s="3">
        <v>0</v>
      </c>
      <c r="O185" s="3" t="s">
        <v>581</v>
      </c>
      <c r="P185" s="11"/>
      <c r="Q185" s="11"/>
      <c r="R185" s="6">
        <v>0</v>
      </c>
      <c r="S185" s="3">
        <v>1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1.5</v>
      </c>
      <c r="Z185" s="3">
        <v>0</v>
      </c>
      <c r="AA185" s="3">
        <v>0</v>
      </c>
      <c r="AB185" s="3">
        <v>0</v>
      </c>
      <c r="AC185" s="3"/>
      <c r="AD185" s="3" t="str">
        <f t="shared" si="17"/>
        <v>public const int PLAY_POKER = 117;</v>
      </c>
      <c r="AE185" s="3" t="str">
        <f>P185 &amp; ""</f>
        <v/>
      </c>
      <c r="AF185" s="3" t="str">
        <f>Q185 &amp; ""</f>
        <v/>
      </c>
    </row>
    <row r="186" spans="1:32" x14ac:dyDescent="0.15">
      <c r="A186" s="3">
        <v>118</v>
      </c>
      <c r="B186" s="11" t="s">
        <v>449</v>
      </c>
      <c r="C186" s="3">
        <v>0</v>
      </c>
      <c r="D186" s="3">
        <v>1</v>
      </c>
      <c r="E186" s="3">
        <v>1</v>
      </c>
      <c r="F186" s="3">
        <v>0</v>
      </c>
      <c r="G186" s="3">
        <v>0</v>
      </c>
      <c r="H186" s="3" t="s">
        <v>541</v>
      </c>
      <c r="I186" s="11">
        <v>1</v>
      </c>
      <c r="J186" s="11">
        <v>0</v>
      </c>
      <c r="K186" s="3">
        <v>0</v>
      </c>
      <c r="L186" s="3">
        <v>0</v>
      </c>
      <c r="M186" s="3">
        <v>1</v>
      </c>
      <c r="N186" s="3">
        <v>1</v>
      </c>
      <c r="O186" s="3" t="s">
        <v>582</v>
      </c>
      <c r="P186" s="3"/>
      <c r="Q186" s="3"/>
      <c r="R186" s="6">
        <v>0</v>
      </c>
      <c r="S186" s="3">
        <v>0</v>
      </c>
      <c r="T186" s="3">
        <v>0</v>
      </c>
      <c r="U186" s="3">
        <v>0</v>
      </c>
      <c r="V186" s="3">
        <v>1</v>
      </c>
      <c r="W186" s="3">
        <v>0.5</v>
      </c>
      <c r="X186" s="3">
        <v>0</v>
      </c>
      <c r="Y186" s="3">
        <v>0.3</v>
      </c>
      <c r="Z186" s="3">
        <v>0.1</v>
      </c>
      <c r="AA186" s="3">
        <v>1</v>
      </c>
      <c r="AB186" s="3">
        <v>0</v>
      </c>
      <c r="AC186" s="3"/>
      <c r="AD186" s="3" t="str">
        <f t="shared" si="17"/>
        <v>public const int TRANSPORT_FOR_ROULETTE_WHEEL = 118;</v>
      </c>
      <c r="AE186" s="3" t="str">
        <f t="shared" ref="AE186:AE187" si="24">P186 &amp; ""</f>
        <v/>
      </c>
      <c r="AF186" s="3" t="str">
        <f t="shared" ref="AF186:AF187" si="25">Q186 &amp; ""</f>
        <v/>
      </c>
    </row>
    <row r="187" spans="1:32" x14ac:dyDescent="0.15">
      <c r="A187" s="3">
        <v>119</v>
      </c>
      <c r="B187" s="11" t="s">
        <v>450</v>
      </c>
      <c r="C187" s="3">
        <v>0</v>
      </c>
      <c r="D187" s="3">
        <v>0</v>
      </c>
      <c r="E187" s="3">
        <v>1</v>
      </c>
      <c r="F187" s="3">
        <v>0</v>
      </c>
      <c r="G187" s="3">
        <v>0</v>
      </c>
      <c r="H187" s="3" t="s">
        <v>257</v>
      </c>
      <c r="I187" s="11">
        <v>1</v>
      </c>
      <c r="J187" s="11">
        <v>0</v>
      </c>
      <c r="K187" s="3">
        <v>0</v>
      </c>
      <c r="L187" s="3">
        <v>0</v>
      </c>
      <c r="M187" s="3">
        <v>1</v>
      </c>
      <c r="N187" s="3">
        <v>1</v>
      </c>
      <c r="O187" s="3" t="s">
        <v>258</v>
      </c>
      <c r="P187" s="5"/>
      <c r="Q187" s="5"/>
      <c r="R187" s="6">
        <v>0</v>
      </c>
      <c r="S187" s="3">
        <v>0</v>
      </c>
      <c r="T187" s="3">
        <v>1</v>
      </c>
      <c r="U187" s="3">
        <v>0</v>
      </c>
      <c r="V187" s="3">
        <v>1</v>
      </c>
      <c r="W187" s="3">
        <v>1</v>
      </c>
      <c r="X187" s="3">
        <v>0</v>
      </c>
      <c r="Y187" s="3">
        <v>0.1</v>
      </c>
      <c r="Z187" s="3">
        <v>0.1</v>
      </c>
      <c r="AA187" s="3">
        <v>1</v>
      </c>
      <c r="AB187" s="3">
        <v>0</v>
      </c>
      <c r="AC187" s="3"/>
      <c r="AD187" s="3" t="str">
        <f t="shared" si="17"/>
        <v>public const int ADD_FUEL_TO_PUBLIC_BATH = 119;</v>
      </c>
      <c r="AE187" s="3" t="str">
        <f t="shared" si="24"/>
        <v/>
      </c>
      <c r="AF187" s="3" t="str">
        <f t="shared" si="25"/>
        <v/>
      </c>
    </row>
    <row r="188" spans="1:32" x14ac:dyDescent="0.15">
      <c r="A188" s="3">
        <v>120</v>
      </c>
      <c r="B188" s="11" t="s">
        <v>451</v>
      </c>
      <c r="C188" s="3">
        <v>0</v>
      </c>
      <c r="D188" s="3">
        <v>1</v>
      </c>
      <c r="E188" s="3">
        <v>1</v>
      </c>
      <c r="F188" s="3">
        <v>0</v>
      </c>
      <c r="G188" s="3">
        <v>0</v>
      </c>
      <c r="H188" s="3" t="s">
        <v>542</v>
      </c>
      <c r="I188" s="11">
        <v>1</v>
      </c>
      <c r="J188" s="11">
        <v>0</v>
      </c>
      <c r="K188" s="3">
        <v>0</v>
      </c>
      <c r="L188" s="3">
        <v>0</v>
      </c>
      <c r="M188" s="3">
        <v>1</v>
      </c>
      <c r="N188" s="3">
        <v>1</v>
      </c>
      <c r="O188" s="3" t="s">
        <v>583</v>
      </c>
      <c r="P188" s="3"/>
      <c r="Q188" s="3"/>
      <c r="R188" s="6">
        <v>0</v>
      </c>
      <c r="S188" s="3">
        <v>0</v>
      </c>
      <c r="T188" s="3">
        <v>0</v>
      </c>
      <c r="U188" s="3">
        <v>0</v>
      </c>
      <c r="V188" s="3">
        <v>1</v>
      </c>
      <c r="W188" s="3">
        <v>0.5</v>
      </c>
      <c r="X188" s="3">
        <v>0</v>
      </c>
      <c r="Y188" s="3">
        <v>0.3</v>
      </c>
      <c r="Z188" s="3">
        <v>0.1</v>
      </c>
      <c r="AA188" s="3">
        <v>1</v>
      </c>
      <c r="AB188" s="3">
        <v>0</v>
      </c>
      <c r="AC188" s="3"/>
      <c r="AD188" s="3" t="str">
        <f t="shared" si="17"/>
        <v>public const int TRANSPORT_FOR_PUBLIC_BATH = 120;</v>
      </c>
      <c r="AE188" s="3" t="str">
        <f t="shared" ref="AE188:AE190" si="26">P188 &amp; ""</f>
        <v/>
      </c>
      <c r="AF188" s="3" t="str">
        <f t="shared" ref="AF188:AF190" si="27">Q188 &amp; ""</f>
        <v/>
      </c>
    </row>
    <row r="189" spans="1:32" x14ac:dyDescent="0.15">
      <c r="A189" s="3">
        <v>121</v>
      </c>
      <c r="B189" s="11" t="s">
        <v>452</v>
      </c>
      <c r="C189" s="3">
        <v>0</v>
      </c>
      <c r="D189" s="3">
        <v>0</v>
      </c>
      <c r="E189" s="3">
        <v>1</v>
      </c>
      <c r="F189" s="3">
        <v>0</v>
      </c>
      <c r="G189" s="3">
        <v>0</v>
      </c>
      <c r="H189" s="3" t="s">
        <v>218</v>
      </c>
      <c r="I189" s="11">
        <v>1</v>
      </c>
      <c r="J189" s="11">
        <v>0</v>
      </c>
      <c r="K189" s="3">
        <v>0</v>
      </c>
      <c r="L189" s="3">
        <v>0</v>
      </c>
      <c r="M189" s="3">
        <v>0</v>
      </c>
      <c r="N189" s="3">
        <v>1</v>
      </c>
      <c r="O189" s="3" t="s">
        <v>219</v>
      </c>
      <c r="P189" s="3"/>
      <c r="Q189" s="3"/>
      <c r="R189" s="6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0.1</v>
      </c>
      <c r="Z189" s="3">
        <v>0</v>
      </c>
      <c r="AA189" s="3">
        <v>0</v>
      </c>
      <c r="AB189" s="3">
        <v>0</v>
      </c>
      <c r="AC189" s="3"/>
      <c r="AD189" s="3" t="str">
        <f t="shared" si="17"/>
        <v>public const int TURN_OFF_PUBLIC_BATH = 121;</v>
      </c>
      <c r="AE189" s="3" t="str">
        <f t="shared" si="26"/>
        <v/>
      </c>
      <c r="AF189" s="3" t="str">
        <f t="shared" si="27"/>
        <v/>
      </c>
    </row>
    <row r="190" spans="1:32" x14ac:dyDescent="0.15">
      <c r="A190" s="3">
        <v>122</v>
      </c>
      <c r="B190" s="11" t="s">
        <v>453</v>
      </c>
      <c r="C190" s="3">
        <v>0</v>
      </c>
      <c r="D190" s="3">
        <v>0</v>
      </c>
      <c r="E190" s="3">
        <v>1</v>
      </c>
      <c r="F190" s="3">
        <v>1</v>
      </c>
      <c r="G190" s="3">
        <v>1</v>
      </c>
      <c r="H190" s="3" t="s">
        <v>221</v>
      </c>
      <c r="I190" s="11">
        <v>1</v>
      </c>
      <c r="J190" s="11">
        <v>0</v>
      </c>
      <c r="K190" s="3">
        <v>0</v>
      </c>
      <c r="L190" s="3">
        <v>0</v>
      </c>
      <c r="M190" s="3">
        <v>0</v>
      </c>
      <c r="N190" s="3">
        <v>1</v>
      </c>
      <c r="O190" s="3" t="s">
        <v>222</v>
      </c>
      <c r="P190" s="3"/>
      <c r="Q190" s="3"/>
      <c r="R190" s="6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0.1</v>
      </c>
      <c r="Z190" s="3">
        <v>0</v>
      </c>
      <c r="AA190" s="3">
        <v>0</v>
      </c>
      <c r="AB190" s="3">
        <v>0</v>
      </c>
      <c r="AC190" s="3"/>
      <c r="AD190" s="3" t="str">
        <f t="shared" si="17"/>
        <v>public const int TURN_ON_PUBLIC_BATH = 122;</v>
      </c>
      <c r="AE190" s="3" t="str">
        <f t="shared" si="26"/>
        <v/>
      </c>
      <c r="AF190" s="3" t="str">
        <f t="shared" si="27"/>
        <v/>
      </c>
    </row>
    <row r="191" spans="1:32" x14ac:dyDescent="0.15">
      <c r="A191" s="3">
        <v>123</v>
      </c>
      <c r="B191" s="11" t="s">
        <v>454</v>
      </c>
      <c r="C191" s="3">
        <v>0</v>
      </c>
      <c r="D191" s="3">
        <v>0</v>
      </c>
      <c r="E191" s="3">
        <v>1</v>
      </c>
      <c r="F191" s="3">
        <v>0</v>
      </c>
      <c r="G191" s="3">
        <v>0</v>
      </c>
      <c r="H191" s="3" t="s">
        <v>543</v>
      </c>
      <c r="I191" s="11">
        <v>1</v>
      </c>
      <c r="J191" s="11">
        <v>0</v>
      </c>
      <c r="K191" s="3">
        <v>0</v>
      </c>
      <c r="L191" s="3">
        <v>0</v>
      </c>
      <c r="M191" s="3">
        <v>1</v>
      </c>
      <c r="N191" s="3">
        <v>1</v>
      </c>
      <c r="O191" s="3" t="s">
        <v>584</v>
      </c>
      <c r="P191" s="5"/>
      <c r="Q191" s="5"/>
      <c r="R191" s="6">
        <v>0</v>
      </c>
      <c r="S191" s="3">
        <v>0</v>
      </c>
      <c r="T191" s="3">
        <v>1</v>
      </c>
      <c r="U191" s="3">
        <v>0</v>
      </c>
      <c r="V191" s="3">
        <v>1</v>
      </c>
      <c r="W191" s="3">
        <v>1</v>
      </c>
      <c r="X191" s="3">
        <v>0</v>
      </c>
      <c r="Y191" s="3">
        <v>0.1</v>
      </c>
      <c r="Z191" s="3">
        <v>0</v>
      </c>
      <c r="AA191" s="3">
        <v>0</v>
      </c>
      <c r="AB191" s="3">
        <v>0</v>
      </c>
      <c r="AC191" s="3"/>
      <c r="AD191" s="3" t="str">
        <f t="shared" si="17"/>
        <v>public const int SOLDIER_TRAINING = 123;</v>
      </c>
      <c r="AE191" s="3" t="str">
        <f t="shared" ref="AE191:AE193" si="28">P191 &amp; ""</f>
        <v/>
      </c>
      <c r="AF191" s="3" t="str">
        <f t="shared" ref="AF191:AF193" si="29">Q191 &amp; ""</f>
        <v/>
      </c>
    </row>
    <row r="192" spans="1:32" x14ac:dyDescent="0.15">
      <c r="A192" s="3">
        <v>124</v>
      </c>
      <c r="B192" s="11" t="s">
        <v>455</v>
      </c>
      <c r="C192" s="3">
        <v>0</v>
      </c>
      <c r="D192" s="3">
        <v>1</v>
      </c>
      <c r="E192" s="3">
        <v>1</v>
      </c>
      <c r="F192" s="3">
        <v>0</v>
      </c>
      <c r="G192" s="3">
        <v>0</v>
      </c>
      <c r="H192" s="3" t="s">
        <v>526</v>
      </c>
      <c r="I192" s="11">
        <v>1</v>
      </c>
      <c r="J192" s="11">
        <v>0</v>
      </c>
      <c r="K192" s="3">
        <v>0</v>
      </c>
      <c r="L192" s="3">
        <v>0</v>
      </c>
      <c r="M192" s="5">
        <v>1</v>
      </c>
      <c r="N192" s="3">
        <v>1</v>
      </c>
      <c r="O192" s="3" t="s">
        <v>585</v>
      </c>
      <c r="P192" s="10" t="s">
        <v>456</v>
      </c>
      <c r="Q192" s="10" t="s">
        <v>457</v>
      </c>
      <c r="R192" s="6">
        <v>1</v>
      </c>
      <c r="S192" s="3">
        <v>0</v>
      </c>
      <c r="T192" s="3">
        <v>0</v>
      </c>
      <c r="U192" s="3">
        <v>0</v>
      </c>
      <c r="V192" s="3">
        <v>1</v>
      </c>
      <c r="W192" s="3">
        <v>0.5</v>
      </c>
      <c r="X192" s="3">
        <v>0</v>
      </c>
      <c r="Y192" s="3">
        <v>0.2</v>
      </c>
      <c r="Z192" s="3">
        <v>0.1</v>
      </c>
      <c r="AA192" s="3">
        <v>1</v>
      </c>
      <c r="AB192" s="3">
        <v>0</v>
      </c>
      <c r="AC192" s="3"/>
      <c r="AD192" s="3" t="str">
        <f t="shared" si="17"/>
        <v>public const int CLEAR_TRANSPORT = 124;</v>
      </c>
      <c r="AE192" s="3" t="str">
        <f t="shared" si="28"/>
        <v>清理物品</v>
      </c>
      <c r="AF192" s="3" t="str">
        <f t="shared" si="29"/>
        <v>清理物品的路上</v>
      </c>
    </row>
    <row r="193" spans="1:32" x14ac:dyDescent="0.15">
      <c r="A193" s="3">
        <v>125</v>
      </c>
      <c r="B193" s="11" t="s">
        <v>461</v>
      </c>
      <c r="C193" s="3">
        <v>0</v>
      </c>
      <c r="D193" s="3">
        <v>1</v>
      </c>
      <c r="E193" s="3">
        <v>1</v>
      </c>
      <c r="F193" s="3">
        <v>0</v>
      </c>
      <c r="G193" s="3">
        <v>0</v>
      </c>
      <c r="H193" s="3" t="s">
        <v>544</v>
      </c>
      <c r="I193" s="11">
        <v>1</v>
      </c>
      <c r="J193" s="11">
        <v>0</v>
      </c>
      <c r="K193" s="3">
        <v>0</v>
      </c>
      <c r="L193" s="3">
        <v>0</v>
      </c>
      <c r="M193" s="3">
        <v>1</v>
      </c>
      <c r="N193" s="3">
        <v>1</v>
      </c>
      <c r="O193" s="3" t="s">
        <v>586</v>
      </c>
      <c r="P193" s="10" t="s">
        <v>470</v>
      </c>
      <c r="Q193" s="10" t="s">
        <v>471</v>
      </c>
      <c r="R193" s="6">
        <v>0</v>
      </c>
      <c r="S193" s="3">
        <v>0</v>
      </c>
      <c r="T193" s="3">
        <v>0</v>
      </c>
      <c r="U193" s="3">
        <v>0</v>
      </c>
      <c r="V193" s="3">
        <v>1</v>
      </c>
      <c r="W193" s="3">
        <v>0.5</v>
      </c>
      <c r="X193" s="3">
        <v>0</v>
      </c>
      <c r="Y193" s="3">
        <v>0.2</v>
      </c>
      <c r="Z193" s="3">
        <v>0.1</v>
      </c>
      <c r="AA193" s="3">
        <v>1</v>
      </c>
      <c r="AB193" s="3">
        <v>0</v>
      </c>
      <c r="AC193" s="3"/>
      <c r="AD193" s="3" t="str">
        <f t="shared" si="17"/>
        <v>public const int TRANSPORT_FOR_FLOWER_POT = 125;</v>
      </c>
      <c r="AE193" s="3" t="str">
        <f t="shared" si="28"/>
        <v>采摘</v>
      </c>
      <c r="AF193" s="3" t="str">
        <f t="shared" si="29"/>
        <v>采摘的路上</v>
      </c>
    </row>
    <row r="194" spans="1:32" x14ac:dyDescent="0.15">
      <c r="A194" s="3">
        <v>126</v>
      </c>
      <c r="B194" s="11" t="s">
        <v>462</v>
      </c>
      <c r="C194" s="3">
        <v>0</v>
      </c>
      <c r="D194" s="3">
        <v>0</v>
      </c>
      <c r="E194" s="3">
        <v>1</v>
      </c>
      <c r="F194" s="3">
        <v>0</v>
      </c>
      <c r="G194" s="3">
        <v>0</v>
      </c>
      <c r="H194" s="3" t="s">
        <v>545</v>
      </c>
      <c r="I194" s="11">
        <v>1</v>
      </c>
      <c r="J194" s="11">
        <v>0</v>
      </c>
      <c r="K194" s="3">
        <v>0</v>
      </c>
      <c r="L194" s="3">
        <v>0</v>
      </c>
      <c r="M194" s="3">
        <v>0</v>
      </c>
      <c r="N194" s="3">
        <v>1</v>
      </c>
      <c r="O194" s="3" t="s">
        <v>587</v>
      </c>
      <c r="P194" s="3"/>
      <c r="Q194" s="3"/>
      <c r="R194" s="6">
        <v>1</v>
      </c>
      <c r="S194" s="3">
        <v>0</v>
      </c>
      <c r="T194" s="3">
        <v>0</v>
      </c>
      <c r="U194" s="3">
        <v>0</v>
      </c>
      <c r="V194" s="3">
        <v>1</v>
      </c>
      <c r="W194" s="3">
        <v>2</v>
      </c>
      <c r="X194" s="3">
        <v>0</v>
      </c>
      <c r="Y194" s="3">
        <v>0.5</v>
      </c>
      <c r="Z194" s="3">
        <v>0.25</v>
      </c>
      <c r="AA194" s="3">
        <v>1</v>
      </c>
      <c r="AB194" s="3">
        <v>0</v>
      </c>
      <c r="AC194" s="3"/>
      <c r="AD194" s="3" t="str">
        <f t="shared" si="17"/>
        <v>public const int FLOWER_POT_CUTTING_TREE = 126;</v>
      </c>
      <c r="AE194" s="3" t="str">
        <f t="shared" ref="AE194" si="30">P194 &amp; ""</f>
        <v/>
      </c>
      <c r="AF194" s="3" t="str">
        <f t="shared" ref="AF194" si="31">Q194 &amp; ""</f>
        <v/>
      </c>
    </row>
    <row r="195" spans="1:32" x14ac:dyDescent="0.15">
      <c r="A195" s="3">
        <v>127</v>
      </c>
      <c r="B195" s="11" t="s">
        <v>463</v>
      </c>
      <c r="C195" s="3">
        <v>0</v>
      </c>
      <c r="D195" s="3">
        <v>0</v>
      </c>
      <c r="E195" s="3">
        <v>1</v>
      </c>
      <c r="F195" s="3">
        <v>0</v>
      </c>
      <c r="G195" s="3">
        <v>0</v>
      </c>
      <c r="H195" s="3" t="s">
        <v>546</v>
      </c>
      <c r="I195" s="11">
        <v>1</v>
      </c>
      <c r="J195" s="11">
        <v>0</v>
      </c>
      <c r="K195" s="3">
        <v>0</v>
      </c>
      <c r="L195" s="3">
        <v>0</v>
      </c>
      <c r="M195" s="3">
        <v>0</v>
      </c>
      <c r="N195" s="3">
        <v>1</v>
      </c>
      <c r="O195" s="3" t="s">
        <v>588</v>
      </c>
      <c r="P195" s="3"/>
      <c r="Q195" s="3"/>
      <c r="R195" s="6">
        <v>1</v>
      </c>
      <c r="S195" s="3">
        <v>0</v>
      </c>
      <c r="T195" s="3">
        <v>0</v>
      </c>
      <c r="U195" s="3">
        <v>0</v>
      </c>
      <c r="V195" s="3">
        <v>1</v>
      </c>
      <c r="W195" s="3">
        <v>2</v>
      </c>
      <c r="X195" s="3">
        <v>0</v>
      </c>
      <c r="Y195" s="3">
        <v>0.5</v>
      </c>
      <c r="Z195" s="3">
        <v>0.1</v>
      </c>
      <c r="AA195" s="3">
        <v>1</v>
      </c>
      <c r="AB195" s="3">
        <v>0</v>
      </c>
      <c r="AC195" s="3"/>
      <c r="AD195" s="3" t="str">
        <f t="shared" si="17"/>
        <v>public const int FLOWER_POT_GATHER_WILD_VEGETABLE = 127;</v>
      </c>
      <c r="AE195" s="3" t="str">
        <f t="shared" ref="AE195:AE197" si="32">P195 &amp; ""</f>
        <v/>
      </c>
      <c r="AF195" s="3" t="str">
        <f t="shared" ref="AF195:AF196" si="33">Q195 &amp; ""</f>
        <v/>
      </c>
    </row>
    <row r="196" spans="1:32" x14ac:dyDescent="0.15">
      <c r="A196" s="3">
        <v>128</v>
      </c>
      <c r="B196" s="11" t="s">
        <v>465</v>
      </c>
      <c r="C196" s="3">
        <v>0</v>
      </c>
      <c r="D196" s="3">
        <v>1</v>
      </c>
      <c r="E196" s="3">
        <v>1</v>
      </c>
      <c r="F196" s="3">
        <v>1</v>
      </c>
      <c r="G196" s="3">
        <v>0</v>
      </c>
      <c r="H196" s="3" t="s">
        <v>547</v>
      </c>
      <c r="I196" s="11">
        <v>0</v>
      </c>
      <c r="J196" s="11">
        <v>0</v>
      </c>
      <c r="K196" s="11">
        <v>1</v>
      </c>
      <c r="L196" s="11">
        <v>1</v>
      </c>
      <c r="M196" s="3">
        <v>0</v>
      </c>
      <c r="N196" s="3">
        <v>0</v>
      </c>
      <c r="O196" s="3" t="s">
        <v>547</v>
      </c>
      <c r="P196" s="3"/>
      <c r="Q196" s="3"/>
      <c r="R196" s="6">
        <v>0</v>
      </c>
      <c r="S196" s="3">
        <v>0</v>
      </c>
      <c r="T196" s="3">
        <v>0</v>
      </c>
      <c r="U196" s="3">
        <v>0</v>
      </c>
      <c r="V196" s="3"/>
      <c r="W196" s="3"/>
      <c r="X196" s="3">
        <v>0</v>
      </c>
      <c r="Y196" s="3">
        <v>0.1</v>
      </c>
      <c r="Z196" s="3">
        <v>0</v>
      </c>
      <c r="AA196" s="3">
        <v>0</v>
      </c>
      <c r="AB196" s="3">
        <v>0</v>
      </c>
      <c r="AC196" s="3"/>
      <c r="AD196" s="3" t="str">
        <f t="shared" si="17"/>
        <v>public const int PRISONER_TO_ESCAPE = 128;</v>
      </c>
      <c r="AE196" s="3" t="str">
        <f t="shared" si="32"/>
        <v/>
      </c>
      <c r="AF196" s="3" t="str">
        <f t="shared" si="33"/>
        <v/>
      </c>
    </row>
    <row r="197" spans="1:32" x14ac:dyDescent="0.15">
      <c r="A197" s="3">
        <v>129</v>
      </c>
      <c r="B197" s="11" t="s">
        <v>466</v>
      </c>
      <c r="C197" s="3">
        <v>0</v>
      </c>
      <c r="D197" s="3">
        <v>1</v>
      </c>
      <c r="E197" s="3">
        <v>1</v>
      </c>
      <c r="F197" s="3">
        <v>0</v>
      </c>
      <c r="G197" s="3">
        <v>0</v>
      </c>
      <c r="H197" s="3" t="s">
        <v>548</v>
      </c>
      <c r="I197" s="11">
        <v>1</v>
      </c>
      <c r="J197" s="11">
        <v>0</v>
      </c>
      <c r="K197" s="3">
        <v>0</v>
      </c>
      <c r="L197" s="3">
        <v>0</v>
      </c>
      <c r="M197" s="5">
        <v>1</v>
      </c>
      <c r="N197" s="3">
        <v>1</v>
      </c>
      <c r="O197" s="3" t="s">
        <v>589</v>
      </c>
      <c r="P197" s="10"/>
      <c r="Q197" s="10"/>
      <c r="R197" s="6">
        <v>0</v>
      </c>
      <c r="S197" s="3">
        <v>0</v>
      </c>
      <c r="T197" s="3">
        <v>0</v>
      </c>
      <c r="U197" s="3">
        <v>0</v>
      </c>
      <c r="V197" s="3">
        <v>1</v>
      </c>
      <c r="W197" s="3">
        <v>0.5</v>
      </c>
      <c r="X197" s="3">
        <v>0</v>
      </c>
      <c r="Y197" s="3">
        <v>0.2</v>
      </c>
      <c r="Z197" s="3">
        <v>0.1</v>
      </c>
      <c r="AA197" s="3">
        <v>1</v>
      </c>
      <c r="AB197" s="3">
        <v>0</v>
      </c>
      <c r="AC197" s="3"/>
      <c r="AD197" s="3" t="str">
        <f t="shared" si="17"/>
        <v>public const int REPAIR_HIVE = 129;</v>
      </c>
      <c r="AE197" s="3" t="str">
        <f t="shared" si="32"/>
        <v/>
      </c>
      <c r="AF197" s="3"/>
    </row>
    <row r="198" spans="1:32" x14ac:dyDescent="0.15">
      <c r="A198" s="3">
        <v>130</v>
      </c>
      <c r="B198" s="11" t="s">
        <v>482</v>
      </c>
      <c r="C198" s="3">
        <v>0</v>
      </c>
      <c r="D198" s="3">
        <v>1</v>
      </c>
      <c r="E198" s="3">
        <v>1</v>
      </c>
      <c r="F198" s="3">
        <v>0</v>
      </c>
      <c r="G198" s="3">
        <v>0</v>
      </c>
      <c r="H198" s="3" t="s">
        <v>549</v>
      </c>
      <c r="I198" s="11">
        <v>1</v>
      </c>
      <c r="J198" s="11">
        <v>0</v>
      </c>
      <c r="K198" s="3">
        <v>0</v>
      </c>
      <c r="L198" s="3">
        <v>0</v>
      </c>
      <c r="M198" s="5">
        <v>1</v>
      </c>
      <c r="N198" s="3">
        <v>1</v>
      </c>
      <c r="O198" s="3" t="s">
        <v>590</v>
      </c>
      <c r="P198" s="10"/>
      <c r="Q198" s="10"/>
      <c r="R198" s="6">
        <v>0</v>
      </c>
      <c r="S198" s="3">
        <v>0</v>
      </c>
      <c r="T198" s="3">
        <v>0</v>
      </c>
      <c r="U198" s="3">
        <v>0</v>
      </c>
      <c r="V198" s="3">
        <v>1</v>
      </c>
      <c r="W198" s="3">
        <v>0.5</v>
      </c>
      <c r="X198" s="3">
        <v>0</v>
      </c>
      <c r="Y198" s="3">
        <v>0.2</v>
      </c>
      <c r="Z198" s="3">
        <v>0.1</v>
      </c>
      <c r="AA198" s="3">
        <v>1</v>
      </c>
      <c r="AB198" s="3">
        <v>0</v>
      </c>
      <c r="AC198" s="3"/>
      <c r="AD198" s="3" t="str">
        <f t="shared" si="17"/>
        <v>public const int REPAIR_CRAB_POT = 130;</v>
      </c>
      <c r="AE198" s="3" t="str">
        <f t="shared" ref="AE198" si="34">P198 &amp; ""</f>
        <v/>
      </c>
      <c r="AF198" s="3"/>
    </row>
  </sheetData>
  <phoneticPr fontId="3" type="noConversion"/>
  <conditionalFormatting sqref="F1:F1048576">
    <cfRule type="colorScale" priority="14">
      <colorScale>
        <cfvo type="min"/>
        <cfvo type="max"/>
        <color rgb="FFFCFCFF"/>
        <color rgb="FFF8696B"/>
      </colorScale>
    </cfRule>
  </conditionalFormatting>
  <conditionalFormatting sqref="G1:G1048576">
    <cfRule type="colorScale" priority="54">
      <colorScale>
        <cfvo type="min"/>
        <cfvo type="max"/>
        <color rgb="FFFFEF9C"/>
        <color rgb="FFFF7128"/>
      </colorScale>
    </cfRule>
  </conditionalFormatting>
  <conditionalFormatting sqref="J1:J1048576">
    <cfRule type="colorScale" priority="5">
      <colorScale>
        <cfvo type="min"/>
        <cfvo type="max"/>
        <color rgb="FFFCFCFF"/>
        <color rgb="FF63BE7B"/>
      </colorScale>
    </cfRule>
  </conditionalFormatting>
  <conditionalFormatting sqref="M1:N1048576">
    <cfRule type="colorScale" priority="41">
      <colorScale>
        <cfvo type="min"/>
        <cfvo type="max"/>
        <color rgb="FFFCFCFF"/>
        <color rgb="FF63BE7B"/>
      </colorScale>
    </cfRule>
  </conditionalFormatting>
  <conditionalFormatting sqref="M31:N31">
    <cfRule type="colorScale" priority="87">
      <colorScale>
        <cfvo type="min"/>
        <cfvo type="max"/>
        <color rgb="FFFCFCFF"/>
        <color rgb="FF63BE7B"/>
      </colorScale>
    </cfRule>
  </conditionalFormatting>
  <conditionalFormatting sqref="M32:N32">
    <cfRule type="colorScale" priority="86">
      <colorScale>
        <cfvo type="min"/>
        <cfvo type="max"/>
        <color rgb="FFFCFCFF"/>
        <color rgb="FF63BE7B"/>
      </colorScale>
    </cfRule>
  </conditionalFormatting>
  <conditionalFormatting sqref="M33:N33">
    <cfRule type="colorScale" priority="78">
      <colorScale>
        <cfvo type="min"/>
        <cfvo type="max"/>
        <color rgb="FFFCFCFF"/>
        <color rgb="FF63BE7B"/>
      </colorScale>
    </cfRule>
  </conditionalFormatting>
  <conditionalFormatting sqref="M34:N35">
    <cfRule type="colorScale" priority="65">
      <colorScale>
        <cfvo type="min"/>
        <cfvo type="max"/>
        <color rgb="FFFCFCFF"/>
        <color rgb="FF63BE7B"/>
      </colorScale>
    </cfRule>
  </conditionalFormatting>
  <conditionalFormatting sqref="M36:N37">
    <cfRule type="colorScale" priority="62">
      <colorScale>
        <cfvo type="min"/>
        <cfvo type="max"/>
        <color rgb="FFFCFCFF"/>
        <color rgb="FF63BE7B"/>
      </colorScale>
    </cfRule>
  </conditionalFormatting>
  <conditionalFormatting sqref="M38:N40">
    <cfRule type="colorScale" priority="61">
      <colorScale>
        <cfvo type="min"/>
        <cfvo type="max"/>
        <color rgb="FFFCFCFF"/>
        <color rgb="FF63BE7B"/>
      </colorScale>
    </cfRule>
  </conditionalFormatting>
  <conditionalFormatting sqref="M54:N55">
    <cfRule type="colorScale" priority="45">
      <colorScale>
        <cfvo type="min"/>
        <cfvo type="max"/>
        <color rgb="FFFCFCFF"/>
        <color rgb="FF63BE7B"/>
      </colorScale>
    </cfRule>
  </conditionalFormatting>
  <conditionalFormatting sqref="M56:N56">
    <cfRule type="colorScale" priority="44">
      <colorScale>
        <cfvo type="min"/>
        <cfvo type="max"/>
        <color rgb="FFFCFCFF"/>
        <color rgb="FF63BE7B"/>
      </colorScale>
    </cfRule>
  </conditionalFormatting>
  <conditionalFormatting sqref="M60:N60 N62">
    <cfRule type="colorScale" priority="103">
      <colorScale>
        <cfvo type="min"/>
        <cfvo type="max"/>
        <color rgb="FFFCFCFF"/>
        <color rgb="FF63BE7B"/>
      </colorScale>
    </cfRule>
  </conditionalFormatting>
  <conditionalFormatting sqref="M61:N61 N63">
    <cfRule type="colorScale" priority="113">
      <colorScale>
        <cfvo type="min"/>
        <cfvo type="max"/>
        <color rgb="FFFCFCFF"/>
        <color rgb="FF63BE7B"/>
      </colorScale>
    </cfRule>
  </conditionalFormatting>
  <conditionalFormatting sqref="M62:N62">
    <cfRule type="colorScale" priority="24">
      <colorScale>
        <cfvo type="min"/>
        <cfvo type="max"/>
        <color rgb="FFFCFCFF"/>
        <color rgb="FF63BE7B"/>
      </colorScale>
    </cfRule>
  </conditionalFormatting>
  <conditionalFormatting sqref="M63:N63">
    <cfRule type="colorScale" priority="115">
      <colorScale>
        <cfvo type="min"/>
        <cfvo type="max"/>
        <color rgb="FFFCFCFF"/>
        <color rgb="FF63BE7B"/>
      </colorScale>
    </cfRule>
  </conditionalFormatting>
  <conditionalFormatting sqref="M66:N66">
    <cfRule type="colorScale" priority="6">
      <colorScale>
        <cfvo type="min"/>
        <cfvo type="max"/>
        <color rgb="FFFCFCFF"/>
        <color rgb="FF63BE7B"/>
      </colorScale>
    </cfRule>
  </conditionalFormatting>
  <conditionalFormatting sqref="M67:N70">
    <cfRule type="colorScale" priority="4">
      <colorScale>
        <cfvo type="min"/>
        <cfvo type="max"/>
        <color rgb="FFFCFCFF"/>
        <color rgb="FF63BE7B"/>
      </colorScale>
    </cfRule>
  </conditionalFormatting>
  <conditionalFormatting sqref="M108:N108">
    <cfRule type="colorScale" priority="91">
      <colorScale>
        <cfvo type="min"/>
        <cfvo type="max"/>
        <color rgb="FFFCFCFF"/>
        <color rgb="FF63BE7B"/>
      </colorScale>
    </cfRule>
  </conditionalFormatting>
  <conditionalFormatting sqref="M139:N139">
    <cfRule type="colorScale" priority="89">
      <colorScale>
        <cfvo type="min"/>
        <cfvo type="max"/>
        <color rgb="FFFCFCFF"/>
        <color rgb="FF63BE7B"/>
      </colorScale>
    </cfRule>
  </conditionalFormatting>
  <conditionalFormatting sqref="M140:N140">
    <cfRule type="colorScale" priority="88">
      <colorScale>
        <cfvo type="min"/>
        <cfvo type="max"/>
        <color rgb="FFFCFCFF"/>
        <color rgb="FF63BE7B"/>
      </colorScale>
    </cfRule>
  </conditionalFormatting>
  <conditionalFormatting sqref="M141:N141">
    <cfRule type="colorScale" priority="85">
      <colorScale>
        <cfvo type="min"/>
        <cfvo type="max"/>
        <color rgb="FFFCFCFF"/>
        <color rgb="FF63BE7B"/>
      </colorScale>
    </cfRule>
  </conditionalFormatting>
  <conditionalFormatting sqref="M142:N142">
    <cfRule type="colorScale" priority="84">
      <colorScale>
        <cfvo type="min"/>
        <cfvo type="max"/>
        <color rgb="FFFCFCFF"/>
        <color rgb="FF63BE7B"/>
      </colorScale>
    </cfRule>
  </conditionalFormatting>
  <conditionalFormatting sqref="M143:N143">
    <cfRule type="colorScale" priority="83">
      <colorScale>
        <cfvo type="min"/>
        <cfvo type="max"/>
        <color rgb="FFFCFCFF"/>
        <color rgb="FF63BE7B"/>
      </colorScale>
    </cfRule>
  </conditionalFormatting>
  <conditionalFormatting sqref="M144:N144">
    <cfRule type="colorScale" priority="81">
      <colorScale>
        <cfvo type="min"/>
        <cfvo type="max"/>
        <color rgb="FFFCFCFF"/>
        <color rgb="FF63BE7B"/>
      </colorScale>
    </cfRule>
  </conditionalFormatting>
  <conditionalFormatting sqref="M145:N145">
    <cfRule type="colorScale" priority="80">
      <colorScale>
        <cfvo type="min"/>
        <cfvo type="max"/>
        <color rgb="FFFCFCFF"/>
        <color rgb="FF63BE7B"/>
      </colorScale>
    </cfRule>
  </conditionalFormatting>
  <conditionalFormatting sqref="M146:N146">
    <cfRule type="colorScale" priority="79">
      <colorScale>
        <cfvo type="min"/>
        <cfvo type="max"/>
        <color rgb="FFFCFCFF"/>
        <color rgb="FF63BE7B"/>
      </colorScale>
    </cfRule>
  </conditionalFormatting>
  <conditionalFormatting sqref="M147:N147">
    <cfRule type="colorScale" priority="77">
      <colorScale>
        <cfvo type="min"/>
        <cfvo type="max"/>
        <color rgb="FFFCFCFF"/>
        <color rgb="FF63BE7B"/>
      </colorScale>
    </cfRule>
  </conditionalFormatting>
  <conditionalFormatting sqref="M148:N1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M149:N149">
    <cfRule type="colorScale" priority="75">
      <colorScale>
        <cfvo type="min"/>
        <cfvo type="max"/>
        <color rgb="FFFCFCFF"/>
        <color rgb="FF63BE7B"/>
      </colorScale>
    </cfRule>
  </conditionalFormatting>
  <conditionalFormatting sqref="M150:N150">
    <cfRule type="colorScale" priority="74">
      <colorScale>
        <cfvo type="min"/>
        <cfvo type="max"/>
        <color rgb="FFFCFCFF"/>
        <color rgb="FF63BE7B"/>
      </colorScale>
    </cfRule>
  </conditionalFormatting>
  <conditionalFormatting sqref="M151:N151">
    <cfRule type="colorScale" priority="73">
      <colorScale>
        <cfvo type="min"/>
        <cfvo type="max"/>
        <color rgb="FFFCFCFF"/>
        <color rgb="FF63BE7B"/>
      </colorScale>
    </cfRule>
  </conditionalFormatting>
  <conditionalFormatting sqref="M152:N152">
    <cfRule type="colorScale" priority="72">
      <colorScale>
        <cfvo type="min"/>
        <cfvo type="max"/>
        <color rgb="FFFCFCFF"/>
        <color rgb="FF63BE7B"/>
      </colorScale>
    </cfRule>
  </conditionalFormatting>
  <conditionalFormatting sqref="M153:N153">
    <cfRule type="colorScale" priority="70">
      <colorScale>
        <cfvo type="min"/>
        <cfvo type="max"/>
        <color rgb="FFFCFCFF"/>
        <color rgb="FF63BE7B"/>
      </colorScale>
    </cfRule>
  </conditionalFormatting>
  <conditionalFormatting sqref="M154:N154">
    <cfRule type="colorScale" priority="69">
      <colorScale>
        <cfvo type="min"/>
        <cfvo type="max"/>
        <color rgb="FFFCFCFF"/>
        <color rgb="FF63BE7B"/>
      </colorScale>
    </cfRule>
  </conditionalFormatting>
  <conditionalFormatting sqref="M155:N155">
    <cfRule type="colorScale" priority="68">
      <colorScale>
        <cfvo type="min"/>
        <cfvo type="max"/>
        <color rgb="FFFCFCFF"/>
        <color rgb="FF63BE7B"/>
      </colorScale>
    </cfRule>
  </conditionalFormatting>
  <conditionalFormatting sqref="M156:N156">
    <cfRule type="colorScale" priority="67">
      <colorScale>
        <cfvo type="min"/>
        <cfvo type="max"/>
        <color rgb="FFFCFCFF"/>
        <color rgb="FF63BE7B"/>
      </colorScale>
    </cfRule>
  </conditionalFormatting>
  <conditionalFormatting sqref="M157:N157">
    <cfRule type="colorScale" priority="66">
      <colorScale>
        <cfvo type="min"/>
        <cfvo type="max"/>
        <color rgb="FFFCFCFF"/>
        <color rgb="FF63BE7B"/>
      </colorScale>
    </cfRule>
  </conditionalFormatting>
  <conditionalFormatting sqref="M158:N158">
    <cfRule type="colorScale" priority="60">
      <colorScale>
        <cfvo type="min"/>
        <cfvo type="max"/>
        <color rgb="FFFCFCFF"/>
        <color rgb="FF63BE7B"/>
      </colorScale>
    </cfRule>
  </conditionalFormatting>
  <conditionalFormatting sqref="M159:N159">
    <cfRule type="colorScale" priority="59">
      <colorScale>
        <cfvo type="min"/>
        <cfvo type="max"/>
        <color rgb="FFFCFCFF"/>
        <color rgb="FF63BE7B"/>
      </colorScale>
    </cfRule>
  </conditionalFormatting>
  <conditionalFormatting sqref="M160:N160">
    <cfRule type="colorScale" priority="58">
      <colorScale>
        <cfvo type="min"/>
        <cfvo type="max"/>
        <color rgb="FFFCFCFF"/>
        <color rgb="FF63BE7B"/>
      </colorScale>
    </cfRule>
  </conditionalFormatting>
  <conditionalFormatting sqref="M164:N164">
    <cfRule type="colorScale" priority="56">
      <colorScale>
        <cfvo type="min"/>
        <cfvo type="max"/>
        <color rgb="FFFCFCFF"/>
        <color rgb="FFF8696B"/>
      </colorScale>
    </cfRule>
    <cfRule type="colorScale" priority="57">
      <colorScale>
        <cfvo type="min"/>
        <cfvo type="max"/>
        <color rgb="FFFCFCFF"/>
        <color rgb="FF63BE7B"/>
      </colorScale>
    </cfRule>
  </conditionalFormatting>
  <conditionalFormatting sqref="M165:N166">
    <cfRule type="colorScale" priority="55">
      <colorScale>
        <cfvo type="min"/>
        <cfvo type="max"/>
        <color rgb="FFFCFCFF"/>
        <color rgb="FF63BE7B"/>
      </colorScale>
    </cfRule>
  </conditionalFormatting>
  <conditionalFormatting sqref="M167:N167">
    <cfRule type="colorScale" priority="52">
      <colorScale>
        <cfvo type="min"/>
        <cfvo type="max"/>
        <color rgb="FFFCFCFF"/>
        <color rgb="FF63BE7B"/>
      </colorScale>
    </cfRule>
  </conditionalFormatting>
  <conditionalFormatting sqref="M168:N168">
    <cfRule type="colorScale" priority="50">
      <colorScale>
        <cfvo type="min"/>
        <cfvo type="max"/>
        <color rgb="FFFCFCFF"/>
        <color rgb="FF63BE7B"/>
      </colorScale>
    </cfRule>
  </conditionalFormatting>
  <conditionalFormatting sqref="M169:N169">
    <cfRule type="colorScale" priority="51">
      <colorScale>
        <cfvo type="min"/>
        <cfvo type="max"/>
        <color rgb="FFFCFCFF"/>
        <color rgb="FF63BE7B"/>
      </colorScale>
    </cfRule>
  </conditionalFormatting>
  <conditionalFormatting sqref="M170:N171">
    <cfRule type="colorScale" priority="49">
      <colorScale>
        <cfvo type="min"/>
        <cfvo type="max"/>
        <color rgb="FFFCFCFF"/>
        <color rgb="FF63BE7B"/>
      </colorScale>
    </cfRule>
  </conditionalFormatting>
  <conditionalFormatting sqref="M172:N172">
    <cfRule type="colorScale" priority="48">
      <colorScale>
        <cfvo type="min"/>
        <cfvo type="max"/>
        <color rgb="FFFCFCFF"/>
        <color rgb="FF63BE7B"/>
      </colorScale>
    </cfRule>
  </conditionalFormatting>
  <conditionalFormatting sqref="M173:N173">
    <cfRule type="colorScale" priority="46">
      <colorScale>
        <cfvo type="min"/>
        <cfvo type="max"/>
        <color rgb="FFFCFCFF"/>
        <color rgb="FFF8696B"/>
      </colorScale>
    </cfRule>
    <cfRule type="colorScale" priority="47">
      <colorScale>
        <cfvo type="min"/>
        <cfvo type="max"/>
        <color rgb="FFFCFCFF"/>
        <color rgb="FF63BE7B"/>
      </colorScale>
    </cfRule>
  </conditionalFormatting>
  <conditionalFormatting sqref="M174:N174 M3:N30 M41:N53 M109:N138 M57:N59 N4:N63 M64:N65 M71:N107 N66:N178">
    <cfRule type="colorScale" priority="96">
      <colorScale>
        <cfvo type="min"/>
        <cfvo type="max"/>
        <color rgb="FFFCFCFF"/>
        <color rgb="FF63BE7B"/>
      </colorScale>
    </cfRule>
  </conditionalFormatting>
  <conditionalFormatting sqref="M175:N175">
    <cfRule type="colorScale" priority="42">
      <colorScale>
        <cfvo type="min"/>
        <cfvo type="max"/>
        <color rgb="FFFCFCFF"/>
        <color rgb="FF63BE7B"/>
      </colorScale>
    </cfRule>
  </conditionalFormatting>
  <conditionalFormatting sqref="M176:N176">
    <cfRule type="colorScale" priority="43">
      <colorScale>
        <cfvo type="min"/>
        <cfvo type="max"/>
        <color rgb="FFFCFCFF"/>
        <color rgb="FF63BE7B"/>
      </colorScale>
    </cfRule>
  </conditionalFormatting>
  <conditionalFormatting sqref="M177:N177">
    <cfRule type="colorScale" priority="40">
      <colorScale>
        <cfvo type="min"/>
        <cfvo type="max"/>
        <color rgb="FFFCFCFF"/>
        <color rgb="FF63BE7B"/>
      </colorScale>
    </cfRule>
  </conditionalFormatting>
  <conditionalFormatting sqref="M178:N178">
    <cfRule type="colorScale" priority="39">
      <colorScale>
        <cfvo type="min"/>
        <cfvo type="max"/>
        <color rgb="FFFCFCFF"/>
        <color rgb="FF63BE7B"/>
      </colorScale>
    </cfRule>
  </conditionalFormatting>
  <conditionalFormatting sqref="M179:N179">
    <cfRule type="colorScale" priority="38">
      <colorScale>
        <cfvo type="min"/>
        <cfvo type="max"/>
        <color rgb="FFFCFCFF"/>
        <color rgb="FF63BE7B"/>
      </colorScale>
    </cfRule>
  </conditionalFormatting>
  <conditionalFormatting sqref="M180:N180">
    <cfRule type="colorScale" priority="37">
      <colorScale>
        <cfvo type="min"/>
        <cfvo type="max"/>
        <color rgb="FFFCFCFF"/>
        <color rgb="FF63BE7B"/>
      </colorScale>
    </cfRule>
  </conditionalFormatting>
  <conditionalFormatting sqref="M181:N181">
    <cfRule type="colorScale" priority="34">
      <colorScale>
        <cfvo type="min"/>
        <cfvo type="max"/>
        <color rgb="FFFCFCFF"/>
        <color rgb="FF63BE7B"/>
      </colorScale>
    </cfRule>
  </conditionalFormatting>
  <conditionalFormatting sqref="M182:N182">
    <cfRule type="colorScale" priority="33">
      <colorScale>
        <cfvo type="min"/>
        <cfvo type="max"/>
        <color rgb="FFFCFCFF"/>
        <color rgb="FF63BE7B"/>
      </colorScale>
    </cfRule>
  </conditionalFormatting>
  <conditionalFormatting sqref="M183:N183">
    <cfRule type="colorScale" priority="32">
      <colorScale>
        <cfvo type="min"/>
        <cfvo type="max"/>
        <color rgb="FFFCFCFF"/>
        <color rgb="FF63BE7B"/>
      </colorScale>
    </cfRule>
  </conditionalFormatting>
  <conditionalFormatting sqref="M184:N184">
    <cfRule type="colorScale" priority="30">
      <colorScale>
        <cfvo type="min"/>
        <cfvo type="max"/>
        <color rgb="FFFCFCFF"/>
        <color rgb="FF63BE7B"/>
      </colorScale>
    </cfRule>
    <cfRule type="colorScale" priority="29">
      <colorScale>
        <cfvo type="min"/>
        <cfvo type="max"/>
        <color rgb="FFFCFCFF"/>
        <color rgb="FFF8696B"/>
      </colorScale>
    </cfRule>
  </conditionalFormatting>
  <conditionalFormatting sqref="M185:N185">
    <cfRule type="colorScale" priority="28">
      <colorScale>
        <cfvo type="min"/>
        <cfvo type="max"/>
        <color rgb="FFFCFCFF"/>
        <color rgb="FF63BE7B"/>
      </colorScale>
    </cfRule>
  </conditionalFormatting>
  <conditionalFormatting sqref="M186:N186">
    <cfRule type="colorScale" priority="22">
      <colorScale>
        <cfvo type="min"/>
        <cfvo type="max"/>
        <color rgb="FFFCFCFF"/>
        <color rgb="FF63BE7B"/>
      </colorScale>
    </cfRule>
  </conditionalFormatting>
  <conditionalFormatting sqref="M187:N187">
    <cfRule type="colorScale" priority="21">
      <colorScale>
        <cfvo type="min"/>
        <cfvo type="max"/>
        <color rgb="FFFCFCFF"/>
        <color rgb="FF63BE7B"/>
      </colorScale>
    </cfRule>
  </conditionalFormatting>
  <conditionalFormatting sqref="M188:N188">
    <cfRule type="colorScale" priority="20">
      <colorScale>
        <cfvo type="min"/>
        <cfvo type="max"/>
        <color rgb="FFFCFCFF"/>
        <color rgb="FF63BE7B"/>
      </colorScale>
    </cfRule>
  </conditionalFormatting>
  <conditionalFormatting sqref="M189:N190">
    <cfRule type="colorScale" priority="18">
      <colorScale>
        <cfvo type="min"/>
        <cfvo type="max"/>
        <color rgb="FFFCFCFF"/>
        <color rgb="FF63BE7B"/>
      </colorScale>
    </cfRule>
  </conditionalFormatting>
  <conditionalFormatting sqref="M191:N191">
    <cfRule type="colorScale" priority="16">
      <colorScale>
        <cfvo type="min"/>
        <cfvo type="max"/>
        <color rgb="FFFCFCFF"/>
        <color rgb="FF63BE7B"/>
      </colorScale>
    </cfRule>
  </conditionalFormatting>
  <conditionalFormatting sqref="M192:N192">
    <cfRule type="colorScale" priority="15">
      <colorScale>
        <cfvo type="min"/>
        <cfvo type="max"/>
        <color rgb="FFFCFCFF"/>
        <color rgb="FF63BE7B"/>
      </colorScale>
    </cfRule>
  </conditionalFormatting>
  <conditionalFormatting sqref="M193:N193">
    <cfRule type="colorScale" priority="12">
      <colorScale>
        <cfvo type="min"/>
        <cfvo type="max"/>
        <color rgb="FFFCFCFF"/>
        <color rgb="FF63BE7B"/>
      </colorScale>
    </cfRule>
  </conditionalFormatting>
  <conditionalFormatting sqref="M194:N194">
    <cfRule type="colorScale" priority="11">
      <colorScale>
        <cfvo type="min"/>
        <cfvo type="max"/>
        <color rgb="FFFCFCFF"/>
        <color rgb="FF63BE7B"/>
      </colorScale>
    </cfRule>
  </conditionalFormatting>
  <conditionalFormatting sqref="M195:N195">
    <cfRule type="colorScale" priority="10">
      <colorScale>
        <cfvo type="min"/>
        <cfvo type="max"/>
        <color rgb="FFFCFCFF"/>
        <color rgb="FF63BE7B"/>
      </colorScale>
    </cfRule>
  </conditionalFormatting>
  <conditionalFormatting sqref="M196:N196">
    <cfRule type="colorScale" priority="8">
      <colorScale>
        <cfvo type="min"/>
        <cfvo type="max"/>
        <color rgb="FFFCFCFF"/>
        <color rgb="FF63BE7B"/>
      </colorScale>
    </cfRule>
  </conditionalFormatting>
  <conditionalFormatting sqref="M197:N197">
    <cfRule type="colorScale" priority="7">
      <colorScale>
        <cfvo type="min"/>
        <cfvo type="max"/>
        <color rgb="FFFCFCFF"/>
        <color rgb="FF63BE7B"/>
      </colorScale>
    </cfRule>
  </conditionalFormatting>
  <conditionalFormatting sqref="M198:N198">
    <cfRule type="colorScale" priority="3">
      <colorScale>
        <cfvo type="min"/>
        <cfvo type="max"/>
        <color rgb="FFFCFCFF"/>
        <color rgb="FF63BE7B"/>
      </colorScale>
    </cfRule>
  </conditionalFormatting>
  <conditionalFormatting sqref="N62">
    <cfRule type="colorScale" priority="23">
      <colorScale>
        <cfvo type="min"/>
        <cfvo type="max"/>
        <color rgb="FFFCFCFF"/>
        <color rgb="FF63BE7B"/>
      </colorScale>
    </cfRule>
  </conditionalFormatting>
  <conditionalFormatting sqref="N63">
    <cfRule type="colorScale" priority="124">
      <colorScale>
        <cfvo type="min"/>
        <cfvo type="max"/>
        <color rgb="FFFCFCFF"/>
        <color rgb="FF63BE7B"/>
      </colorScale>
    </cfRule>
  </conditionalFormatting>
  <conditionalFormatting sqref="N71:N177 M1:N163 M165:N1048576">
    <cfRule type="colorScale" priority="64">
      <colorScale>
        <cfvo type="min"/>
        <cfvo type="max"/>
        <color rgb="FFFCFCFF"/>
        <color rgb="FFF8696B"/>
      </colorScale>
    </cfRule>
  </conditionalFormatting>
  <conditionalFormatting sqref="N184">
    <cfRule type="colorScale" priority="31">
      <colorScale>
        <cfvo type="min"/>
        <cfvo type="max"/>
        <color rgb="FFFCFCFF"/>
        <color rgb="FF63BE7B"/>
      </colorScale>
    </cfRule>
  </conditionalFormatting>
  <conditionalFormatting sqref="N185">
    <cfRule type="colorScale" priority="27">
      <colorScale>
        <cfvo type="min"/>
        <cfvo type="max"/>
        <color rgb="FFFCFCFF"/>
        <color rgb="FF63BE7B"/>
      </colorScale>
    </cfRule>
  </conditionalFormatting>
  <conditionalFormatting sqref="N193">
    <cfRule type="colorScale" priority="13">
      <colorScale>
        <cfvo type="min"/>
        <cfvo type="max"/>
        <color rgb="FFFCFCFF"/>
        <color rgb="FF63BE7B"/>
      </colorScale>
    </cfRule>
  </conditionalFormatting>
  <conditionalFormatting sqref="N196">
    <cfRule type="colorScale" priority="9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npc_task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Looming MI</cp:lastModifiedBy>
  <dcterms:created xsi:type="dcterms:W3CDTF">2006-09-16T00:00:00Z</dcterms:created>
  <dcterms:modified xsi:type="dcterms:W3CDTF">2026-03-02T02:04:35Z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2052-11.1.0.9021</vt:lpwstr>
  </property>
</Properties>
</file>