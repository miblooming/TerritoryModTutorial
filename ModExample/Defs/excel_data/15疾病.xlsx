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8AED30A3-1B40-4348-8424-D1A688C6642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ll" sheetId="1" r:id="rId1"/>
    <sheet name="ill_reason" sheetId="2" r:id="rId2"/>
  </sheets>
  <calcPr calcId="181029"/>
</workbook>
</file>

<file path=xl/calcChain.xml><?xml version="1.0" encoding="utf-8"?>
<calcChain xmlns="http://schemas.openxmlformats.org/spreadsheetml/2006/main">
  <c r="E9" i="2" l="1"/>
  <c r="L8" i="1"/>
  <c r="K4" i="1" l="1"/>
  <c r="E8" i="2"/>
  <c r="L7" i="1"/>
  <c r="E4" i="2"/>
  <c r="E5" i="2"/>
  <c r="E6" i="2"/>
  <c r="E7" i="2"/>
  <c r="E3" i="2"/>
  <c r="E2" i="2"/>
  <c r="L4" i="1"/>
  <c r="L5" i="1"/>
  <c r="L6" i="1"/>
  <c r="L3" i="1"/>
  <c r="M2" i="1"/>
  <c r="N2" i="1"/>
  <c r="O2" i="1"/>
  <c r="P2" i="1"/>
  <c r="Q2" i="1"/>
  <c r="R2" i="1"/>
  <c r="S2" i="1"/>
  <c r="T2" i="1"/>
  <c r="L2" i="1"/>
  <c r="K5" i="1" l="1"/>
  <c r="K3" i="1" l="1"/>
</calcChain>
</file>

<file path=xl/sharedStrings.xml><?xml version="1.0" encoding="utf-8"?>
<sst xmlns="http://schemas.openxmlformats.org/spreadsheetml/2006/main" count="96" uniqueCount="90">
  <si>
    <t>疾病ID</t>
    <phoneticPr fontId="1" type="noConversion"/>
  </si>
  <si>
    <t>疾病名称</t>
    <phoneticPr fontId="1" type="noConversion"/>
  </si>
  <si>
    <t>必须吃药才康复</t>
    <phoneticPr fontId="1" type="noConversion"/>
  </si>
  <si>
    <t>need_herbs#int</t>
    <phoneticPr fontId="1" type="noConversion"/>
  </si>
  <si>
    <t>传染病</t>
    <phoneticPr fontId="1" type="noConversion"/>
  </si>
  <si>
    <t>病因描述</t>
    <phoneticPr fontId="1" type="noConversion"/>
  </si>
  <si>
    <t>导致晕倒的天数</t>
    <phoneticPr fontId="1" type="noConversion"/>
  </si>
  <si>
    <t>days_ill_to_shock#int</t>
    <phoneticPr fontId="1" type="noConversion"/>
  </si>
  <si>
    <t>ill_reason_id#int</t>
    <phoneticPr fontId="1" type="noConversion"/>
  </si>
  <si>
    <t>提示图标</t>
    <phoneticPr fontId="1" type="noConversion"/>
  </si>
  <si>
    <t>ill_reason_icon#str</t>
    <phoneticPr fontId="1" type="noConversion"/>
  </si>
  <si>
    <t>穿破烂衣服，受冻着凉，需休养</t>
    <phoneticPr fontId="1" type="noConversion"/>
  </si>
  <si>
    <t>感冒</t>
    <phoneticPr fontId="1" type="noConversion"/>
  </si>
  <si>
    <t>notice_npc_ill_catch_cold</t>
    <phoneticPr fontId="1" type="noConversion"/>
  </si>
  <si>
    <t>传染</t>
    <phoneticPr fontId="1" type="noConversion"/>
  </si>
  <si>
    <t>infectious_disease#int</t>
    <phoneticPr fontId="1" type="noConversion"/>
  </si>
  <si>
    <t>疾病原因
号段401~499 是疾病</t>
    <phoneticPr fontId="1" type="noConversion"/>
  </si>
  <si>
    <t>notice_npc_ill_innutrition</t>
    <phoneticPr fontId="1" type="noConversion"/>
  </si>
  <si>
    <t>强制休息时长</t>
    <phoneticPr fontId="1" type="noConversion"/>
  </si>
  <si>
    <t>ill_id#int</t>
    <phoneticPr fontId="1" type="noConversion"/>
  </si>
  <si>
    <t>ill_id#int</t>
    <phoneticPr fontId="1" type="noConversion"/>
  </si>
  <si>
    <t>ill_reason_desc#str</t>
    <phoneticPr fontId="1" type="noConversion"/>
  </si>
  <si>
    <t>穿破烂衣服，淋雨着凉,需休养</t>
    <phoneticPr fontId="1" type="noConversion"/>
  </si>
  <si>
    <t>notice_npc_ill</t>
    <phoneticPr fontId="1" type="noConversion"/>
  </si>
  <si>
    <t>notice_npc_ill_injured_by_battle</t>
    <phoneticPr fontId="1" type="noConversion"/>
  </si>
  <si>
    <t>创伤</t>
    <phoneticPr fontId="1" type="noConversion"/>
  </si>
  <si>
    <t>长期营养不良，需看医生，吃药治疗</t>
    <phoneticPr fontId="1" type="noConversion"/>
  </si>
  <si>
    <t>被传染，需看医生，吃药治疗</t>
    <phoneticPr fontId="1" type="noConversion"/>
  </si>
  <si>
    <t>战斗创伤，需休养</t>
    <phoneticPr fontId="1" type="noConversion"/>
  </si>
  <si>
    <t>传染病自愈概率</t>
    <phoneticPr fontId="1" type="noConversion"/>
  </si>
  <si>
    <t>self_cure_rate#float</t>
    <phoneticPr fontId="1" type="noConversion"/>
  </si>
  <si>
    <t>免疫周期</t>
    <phoneticPr fontId="1" type="noConversion"/>
  </si>
  <si>
    <t>排传染源周期</t>
    <phoneticPr fontId="1" type="noConversion"/>
  </si>
  <si>
    <t>create_infection_source_interval_days#int</t>
    <phoneticPr fontId="1" type="noConversion"/>
  </si>
  <si>
    <t>immune_duration_days#int</t>
    <phoneticPr fontId="1" type="noConversion"/>
  </si>
  <si>
    <t>ill_force_rest_day_count#int</t>
    <phoneticPr fontId="1" type="noConversion"/>
  </si>
  <si>
    <t>肠胃炎</t>
    <phoneticPr fontId="1" type="noConversion"/>
  </si>
  <si>
    <t>致死率</t>
    <phoneticPr fontId="1" type="noConversion"/>
  </si>
  <si>
    <t>老年人致死率</t>
    <phoneticPr fontId="1" type="noConversion"/>
  </si>
  <si>
    <t>dead_rate#float</t>
    <phoneticPr fontId="1" type="noConversion"/>
  </si>
  <si>
    <t>dead_rate_of_elder#float</t>
    <phoneticPr fontId="1" type="noConversion"/>
  </si>
  <si>
    <t>zh-CN</t>
  </si>
  <si>
    <t>en</t>
    <phoneticPr fontId="1" type="noConversion"/>
  </si>
  <si>
    <t>zh-TW</t>
  </si>
  <si>
    <t>ru</t>
  </si>
  <si>
    <t>es</t>
  </si>
  <si>
    <t>de</t>
  </si>
  <si>
    <t>pt</t>
  </si>
  <si>
    <t>fr</t>
  </si>
  <si>
    <t>pl</t>
  </si>
  <si>
    <t>!ill_name#str</t>
    <phoneticPr fontId="1" type="noConversion"/>
  </si>
  <si>
    <t>Gastroenteritis</t>
  </si>
  <si>
    <t>Cold</t>
    <phoneticPr fontId="1" type="noConversion"/>
  </si>
  <si>
    <t>Trauma</t>
    <phoneticPr fontId="1" type="noConversion"/>
  </si>
  <si>
    <t>Infectious disease</t>
    <phoneticPr fontId="1" type="noConversion"/>
  </si>
  <si>
    <t>Холодно</t>
  </si>
  <si>
    <t>Гастроэнтерит</t>
  </si>
  <si>
    <t>Инфекционное заболевание</t>
  </si>
  <si>
    <t>Травма</t>
  </si>
  <si>
    <t>Frío</t>
  </si>
  <si>
    <t>Enfermedad infecciosa</t>
  </si>
  <si>
    <t>Trauma</t>
  </si>
  <si>
    <t>Kalt</t>
  </si>
  <si>
    <t>Ansteckende Krankheit</t>
  </si>
  <si>
    <t>Frio</t>
  </si>
  <si>
    <t>Gastroenterite</t>
  </si>
  <si>
    <t>Doença infecciosa</t>
  </si>
  <si>
    <t>Du froid</t>
  </si>
  <si>
    <t>Gastro-entérite</t>
  </si>
  <si>
    <t>Maladie infectieuse</t>
  </si>
  <si>
    <t>Traumatisme</t>
  </si>
  <si>
    <t>Zimno</t>
  </si>
  <si>
    <t>Nieżyt żołądka i jelit</t>
  </si>
  <si>
    <t>Choroba zakaźna</t>
  </si>
  <si>
    <t>Uraz</t>
  </si>
  <si>
    <t>感冒</t>
  </si>
  <si>
    <t>腸胃炎</t>
  </si>
  <si>
    <t>傳染病</t>
  </si>
  <si>
    <t>創傷</t>
  </si>
  <si>
    <t>关节炎</t>
    <phoneticPr fontId="1" type="noConversion"/>
  </si>
  <si>
    <t>關節炎</t>
    <phoneticPr fontId="1" type="noConversion"/>
  </si>
  <si>
    <t>Arthritis</t>
    <phoneticPr fontId="1" type="noConversion"/>
  </si>
  <si>
    <t>长期睡地上(超过三年），需休养</t>
    <phoneticPr fontId="1" type="noConversion"/>
  </si>
  <si>
    <t>notice_npc_ill_arthritis</t>
    <phoneticPr fontId="1" type="noConversion"/>
  </si>
  <si>
    <t>Gastroenteritis</t>
    <phoneticPr fontId="1" type="noConversion"/>
  </si>
  <si>
    <t>疟疾</t>
    <phoneticPr fontId="1" type="noConversion"/>
  </si>
  <si>
    <t>Malaria</t>
    <phoneticPr fontId="1" type="noConversion"/>
  </si>
  <si>
    <t>瘧疾</t>
    <phoneticPr fontId="1" type="noConversion"/>
  </si>
  <si>
    <t>蚊子叮咬，不幸感染，需看医生，吃药治疗</t>
    <phoneticPr fontId="1" type="noConversion"/>
  </si>
  <si>
    <t>notice_npc_ill_malaria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</si>
</sst>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workbookViewId="0">
      <selection activeCell="J16" sqref="J16"/>
    </sheetView>
  </sheetViews>
  <sheetFormatPr defaultRowHeight="13.5" x14ac:dyDescent="0.15"/>
  <cols>
    <col min="1" max="1" width="10.75" customWidth="1"/>
    <col min="2" max="3" width="13.375" customWidth="1"/>
    <col min="4" max="4" width="15.125" customWidth="1"/>
    <col min="5" max="5" width="13.5" customWidth="1"/>
  </cols>
  <sheetData>
    <row r="1" spans="1:20" x14ac:dyDescent="0.15">
      <c r="A1" s="1" t="s">
        <v>0</v>
      </c>
      <c r="B1" s="1" t="s">
        <v>1</v>
      </c>
      <c r="C1" s="1" t="s">
        <v>6</v>
      </c>
      <c r="D1" s="1" t="s">
        <v>2</v>
      </c>
      <c r="E1" s="1" t="s">
        <v>18</v>
      </c>
      <c r="F1" s="1" t="s">
        <v>14</v>
      </c>
      <c r="G1" s="1" t="s">
        <v>29</v>
      </c>
      <c r="H1" s="1" t="s">
        <v>31</v>
      </c>
      <c r="I1" s="1" t="s">
        <v>32</v>
      </c>
      <c r="J1" s="1" t="s">
        <v>37</v>
      </c>
      <c r="K1" s="1" t="s">
        <v>38</v>
      </c>
      <c r="L1" s="4" t="s">
        <v>41</v>
      </c>
      <c r="M1" s="5" t="s">
        <v>42</v>
      </c>
      <c r="N1" s="5" t="s">
        <v>43</v>
      </c>
      <c r="O1" s="5" t="s">
        <v>44</v>
      </c>
      <c r="P1" s="5" t="s">
        <v>45</v>
      </c>
      <c r="Q1" s="5" t="s">
        <v>46</v>
      </c>
      <c r="R1" s="5" t="s">
        <v>47</v>
      </c>
      <c r="S1" s="5" t="s">
        <v>48</v>
      </c>
      <c r="T1" s="5" t="s">
        <v>49</v>
      </c>
    </row>
    <row r="2" spans="1:20" x14ac:dyDescent="0.15">
      <c r="A2" s="1" t="s">
        <v>19</v>
      </c>
      <c r="B2" s="1" t="s">
        <v>50</v>
      </c>
      <c r="C2" s="1" t="s">
        <v>7</v>
      </c>
      <c r="D2" s="1" t="s">
        <v>3</v>
      </c>
      <c r="E2" s="1" t="s">
        <v>35</v>
      </c>
      <c r="F2" s="1" t="s">
        <v>15</v>
      </c>
      <c r="G2" s="1" t="s">
        <v>30</v>
      </c>
      <c r="H2" s="1" t="s">
        <v>34</v>
      </c>
      <c r="I2" s="1" t="s">
        <v>33</v>
      </c>
      <c r="J2" s="1" t="s">
        <v>39</v>
      </c>
      <c r="K2" s="1" t="s">
        <v>40</v>
      </c>
      <c r="L2" s="1" t="str">
        <f>CONCATENATE("ill_name_",L1,"#str")</f>
        <v>ill_name_zh-CN#str</v>
      </c>
      <c r="M2" s="1" t="str">
        <f t="shared" ref="M2:T2" si="0">CONCATENATE("ill_name_",M1,"#str")</f>
        <v>ill_name_en#str</v>
      </c>
      <c r="N2" s="1" t="str">
        <f t="shared" si="0"/>
        <v>ill_name_zh-TW#str</v>
      </c>
      <c r="O2" s="1" t="str">
        <f t="shared" si="0"/>
        <v>ill_name_ru#str</v>
      </c>
      <c r="P2" s="1" t="str">
        <f t="shared" si="0"/>
        <v>ill_name_es#str</v>
      </c>
      <c r="Q2" s="1" t="str">
        <f t="shared" si="0"/>
        <v>ill_name_de#str</v>
      </c>
      <c r="R2" s="1" t="str">
        <f t="shared" si="0"/>
        <v>ill_name_pt#str</v>
      </c>
      <c r="S2" s="1" t="str">
        <f t="shared" si="0"/>
        <v>ill_name_fr#str</v>
      </c>
      <c r="T2" s="1" t="str">
        <f t="shared" si="0"/>
        <v>ill_name_pl#str</v>
      </c>
    </row>
    <row r="3" spans="1:20" x14ac:dyDescent="0.15">
      <c r="A3" s="1">
        <v>1</v>
      </c>
      <c r="B3" s="1" t="s">
        <v>12</v>
      </c>
      <c r="C3" s="1">
        <v>60</v>
      </c>
      <c r="D3" s="1">
        <v>0</v>
      </c>
      <c r="E3" s="1">
        <v>15</v>
      </c>
      <c r="F3" s="1">
        <v>0</v>
      </c>
      <c r="G3" s="1">
        <v>0</v>
      </c>
      <c r="H3" s="1">
        <v>0</v>
      </c>
      <c r="I3" s="1">
        <v>0</v>
      </c>
      <c r="J3" s="1">
        <v>1E-3</v>
      </c>
      <c r="K3" s="1">
        <f>J3*2</f>
        <v>2E-3</v>
      </c>
      <c r="L3" s="1" t="str">
        <f>B3</f>
        <v>感冒</v>
      </c>
      <c r="M3" s="1" t="s">
        <v>52</v>
      </c>
      <c r="N3" s="1" t="s">
        <v>75</v>
      </c>
      <c r="O3" s="1" t="s">
        <v>55</v>
      </c>
      <c r="P3" s="1" t="s">
        <v>59</v>
      </c>
      <c r="Q3" s="1" t="s">
        <v>62</v>
      </c>
      <c r="R3" s="1" t="s">
        <v>64</v>
      </c>
      <c r="S3" s="1" t="s">
        <v>67</v>
      </c>
      <c r="T3" s="1" t="s">
        <v>71</v>
      </c>
    </row>
    <row r="4" spans="1:20" x14ac:dyDescent="0.15">
      <c r="A4" s="1">
        <v>2</v>
      </c>
      <c r="B4" s="1" t="s">
        <v>36</v>
      </c>
      <c r="C4" s="1">
        <v>720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1E-3</v>
      </c>
      <c r="K4" s="1">
        <f>J4*2</f>
        <v>2E-3</v>
      </c>
      <c r="L4" s="1" t="str">
        <f t="shared" ref="L4:L7" si="1">B4</f>
        <v>肠胃炎</v>
      </c>
      <c r="M4" s="1" t="s">
        <v>84</v>
      </c>
      <c r="N4" s="1" t="s">
        <v>76</v>
      </c>
      <c r="O4" s="1" t="s">
        <v>56</v>
      </c>
      <c r="P4" s="1" t="s">
        <v>84</v>
      </c>
      <c r="Q4" s="1" t="s">
        <v>51</v>
      </c>
      <c r="R4" s="1" t="s">
        <v>65</v>
      </c>
      <c r="S4" s="1" t="s">
        <v>68</v>
      </c>
      <c r="T4" s="1" t="s">
        <v>72</v>
      </c>
    </row>
    <row r="5" spans="1:20" x14ac:dyDescent="0.15">
      <c r="A5" s="1">
        <v>3</v>
      </c>
      <c r="B5" s="1" t="s">
        <v>4</v>
      </c>
      <c r="C5" s="1">
        <v>45</v>
      </c>
      <c r="D5" s="1">
        <v>1</v>
      </c>
      <c r="E5" s="1">
        <v>30</v>
      </c>
      <c r="F5" s="1">
        <v>1</v>
      </c>
      <c r="G5" s="3">
        <v>0.75</v>
      </c>
      <c r="H5" s="3">
        <v>720</v>
      </c>
      <c r="I5" s="3">
        <v>20</v>
      </c>
      <c r="J5" s="1">
        <v>0.05</v>
      </c>
      <c r="K5" s="1">
        <f>J5*4</f>
        <v>0.2</v>
      </c>
      <c r="L5" s="1" t="str">
        <f t="shared" si="1"/>
        <v>传染病</v>
      </c>
      <c r="M5" s="1" t="s">
        <v>54</v>
      </c>
      <c r="N5" s="1" t="s">
        <v>77</v>
      </c>
      <c r="O5" s="1" t="s">
        <v>57</v>
      </c>
      <c r="P5" s="1" t="s">
        <v>60</v>
      </c>
      <c r="Q5" s="1" t="s">
        <v>63</v>
      </c>
      <c r="R5" s="1" t="s">
        <v>66</v>
      </c>
      <c r="S5" s="1" t="s">
        <v>69</v>
      </c>
      <c r="T5" s="1" t="s">
        <v>73</v>
      </c>
    </row>
    <row r="6" spans="1:20" x14ac:dyDescent="0.15">
      <c r="A6" s="1">
        <v>4</v>
      </c>
      <c r="B6" s="1" t="s">
        <v>25</v>
      </c>
      <c r="C6" s="1">
        <v>0</v>
      </c>
      <c r="D6" s="1">
        <v>0</v>
      </c>
      <c r="E6" s="1">
        <v>60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 t="str">
        <f t="shared" si="1"/>
        <v>创伤</v>
      </c>
      <c r="M6" s="1" t="s">
        <v>53</v>
      </c>
      <c r="N6" s="1" t="s">
        <v>78</v>
      </c>
      <c r="O6" s="1" t="s">
        <v>58</v>
      </c>
      <c r="P6" s="1" t="s">
        <v>61</v>
      </c>
      <c r="Q6" s="1" t="s">
        <v>61</v>
      </c>
      <c r="R6" s="1" t="s">
        <v>61</v>
      </c>
      <c r="S6" s="1" t="s">
        <v>70</v>
      </c>
      <c r="T6" s="1" t="s">
        <v>74</v>
      </c>
    </row>
    <row r="7" spans="1:20" x14ac:dyDescent="0.15">
      <c r="A7" s="1">
        <v>5</v>
      </c>
      <c r="B7" s="1" t="s">
        <v>79</v>
      </c>
      <c r="C7" s="1">
        <v>0</v>
      </c>
      <c r="D7" s="1">
        <v>0</v>
      </c>
      <c r="E7" s="1">
        <v>15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 t="str">
        <f t="shared" si="1"/>
        <v>关节炎</v>
      </c>
      <c r="M7" s="1" t="s">
        <v>81</v>
      </c>
      <c r="N7" s="1" t="s">
        <v>80</v>
      </c>
      <c r="O7" s="1"/>
      <c r="P7" s="1"/>
      <c r="Q7" s="1"/>
      <c r="R7" s="1"/>
      <c r="S7" s="1"/>
      <c r="T7" s="1"/>
    </row>
    <row r="8" spans="1:20" x14ac:dyDescent="0.15">
      <c r="A8" s="1">
        <v>6</v>
      </c>
      <c r="B8" s="1" t="s">
        <v>85</v>
      </c>
      <c r="C8" s="1">
        <v>30</v>
      </c>
      <c r="D8" s="1">
        <v>1</v>
      </c>
      <c r="E8" s="1">
        <v>30</v>
      </c>
      <c r="F8" s="1">
        <v>0</v>
      </c>
      <c r="G8" s="1">
        <v>0.1</v>
      </c>
      <c r="H8" s="1">
        <v>0</v>
      </c>
      <c r="I8" s="1">
        <v>0</v>
      </c>
      <c r="J8" s="1">
        <v>1E-4</v>
      </c>
      <c r="K8" s="1">
        <v>2.0000000000000001E-4</v>
      </c>
      <c r="L8" s="1" t="str">
        <f>B8</f>
        <v>疟疾</v>
      </c>
      <c r="M8" s="1" t="s">
        <v>86</v>
      </c>
      <c r="N8" s="1" t="s">
        <v>87</v>
      </c>
      <c r="O8" s="1"/>
      <c r="P8" s="1"/>
      <c r="Q8" s="1"/>
      <c r="R8" s="1"/>
      <c r="S8" s="1"/>
      <c r="T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L12" sqref="L12"/>
    </sheetView>
  </sheetViews>
  <sheetFormatPr defaultRowHeight="13.5" x14ac:dyDescent="0.15"/>
  <cols>
    <col min="1" max="1" width="10.125" customWidth="1"/>
    <col min="2" max="2" width="6.75" customWidth="1"/>
    <col min="3" max="3" width="32.5" customWidth="1"/>
    <col min="4" max="4" width="29.75" customWidth="1"/>
  </cols>
  <sheetData>
    <row r="1" spans="1:5" ht="54" x14ac:dyDescent="0.15">
      <c r="A1" s="2" t="s">
        <v>16</v>
      </c>
      <c r="B1" s="1" t="s">
        <v>0</v>
      </c>
      <c r="C1" s="1" t="s">
        <v>5</v>
      </c>
      <c r="D1" s="1" t="s">
        <v>9</v>
      </c>
      <c r="E1" s="4" t="s">
        <v>41</v>
      </c>
    </row>
    <row r="2" spans="1:5" x14ac:dyDescent="0.15">
      <c r="A2" s="1" t="s">
        <v>8</v>
      </c>
      <c r="B2" s="1" t="s">
        <v>20</v>
      </c>
      <c r="C2" s="1" t="s">
        <v>21</v>
      </c>
      <c r="D2" s="1" t="s">
        <v>10</v>
      </c>
      <c r="E2" s="1" t="str">
        <f>CONCATENATE("desc_",E1,"#str")</f>
        <v>desc_zh-CN#str</v>
      </c>
    </row>
    <row r="3" spans="1:5" x14ac:dyDescent="0.15">
      <c r="A3" s="1">
        <v>401</v>
      </c>
      <c r="B3" s="1">
        <v>1</v>
      </c>
      <c r="C3" s="1" t="s">
        <v>22</v>
      </c>
      <c r="D3" s="1" t="s">
        <v>13</v>
      </c>
      <c r="E3" s="1" t="str">
        <f>C3</f>
        <v>穿破烂衣服，淋雨着凉,需休养</v>
      </c>
    </row>
    <row r="4" spans="1:5" x14ac:dyDescent="0.15">
      <c r="A4" s="1">
        <v>402</v>
      </c>
      <c r="B4" s="1">
        <v>1</v>
      </c>
      <c r="C4" s="1" t="s">
        <v>11</v>
      </c>
      <c r="D4" s="1" t="s">
        <v>13</v>
      </c>
      <c r="E4" s="1" t="str">
        <f t="shared" ref="E4:E9" si="0">C4</f>
        <v>穿破烂衣服，受冻着凉，需休养</v>
      </c>
    </row>
    <row r="5" spans="1:5" x14ac:dyDescent="0.15">
      <c r="A5" s="1">
        <v>403</v>
      </c>
      <c r="B5" s="1">
        <v>2</v>
      </c>
      <c r="C5" s="1" t="s">
        <v>26</v>
      </c>
      <c r="D5" s="1" t="s">
        <v>17</v>
      </c>
      <c r="E5" s="1" t="str">
        <f t="shared" si="0"/>
        <v>长期营养不良，需看医生，吃药治疗</v>
      </c>
    </row>
    <row r="6" spans="1:5" x14ac:dyDescent="0.15">
      <c r="A6" s="1">
        <v>404</v>
      </c>
      <c r="B6" s="1">
        <v>3</v>
      </c>
      <c r="C6" s="1" t="s">
        <v>27</v>
      </c>
      <c r="D6" s="1" t="s">
        <v>23</v>
      </c>
      <c r="E6" s="1" t="str">
        <f t="shared" si="0"/>
        <v>被传染，需看医生，吃药治疗</v>
      </c>
    </row>
    <row r="7" spans="1:5" x14ac:dyDescent="0.15">
      <c r="A7" s="1">
        <v>405</v>
      </c>
      <c r="B7" s="1">
        <v>4</v>
      </c>
      <c r="C7" s="1" t="s">
        <v>28</v>
      </c>
      <c r="D7" s="1" t="s">
        <v>24</v>
      </c>
      <c r="E7" s="1" t="str">
        <f t="shared" si="0"/>
        <v>战斗创伤，需休养</v>
      </c>
    </row>
    <row r="8" spans="1:5" x14ac:dyDescent="0.15">
      <c r="A8" s="1">
        <v>407</v>
      </c>
      <c r="B8" s="1">
        <v>5</v>
      </c>
      <c r="C8" s="1" t="s">
        <v>82</v>
      </c>
      <c r="D8" s="1" t="s">
        <v>83</v>
      </c>
      <c r="E8" s="1" t="str">
        <f t="shared" si="0"/>
        <v>长期睡地上(超过三年），需休养</v>
      </c>
    </row>
    <row r="9" spans="1:5" x14ac:dyDescent="0.15">
      <c r="A9" s="1">
        <v>408</v>
      </c>
      <c r="B9" s="1">
        <v>6</v>
      </c>
      <c r="C9" s="1" t="s">
        <v>88</v>
      </c>
      <c r="D9" s="1" t="s">
        <v>89</v>
      </c>
      <c r="E9" s="1" t="str">
        <f t="shared" si="0"/>
        <v>蚊子叮咬，不幸感染，需看医生，吃药治疗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ill</vt:lpstr>
      <vt:lpstr>ill_reason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2026-01-04T13:54:29Z</dcterms:modified>
</cp:coreProperties>
</file>