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866059E-A58A-4BFD-8FDF-AEC27C97144C}" xr6:coauthVersionLast="47" xr6:coauthVersionMax="47" xr10:uidLastSave="{00000000-0000-0000-0000-000000000000}"/>
  <bookViews>
    <workbookView xWindow="780" yWindow="780" windowWidth="26835" windowHeight="14925" xr2:uid="{00000000-000D-0000-FFFF-FFFF00000000}"/>
  </bookViews>
  <sheets>
    <sheet name="plant" sheetId="1" r:id="rId1"/>
  </sheets>
  <calcPr calcId="181029"/>
</workbook>
</file>

<file path=xl/calcChain.xml><?xml version="1.0" encoding="utf-8"?>
<calcChain xmlns="http://schemas.openxmlformats.org/spreadsheetml/2006/main">
  <c r="F8" i="1" l="1"/>
  <c r="G8" i="1"/>
  <c r="G10" i="1"/>
  <c r="D4" i="1"/>
  <c r="D5" i="1"/>
  <c r="D6" i="1"/>
  <c r="D7" i="1"/>
  <c r="D8" i="1"/>
  <c r="D9" i="1"/>
  <c r="D10" i="1"/>
  <c r="D11" i="1"/>
  <c r="D12" i="1"/>
  <c r="D3" i="1"/>
  <c r="E4" i="1"/>
  <c r="E5" i="1"/>
  <c r="E6" i="1"/>
  <c r="E7" i="1"/>
  <c r="E8" i="1"/>
  <c r="E9" i="1"/>
  <c r="E10" i="1"/>
  <c r="E11" i="1"/>
  <c r="E12" i="1"/>
  <c r="E3" i="1"/>
  <c r="F4" i="1"/>
  <c r="F5" i="1"/>
  <c r="F6" i="1"/>
  <c r="F7" i="1"/>
  <c r="F9" i="1"/>
  <c r="F10" i="1"/>
  <c r="F11" i="1"/>
  <c r="F12" i="1"/>
  <c r="F3" i="1"/>
  <c r="G4" i="1"/>
  <c r="G5" i="1"/>
  <c r="G6" i="1"/>
  <c r="G7" i="1"/>
  <c r="G9" i="1"/>
  <c r="G11" i="1"/>
  <c r="G12" i="1"/>
  <c r="G3" i="1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<sst xmlns="http://schemas.openxmlformats.org/spreadsheetml/2006/main" count="165" uniqueCount="136">
  <si>
    <t>种子物品ID</t>
  </si>
  <si>
    <t>种子名称</t>
  </si>
  <si>
    <t>产出物品</t>
  </si>
  <si>
    <t>作物名称</t>
  </si>
  <si>
    <t>seed_id#int</t>
  </si>
  <si>
    <t>南瓜</t>
  </si>
  <si>
    <t>土豆</t>
  </si>
  <si>
    <t>玉米</t>
  </si>
  <si>
    <t>辣椒</t>
  </si>
  <si>
    <t>笋瓜</t>
  </si>
  <si>
    <t>product_stuff_id#int</t>
    <phoneticPr fontId="1" type="noConversion"/>
  </si>
  <si>
    <t>菜豆</t>
    <phoneticPr fontId="1" type="noConversion"/>
  </si>
  <si>
    <t>冻死低温</t>
    <phoneticPr fontId="1" type="noConversion"/>
  </si>
  <si>
    <t>temp_high#int</t>
    <phoneticPr fontId="1" type="noConversion"/>
  </si>
  <si>
    <t>temp_low#int</t>
    <phoneticPr fontId="1" type="noConversion"/>
  </si>
  <si>
    <t>temp_dead#int</t>
    <phoneticPr fontId="1" type="noConversion"/>
  </si>
  <si>
    <t>生长最高温</t>
    <phoneticPr fontId="1" type="noConversion"/>
  </si>
  <si>
    <t>生长最低温</t>
    <phoneticPr fontId="1" type="noConversion"/>
  </si>
  <si>
    <t>早秋</t>
    <phoneticPr fontId="1" type="noConversion"/>
  </si>
  <si>
    <t>total_grow_days#int</t>
    <phoneticPr fontId="1" type="noConversion"/>
  </si>
  <si>
    <t>播种月份</t>
    <phoneticPr fontId="1" type="noConversion"/>
  </si>
  <si>
    <t>_sow_month#str</t>
    <phoneticPr fontId="1" type="noConversion"/>
  </si>
  <si>
    <t>早春,春,晚春</t>
    <phoneticPr fontId="1" type="noConversion"/>
  </si>
  <si>
    <t>强制开始收割月份</t>
    <phoneticPr fontId="1" type="noConversion"/>
  </si>
  <si>
    <t>状态1</t>
    <phoneticPr fontId="1" type="noConversion"/>
  </si>
  <si>
    <t>状态2</t>
    <phoneticPr fontId="1" type="noConversion"/>
  </si>
  <si>
    <t>状态3</t>
  </si>
  <si>
    <t>状态4</t>
  </si>
  <si>
    <t>最少生长天数</t>
    <phoneticPr fontId="1" type="noConversion"/>
  </si>
  <si>
    <t>水需求</t>
    <phoneticPr fontId="1" type="noConversion"/>
  </si>
  <si>
    <t>肥需求</t>
    <phoneticPr fontId="1" type="noConversion"/>
  </si>
  <si>
    <t>cell_water_need#int</t>
    <phoneticPr fontId="1" type="noConversion"/>
  </si>
  <si>
    <t>cell_fertilize_need#int</t>
    <phoneticPr fontId="1" type="noConversion"/>
  </si>
  <si>
    <t>水增产</t>
    <phoneticPr fontId="1" type="noConversion"/>
  </si>
  <si>
    <t>肥增产</t>
    <phoneticPr fontId="1" type="noConversion"/>
  </si>
  <si>
    <t>cell_water_effect#int</t>
    <phoneticPr fontId="1" type="noConversion"/>
  </si>
  <si>
    <t>cell_fertilize_effect#int</t>
    <phoneticPr fontId="1" type="noConversion"/>
  </si>
  <si>
    <t>soil1_effect#float</t>
    <phoneticPr fontId="1" type="noConversion"/>
  </si>
  <si>
    <t>soil2_effect#float</t>
  </si>
  <si>
    <t>soil4_effect#float</t>
  </si>
  <si>
    <t>soil5_effect#float</t>
  </si>
  <si>
    <t>soil6_effect#float</t>
  </si>
  <si>
    <t>soil7_effect#float</t>
  </si>
  <si>
    <t>soil8_effect#float</t>
  </si>
  <si>
    <t>soil12_effect#float</t>
    <phoneticPr fontId="1" type="noConversion"/>
  </si>
  <si>
    <t>soil3_effect#float</t>
    <phoneticPr fontId="1" type="noConversion"/>
  </si>
  <si>
    <t>沙地</t>
    <phoneticPr fontId="1" type="noConversion"/>
  </si>
  <si>
    <t>戈壁</t>
    <phoneticPr fontId="1" type="noConversion"/>
  </si>
  <si>
    <t>岩地1</t>
    <phoneticPr fontId="1" type="noConversion"/>
  </si>
  <si>
    <t>岩地2</t>
    <phoneticPr fontId="1" type="noConversion"/>
  </si>
  <si>
    <t>黄土</t>
    <phoneticPr fontId="1" type="noConversion"/>
  </si>
  <si>
    <t>灰土</t>
    <phoneticPr fontId="1" type="noConversion"/>
  </si>
  <si>
    <t>黑土</t>
    <phoneticPr fontId="1" type="noConversion"/>
  </si>
  <si>
    <t>红土</t>
    <phoneticPr fontId="1" type="noConversion"/>
  </si>
  <si>
    <t>草地</t>
    <phoneticPr fontId="1" type="noConversion"/>
  </si>
  <si>
    <t>!remark#str</t>
    <phoneticPr fontId="1" type="noConversion"/>
  </si>
  <si>
    <t>笋瓜种子</t>
    <phoneticPr fontId="1" type="noConversion"/>
  </si>
  <si>
    <t>玉米种子</t>
    <phoneticPr fontId="1" type="noConversion"/>
  </si>
  <si>
    <t>基础产量</t>
    <phoneticPr fontId="1" type="noConversion"/>
  </si>
  <si>
    <t>小麦</t>
    <phoneticPr fontId="1" type="noConversion"/>
  </si>
  <si>
    <t>卷心菜</t>
    <phoneticPr fontId="1" type="noConversion"/>
  </si>
  <si>
    <t>s1#int</t>
    <phoneticPr fontId="1" type="noConversion"/>
  </si>
  <si>
    <t>s2#int</t>
  </si>
  <si>
    <t>s3#int</t>
  </si>
  <si>
    <t>s4#int</t>
  </si>
  <si>
    <t>仲秋</t>
    <phoneticPr fontId="1" type="noConversion"/>
  </si>
  <si>
    <t>理论最高值</t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</si>
  <si>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</si>
  <si>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t>无肥</t>
    <phoneticPr fontId="1" type="noConversion"/>
  </si>
  <si>
    <t>!tmp</t>
    <phoneticPr fontId="1" type="noConversion"/>
  </si>
  <si>
    <t>无水无肥</t>
    <phoneticPr fontId="1" type="noConversion"/>
  </si>
  <si>
    <t>!tmp</t>
    <phoneticPr fontId="1" type="noConversion"/>
  </si>
  <si>
    <t>小麦种子</t>
    <phoneticPr fontId="1" type="noConversion"/>
  </si>
  <si>
    <t>卷心菜种子</t>
    <phoneticPr fontId="1" type="noConversion"/>
  </si>
  <si>
    <t>昆虫增产</t>
    <phoneticPr fontId="1" type="noConversion"/>
  </si>
  <si>
    <t>bee_effect#int</t>
    <phoneticPr fontId="1" type="noConversion"/>
  </si>
  <si>
    <t>昆虫增产理论最高值</t>
    <phoneticPr fontId="1" type="noConversion"/>
  </si>
  <si>
    <t>巨型作物</t>
    <phoneticPr fontId="1" type="noConversion"/>
  </si>
  <si>
    <t>南瓜种子</t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</si>
  <si>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</si>
  <si>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t>巨型作物物昆虫增产</t>
    <phoneticPr fontId="1" type="noConversion"/>
  </si>
  <si>
    <r>
      <t>giant</t>
    </r>
    <r>
      <rPr>
        <sz val="11"/>
        <color theme="1"/>
        <rFont val="宋体"/>
        <family val="3"/>
        <charset val="134"/>
        <scheme val="minor"/>
      </rPr>
      <t>_crop#int</t>
    </r>
    <phoneticPr fontId="1" type="noConversion"/>
  </si>
  <si>
    <t>巨型作物图片</t>
    <phoneticPr fontId="1" type="noConversion"/>
  </si>
  <si>
    <r>
      <t>giant_crop</t>
    </r>
    <r>
      <rPr>
        <sz val="11"/>
        <color theme="1"/>
        <rFont val="宋体"/>
        <family val="3"/>
        <charset val="134"/>
        <scheme val="minor"/>
      </rPr>
      <t>_701002</t>
    </r>
    <phoneticPr fontId="1" type="noConversion"/>
  </si>
  <si>
    <t>giant_crop_701003</t>
    <phoneticPr fontId="1" type="noConversion"/>
  </si>
  <si>
    <t>giant_crop_701004</t>
    <phoneticPr fontId="1" type="noConversion"/>
  </si>
  <si>
    <t>!tmp</t>
    <phoneticPr fontId="1" type="noConversion"/>
  </si>
  <si>
    <t>辣椒种子</t>
    <phoneticPr fontId="1" type="noConversion"/>
  </si>
  <si>
    <t>无昆虫，肥不多最佳，非常易冻死</t>
    <phoneticPr fontId="1" type="noConversion"/>
  </si>
  <si>
    <t>说明</t>
    <phoneticPr fontId="1" type="noConversion"/>
  </si>
  <si>
    <t>数值整体变化感</t>
    <phoneticPr fontId="1" type="noConversion"/>
  </si>
  <si>
    <t>巨型最佳</t>
    <phoneticPr fontId="1" type="noConversion"/>
  </si>
  <si>
    <t>功能定位</t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</si>
  <si>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</si>
  <si>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t>主食1级</t>
    <phoneticPr fontId="1" type="noConversion"/>
  </si>
  <si>
    <t>土豆种子</t>
    <phoneticPr fontId="1" type="noConversion"/>
  </si>
  <si>
    <t>主食2级</t>
    <phoneticPr fontId="1" type="noConversion"/>
  </si>
  <si>
    <t>蔬菜1级</t>
    <phoneticPr fontId="1" type="noConversion"/>
  </si>
  <si>
    <t>蔬菜2级，花</t>
    <phoneticPr fontId="1" type="noConversion"/>
  </si>
  <si>
    <t>主食3级，花</t>
    <phoneticPr fontId="1" type="noConversion"/>
  </si>
  <si>
    <t>蔬菜3级，巨大，花</t>
    <phoneticPr fontId="1" type="noConversion"/>
  </si>
  <si>
    <t>蔬菜5级，巨大</t>
    <phoneticPr fontId="1" type="noConversion"/>
  </si>
  <si>
    <t>蔬菜4级，巨大，花</t>
    <phoneticPr fontId="1" type="noConversion"/>
  </si>
  <si>
    <t>菜豆种子</t>
    <phoneticPr fontId="1" type="noConversion"/>
  </si>
  <si>
    <t>粮食作物，产量低，水肥需求适中，收获期长，生长慢，耐寒。</t>
    <phoneticPr fontId="1" type="noConversion"/>
  </si>
  <si>
    <t>粮食作物，产量高，水份和肥料需求低，生长缓慢，耐寒。</t>
    <phoneticPr fontId="1" type="noConversion"/>
  </si>
  <si>
    <t>粮食作物，产量中，肥料需求高，生长较快，不耐寒。</t>
    <phoneticPr fontId="1" type="noConversion"/>
  </si>
  <si>
    <t>产量最低，最容易收割完，但可酿酒</t>
    <phoneticPr fontId="1" type="noConversion"/>
  </si>
  <si>
    <t>有水有肥最佳</t>
    <phoneticPr fontId="1" type="noConversion"/>
  </si>
  <si>
    <t>有水有肥其次</t>
    <phoneticPr fontId="1" type="noConversion"/>
  </si>
  <si>
    <t>蔬菜作物，产量中，水份需求高，肥料需求中等，生长快，有点怕低温。</t>
    <phoneticPr fontId="1" type="noConversion"/>
  </si>
  <si>
    <t>蔬菜作物，产量中，水份和肥料需求中，生长速度中，气温适应性适中。</t>
    <phoneticPr fontId="1" type="noConversion"/>
  </si>
  <si>
    <t>蔬菜作物，产量高，需肥料多，生长较快，有点怕低温。</t>
    <phoneticPr fontId="1" type="noConversion"/>
  </si>
  <si>
    <t>蔬菜作物，产量高，水份和肥料需求多，收获期短，生长极快，非常怕低温。</t>
    <phoneticPr fontId="1" type="noConversion"/>
  </si>
  <si>
    <t>蔬菜作物，产量中，水份和肥料需求低，生长速度中等，有一定抗寒能力。</t>
    <phoneticPr fontId="1" type="noConversion"/>
  </si>
  <si>
    <t>巨型第二</t>
    <phoneticPr fontId="1" type="noConversion"/>
  </si>
  <si>
    <t>产量跟小麦一样，但生长快</t>
    <phoneticPr fontId="1" type="noConversion"/>
  </si>
  <si>
    <t>product_count#int</t>
    <phoneticPr fontId="1" type="noConversion"/>
  </si>
  <si>
    <t>教育增产</t>
    <phoneticPr fontId="1" type="noConversion"/>
  </si>
  <si>
    <t>education_effect#int</t>
    <phoneticPr fontId="1" type="noConversion"/>
  </si>
  <si>
    <t>!plant_name#str</t>
    <phoneticPr fontId="1" type="noConversion"/>
  </si>
  <si>
    <t>!_havest_latest_start_month#str</t>
    <phoneticPr fontId="1" type="noConversion"/>
  </si>
  <si>
    <t>havest_latest_start_month#int</t>
    <phoneticPr fontId="1" type="noConversion"/>
  </si>
  <si>
    <t>!_sow_month#str</t>
    <phoneticPr fontId="1" type="noConversion"/>
  </si>
  <si>
    <t>0,1,2</t>
    <phoneticPr fontId="1" type="noConversion"/>
  </si>
  <si>
    <t>!seed_name#str</t>
    <phoneticPr fontId="1" type="noConversion"/>
  </si>
  <si>
    <t>img_giant_crop#str</t>
    <phoneticPr fontId="1" type="noConversion"/>
  </si>
  <si>
    <t>甘蔗种子</t>
  </si>
  <si>
    <t>经济作物</t>
    <phoneticPr fontId="1" type="noConversion"/>
  </si>
  <si>
    <t>牧草种子</t>
    <phoneticPr fontId="1" type="noConversion"/>
  </si>
  <si>
    <t>饲料</t>
    <phoneticPr fontId="1" type="noConversion"/>
  </si>
  <si>
    <t>牧草</t>
    <phoneticPr fontId="1" type="noConversion"/>
  </si>
  <si>
    <t>!农田尺寸</t>
    <phoneticPr fontId="1" type="noConversion"/>
  </si>
  <si>
    <t>!tmp</t>
    <phoneticPr fontId="1" type="noConversion"/>
  </si>
  <si>
    <t>甘蔗</t>
    <phoneticPr fontId="1" type="noConversion"/>
  </si>
  <si>
    <t>有蜜蜂最佳，前期无肥时最佳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</si>
</sst>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0" fillId="2" borderId="1" xfId="0" applyFill="1" applyBorder="1"/>
    <xf numFmtId="0" fontId="2" fillId="4" borderId="1" xfId="0" applyFont="1" applyFill="1" applyBorder="1"/>
    <xf numFmtId="0" fontId="2" fillId="0" borderId="2" xfId="0" applyFont="1" applyBorder="1"/>
    <xf numFmtId="0" fontId="0" fillId="0" borderId="3" xfId="0" applyBorder="1" applyAlignment="1">
      <alignment wrapText="1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"/>
  <sheetViews>
    <sheetView tabSelected="1" workbookViewId="0">
      <selection activeCell="S17" sqref="S17"/>
    </sheetView>
  </sheetViews>
  <sheetFormatPr defaultRowHeight="13.5" x14ac:dyDescent="0.15"/>
  <cols>
    <col min="1" max="1" width="13" customWidth="1"/>
    <col min="2" max="2" width="20" customWidth="1"/>
    <col min="3" max="3" width="14.625" customWidth="1"/>
    <col min="4" max="4" width="6.25" customWidth="1"/>
    <col min="5" max="5" width="6.625" customWidth="1"/>
    <col min="6" max="6" width="6.75" customWidth="1"/>
    <col min="7" max="9" width="6" customWidth="1"/>
    <col min="10" max="10" width="44.625" style="5" customWidth="1"/>
    <col min="11" max="11" width="32.75" style="5" customWidth="1"/>
    <col min="12" max="12" width="8.375" customWidth="1"/>
    <col min="13" max="13" width="9.125" customWidth="1"/>
    <col min="14" max="14" width="3.125" customWidth="1"/>
    <col min="15" max="15" width="3.5" customWidth="1"/>
    <col min="16" max="16" width="2.875" customWidth="1"/>
    <col min="17" max="17" width="3.5" customWidth="1"/>
    <col min="18" max="18" width="3.125" customWidth="1"/>
    <col min="19" max="21" width="2.875" customWidth="1"/>
    <col min="22" max="22" width="3.375" customWidth="1"/>
    <col min="23" max="23" width="5.125" customWidth="1"/>
    <col min="24" max="24" width="4.625" customWidth="1"/>
    <col min="25" max="25" width="4.75" customWidth="1"/>
    <col min="26" max="26" width="4.5" customWidth="1"/>
    <col min="27" max="27" width="6.875" customWidth="1"/>
    <col min="28" max="28" width="15.875" customWidth="1"/>
    <col min="29" max="29" width="6.25" customWidth="1"/>
    <col min="30" max="30" width="8.125" customWidth="1"/>
    <col min="35" max="43" width="5.625" customWidth="1"/>
  </cols>
  <sheetData>
    <row r="1" spans="1:43" s="5" customFormat="1" ht="81" x14ac:dyDescent="0.15">
      <c r="A1" s="6" t="s">
        <v>0</v>
      </c>
      <c r="B1" s="4" t="s">
        <v>92</v>
      </c>
      <c r="C1" s="6" t="s">
        <v>1</v>
      </c>
      <c r="D1" s="4" t="s">
        <v>80</v>
      </c>
      <c r="E1" s="4" t="s">
        <v>76</v>
      </c>
      <c r="F1" s="4" t="s">
        <v>66</v>
      </c>
      <c r="G1" s="4" t="s">
        <v>68</v>
      </c>
      <c r="H1" s="4" t="s">
        <v>70</v>
      </c>
      <c r="I1" s="4" t="s">
        <v>132</v>
      </c>
      <c r="J1" s="4" t="s">
        <v>89</v>
      </c>
      <c r="K1" s="4" t="s">
        <v>90</v>
      </c>
      <c r="L1" s="6" t="s">
        <v>2</v>
      </c>
      <c r="M1" s="6" t="s">
        <v>3</v>
      </c>
      <c r="N1" s="4" t="s">
        <v>118</v>
      </c>
      <c r="O1" s="4" t="s">
        <v>58</v>
      </c>
      <c r="P1" s="6" t="s">
        <v>33</v>
      </c>
      <c r="Q1" s="6" t="s">
        <v>34</v>
      </c>
      <c r="R1" s="6" t="s">
        <v>29</v>
      </c>
      <c r="S1" s="6" t="s">
        <v>30</v>
      </c>
      <c r="T1" s="6" t="s">
        <v>74</v>
      </c>
      <c r="U1" s="4" t="s">
        <v>77</v>
      </c>
      <c r="V1" s="4" t="s">
        <v>82</v>
      </c>
      <c r="W1" s="4" t="s">
        <v>28</v>
      </c>
      <c r="X1" s="4" t="s">
        <v>17</v>
      </c>
      <c r="Y1" s="4" t="s">
        <v>16</v>
      </c>
      <c r="Z1" s="4" t="s">
        <v>12</v>
      </c>
      <c r="AA1" s="4" t="s">
        <v>20</v>
      </c>
      <c r="AB1" s="4" t="s">
        <v>20</v>
      </c>
      <c r="AC1" s="4" t="s">
        <v>23</v>
      </c>
      <c r="AD1" s="4" t="s">
        <v>23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46</v>
      </c>
      <c r="AJ1" s="4" t="s">
        <v>47</v>
      </c>
      <c r="AK1" s="4" t="s">
        <v>48</v>
      </c>
      <c r="AL1" s="6" t="s">
        <v>49</v>
      </c>
      <c r="AM1" s="6" t="s">
        <v>50</v>
      </c>
      <c r="AN1" s="6" t="s">
        <v>51</v>
      </c>
      <c r="AO1" s="4" t="s">
        <v>52</v>
      </c>
      <c r="AP1" s="6" t="s">
        <v>53</v>
      </c>
      <c r="AQ1" s="4" t="s">
        <v>54</v>
      </c>
    </row>
    <row r="2" spans="1:43" x14ac:dyDescent="0.15">
      <c r="A2" s="1" t="s">
        <v>4</v>
      </c>
      <c r="B2" s="2" t="s">
        <v>93</v>
      </c>
      <c r="C2" s="2" t="s">
        <v>125</v>
      </c>
      <c r="D2" s="2" t="s">
        <v>79</v>
      </c>
      <c r="E2" s="2" t="s">
        <v>67</v>
      </c>
      <c r="F2" s="2" t="s">
        <v>67</v>
      </c>
      <c r="G2" s="2" t="s">
        <v>69</v>
      </c>
      <c r="H2" s="2" t="s">
        <v>71</v>
      </c>
      <c r="I2" s="2" t="s">
        <v>133</v>
      </c>
      <c r="J2" s="4" t="s">
        <v>55</v>
      </c>
      <c r="K2" s="4" t="s">
        <v>86</v>
      </c>
      <c r="L2" s="1" t="s">
        <v>10</v>
      </c>
      <c r="M2" s="2" t="s">
        <v>120</v>
      </c>
      <c r="N2" s="2" t="s">
        <v>119</v>
      </c>
      <c r="O2" s="2" t="s">
        <v>117</v>
      </c>
      <c r="P2" s="1" t="s">
        <v>35</v>
      </c>
      <c r="Q2" s="1" t="s">
        <v>36</v>
      </c>
      <c r="R2" s="1" t="s">
        <v>31</v>
      </c>
      <c r="S2" s="1" t="s">
        <v>32</v>
      </c>
      <c r="T2" s="1" t="s">
        <v>75</v>
      </c>
      <c r="U2" s="2" t="s">
        <v>81</v>
      </c>
      <c r="V2" s="2" t="s">
        <v>126</v>
      </c>
      <c r="W2" s="2" t="s">
        <v>19</v>
      </c>
      <c r="X2" s="2" t="s">
        <v>14</v>
      </c>
      <c r="Y2" s="2" t="s">
        <v>13</v>
      </c>
      <c r="Z2" s="2" t="s">
        <v>15</v>
      </c>
      <c r="AA2" s="2" t="s">
        <v>21</v>
      </c>
      <c r="AB2" s="2" t="s">
        <v>123</v>
      </c>
      <c r="AC2" s="2" t="s">
        <v>122</v>
      </c>
      <c r="AD2" s="2" t="s">
        <v>121</v>
      </c>
      <c r="AE2" s="2" t="s">
        <v>61</v>
      </c>
      <c r="AF2" s="2" t="s">
        <v>62</v>
      </c>
      <c r="AG2" s="2" t="s">
        <v>63</v>
      </c>
      <c r="AH2" s="2" t="s">
        <v>64</v>
      </c>
      <c r="AI2" s="2" t="s">
        <v>37</v>
      </c>
      <c r="AJ2" s="2" t="s">
        <v>38</v>
      </c>
      <c r="AK2" s="2" t="s">
        <v>45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</row>
    <row r="3" spans="1:43" ht="27" x14ac:dyDescent="0.15">
      <c r="A3" s="1">
        <v>701001</v>
      </c>
      <c r="B3" s="2" t="s">
        <v>97</v>
      </c>
      <c r="C3" s="2" t="s">
        <v>103</v>
      </c>
      <c r="D3" s="2">
        <f>(O3+P3+N3+T3+Q3)*(I3-8*U3) + O3*500*U3</f>
        <v>3600</v>
      </c>
      <c r="E3" s="1">
        <f>(O3+P3+N3+T3+Q3)*I3</f>
        <v>3600</v>
      </c>
      <c r="F3" s="1">
        <f>(O3+P3+N3+Q3)*I3</f>
        <v>3600</v>
      </c>
      <c r="G3" s="8">
        <f>(O3+P3)*I3</f>
        <v>2025</v>
      </c>
      <c r="H3" s="1">
        <f>(O3)*I3</f>
        <v>1125</v>
      </c>
      <c r="I3" s="1">
        <v>225</v>
      </c>
      <c r="J3" s="4" t="s">
        <v>110</v>
      </c>
      <c r="K3" s="4" t="s">
        <v>116</v>
      </c>
      <c r="L3" s="1">
        <v>301001</v>
      </c>
      <c r="M3" s="1" t="s">
        <v>11</v>
      </c>
      <c r="N3" s="1">
        <v>1</v>
      </c>
      <c r="O3" s="1">
        <v>5</v>
      </c>
      <c r="P3" s="1">
        <v>4</v>
      </c>
      <c r="Q3" s="1">
        <v>6</v>
      </c>
      <c r="R3" s="1">
        <v>2</v>
      </c>
      <c r="S3" s="1">
        <v>3</v>
      </c>
      <c r="T3" s="1">
        <v>0</v>
      </c>
      <c r="U3" s="1">
        <v>0</v>
      </c>
      <c r="V3" s="1"/>
      <c r="W3" s="1">
        <v>20</v>
      </c>
      <c r="X3" s="1">
        <v>15</v>
      </c>
      <c r="Y3" s="1">
        <v>30</v>
      </c>
      <c r="Z3" s="1">
        <v>5</v>
      </c>
      <c r="AA3" s="2" t="s">
        <v>124</v>
      </c>
      <c r="AB3" s="2" t="s">
        <v>22</v>
      </c>
      <c r="AC3" s="2">
        <v>6</v>
      </c>
      <c r="AD3" s="2" t="s">
        <v>18</v>
      </c>
      <c r="AE3" s="2">
        <v>0</v>
      </c>
      <c r="AF3" s="2">
        <v>1</v>
      </c>
      <c r="AG3" s="2">
        <v>2</v>
      </c>
      <c r="AH3" s="2">
        <v>3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</row>
    <row r="4" spans="1:43" ht="27" x14ac:dyDescent="0.15">
      <c r="A4" s="1">
        <v>701002</v>
      </c>
      <c r="B4" s="9" t="s">
        <v>102</v>
      </c>
      <c r="C4" s="2" t="s">
        <v>73</v>
      </c>
      <c r="D4" s="2">
        <f t="shared" ref="D4:D12" si="0">(O4+P4+N4+T4+Q4)*(I4-8*U4) + O4*500*U4</f>
        <v>5623</v>
      </c>
      <c r="E4" s="1">
        <f t="shared" ref="E4:E12" si="1">(O4+P4+N4+T4+Q4)*I4</f>
        <v>4275</v>
      </c>
      <c r="F4" s="1">
        <f t="shared" ref="F4:F12" si="2">(O4+P4+N4+Q4)*I4</f>
        <v>4275</v>
      </c>
      <c r="G4" s="8">
        <f t="shared" ref="G4:G12" si="3">(O4+P4)*I4</f>
        <v>1800</v>
      </c>
      <c r="H4" s="1">
        <f t="shared" ref="H4:H12" si="4">(O4)*I4</f>
        <v>675</v>
      </c>
      <c r="I4" s="1">
        <v>225</v>
      </c>
      <c r="J4" s="4" t="s">
        <v>111</v>
      </c>
      <c r="K4" s="4" t="s">
        <v>115</v>
      </c>
      <c r="L4" s="1">
        <v>301002</v>
      </c>
      <c r="M4" s="2" t="s">
        <v>60</v>
      </c>
      <c r="N4" s="1">
        <v>1</v>
      </c>
      <c r="O4" s="1">
        <v>3</v>
      </c>
      <c r="P4" s="1">
        <v>5</v>
      </c>
      <c r="Q4" s="1">
        <v>10</v>
      </c>
      <c r="R4" s="1">
        <v>4</v>
      </c>
      <c r="S4" s="1">
        <v>4</v>
      </c>
      <c r="T4" s="1">
        <v>0</v>
      </c>
      <c r="U4" s="8">
        <v>1</v>
      </c>
      <c r="V4" s="3" t="s">
        <v>83</v>
      </c>
      <c r="W4" s="1">
        <v>35</v>
      </c>
      <c r="X4" s="1">
        <v>7</v>
      </c>
      <c r="Y4" s="1">
        <v>30</v>
      </c>
      <c r="Z4" s="1">
        <v>2</v>
      </c>
      <c r="AA4" s="2" t="s">
        <v>124</v>
      </c>
      <c r="AB4" s="2" t="s">
        <v>22</v>
      </c>
      <c r="AC4" s="2">
        <v>6</v>
      </c>
      <c r="AD4" s="2" t="s">
        <v>18</v>
      </c>
      <c r="AE4" s="2">
        <v>4</v>
      </c>
      <c r="AF4" s="2">
        <v>5</v>
      </c>
      <c r="AG4" s="2">
        <v>6</v>
      </c>
      <c r="AH4" s="2">
        <v>7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</row>
    <row r="5" spans="1:43" ht="27" x14ac:dyDescent="0.15">
      <c r="A5" s="1">
        <v>701003</v>
      </c>
      <c r="B5" s="2" t="s">
        <v>100</v>
      </c>
      <c r="C5" s="2" t="s">
        <v>87</v>
      </c>
      <c r="D5" s="2">
        <f t="shared" si="0"/>
        <v>5406</v>
      </c>
      <c r="E5" s="1">
        <f t="shared" si="1"/>
        <v>4050</v>
      </c>
      <c r="F5" s="1">
        <f t="shared" si="2"/>
        <v>3825</v>
      </c>
      <c r="G5" s="8">
        <f t="shared" si="3"/>
        <v>1800</v>
      </c>
      <c r="H5" s="1">
        <f t="shared" si="4"/>
        <v>675</v>
      </c>
      <c r="I5" s="1">
        <v>225</v>
      </c>
      <c r="J5" s="4" t="s">
        <v>112</v>
      </c>
      <c r="K5" s="4" t="s">
        <v>91</v>
      </c>
      <c r="L5" s="1">
        <v>301003</v>
      </c>
      <c r="M5" s="1" t="s">
        <v>8</v>
      </c>
      <c r="N5" s="1">
        <v>1</v>
      </c>
      <c r="O5" s="1">
        <v>3</v>
      </c>
      <c r="P5" s="1">
        <v>5</v>
      </c>
      <c r="Q5" s="1">
        <v>8</v>
      </c>
      <c r="R5">
        <v>4</v>
      </c>
      <c r="S5" s="1">
        <v>4</v>
      </c>
      <c r="T5" s="8">
        <v>1</v>
      </c>
      <c r="U5" s="8">
        <v>1</v>
      </c>
      <c r="V5" s="3" t="s">
        <v>84</v>
      </c>
      <c r="W5" s="1">
        <v>33</v>
      </c>
      <c r="X5" s="1">
        <v>15</v>
      </c>
      <c r="Y5" s="1">
        <v>35</v>
      </c>
      <c r="Z5" s="1">
        <v>5</v>
      </c>
      <c r="AA5" s="2" t="s">
        <v>124</v>
      </c>
      <c r="AB5" s="2" t="s">
        <v>22</v>
      </c>
      <c r="AC5" s="2">
        <v>6</v>
      </c>
      <c r="AD5" s="2" t="s">
        <v>18</v>
      </c>
      <c r="AE5" s="2">
        <v>8</v>
      </c>
      <c r="AF5" s="2">
        <v>9</v>
      </c>
      <c r="AG5" s="2">
        <v>10</v>
      </c>
      <c r="AH5" s="2">
        <v>11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</row>
    <row r="6" spans="1:43" ht="27" x14ac:dyDescent="0.15">
      <c r="A6" s="1">
        <v>701004</v>
      </c>
      <c r="B6" s="9" t="s">
        <v>101</v>
      </c>
      <c r="C6" s="2" t="s">
        <v>78</v>
      </c>
      <c r="D6" s="2">
        <f t="shared" si="0"/>
        <v>5840</v>
      </c>
      <c r="E6" s="1">
        <f t="shared" si="1"/>
        <v>4500</v>
      </c>
      <c r="F6" s="1">
        <f t="shared" si="2"/>
        <v>4500</v>
      </c>
      <c r="G6" s="8">
        <f t="shared" si="3"/>
        <v>2025</v>
      </c>
      <c r="H6" s="1">
        <f t="shared" si="4"/>
        <v>675</v>
      </c>
      <c r="I6" s="1">
        <v>225</v>
      </c>
      <c r="J6" s="4" t="s">
        <v>113</v>
      </c>
      <c r="K6" s="4" t="s">
        <v>88</v>
      </c>
      <c r="L6" s="1">
        <v>301004</v>
      </c>
      <c r="M6" s="1" t="s">
        <v>5</v>
      </c>
      <c r="N6" s="1">
        <v>1</v>
      </c>
      <c r="O6" s="1">
        <v>3</v>
      </c>
      <c r="P6" s="1">
        <v>6</v>
      </c>
      <c r="Q6" s="1">
        <v>10</v>
      </c>
      <c r="R6" s="1">
        <v>5</v>
      </c>
      <c r="S6" s="1">
        <v>5</v>
      </c>
      <c r="T6" s="1">
        <v>0</v>
      </c>
      <c r="U6" s="8">
        <v>1</v>
      </c>
      <c r="V6" s="3" t="s">
        <v>85</v>
      </c>
      <c r="W6" s="1">
        <v>40</v>
      </c>
      <c r="X6" s="1">
        <v>20</v>
      </c>
      <c r="Y6" s="1">
        <v>37</v>
      </c>
      <c r="Z6" s="1">
        <v>8</v>
      </c>
      <c r="AA6" s="2" t="s">
        <v>124</v>
      </c>
      <c r="AB6" s="2" t="s">
        <v>22</v>
      </c>
      <c r="AC6" s="2">
        <v>7</v>
      </c>
      <c r="AD6" s="2" t="s">
        <v>65</v>
      </c>
      <c r="AE6" s="2">
        <v>12</v>
      </c>
      <c r="AF6" s="2">
        <v>13</v>
      </c>
      <c r="AG6" s="2">
        <v>14</v>
      </c>
      <c r="AH6" s="2">
        <v>15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</row>
    <row r="7" spans="1:43" ht="27" x14ac:dyDescent="0.15">
      <c r="A7" s="1">
        <v>701005</v>
      </c>
      <c r="B7" s="2" t="s">
        <v>98</v>
      </c>
      <c r="C7" s="7" t="s">
        <v>56</v>
      </c>
      <c r="D7" s="2">
        <f t="shared" si="0"/>
        <v>4275</v>
      </c>
      <c r="E7" s="1">
        <f t="shared" si="1"/>
        <v>4275</v>
      </c>
      <c r="F7" s="1">
        <f t="shared" si="2"/>
        <v>3375</v>
      </c>
      <c r="G7" s="8">
        <f t="shared" si="3"/>
        <v>2475</v>
      </c>
      <c r="H7" s="1">
        <f t="shared" si="4"/>
        <v>2025</v>
      </c>
      <c r="I7" s="1">
        <v>225</v>
      </c>
      <c r="J7" s="4" t="s">
        <v>114</v>
      </c>
      <c r="K7" s="4" t="s">
        <v>135</v>
      </c>
      <c r="L7" s="1">
        <v>301005</v>
      </c>
      <c r="M7" s="1" t="s">
        <v>9</v>
      </c>
      <c r="N7" s="1">
        <v>1</v>
      </c>
      <c r="O7" s="1">
        <v>9</v>
      </c>
      <c r="P7" s="1">
        <v>2</v>
      </c>
      <c r="Q7" s="1">
        <v>3</v>
      </c>
      <c r="R7" s="1">
        <v>1</v>
      </c>
      <c r="S7" s="1">
        <v>1</v>
      </c>
      <c r="T7" s="8">
        <v>4</v>
      </c>
      <c r="U7" s="1">
        <v>0</v>
      </c>
      <c r="V7" s="1"/>
      <c r="W7" s="1">
        <v>42</v>
      </c>
      <c r="X7" s="1">
        <v>8</v>
      </c>
      <c r="Y7" s="1">
        <v>35</v>
      </c>
      <c r="Z7" s="1">
        <v>2</v>
      </c>
      <c r="AA7" s="2" t="s">
        <v>124</v>
      </c>
      <c r="AB7" s="2" t="s">
        <v>22</v>
      </c>
      <c r="AC7" s="2">
        <v>6</v>
      </c>
      <c r="AD7" s="2" t="s">
        <v>18</v>
      </c>
      <c r="AE7" s="2">
        <v>16</v>
      </c>
      <c r="AF7" s="2">
        <v>17</v>
      </c>
      <c r="AG7" s="2">
        <v>18</v>
      </c>
      <c r="AH7" s="2">
        <v>19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</row>
    <row r="8" spans="1:43" ht="27" x14ac:dyDescent="0.15">
      <c r="A8" s="1">
        <v>702001</v>
      </c>
      <c r="B8" s="9" t="s">
        <v>99</v>
      </c>
      <c r="C8" s="2" t="s">
        <v>57</v>
      </c>
      <c r="D8" s="2">
        <f t="shared" si="0"/>
        <v>4950</v>
      </c>
      <c r="E8" s="1">
        <f t="shared" si="1"/>
        <v>4950</v>
      </c>
      <c r="F8" s="1">
        <f>(O8+P8+N8+Q8)*I8</f>
        <v>4500</v>
      </c>
      <c r="G8" s="8">
        <f>(O8+P8)*I8</f>
        <v>2025</v>
      </c>
      <c r="H8" s="1">
        <f t="shared" si="4"/>
        <v>900</v>
      </c>
      <c r="I8" s="1">
        <v>225</v>
      </c>
      <c r="J8" s="4" t="s">
        <v>105</v>
      </c>
      <c r="K8" s="4" t="s">
        <v>108</v>
      </c>
      <c r="L8" s="1">
        <v>302001</v>
      </c>
      <c r="M8" s="1" t="s">
        <v>7</v>
      </c>
      <c r="N8" s="1">
        <v>1</v>
      </c>
      <c r="O8" s="1">
        <v>4</v>
      </c>
      <c r="P8" s="1">
        <v>5</v>
      </c>
      <c r="Q8" s="1">
        <v>10</v>
      </c>
      <c r="R8" s="1">
        <v>4</v>
      </c>
      <c r="S8" s="1">
        <v>5</v>
      </c>
      <c r="T8" s="8">
        <v>2</v>
      </c>
      <c r="U8" s="1">
        <v>0</v>
      </c>
      <c r="V8" s="1"/>
      <c r="W8" s="1">
        <v>60</v>
      </c>
      <c r="X8" s="1">
        <v>6</v>
      </c>
      <c r="Y8" s="1">
        <v>40</v>
      </c>
      <c r="Z8" s="1">
        <v>-5</v>
      </c>
      <c r="AA8" s="2" t="s">
        <v>124</v>
      </c>
      <c r="AB8" s="2" t="s">
        <v>22</v>
      </c>
      <c r="AC8" s="2">
        <v>7</v>
      </c>
      <c r="AD8" s="2" t="s">
        <v>65</v>
      </c>
      <c r="AE8" s="2">
        <v>20</v>
      </c>
      <c r="AF8" s="2">
        <v>21</v>
      </c>
      <c r="AG8" s="2">
        <v>22</v>
      </c>
      <c r="AH8" s="2">
        <v>23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</row>
    <row r="9" spans="1:43" ht="27" x14ac:dyDescent="0.15">
      <c r="A9" s="1">
        <v>702002</v>
      </c>
      <c r="B9" s="2" t="s">
        <v>96</v>
      </c>
      <c r="C9" s="2" t="s">
        <v>95</v>
      </c>
      <c r="D9" s="2">
        <f t="shared" si="0"/>
        <v>4050</v>
      </c>
      <c r="E9" s="1">
        <f t="shared" si="1"/>
        <v>4050</v>
      </c>
      <c r="F9" s="1">
        <f t="shared" si="2"/>
        <v>4050</v>
      </c>
      <c r="G9" s="8">
        <f t="shared" si="3"/>
        <v>2025</v>
      </c>
      <c r="H9" s="1">
        <f t="shared" si="4"/>
        <v>900</v>
      </c>
      <c r="I9" s="1">
        <v>225</v>
      </c>
      <c r="J9" s="4" t="s">
        <v>106</v>
      </c>
      <c r="K9" s="4" t="s">
        <v>109</v>
      </c>
      <c r="L9" s="1">
        <v>302002</v>
      </c>
      <c r="M9" s="1" t="s">
        <v>6</v>
      </c>
      <c r="N9" s="1">
        <v>1</v>
      </c>
      <c r="O9" s="1">
        <v>4</v>
      </c>
      <c r="P9" s="1">
        <v>5</v>
      </c>
      <c r="Q9" s="1">
        <v>8</v>
      </c>
      <c r="R9" s="1">
        <v>4</v>
      </c>
      <c r="S9" s="1">
        <v>3</v>
      </c>
      <c r="T9" s="1">
        <v>0</v>
      </c>
      <c r="U9" s="1">
        <v>0</v>
      </c>
      <c r="V9" s="1"/>
      <c r="W9" s="1">
        <v>30</v>
      </c>
      <c r="X9" s="1">
        <v>10</v>
      </c>
      <c r="Y9" s="1">
        <v>26</v>
      </c>
      <c r="Z9" s="1">
        <v>2</v>
      </c>
      <c r="AA9" s="2" t="s">
        <v>124</v>
      </c>
      <c r="AB9" s="2" t="s">
        <v>22</v>
      </c>
      <c r="AC9" s="2">
        <v>7</v>
      </c>
      <c r="AD9" s="2" t="s">
        <v>65</v>
      </c>
      <c r="AE9" s="2">
        <v>24</v>
      </c>
      <c r="AF9" s="2">
        <v>25</v>
      </c>
      <c r="AG9" s="2">
        <v>26</v>
      </c>
      <c r="AH9" s="2">
        <v>27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</row>
    <row r="10" spans="1:43" ht="27" x14ac:dyDescent="0.15">
      <c r="A10" s="1">
        <v>702003</v>
      </c>
      <c r="B10" s="2" t="s">
        <v>94</v>
      </c>
      <c r="C10" s="3" t="s">
        <v>72</v>
      </c>
      <c r="D10" s="2">
        <f t="shared" si="0"/>
        <v>3600</v>
      </c>
      <c r="E10" s="1">
        <f t="shared" si="1"/>
        <v>3600</v>
      </c>
      <c r="F10" s="1">
        <f t="shared" si="2"/>
        <v>3600</v>
      </c>
      <c r="G10" s="8">
        <f>(O10+P10)*I10</f>
        <v>2025</v>
      </c>
      <c r="H10" s="1">
        <f t="shared" si="4"/>
        <v>1125</v>
      </c>
      <c r="I10" s="1">
        <v>225</v>
      </c>
      <c r="J10" s="4" t="s">
        <v>104</v>
      </c>
      <c r="K10" s="4" t="s">
        <v>107</v>
      </c>
      <c r="L10" s="1">
        <v>302003</v>
      </c>
      <c r="M10" s="1" t="s">
        <v>59</v>
      </c>
      <c r="N10" s="1">
        <v>1</v>
      </c>
      <c r="O10" s="1">
        <v>5</v>
      </c>
      <c r="P10" s="1">
        <v>4</v>
      </c>
      <c r="Q10" s="1">
        <v>6</v>
      </c>
      <c r="R10" s="1">
        <v>3</v>
      </c>
      <c r="S10" s="1">
        <v>3</v>
      </c>
      <c r="T10" s="1">
        <v>0</v>
      </c>
      <c r="U10" s="1">
        <v>0</v>
      </c>
      <c r="V10" s="1"/>
      <c r="W10" s="1">
        <v>60</v>
      </c>
      <c r="X10" s="1">
        <v>2</v>
      </c>
      <c r="Y10" s="1">
        <v>35</v>
      </c>
      <c r="Z10" s="8">
        <v>-8</v>
      </c>
      <c r="AA10" s="2" t="s">
        <v>124</v>
      </c>
      <c r="AB10" s="2" t="s">
        <v>22</v>
      </c>
      <c r="AC10" s="2">
        <v>7</v>
      </c>
      <c r="AD10" s="2" t="s">
        <v>65</v>
      </c>
      <c r="AE10" s="2">
        <v>28</v>
      </c>
      <c r="AF10" s="2">
        <v>29</v>
      </c>
      <c r="AG10" s="2">
        <v>30</v>
      </c>
      <c r="AH10" s="2">
        <v>31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</row>
    <row r="11" spans="1:43" x14ac:dyDescent="0.15">
      <c r="A11" s="1">
        <v>707001</v>
      </c>
      <c r="B11" s="2" t="s">
        <v>128</v>
      </c>
      <c r="C11" s="1" t="s">
        <v>127</v>
      </c>
      <c r="D11" s="2">
        <f t="shared" si="0"/>
        <v>5175</v>
      </c>
      <c r="E11" s="1">
        <f t="shared" si="1"/>
        <v>5175</v>
      </c>
      <c r="F11" s="1">
        <f t="shared" si="2"/>
        <v>5175</v>
      </c>
      <c r="G11" s="8">
        <f t="shared" si="3"/>
        <v>1800</v>
      </c>
      <c r="H11" s="1">
        <f t="shared" si="4"/>
        <v>900</v>
      </c>
      <c r="I11" s="1">
        <v>225</v>
      </c>
      <c r="J11" s="4"/>
      <c r="K11" s="4"/>
      <c r="L11" s="1">
        <v>611003</v>
      </c>
      <c r="M11" s="2" t="s">
        <v>134</v>
      </c>
      <c r="N11" s="1">
        <v>1</v>
      </c>
      <c r="O11" s="1">
        <v>4</v>
      </c>
      <c r="P11" s="1">
        <v>4</v>
      </c>
      <c r="Q11" s="1">
        <v>14</v>
      </c>
      <c r="R11" s="1">
        <v>4</v>
      </c>
      <c r="S11" s="1">
        <v>14</v>
      </c>
      <c r="T11" s="1">
        <v>0</v>
      </c>
      <c r="U11" s="1">
        <v>0</v>
      </c>
      <c r="V11" s="1"/>
      <c r="W11" s="1">
        <v>60</v>
      </c>
      <c r="X11" s="1">
        <v>2</v>
      </c>
      <c r="Y11" s="1">
        <v>35</v>
      </c>
      <c r="Z11" s="8">
        <v>-8</v>
      </c>
      <c r="AA11" s="2" t="s">
        <v>124</v>
      </c>
      <c r="AB11" s="2" t="s">
        <v>22</v>
      </c>
      <c r="AC11" s="2">
        <v>7</v>
      </c>
      <c r="AD11" s="2" t="s">
        <v>65</v>
      </c>
      <c r="AE11" s="2">
        <v>32</v>
      </c>
      <c r="AF11" s="2">
        <v>33</v>
      </c>
      <c r="AG11" s="2">
        <v>34</v>
      </c>
      <c r="AH11" s="2">
        <v>35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</row>
    <row r="12" spans="1:43" x14ac:dyDescent="0.15">
      <c r="A12" s="1">
        <v>702004</v>
      </c>
      <c r="B12" s="10" t="s">
        <v>130</v>
      </c>
      <c r="C12" s="3" t="s">
        <v>129</v>
      </c>
      <c r="D12" s="2">
        <f t="shared" si="0"/>
        <v>5625</v>
      </c>
      <c r="E12" s="1">
        <f t="shared" si="1"/>
        <v>5625</v>
      </c>
      <c r="F12" s="1">
        <f t="shared" si="2"/>
        <v>5625</v>
      </c>
      <c r="G12" s="8">
        <f t="shared" si="3"/>
        <v>3150</v>
      </c>
      <c r="H12" s="1">
        <f t="shared" si="4"/>
        <v>2250</v>
      </c>
      <c r="I12" s="1">
        <v>225</v>
      </c>
      <c r="J12" s="11"/>
      <c r="K12" s="4"/>
      <c r="L12" s="1">
        <v>617001</v>
      </c>
      <c r="M12" s="2" t="s">
        <v>131</v>
      </c>
      <c r="N12" s="1">
        <v>1</v>
      </c>
      <c r="O12" s="1">
        <v>10</v>
      </c>
      <c r="P12" s="1">
        <v>4</v>
      </c>
      <c r="Q12" s="1">
        <v>10</v>
      </c>
      <c r="R12" s="1">
        <v>2</v>
      </c>
      <c r="S12" s="1">
        <v>6</v>
      </c>
      <c r="T12" s="1">
        <v>0</v>
      </c>
      <c r="U12" s="1">
        <v>0</v>
      </c>
      <c r="V12" s="1"/>
      <c r="W12" s="1">
        <v>60</v>
      </c>
      <c r="X12" s="1">
        <v>2</v>
      </c>
      <c r="Y12" s="1">
        <v>35</v>
      </c>
      <c r="Z12" s="8">
        <v>-10</v>
      </c>
      <c r="AA12" s="2" t="s">
        <v>124</v>
      </c>
      <c r="AB12" s="2" t="s">
        <v>22</v>
      </c>
      <c r="AC12" s="2">
        <v>7</v>
      </c>
      <c r="AD12" s="2" t="s">
        <v>65</v>
      </c>
      <c r="AE12" s="2">
        <v>36</v>
      </c>
      <c r="AF12" s="2">
        <v>37</v>
      </c>
      <c r="AG12" s="2">
        <v>38</v>
      </c>
      <c r="AH12" s="2">
        <v>39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</row>
  </sheetData>
  <sortState xmlns:xlrd2="http://schemas.microsoft.com/office/spreadsheetml/2017/richdata2" ref="A2:AN10">
    <sortCondition ref="A1"/>
  </sortState>
  <phoneticPr fontId="1" type="noConversion"/>
  <conditionalFormatting sqref="AE1:AH1 J1:K1 J4:K4 AE4:A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2025-08-28T04:34:58Z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