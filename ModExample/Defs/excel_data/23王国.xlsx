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0343FA81-E732-472E-BC90-DD0D52F896FE}" xr6:coauthVersionLast="47" xr6:coauthVersionMax="47" xr10:uidLastSave="{00000000-0000-0000-0000-000000000000}"/>
  <bookViews>
    <workbookView xWindow="3060" yWindow="675" windowWidth="23850" windowHeight="13620" activeTab="1" xr2:uid="{00000000-000D-0000-FFFF-FFFF00000000}"/>
  </bookViews>
  <sheets>
    <sheet name="kingdom" sheetId="1" r:id="rId1"/>
    <sheet name="!" sheetId="2" r:id="rId2"/>
  </sheets>
  <calcPr calcId="181029"/>
</workbook>
</file>

<file path=xl/calcChain.xml><?xml version="1.0" encoding="utf-8"?>
<calcChain xmlns="http://schemas.openxmlformats.org/spreadsheetml/2006/main">
  <c r="A2" i="2" l="1"/>
  <c r="B6" i="1"/>
  <c r="B8" i="1"/>
  <c r="AJ2" i="1" l="1"/>
  <c r="B4" i="1" l="1"/>
  <c r="B5" i="1"/>
  <c r="B7" i="1"/>
  <c r="B9" i="1"/>
  <c r="B10" i="1"/>
  <c r="B11" i="1"/>
  <c r="B12" i="1"/>
  <c r="B13" i="1"/>
  <c r="B14" i="1"/>
  <c r="B3" i="1"/>
  <c r="AI2" i="1"/>
</calcChain>
</file>

<file path=xl/sharedStrings.xml><?xml version="1.0" encoding="utf-8"?>
<sst xmlns="http://schemas.openxmlformats.org/spreadsheetml/2006/main" count="288" uniqueCount="212">
  <si>
    <t>王国ID</t>
  </si>
  <si>
    <t>王国名称</t>
  </si>
  <si>
    <t>zh-CN</t>
  </si>
  <si>
    <t>kingdom_id#int</t>
  </si>
  <si>
    <t>!tmp</t>
  </si>
  <si>
    <t>我</t>
  </si>
  <si>
    <t>玩家</t>
  </si>
  <si>
    <t>国王</t>
  </si>
  <si>
    <t>初始</t>
  </si>
  <si>
    <t>南方</t>
  </si>
  <si>
    <t>西方</t>
  </si>
  <si>
    <t>北方</t>
  </si>
  <si>
    <t>东方</t>
  </si>
  <si>
    <t>南洋</t>
  </si>
  <si>
    <t>西洋</t>
  </si>
  <si>
    <t>西南王</t>
  </si>
  <si>
    <t>野蛮人</t>
  </si>
  <si>
    <t>怪物</t>
  </si>
  <si>
    <t>强盗</t>
  </si>
  <si>
    <t>!kingdom_name#str</t>
    <phoneticPr fontId="4" type="noConversion"/>
  </si>
  <si>
    <t>都城</t>
    <phoneticPr fontId="4" type="noConversion"/>
  </si>
  <si>
    <t>capital#int</t>
    <phoneticPr fontId="4" type="noConversion"/>
  </si>
  <si>
    <t>信仰</t>
    <phoneticPr fontId="4" type="noConversion"/>
  </si>
  <si>
    <t>belief#int</t>
    <phoneticPr fontId="4" type="noConversion"/>
  </si>
  <si>
    <t>!tmp</t>
    <phoneticPr fontId="4" type="noConversion"/>
  </si>
  <si>
    <t>能征善战，追求个人权力和军事扩张，崇尚武力征服
大量的士兵在外驻守，会主动发起进攻。士兵等级非常高
城堡中，有大量大炮</t>
    <phoneticPr fontId="4" type="noConversion"/>
  </si>
  <si>
    <t>特色种族</t>
    <phoneticPr fontId="4" type="noConversion"/>
  </si>
  <si>
    <t>狼人</t>
    <phoneticPr fontId="4" type="noConversion"/>
  </si>
  <si>
    <t>技能</t>
    <phoneticPr fontId="4" type="noConversion"/>
  </si>
  <si>
    <t>限制武器出售，或武器涨价</t>
    <phoneticPr fontId="4" type="noConversion"/>
  </si>
  <si>
    <t>结盟的好处</t>
    <phoneticPr fontId="4" type="noConversion"/>
  </si>
  <si>
    <t>玩家可获得火药，武器装备
有力的军事援助</t>
    <phoneticPr fontId="4" type="noConversion"/>
  </si>
  <si>
    <t>结盟的代价</t>
    <phoneticPr fontId="4" type="noConversion"/>
  </si>
  <si>
    <t>需提供大量的基础物资贡品</t>
    <phoneticPr fontId="4" type="noConversion"/>
  </si>
  <si>
    <t>鼠人</t>
    <phoneticPr fontId="4" type="noConversion"/>
  </si>
  <si>
    <t>擅长操纵政治，招揽人心，几乎垄断了基础物资来源
城堡持续对外补兵，总兵力源源不断，人海战术</t>
    <phoneticPr fontId="4" type="noConversion"/>
  </si>
  <si>
    <t>三眼人</t>
    <phoneticPr fontId="4" type="noConversion"/>
  </si>
  <si>
    <t>猪人</t>
    <phoneticPr fontId="4" type="noConversion"/>
  </si>
  <si>
    <t>操控基础物资的价格，导致涨价</t>
    <phoneticPr fontId="4" type="noConversion"/>
  </si>
  <si>
    <t>玩家需持续向其输送人口</t>
    <phoneticPr fontId="4" type="noConversion"/>
  </si>
  <si>
    <t>萨满教</t>
  </si>
  <si>
    <t>一神教</t>
  </si>
  <si>
    <t>擅长贸易，富甲一方，通过贸易往来，与各方势力建立的深入的关系
城堡坚固，有大量大炮
有源源不断的雇佣兵上场，甚至野蛮人或强盗为其战斗</t>
    <phoneticPr fontId="4" type="noConversion"/>
  </si>
  <si>
    <t>掌控的合成品及宝石的定价权</t>
    <phoneticPr fontId="4" type="noConversion"/>
  </si>
  <si>
    <t>蚁人</t>
    <phoneticPr fontId="4" type="noConversion"/>
  </si>
  <si>
    <t>玩家与之结盟，可保证出售价格不被压价太多</t>
    <phoneticPr fontId="4" type="noConversion"/>
  </si>
  <si>
    <t>蜥蜴人，精灵</t>
    <phoneticPr fontId="4" type="noConversion"/>
  </si>
  <si>
    <t>纵情声色，偏安一隅，谁给好处支持谁，无争位之心
拥有强大且残暴的士兵</t>
    <phoneticPr fontId="4" type="noConversion"/>
  </si>
  <si>
    <t>无</t>
    <phoneticPr fontId="4" type="noConversion"/>
  </si>
  <si>
    <t>获买珍宝（泰坦之心）</t>
    <phoneticPr fontId="4" type="noConversion"/>
  </si>
  <si>
    <t>羊人，猫人</t>
    <phoneticPr fontId="4" type="noConversion"/>
  </si>
  <si>
    <t>解锁素食购买
但价格偏贵</t>
    <phoneticPr fontId="4" type="noConversion"/>
  </si>
  <si>
    <t>解锁肉食购买
但价格偏贵</t>
    <phoneticPr fontId="4" type="noConversion"/>
  </si>
  <si>
    <t>玩家与之结盟，可获得稳定且较低的价格</t>
    <phoneticPr fontId="4" type="noConversion"/>
  </si>
  <si>
    <t>提供工具衣服</t>
    <phoneticPr fontId="4" type="noConversion"/>
  </si>
  <si>
    <t>提供工具马车</t>
    <phoneticPr fontId="4" type="noConversion"/>
  </si>
  <si>
    <t>需提供大量美酒，美食，美女，零售，成瘾品</t>
    <phoneticPr fontId="4" type="noConversion"/>
  </si>
  <si>
    <t>提供食物和衣服</t>
    <phoneticPr fontId="4" type="noConversion"/>
  </si>
  <si>
    <t>解锁武器的购买
但价格偏贵</t>
    <phoneticPr fontId="4" type="noConversion"/>
  </si>
  <si>
    <t>初始关系</t>
    <phoneticPr fontId="4" type="noConversion"/>
  </si>
  <si>
    <t>init_relation_level#int</t>
    <phoneticPr fontId="4" type="noConversion"/>
  </si>
  <si>
    <t>初始派别</t>
    <phoneticPr fontId="4" type="noConversion"/>
  </si>
  <si>
    <t>init_faction#int</t>
    <phoneticPr fontId="4" type="noConversion"/>
  </si>
  <si>
    <t>派别发起人</t>
    <phoneticPr fontId="4" type="noConversion"/>
  </si>
  <si>
    <t>leader_of_faction#int</t>
    <phoneticPr fontId="4" type="noConversion"/>
  </si>
  <si>
    <t>是否可派继承人</t>
    <phoneticPr fontId="4" type="noConversion"/>
  </si>
  <si>
    <t>is_relative#int</t>
    <phoneticPr fontId="4" type="noConversion"/>
  </si>
  <si>
    <t>领主男头像</t>
    <phoneticPr fontId="4" type="noConversion"/>
  </si>
  <si>
    <t>领主女头像</t>
    <phoneticPr fontId="4" type="noConversion"/>
  </si>
  <si>
    <t>ic_male#str</t>
    <phoneticPr fontId="4" type="noConversion"/>
  </si>
  <si>
    <t>ic_female#str</t>
    <phoneticPr fontId="4" type="noConversion"/>
  </si>
  <si>
    <t>hat_career_150</t>
    <phoneticPr fontId="4" type="noConversion"/>
  </si>
  <si>
    <t>hat_career_151</t>
    <phoneticPr fontId="4" type="noConversion"/>
  </si>
  <si>
    <t>hat_career_158</t>
    <phoneticPr fontId="4" type="noConversion"/>
  </si>
  <si>
    <t>hat_career_159</t>
    <phoneticPr fontId="4" type="noConversion"/>
  </si>
  <si>
    <t>hat_career_152</t>
    <phoneticPr fontId="4" type="noConversion"/>
  </si>
  <si>
    <t>hat_career_153</t>
    <phoneticPr fontId="4" type="noConversion"/>
  </si>
  <si>
    <t>hat_career_154</t>
    <phoneticPr fontId="4" type="noConversion"/>
  </si>
  <si>
    <t>hat_career_155</t>
    <phoneticPr fontId="4" type="noConversion"/>
  </si>
  <si>
    <t>hat_career_164</t>
  </si>
  <si>
    <t>hat_career_157</t>
  </si>
  <si>
    <t>hat_career_161</t>
  </si>
  <si>
    <t>hat_career_165</t>
  </si>
  <si>
    <t>hat_career_166</t>
  </si>
  <si>
    <t>hat_career_167</t>
  </si>
  <si>
    <t>hat_career_156</t>
    <phoneticPr fontId="4" type="noConversion"/>
  </si>
  <si>
    <t>hat_career_160</t>
    <phoneticPr fontId="4" type="noConversion"/>
  </si>
  <si>
    <t>hat_career_162</t>
    <phoneticPr fontId="4" type="noConversion"/>
  </si>
  <si>
    <t>hat_career_163</t>
    <phoneticPr fontId="4" type="noConversion"/>
  </si>
  <si>
    <t>hat_career_168</t>
    <phoneticPr fontId="4" type="noConversion"/>
  </si>
  <si>
    <t>hat_career_169</t>
    <phoneticPr fontId="4" type="noConversion"/>
  </si>
  <si>
    <t>hat_career_56</t>
    <phoneticPr fontId="4" type="noConversion"/>
  </si>
  <si>
    <t>hat_career_57</t>
    <phoneticPr fontId="4" type="noConversion"/>
  </si>
  <si>
    <t>逍遥王</t>
    <phoneticPr fontId="4" type="noConversion"/>
  </si>
  <si>
    <t>南洋王</t>
    <phoneticPr fontId="4" type="noConversion"/>
  </si>
  <si>
    <t>西洋王</t>
    <phoneticPr fontId="4" type="noConversion"/>
  </si>
  <si>
    <t>宣王</t>
    <phoneticPr fontId="4" type="noConversion"/>
  </si>
  <si>
    <t>平王</t>
    <phoneticPr fontId="4" type="noConversion"/>
  </si>
  <si>
    <t>商王</t>
    <phoneticPr fontId="4" type="noConversion"/>
  </si>
  <si>
    <t>北王</t>
    <phoneticPr fontId="4" type="noConversion"/>
  </si>
  <si>
    <t>擅长种植
简单的防守
有宣的援兵</t>
    <phoneticPr fontId="4" type="noConversion"/>
  </si>
  <si>
    <t>擅长采矿冶炼，武器打造
士兵不多，但大炮和雕像众多，以守为主。同时有平王的援兵支持</t>
    <phoneticPr fontId="4" type="noConversion"/>
  </si>
  <si>
    <t>擅长养殖，渔猎
简单的防守
有宣的援兵</t>
    <phoneticPr fontId="4" type="noConversion"/>
  </si>
  <si>
    <t>是否可签贸易协议</t>
    <phoneticPr fontId="4" type="noConversion"/>
  </si>
  <si>
    <t>trade_cooperation#int</t>
    <phoneticPr fontId="4" type="noConversion"/>
  </si>
  <si>
    <t>互不侵犯条约成本</t>
    <phoneticPr fontId="4" type="noConversion"/>
  </si>
  <si>
    <t>互不侵犯条约有效年数</t>
    <phoneticPr fontId="4" type="noConversion"/>
  </si>
  <si>
    <t>军事联盟条约成本</t>
    <phoneticPr fontId="4" type="noConversion"/>
  </si>
  <si>
    <t>军事联盟条约有效年数</t>
    <phoneticPr fontId="4" type="noConversion"/>
  </si>
  <si>
    <t>要求成为我的附庸成本</t>
    <phoneticPr fontId="4" type="noConversion"/>
  </si>
  <si>
    <t>contract1_price#int</t>
    <phoneticPr fontId="4" type="noConversion"/>
  </si>
  <si>
    <t>contract1_years#int</t>
    <phoneticPr fontId="4" type="noConversion"/>
  </si>
  <si>
    <t>contract2_price#int</t>
    <phoneticPr fontId="4" type="noConversion"/>
  </si>
  <si>
    <t>contract2_years#int</t>
    <phoneticPr fontId="4" type="noConversion"/>
  </si>
  <si>
    <t>contract3_price#int</t>
    <phoneticPr fontId="4" type="noConversion"/>
  </si>
  <si>
    <t>能征善战，崇尚武力征服，主张武力立国。掌控着火药和武器的定价权。
聚居着大量&lt;color=#4CB34C&gt;狼人&lt;/color&gt;。</t>
    <phoneticPr fontId="4" type="noConversion"/>
  </si>
  <si>
    <t>擅长操纵政治，招揽人心，主张农业立国。掌控着皮革和草药的定价权。
聚居着大量&lt;color=#4CB34C&gt;三眼人&lt;/color&gt;。</t>
    <phoneticPr fontId="4" type="noConversion"/>
  </si>
  <si>
    <t>擅长种植，掌控着蘑菇和小麦的定价权。
聚居着大量&lt;color=#4CB34C&gt;猪人&lt;/color&gt;。</t>
    <phoneticPr fontId="4" type="noConversion"/>
  </si>
  <si>
    <t>纵情声色，性情残暴，偏安一隅，谁给好处支持谁。掌握着甘蔗的定价权。
聚居着大量&lt;color=#4CB34C&gt;蚁人&lt;/color&gt;。</t>
    <phoneticPr fontId="4" type="noConversion"/>
  </si>
  <si>
    <t>擅长采矿冶炼，武器装备打造。掌控着盾牌和盔甲的定价权。
聚居着大量&lt;color=#4CB34C&gt;鼠人&lt;/color&gt;。</t>
    <phoneticPr fontId="4" type="noConversion"/>
  </si>
  <si>
    <t>擅长养殖，渔猎。掌控着肉类和肥料的定价权。
聚居着大量&lt;color=#4CB34C&gt;羊人&lt;/color&gt;和&lt;color=#4CB34C&gt;猫人&lt;/color&gt;。</t>
    <phoneticPr fontId="4" type="noConversion"/>
  </si>
  <si>
    <t>擅长贸易，富甲一方，主张商贸立国。掌控着宝石和蜂蜜的定价权。
聚居着大量&lt;color=#4CB34C&gt;蜥蜴人&lt;/color&gt;和&lt;color=#4CB34C&gt;精灵&lt;/color&gt;。</t>
    <phoneticPr fontId="4" type="noConversion"/>
  </si>
  <si>
    <t>武断专权，固步自封，因循守旧，垂垂老矣。</t>
    <phoneticPr fontId="4" type="noConversion"/>
  </si>
  <si>
    <t>是否是AI领主</t>
    <phoneticPr fontId="4" type="noConversion"/>
  </si>
  <si>
    <t>is_ai_sub_lord#int</t>
    <phoneticPr fontId="4" type="noConversion"/>
  </si>
  <si>
    <t>soldier_count_of_reinforcement_for_player#int</t>
    <phoneticPr fontId="4" type="noConversion"/>
  </si>
  <si>
    <t>给玩家的援兵数量</t>
    <phoneticPr fontId="4" type="noConversion"/>
  </si>
  <si>
    <t>援兵兵种</t>
    <phoneticPr fontId="4" type="noConversion"/>
  </si>
  <si>
    <t>soldier_type_id_of_reinforcement_for_player#int</t>
    <phoneticPr fontId="4" type="noConversion"/>
  </si>
  <si>
    <t>萨满教</t>
    <phoneticPr fontId="4" type="noConversion"/>
  </si>
  <si>
    <t>仁义道</t>
    <phoneticPr fontId="4" type="noConversion"/>
  </si>
  <si>
    <t>士兵药水携带量</t>
    <phoneticPr fontId="4" type="noConversion"/>
  </si>
  <si>
    <t>pill_count_of_soldier#int</t>
    <phoneticPr fontId="4" type="noConversion"/>
  </si>
  <si>
    <t>士兵战斗标记</t>
    <phoneticPr fontId="4" type="noConversion"/>
  </si>
  <si>
    <t>notice_mark_soldier#str</t>
    <phoneticPr fontId="4" type="noConversion"/>
  </si>
  <si>
    <t>士兵战斗标记（补刀）</t>
    <phoneticPr fontId="4" type="noConversion"/>
  </si>
  <si>
    <t>notice_mark_soldier_perform_finish_kill#str</t>
  </si>
  <si>
    <t>notice_mark_soldier_8</t>
    <phoneticPr fontId="4" type="noConversion"/>
  </si>
  <si>
    <t>notice_mark_soldier_0</t>
    <phoneticPr fontId="4" type="noConversion"/>
  </si>
  <si>
    <t>notice_mark_soldier_1</t>
  </si>
  <si>
    <t>notice_mark_soldier_2</t>
  </si>
  <si>
    <t>notice_mark_soldier_3</t>
  </si>
  <si>
    <t>notice_mark_soldier_4</t>
  </si>
  <si>
    <t>notice_mark_soldier_5</t>
  </si>
  <si>
    <t>notice_mark_soldier_6</t>
  </si>
  <si>
    <t>notice_mark_soldier_7</t>
  </si>
  <si>
    <t>notice_mark_soldier_9</t>
    <phoneticPr fontId="4" type="noConversion"/>
  </si>
  <si>
    <t>notice_mark_soldier_10</t>
  </si>
  <si>
    <t>notice_mark_soldier_11</t>
  </si>
  <si>
    <t>notice_mark_soldier_12</t>
  </si>
  <si>
    <t>notice_mark_soldier_13</t>
  </si>
  <si>
    <t>notice_mark_soldier_15</t>
  </si>
  <si>
    <t>notice_mark_soldier_16</t>
  </si>
  <si>
    <t>notice_mark_soldier_17</t>
  </si>
  <si>
    <t>notice_mark_soldier_18</t>
  </si>
  <si>
    <t>notice_mark_soldier_19</t>
  </si>
  <si>
    <t>notice_mark_soldier_20</t>
  </si>
  <si>
    <t>notice_mark_soldier_14</t>
    <phoneticPr fontId="4" type="noConversion"/>
  </si>
  <si>
    <t>notice_mark_soldier_21</t>
    <phoneticPr fontId="4" type="noConversion"/>
  </si>
  <si>
    <t>notice_mark_soldier_22</t>
    <phoneticPr fontId="4" type="noConversion"/>
  </si>
  <si>
    <t>notice_mark_soldier_23</t>
    <phoneticPr fontId="4" type="noConversion"/>
  </si>
  <si>
    <t>notice_mark_soldier_24</t>
  </si>
  <si>
    <t>notice_mark_soldier_25</t>
  </si>
  <si>
    <t>notice_mark_soldier_26</t>
  </si>
  <si>
    <t>notice_mark_soldier_27</t>
    <phoneticPr fontId="4" type="noConversion"/>
  </si>
  <si>
    <t>默认徽标</t>
    <phoneticPr fontId="4" type="noConversion"/>
  </si>
  <si>
    <t>badge_castle_0</t>
    <phoneticPr fontId="4" type="noConversion"/>
  </si>
  <si>
    <t>badge_castle_1</t>
  </si>
  <si>
    <t>badge_castle_2</t>
  </si>
  <si>
    <t>badge_castle_3</t>
  </si>
  <si>
    <t>badge_castle_4</t>
  </si>
  <si>
    <t>badge_castle_5</t>
  </si>
  <si>
    <t>badge_castle_6</t>
  </si>
  <si>
    <t>badge_castle_7</t>
  </si>
  <si>
    <t>badge_king#str</t>
    <phoneticPr fontId="4" type="noConversion"/>
  </si>
  <si>
    <t>badge_castle_8</t>
    <phoneticPr fontId="4" type="noConversion"/>
  </si>
  <si>
    <t>badge_king_8</t>
    <phoneticPr fontId="4" type="noConversion"/>
  </si>
  <si>
    <t>badge_king_0</t>
    <phoneticPr fontId="4" type="noConversion"/>
  </si>
  <si>
    <t>badge_king_1</t>
  </si>
  <si>
    <t>badge_king_2</t>
  </si>
  <si>
    <t>badge_king_3</t>
  </si>
  <si>
    <t>badge_king_4</t>
  </si>
  <si>
    <t>badge_king_5</t>
  </si>
  <si>
    <t>badge_king_6</t>
  </si>
  <si>
    <t>badge_king_7</t>
  </si>
  <si>
    <t>badge_castle#str</t>
    <phoneticPr fontId="4" type="noConversion"/>
  </si>
  <si>
    <t>badge_village#str</t>
    <phoneticPr fontId="4" type="noConversion"/>
  </si>
  <si>
    <t>badge_village_in_war#str</t>
    <phoneticPr fontId="4" type="noConversion"/>
  </si>
  <si>
    <t>村庄徽标</t>
    <phoneticPr fontId="4" type="noConversion"/>
  </si>
  <si>
    <t>村庄徽标（战斗中）</t>
    <phoneticPr fontId="4" type="noConversion"/>
  </si>
  <si>
    <t>badge_village_in_war_8</t>
    <phoneticPr fontId="4" type="noConversion"/>
  </si>
  <si>
    <t>badge_village_in_war_0</t>
    <phoneticPr fontId="4" type="noConversion"/>
  </si>
  <si>
    <t>badge_village_8</t>
    <phoneticPr fontId="4" type="noConversion"/>
  </si>
  <si>
    <t>badge_village_0</t>
    <phoneticPr fontId="4" type="noConversion"/>
  </si>
  <si>
    <t>badge_village_1</t>
  </si>
  <si>
    <t>badge_village_in_war_1</t>
  </si>
  <si>
    <t>badge_village_2</t>
  </si>
  <si>
    <t>badge_village_in_war_2</t>
  </si>
  <si>
    <t>badge_village_3</t>
  </si>
  <si>
    <t>badge_village_in_war_3</t>
  </si>
  <si>
    <t>badge_village_4</t>
  </si>
  <si>
    <t>badge_village_in_war_4</t>
  </si>
  <si>
    <t>badge_village_5</t>
  </si>
  <si>
    <t>badge_village_in_war_5</t>
  </si>
  <si>
    <t>badge_village_6</t>
  </si>
  <si>
    <t>badge_village_in_war_6</t>
  </si>
  <si>
    <t>badge_village_7</t>
  </si>
  <si>
    <t>badge_village_in_war_7</t>
  </si>
  <si>
    <t>蓝蚂蚁</t>
    <phoneticPr fontId="4" type="noConversion"/>
  </si>
  <si>
    <t>红蚂蚁</t>
    <phoneticPr fontId="4" type="noConversion"/>
  </si>
  <si>
    <t>是否是领主</t>
    <phoneticPr fontId="4" type="noConversion"/>
  </si>
  <si>
    <r>
      <t>i</t>
    </r>
    <r>
      <rPr>
        <sz val="11"/>
        <color theme="1"/>
        <rFont val="宋体"/>
        <family val="3"/>
        <charset val="134"/>
        <scheme val="minor"/>
      </rPr>
      <t>s_lord#int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</si>
</sst>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>
    <font>
      <sz val="11"/>
      <color theme="1"/>
      <name val="宋体"/>
      <charset val="134"/>
      <scheme val="minor"/>
    </font>
    <font>
      <sz val="10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26">
    <xf numFmtId="0" fontId="0" fillId="0" borderId="0" xfId="0">
      <alignment vertical="center"/>
    </xf>
    <xf numFmtId="0" fontId="3" fillId="0" borderId="1" xfId="1" applyBorder="1" applyAlignment="1">
      <alignment horizontal="left" wrapText="1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0" borderId="1" xfId="1" applyBorder="1" applyAlignment="1">
      <alignment horizontal="left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3" fillId="0" borderId="1" xfId="1" applyBorder="1"/>
    <xf numFmtId="0" fontId="2" fillId="0" borderId="1" xfId="0" applyFont="1" applyBorder="1" applyAlignment="1"/>
    <xf numFmtId="0" fontId="2" fillId="0" borderId="1" xfId="0" applyFont="1" applyBorder="1">
      <alignment vertical="center"/>
    </xf>
    <xf numFmtId="176" fontId="5" fillId="0" borderId="1" xfId="1" applyNumberFormat="1" applyFont="1" applyBorder="1" applyAlignment="1">
      <alignment wrapText="1"/>
    </xf>
    <xf numFmtId="0" fontId="2" fillId="0" borderId="1" xfId="1" applyFont="1" applyBorder="1"/>
    <xf numFmtId="0" fontId="2" fillId="0" borderId="2" xfId="1" applyFont="1" applyBorder="1"/>
    <xf numFmtId="0" fontId="2" fillId="0" borderId="1" xfId="1" applyFont="1" applyBorder="1" applyAlignment="1">
      <alignment wrapText="1"/>
    </xf>
    <xf numFmtId="0" fontId="2" fillId="3" borderId="1" xfId="1" applyFont="1" applyFill="1" applyBorder="1"/>
    <xf numFmtId="0" fontId="2" fillId="2" borderId="1" xfId="1" applyFont="1" applyFill="1" applyBorder="1"/>
    <xf numFmtId="0" fontId="2" fillId="0" borderId="2" xfId="1" applyFont="1" applyBorder="1" applyAlignment="1">
      <alignment wrapText="1"/>
    </xf>
    <xf numFmtId="0" fontId="2" fillId="2" borderId="2" xfId="1" applyFont="1" applyFill="1" applyBorder="1"/>
    <xf numFmtId="0" fontId="2" fillId="3" borderId="1" xfId="0" applyFont="1" applyFill="1" applyBorder="1" applyAlignment="1"/>
    <xf numFmtId="0" fontId="2" fillId="2" borderId="1" xfId="0" applyFont="1" applyFill="1" applyBorder="1" applyAlignment="1"/>
    <xf numFmtId="0" fontId="2" fillId="4" borderId="1" xfId="0" applyFont="1" applyFill="1" applyBorder="1" applyAlignment="1"/>
    <xf numFmtId="0" fontId="2" fillId="0" borderId="2" xfId="1" applyFont="1" applyBorder="1" applyAlignment="1">
      <alignment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 applyAlignment="1"/>
    <xf numFmtId="0" fontId="2" fillId="0" borderId="1" xfId="0" applyFont="1" applyBorder="1" applyAlignment="1">
      <alignment vertical="center" wrapText="1"/>
    </xf>
    <xf numFmtId="0" fontId="2" fillId="0" borderId="1" xfId="1" applyFont="1" applyBorder="1" applyAlignmen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"/>
  <sheetViews>
    <sheetView workbookViewId="0">
      <selection activeCell="AS6" sqref="AS6"/>
    </sheetView>
  </sheetViews>
  <sheetFormatPr defaultColWidth="9" defaultRowHeight="13.5"/>
  <cols>
    <col min="1" max="1" width="8.75" customWidth="1"/>
    <col min="2" max="2" width="9.625" customWidth="1"/>
    <col min="3" max="3" width="24.625" customWidth="1"/>
    <col min="4" max="4" width="20.5" customWidth="1"/>
    <col min="5" max="8" width="15.125" customWidth="1"/>
    <col min="9" max="16" width="9.625" customWidth="1"/>
    <col min="17" max="17" width="16.375" customWidth="1"/>
    <col min="18" max="18" width="17.25" customWidth="1"/>
    <col min="19" max="26" width="9.125" customWidth="1"/>
    <col min="27" max="27" width="37.125" customWidth="1"/>
    <col min="28" max="29" width="10.75" customWidth="1"/>
    <col min="30" max="30" width="15.125" customWidth="1"/>
    <col min="31" max="31" width="10.75" customWidth="1"/>
    <col min="32" max="34" width="9.125" customWidth="1"/>
    <col min="35" max="35" width="10" customWidth="1"/>
    <col min="36" max="36" width="38.5" customWidth="1"/>
  </cols>
  <sheetData>
    <row r="1" spans="1:36">
      <c r="A1" s="1" t="s">
        <v>0</v>
      </c>
      <c r="B1" s="2" t="s">
        <v>1</v>
      </c>
      <c r="C1" s="9" t="s">
        <v>133</v>
      </c>
      <c r="D1" s="9" t="s">
        <v>135</v>
      </c>
      <c r="E1" s="9" t="s">
        <v>165</v>
      </c>
      <c r="F1" s="9" t="s">
        <v>165</v>
      </c>
      <c r="G1" s="9" t="s">
        <v>188</v>
      </c>
      <c r="H1" s="9" t="s">
        <v>189</v>
      </c>
      <c r="I1" s="9" t="s">
        <v>131</v>
      </c>
      <c r="J1" s="9" t="s">
        <v>105</v>
      </c>
      <c r="K1" s="9" t="s">
        <v>106</v>
      </c>
      <c r="L1" s="9" t="s">
        <v>107</v>
      </c>
      <c r="M1" s="9" t="s">
        <v>108</v>
      </c>
      <c r="N1" s="9" t="s">
        <v>109</v>
      </c>
      <c r="O1" s="9" t="s">
        <v>126</v>
      </c>
      <c r="P1" s="9" t="s">
        <v>127</v>
      </c>
      <c r="Q1" s="9" t="s">
        <v>67</v>
      </c>
      <c r="R1" s="9" t="s">
        <v>68</v>
      </c>
      <c r="S1" s="2"/>
      <c r="T1" s="9" t="s">
        <v>210</v>
      </c>
      <c r="U1" s="9" t="s">
        <v>123</v>
      </c>
      <c r="V1" s="9" t="s">
        <v>61</v>
      </c>
      <c r="W1" s="9" t="s">
        <v>63</v>
      </c>
      <c r="X1" s="9" t="s">
        <v>59</v>
      </c>
      <c r="Y1" s="9" t="s">
        <v>65</v>
      </c>
      <c r="Z1" s="9" t="s">
        <v>103</v>
      </c>
      <c r="AA1" s="2"/>
      <c r="AB1" s="9" t="s">
        <v>26</v>
      </c>
      <c r="AC1" s="9" t="s">
        <v>28</v>
      </c>
      <c r="AD1" s="9" t="s">
        <v>30</v>
      </c>
      <c r="AE1" s="9" t="s">
        <v>32</v>
      </c>
      <c r="AF1" s="9" t="s">
        <v>20</v>
      </c>
      <c r="AG1" s="9" t="s">
        <v>22</v>
      </c>
      <c r="AH1" s="9"/>
      <c r="AI1" s="3" t="s">
        <v>2</v>
      </c>
      <c r="AJ1" s="22" t="s">
        <v>2</v>
      </c>
    </row>
    <row r="2" spans="1:36">
      <c r="A2" s="4" t="s">
        <v>3</v>
      </c>
      <c r="B2" s="9" t="s">
        <v>19</v>
      </c>
      <c r="C2" s="9" t="s">
        <v>134</v>
      </c>
      <c r="D2" s="9" t="s">
        <v>136</v>
      </c>
      <c r="E2" s="9" t="s">
        <v>185</v>
      </c>
      <c r="F2" s="9" t="s">
        <v>174</v>
      </c>
      <c r="G2" s="9" t="s">
        <v>186</v>
      </c>
      <c r="H2" s="9" t="s">
        <v>187</v>
      </c>
      <c r="I2" s="9" t="s">
        <v>132</v>
      </c>
      <c r="J2" s="9" t="s">
        <v>110</v>
      </c>
      <c r="K2" s="9" t="s">
        <v>111</v>
      </c>
      <c r="L2" s="9" t="s">
        <v>112</v>
      </c>
      <c r="M2" s="9" t="s">
        <v>113</v>
      </c>
      <c r="N2" s="9" t="s">
        <v>114</v>
      </c>
      <c r="O2" s="9" t="s">
        <v>125</v>
      </c>
      <c r="P2" s="9" t="s">
        <v>128</v>
      </c>
      <c r="Q2" s="9" t="s">
        <v>69</v>
      </c>
      <c r="R2" s="9" t="s">
        <v>70</v>
      </c>
      <c r="S2" s="2" t="s">
        <v>4</v>
      </c>
      <c r="T2" s="9" t="s">
        <v>211</v>
      </c>
      <c r="U2" s="9" t="s">
        <v>124</v>
      </c>
      <c r="V2" s="9" t="s">
        <v>62</v>
      </c>
      <c r="W2" s="9" t="s">
        <v>64</v>
      </c>
      <c r="X2" s="9" t="s">
        <v>60</v>
      </c>
      <c r="Y2" s="9" t="s">
        <v>66</v>
      </c>
      <c r="Z2" s="9" t="s">
        <v>104</v>
      </c>
      <c r="AA2" s="9" t="s">
        <v>24</v>
      </c>
      <c r="AB2" s="9" t="s">
        <v>24</v>
      </c>
      <c r="AC2" s="9" t="s">
        <v>24</v>
      </c>
      <c r="AD2" s="9" t="s">
        <v>24</v>
      </c>
      <c r="AE2" s="9" t="s">
        <v>24</v>
      </c>
      <c r="AF2" s="9" t="s">
        <v>21</v>
      </c>
      <c r="AG2" s="9" t="s">
        <v>23</v>
      </c>
      <c r="AH2" s="9" t="s">
        <v>24</v>
      </c>
      <c r="AI2" s="5" t="str">
        <f>CONCATENATE("kingdom_name_",AI1,"#str")</f>
        <v>kingdom_name_zh-CN#str</v>
      </c>
      <c r="AJ2" s="5" t="str">
        <f>CONCATENATE("kingdom_desc_",AJ1,"#str")</f>
        <v>kingdom_desc_zh-CN#str</v>
      </c>
    </row>
    <row r="3" spans="1:36">
      <c r="A3" s="4">
        <v>1</v>
      </c>
      <c r="B3" s="8" t="str">
        <f>AI3</f>
        <v>我</v>
      </c>
      <c r="C3" s="8" t="s">
        <v>137</v>
      </c>
      <c r="D3" s="8" t="s">
        <v>159</v>
      </c>
      <c r="E3" s="8" t="s">
        <v>175</v>
      </c>
      <c r="F3" s="8" t="s">
        <v>176</v>
      </c>
      <c r="G3" s="8" t="s">
        <v>192</v>
      </c>
      <c r="H3" s="8" t="s">
        <v>190</v>
      </c>
      <c r="I3" s="8">
        <v>1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 t="s">
        <v>71</v>
      </c>
      <c r="R3" s="8" t="s">
        <v>72</v>
      </c>
      <c r="S3" s="2" t="s">
        <v>6</v>
      </c>
      <c r="T3" s="2">
        <v>1</v>
      </c>
      <c r="U3" s="2">
        <v>0</v>
      </c>
      <c r="V3" s="9">
        <v>4</v>
      </c>
      <c r="W3" s="9">
        <v>0</v>
      </c>
      <c r="X3" s="9">
        <v>0</v>
      </c>
      <c r="Y3" s="9">
        <v>0</v>
      </c>
      <c r="Z3" s="9">
        <v>0</v>
      </c>
      <c r="AA3" s="9"/>
      <c r="AB3" s="9"/>
      <c r="AC3" s="9"/>
      <c r="AD3" s="9"/>
      <c r="AE3" s="9"/>
      <c r="AF3" s="2">
        <v>0</v>
      </c>
      <c r="AG3" s="2">
        <v>0</v>
      </c>
      <c r="AH3" s="2"/>
      <c r="AI3" s="2" t="s">
        <v>5</v>
      </c>
      <c r="AJ3" s="2"/>
    </row>
    <row r="4" spans="1:36" ht="15">
      <c r="A4" s="4">
        <v>100</v>
      </c>
      <c r="B4" s="8" t="str">
        <f t="shared" ref="B4:B14" si="0">AI4</f>
        <v>国王</v>
      </c>
      <c r="C4" s="8" t="s">
        <v>138</v>
      </c>
      <c r="D4" s="8" t="s">
        <v>157</v>
      </c>
      <c r="E4" s="8" t="s">
        <v>166</v>
      </c>
      <c r="F4" s="8" t="s">
        <v>177</v>
      </c>
      <c r="G4" s="8" t="s">
        <v>193</v>
      </c>
      <c r="H4" s="8" t="s">
        <v>191</v>
      </c>
      <c r="I4" s="8">
        <v>3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 t="s">
        <v>91</v>
      </c>
      <c r="R4" s="8" t="s">
        <v>92</v>
      </c>
      <c r="S4" s="2" t="s">
        <v>8</v>
      </c>
      <c r="T4" s="2">
        <v>1</v>
      </c>
      <c r="U4" s="2">
        <v>0</v>
      </c>
      <c r="V4" s="2">
        <v>0</v>
      </c>
      <c r="W4" s="2">
        <v>0</v>
      </c>
      <c r="X4" s="2">
        <v>4</v>
      </c>
      <c r="Y4" s="2">
        <v>1</v>
      </c>
      <c r="Z4" s="2">
        <v>0</v>
      </c>
      <c r="AA4" s="2"/>
      <c r="AB4" s="2"/>
      <c r="AC4" s="2"/>
      <c r="AD4" s="2"/>
      <c r="AE4" s="2"/>
      <c r="AF4" s="10">
        <v>38</v>
      </c>
      <c r="AG4" s="5">
        <v>901004</v>
      </c>
      <c r="AH4" s="8" t="s">
        <v>129</v>
      </c>
      <c r="AI4" s="2" t="s">
        <v>7</v>
      </c>
      <c r="AJ4" s="9" t="s">
        <v>122</v>
      </c>
    </row>
    <row r="5" spans="1:36" ht="69">
      <c r="A5" s="6">
        <v>101</v>
      </c>
      <c r="B5" s="18" t="str">
        <f t="shared" si="0"/>
        <v>平王</v>
      </c>
      <c r="C5" s="8" t="s">
        <v>139</v>
      </c>
      <c r="D5" s="8" t="s">
        <v>151</v>
      </c>
      <c r="E5" s="8" t="s">
        <v>167</v>
      </c>
      <c r="F5" s="8" t="s">
        <v>178</v>
      </c>
      <c r="G5" s="8" t="s">
        <v>194</v>
      </c>
      <c r="H5" s="8" t="s">
        <v>195</v>
      </c>
      <c r="I5" s="18">
        <v>3</v>
      </c>
      <c r="J5" s="8">
        <v>30000</v>
      </c>
      <c r="K5" s="8">
        <v>20</v>
      </c>
      <c r="L5" s="8">
        <v>50000</v>
      </c>
      <c r="M5" s="8">
        <v>20</v>
      </c>
      <c r="N5" s="8">
        <v>1000000</v>
      </c>
      <c r="O5" s="8">
        <v>60</v>
      </c>
      <c r="P5" s="5">
        <v>202404</v>
      </c>
      <c r="Q5" s="8" t="s">
        <v>87</v>
      </c>
      <c r="R5" s="8" t="s">
        <v>88</v>
      </c>
      <c r="S5" s="7" t="s">
        <v>9</v>
      </c>
      <c r="T5" s="2">
        <v>1</v>
      </c>
      <c r="U5" s="2">
        <v>1</v>
      </c>
      <c r="V5" s="14">
        <v>1</v>
      </c>
      <c r="W5" s="14">
        <v>1</v>
      </c>
      <c r="X5" s="14">
        <v>0</v>
      </c>
      <c r="Y5" s="2">
        <v>1</v>
      </c>
      <c r="Z5" s="2">
        <v>1</v>
      </c>
      <c r="AA5" s="13" t="s">
        <v>25</v>
      </c>
      <c r="AB5" s="13" t="s">
        <v>27</v>
      </c>
      <c r="AC5" s="13" t="s">
        <v>29</v>
      </c>
      <c r="AD5" s="13" t="s">
        <v>31</v>
      </c>
      <c r="AE5" s="13" t="s">
        <v>33</v>
      </c>
      <c r="AF5" s="10">
        <v>46</v>
      </c>
      <c r="AG5" s="5">
        <v>901001</v>
      </c>
      <c r="AH5" s="23" t="s">
        <v>41</v>
      </c>
      <c r="AI5" s="14" t="s">
        <v>97</v>
      </c>
      <c r="AJ5" s="9" t="s">
        <v>115</v>
      </c>
    </row>
    <row r="6" spans="1:36" ht="55.5">
      <c r="A6" s="6">
        <v>102</v>
      </c>
      <c r="B6" s="19" t="str">
        <f>AI6</f>
        <v>宣王</v>
      </c>
      <c r="C6" s="8" t="s">
        <v>140</v>
      </c>
      <c r="D6" s="8" t="s">
        <v>152</v>
      </c>
      <c r="E6" s="8" t="s">
        <v>168</v>
      </c>
      <c r="F6" s="8" t="s">
        <v>179</v>
      </c>
      <c r="G6" s="8" t="s">
        <v>196</v>
      </c>
      <c r="H6" s="8" t="s">
        <v>197</v>
      </c>
      <c r="I6" s="19">
        <v>3</v>
      </c>
      <c r="J6" s="8">
        <v>10000</v>
      </c>
      <c r="K6" s="8">
        <v>20</v>
      </c>
      <c r="L6" s="8">
        <v>10000</v>
      </c>
      <c r="M6" s="8">
        <v>20</v>
      </c>
      <c r="N6" s="8">
        <v>1000000</v>
      </c>
      <c r="O6" s="8">
        <v>50</v>
      </c>
      <c r="P6" s="5">
        <v>202704</v>
      </c>
      <c r="Q6" s="8" t="s">
        <v>77</v>
      </c>
      <c r="R6" s="8" t="s">
        <v>78</v>
      </c>
      <c r="S6" s="7" t="s">
        <v>10</v>
      </c>
      <c r="T6" s="2">
        <v>1</v>
      </c>
      <c r="U6" s="2">
        <v>1</v>
      </c>
      <c r="V6" s="15">
        <v>2</v>
      </c>
      <c r="W6" s="15">
        <v>1</v>
      </c>
      <c r="X6" s="15">
        <v>4</v>
      </c>
      <c r="Y6" s="2">
        <v>1</v>
      </c>
      <c r="Z6" s="2">
        <v>1</v>
      </c>
      <c r="AA6" s="13" t="s">
        <v>35</v>
      </c>
      <c r="AB6" s="11" t="s">
        <v>36</v>
      </c>
      <c r="AC6" s="13" t="s">
        <v>38</v>
      </c>
      <c r="AD6" s="13" t="s">
        <v>53</v>
      </c>
      <c r="AE6" s="13" t="s">
        <v>39</v>
      </c>
      <c r="AF6" s="10">
        <v>19</v>
      </c>
      <c r="AG6" s="5">
        <v>901002</v>
      </c>
      <c r="AH6" s="8" t="s">
        <v>130</v>
      </c>
      <c r="AI6" s="15" t="s">
        <v>96</v>
      </c>
      <c r="AJ6" s="24" t="s">
        <v>116</v>
      </c>
    </row>
    <row r="7" spans="1:36" ht="42">
      <c r="A7" s="6">
        <v>103</v>
      </c>
      <c r="B7" s="19" t="str">
        <f t="shared" si="0"/>
        <v>北王</v>
      </c>
      <c r="C7" s="8" t="s">
        <v>141</v>
      </c>
      <c r="D7" s="8" t="s">
        <v>153</v>
      </c>
      <c r="E7" s="8" t="s">
        <v>169</v>
      </c>
      <c r="F7" s="8" t="s">
        <v>180</v>
      </c>
      <c r="G7" s="8" t="s">
        <v>198</v>
      </c>
      <c r="H7" s="8" t="s">
        <v>199</v>
      </c>
      <c r="I7" s="19">
        <v>2</v>
      </c>
      <c r="J7" s="8">
        <v>10000</v>
      </c>
      <c r="K7" s="8">
        <v>20</v>
      </c>
      <c r="L7" s="8">
        <v>10000</v>
      </c>
      <c r="M7" s="8">
        <v>20</v>
      </c>
      <c r="N7" s="8">
        <v>1000000</v>
      </c>
      <c r="O7" s="8">
        <v>50</v>
      </c>
      <c r="P7" s="5">
        <v>202502</v>
      </c>
      <c r="Q7" s="8" t="s">
        <v>85</v>
      </c>
      <c r="R7" s="8" t="s">
        <v>80</v>
      </c>
      <c r="S7" s="7" t="s">
        <v>11</v>
      </c>
      <c r="T7" s="2">
        <v>1</v>
      </c>
      <c r="U7" s="2">
        <v>1</v>
      </c>
      <c r="V7" s="15">
        <v>2</v>
      </c>
      <c r="W7" s="15">
        <v>0</v>
      </c>
      <c r="X7" s="15">
        <v>4</v>
      </c>
      <c r="Y7" s="2">
        <v>1</v>
      </c>
      <c r="Z7" s="2">
        <v>1</v>
      </c>
      <c r="AA7" s="13" t="s">
        <v>100</v>
      </c>
      <c r="AB7" s="11" t="s">
        <v>37</v>
      </c>
      <c r="AC7" s="11" t="s">
        <v>48</v>
      </c>
      <c r="AD7" s="13" t="s">
        <v>51</v>
      </c>
      <c r="AE7" s="13" t="s">
        <v>54</v>
      </c>
      <c r="AF7" s="10">
        <v>18</v>
      </c>
      <c r="AG7" s="5">
        <v>901004</v>
      </c>
      <c r="AH7" s="8" t="s">
        <v>129</v>
      </c>
      <c r="AI7" s="9" t="s">
        <v>99</v>
      </c>
      <c r="AJ7" s="24" t="s">
        <v>117</v>
      </c>
    </row>
    <row r="8" spans="1:36" ht="69">
      <c r="A8" s="6">
        <v>104</v>
      </c>
      <c r="B8" s="8" t="str">
        <f>AI8</f>
        <v>逍遥王</v>
      </c>
      <c r="C8" s="8" t="s">
        <v>142</v>
      </c>
      <c r="D8" s="8" t="s">
        <v>154</v>
      </c>
      <c r="E8" s="8" t="s">
        <v>170</v>
      </c>
      <c r="F8" s="8" t="s">
        <v>181</v>
      </c>
      <c r="G8" s="8" t="s">
        <v>200</v>
      </c>
      <c r="H8" s="8" t="s">
        <v>201</v>
      </c>
      <c r="I8" s="8">
        <v>2</v>
      </c>
      <c r="J8" s="8">
        <v>10000</v>
      </c>
      <c r="K8" s="8">
        <v>20</v>
      </c>
      <c r="L8" s="8">
        <v>10000</v>
      </c>
      <c r="M8" s="8">
        <v>20</v>
      </c>
      <c r="N8" s="8">
        <v>1000000</v>
      </c>
      <c r="O8" s="8">
        <v>50</v>
      </c>
      <c r="P8" s="5">
        <v>202102</v>
      </c>
      <c r="Q8" s="8" t="s">
        <v>86</v>
      </c>
      <c r="R8" s="8" t="s">
        <v>81</v>
      </c>
      <c r="S8" s="7" t="s">
        <v>12</v>
      </c>
      <c r="T8" s="2">
        <v>1</v>
      </c>
      <c r="U8" s="2">
        <v>1</v>
      </c>
      <c r="V8" s="15">
        <v>0</v>
      </c>
      <c r="W8" s="15">
        <v>0</v>
      </c>
      <c r="X8" s="15">
        <v>5</v>
      </c>
      <c r="Y8" s="2">
        <v>1</v>
      </c>
      <c r="Z8" s="2">
        <v>1</v>
      </c>
      <c r="AA8" s="13" t="s">
        <v>47</v>
      </c>
      <c r="AB8" s="11" t="s">
        <v>44</v>
      </c>
      <c r="AC8" s="11" t="s">
        <v>48</v>
      </c>
      <c r="AD8" s="13" t="s">
        <v>49</v>
      </c>
      <c r="AE8" s="13" t="s">
        <v>56</v>
      </c>
      <c r="AF8" s="10">
        <v>43</v>
      </c>
      <c r="AG8" s="5">
        <v>901004</v>
      </c>
      <c r="AH8" s="8" t="s">
        <v>129</v>
      </c>
      <c r="AI8" s="9" t="s">
        <v>93</v>
      </c>
      <c r="AJ8" s="24" t="s">
        <v>118</v>
      </c>
    </row>
    <row r="9" spans="1:36" ht="54">
      <c r="A9" s="6">
        <v>105</v>
      </c>
      <c r="B9" s="18" t="str">
        <f t="shared" si="0"/>
        <v>南洋王</v>
      </c>
      <c r="C9" s="8" t="s">
        <v>143</v>
      </c>
      <c r="D9" s="8" t="s">
        <v>155</v>
      </c>
      <c r="E9" s="8" t="s">
        <v>171</v>
      </c>
      <c r="F9" s="8" t="s">
        <v>182</v>
      </c>
      <c r="G9" s="8" t="s">
        <v>202</v>
      </c>
      <c r="H9" s="8" t="s">
        <v>203</v>
      </c>
      <c r="I9" s="18">
        <v>2</v>
      </c>
      <c r="J9" s="8">
        <v>20000</v>
      </c>
      <c r="K9" s="8">
        <v>20</v>
      </c>
      <c r="L9" s="8">
        <v>30000</v>
      </c>
      <c r="M9" s="8">
        <v>20</v>
      </c>
      <c r="N9" s="8">
        <v>1000000</v>
      </c>
      <c r="O9" s="8">
        <v>50</v>
      </c>
      <c r="P9" s="5">
        <v>202304</v>
      </c>
      <c r="Q9" s="8" t="s">
        <v>75</v>
      </c>
      <c r="R9" s="8" t="s">
        <v>76</v>
      </c>
      <c r="S9" s="7" t="s">
        <v>13</v>
      </c>
      <c r="T9" s="2">
        <v>1</v>
      </c>
      <c r="U9" s="2">
        <v>1</v>
      </c>
      <c r="V9" s="15">
        <v>1</v>
      </c>
      <c r="W9" s="15">
        <v>0</v>
      </c>
      <c r="X9" s="15">
        <v>4</v>
      </c>
      <c r="Y9" s="2">
        <v>1</v>
      </c>
      <c r="Z9" s="2">
        <v>1</v>
      </c>
      <c r="AA9" s="13" t="s">
        <v>101</v>
      </c>
      <c r="AB9" s="11" t="s">
        <v>34</v>
      </c>
      <c r="AC9" s="11" t="s">
        <v>48</v>
      </c>
      <c r="AD9" s="13" t="s">
        <v>58</v>
      </c>
      <c r="AE9" s="13" t="s">
        <v>55</v>
      </c>
      <c r="AF9" s="10">
        <v>59</v>
      </c>
      <c r="AG9" s="5">
        <v>901001</v>
      </c>
      <c r="AH9" s="23" t="s">
        <v>41</v>
      </c>
      <c r="AI9" s="9" t="s">
        <v>94</v>
      </c>
      <c r="AJ9" s="24" t="s">
        <v>119</v>
      </c>
    </row>
    <row r="10" spans="1:36" ht="54">
      <c r="A10" s="6">
        <v>106</v>
      </c>
      <c r="B10" s="19" t="str">
        <f t="shared" si="0"/>
        <v>西洋王</v>
      </c>
      <c r="C10" s="8" t="s">
        <v>144</v>
      </c>
      <c r="D10" s="8" t="s">
        <v>156</v>
      </c>
      <c r="E10" s="8" t="s">
        <v>172</v>
      </c>
      <c r="F10" s="8" t="s">
        <v>183</v>
      </c>
      <c r="G10" s="8" t="s">
        <v>204</v>
      </c>
      <c r="H10" s="8" t="s">
        <v>205</v>
      </c>
      <c r="I10" s="19">
        <v>2</v>
      </c>
      <c r="J10" s="8">
        <v>10000</v>
      </c>
      <c r="K10" s="8">
        <v>20</v>
      </c>
      <c r="L10" s="8">
        <v>10000</v>
      </c>
      <c r="M10" s="8">
        <v>20</v>
      </c>
      <c r="N10" s="8">
        <v>1000000</v>
      </c>
      <c r="O10" s="8">
        <v>50</v>
      </c>
      <c r="P10" s="5">
        <v>202303</v>
      </c>
      <c r="Q10" s="8" t="s">
        <v>73</v>
      </c>
      <c r="R10" s="8" t="s">
        <v>74</v>
      </c>
      <c r="S10" s="7" t="s">
        <v>14</v>
      </c>
      <c r="T10" s="2">
        <v>1</v>
      </c>
      <c r="U10" s="2">
        <v>1</v>
      </c>
      <c r="V10" s="15">
        <v>2</v>
      </c>
      <c r="W10" s="15">
        <v>0</v>
      </c>
      <c r="X10" s="15">
        <v>4</v>
      </c>
      <c r="Y10" s="2">
        <v>1</v>
      </c>
      <c r="Z10" s="2">
        <v>1</v>
      </c>
      <c r="AA10" s="13" t="s">
        <v>102</v>
      </c>
      <c r="AB10" s="11" t="s">
        <v>50</v>
      </c>
      <c r="AC10" s="11" t="s">
        <v>48</v>
      </c>
      <c r="AD10" s="13" t="s">
        <v>52</v>
      </c>
      <c r="AE10" s="13" t="s">
        <v>54</v>
      </c>
      <c r="AF10" s="10">
        <v>5</v>
      </c>
      <c r="AG10" s="5">
        <v>901004</v>
      </c>
      <c r="AH10" s="5" t="s">
        <v>40</v>
      </c>
      <c r="AI10" s="9" t="s">
        <v>95</v>
      </c>
      <c r="AJ10" s="24" t="s">
        <v>120</v>
      </c>
    </row>
    <row r="11" spans="1:36" ht="69">
      <c r="A11" s="6">
        <v>107</v>
      </c>
      <c r="B11" s="20" t="str">
        <f t="shared" si="0"/>
        <v>商王</v>
      </c>
      <c r="C11" s="8" t="s">
        <v>145</v>
      </c>
      <c r="D11" s="8" t="s">
        <v>158</v>
      </c>
      <c r="E11" s="8" t="s">
        <v>173</v>
      </c>
      <c r="F11" s="8" t="s">
        <v>184</v>
      </c>
      <c r="G11" s="8" t="s">
        <v>206</v>
      </c>
      <c r="H11" s="8" t="s">
        <v>207</v>
      </c>
      <c r="I11" s="20">
        <v>3</v>
      </c>
      <c r="J11" s="8">
        <v>20000</v>
      </c>
      <c r="K11" s="8">
        <v>20</v>
      </c>
      <c r="L11" s="8">
        <v>20000</v>
      </c>
      <c r="M11" s="8">
        <v>20</v>
      </c>
      <c r="N11" s="8">
        <v>1000000</v>
      </c>
      <c r="O11" s="8">
        <v>60</v>
      </c>
      <c r="P11" s="5">
        <v>202304</v>
      </c>
      <c r="Q11" s="8" t="s">
        <v>89</v>
      </c>
      <c r="R11" s="8" t="s">
        <v>90</v>
      </c>
      <c r="S11" s="2" t="s">
        <v>15</v>
      </c>
      <c r="T11" s="2">
        <v>1</v>
      </c>
      <c r="U11" s="2">
        <v>1</v>
      </c>
      <c r="V11" s="17">
        <v>3</v>
      </c>
      <c r="W11" s="17">
        <v>1</v>
      </c>
      <c r="X11" s="15">
        <v>5</v>
      </c>
      <c r="Y11" s="2">
        <v>1</v>
      </c>
      <c r="Z11" s="2">
        <v>1</v>
      </c>
      <c r="AA11" s="16" t="s">
        <v>42</v>
      </c>
      <c r="AB11" s="12" t="s">
        <v>46</v>
      </c>
      <c r="AC11" s="16" t="s">
        <v>43</v>
      </c>
      <c r="AD11" s="13" t="s">
        <v>45</v>
      </c>
      <c r="AE11" s="16" t="s">
        <v>57</v>
      </c>
      <c r="AF11" s="10">
        <v>26</v>
      </c>
      <c r="AG11" s="5">
        <v>901002</v>
      </c>
      <c r="AH11" s="8" t="s">
        <v>130</v>
      </c>
      <c r="AI11" s="25" t="s">
        <v>98</v>
      </c>
      <c r="AJ11" s="24" t="s">
        <v>121</v>
      </c>
    </row>
    <row r="12" spans="1:36">
      <c r="A12" s="6">
        <v>97</v>
      </c>
      <c r="B12" s="8" t="str">
        <f t="shared" si="0"/>
        <v>野蛮人</v>
      </c>
      <c r="C12" s="8" t="s">
        <v>146</v>
      </c>
      <c r="D12" s="8" t="s">
        <v>160</v>
      </c>
      <c r="E12" s="8"/>
      <c r="F12" s="8"/>
      <c r="G12" s="8"/>
      <c r="H12" s="8"/>
      <c r="I12" s="8">
        <v>1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 t="s">
        <v>83</v>
      </c>
      <c r="R12" s="8" t="s">
        <v>84</v>
      </c>
      <c r="S12" s="7"/>
      <c r="T12" s="7">
        <v>0</v>
      </c>
      <c r="U12" s="2">
        <v>0</v>
      </c>
      <c r="V12" s="7">
        <v>0</v>
      </c>
      <c r="W12" s="7"/>
      <c r="X12" s="7">
        <v>0</v>
      </c>
      <c r="Y12" s="7">
        <v>0</v>
      </c>
      <c r="Z12" s="7">
        <v>0</v>
      </c>
      <c r="AA12" s="7"/>
      <c r="AB12" s="7"/>
      <c r="AC12" s="7"/>
      <c r="AD12" s="7"/>
      <c r="AE12" s="7"/>
      <c r="AF12" s="7">
        <v>0</v>
      </c>
      <c r="AG12" s="2">
        <v>0</v>
      </c>
      <c r="AH12" s="2"/>
      <c r="AI12" s="2" t="s">
        <v>16</v>
      </c>
      <c r="AJ12" s="2"/>
    </row>
    <row r="13" spans="1:36">
      <c r="A13" s="6">
        <v>99</v>
      </c>
      <c r="B13" s="8" t="str">
        <f t="shared" si="0"/>
        <v>怪物</v>
      </c>
      <c r="C13" s="8" t="s">
        <v>147</v>
      </c>
      <c r="D13" s="8" t="s">
        <v>161</v>
      </c>
      <c r="E13" s="8"/>
      <c r="F13" s="8"/>
      <c r="G13" s="8"/>
      <c r="H13" s="8"/>
      <c r="I13" s="8">
        <v>1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/>
      <c r="R13" s="8"/>
      <c r="S13" s="2"/>
      <c r="T13" s="7">
        <v>0</v>
      </c>
      <c r="U13" s="2">
        <v>0</v>
      </c>
      <c r="V13" s="2">
        <v>0</v>
      </c>
      <c r="W13" s="2"/>
      <c r="X13" s="2">
        <v>0</v>
      </c>
      <c r="Y13" s="2">
        <v>0</v>
      </c>
      <c r="Z13" s="2">
        <v>0</v>
      </c>
      <c r="AA13" s="2"/>
      <c r="AB13" s="2"/>
      <c r="AC13" s="2"/>
      <c r="AD13" s="2"/>
      <c r="AE13" s="2"/>
      <c r="AF13" s="2">
        <v>0</v>
      </c>
      <c r="AG13" s="2">
        <v>0</v>
      </c>
      <c r="AH13" s="2"/>
      <c r="AI13" s="2" t="s">
        <v>17</v>
      </c>
      <c r="AJ13" s="2"/>
    </row>
    <row r="14" spans="1:36">
      <c r="A14" s="6">
        <v>98</v>
      </c>
      <c r="B14" s="8" t="str">
        <f t="shared" si="0"/>
        <v>强盗</v>
      </c>
      <c r="C14" s="8" t="s">
        <v>148</v>
      </c>
      <c r="D14" s="8" t="s">
        <v>162</v>
      </c>
      <c r="E14" s="8"/>
      <c r="F14" s="8"/>
      <c r="G14" s="8"/>
      <c r="H14" s="8"/>
      <c r="I14" s="8">
        <v>1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 t="s">
        <v>79</v>
      </c>
      <c r="R14" s="8" t="s">
        <v>82</v>
      </c>
      <c r="S14" s="2"/>
      <c r="T14" s="7">
        <v>0</v>
      </c>
      <c r="U14" s="2">
        <v>0</v>
      </c>
      <c r="V14" s="2">
        <v>0</v>
      </c>
      <c r="W14" s="2"/>
      <c r="X14" s="2">
        <v>0</v>
      </c>
      <c r="Y14" s="2">
        <v>0</v>
      </c>
      <c r="Z14" s="2">
        <v>0</v>
      </c>
      <c r="AA14" s="2"/>
      <c r="AB14" s="2"/>
      <c r="AC14" s="2"/>
      <c r="AD14" s="2"/>
      <c r="AE14" s="2"/>
      <c r="AF14" s="2">
        <v>0</v>
      </c>
      <c r="AG14" s="2">
        <v>0</v>
      </c>
      <c r="AH14" s="2"/>
      <c r="AI14" s="2" t="s">
        <v>18</v>
      </c>
      <c r="AJ14" s="2"/>
    </row>
    <row r="15" spans="1:36">
      <c r="A15" s="6">
        <v>89</v>
      </c>
      <c r="B15" s="8" t="s">
        <v>208</v>
      </c>
      <c r="C15" s="8" t="s">
        <v>149</v>
      </c>
      <c r="D15" s="8" t="s">
        <v>163</v>
      </c>
      <c r="E15" s="8"/>
      <c r="F15" s="8"/>
      <c r="G15" s="8"/>
      <c r="H15" s="8"/>
      <c r="I15" s="8">
        <v>1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/>
      <c r="R15" s="8"/>
      <c r="S15" s="2"/>
      <c r="T15" s="7">
        <v>0</v>
      </c>
      <c r="U15" s="2">
        <v>0</v>
      </c>
      <c r="V15" s="2">
        <v>0</v>
      </c>
      <c r="W15" s="2"/>
      <c r="X15" s="2">
        <v>0</v>
      </c>
      <c r="Y15" s="2">
        <v>0</v>
      </c>
      <c r="Z15" s="2">
        <v>0</v>
      </c>
      <c r="AA15" s="2"/>
      <c r="AB15" s="2"/>
      <c r="AC15" s="2"/>
      <c r="AD15" s="2"/>
      <c r="AE15" s="2"/>
      <c r="AF15" s="2">
        <v>0</v>
      </c>
      <c r="AG15" s="2">
        <v>0</v>
      </c>
      <c r="AH15" s="2"/>
      <c r="AI15" s="8" t="s">
        <v>208</v>
      </c>
      <c r="AJ15" s="2"/>
    </row>
    <row r="16" spans="1:36">
      <c r="A16" s="6">
        <v>88</v>
      </c>
      <c r="B16" s="8" t="s">
        <v>209</v>
      </c>
      <c r="C16" s="8" t="s">
        <v>150</v>
      </c>
      <c r="D16" s="8" t="s">
        <v>164</v>
      </c>
      <c r="E16" s="8"/>
      <c r="F16" s="8"/>
      <c r="G16" s="8"/>
      <c r="H16" s="8"/>
      <c r="I16" s="8">
        <v>1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/>
      <c r="R16" s="8"/>
      <c r="S16" s="2"/>
      <c r="T16" s="7">
        <v>0</v>
      </c>
      <c r="U16" s="2">
        <v>0</v>
      </c>
      <c r="V16" s="2">
        <v>0</v>
      </c>
      <c r="W16" s="2"/>
      <c r="X16" s="2">
        <v>0</v>
      </c>
      <c r="Y16" s="2">
        <v>0</v>
      </c>
      <c r="Z16" s="2">
        <v>0</v>
      </c>
      <c r="AA16" s="2"/>
      <c r="AB16" s="2"/>
      <c r="AC16" s="2"/>
      <c r="AD16" s="2"/>
      <c r="AE16" s="2"/>
      <c r="AF16" s="2">
        <v>0</v>
      </c>
      <c r="AG16" s="2">
        <v>0</v>
      </c>
      <c r="AH16" s="2"/>
      <c r="AI16" s="8" t="s">
        <v>209</v>
      </c>
      <c r="AJ16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5532-FA3E-4251-AB64-CE6A81648D67}">
  <dimension ref="A1:F16"/>
  <sheetViews>
    <sheetView tabSelected="1" workbookViewId="0">
      <selection activeCell="A5" sqref="A5:B11"/>
    </sheetView>
  </sheetViews>
  <sheetFormatPr defaultRowHeight="13.5"/>
  <cols>
    <col min="1" max="1" width="10" customWidth="1"/>
    <col min="2" max="2" width="37.125" customWidth="1"/>
    <col min="3" max="4" width="10.75" customWidth="1"/>
    <col min="5" max="5" width="15.125" customWidth="1"/>
    <col min="6" max="6" width="10.75" customWidth="1"/>
  </cols>
  <sheetData>
    <row r="1" spans="1:6">
      <c r="A1" s="3" t="s">
        <v>2</v>
      </c>
      <c r="B1" s="2"/>
      <c r="C1" s="9" t="s">
        <v>26</v>
      </c>
      <c r="D1" s="9" t="s">
        <v>28</v>
      </c>
      <c r="E1" s="9" t="s">
        <v>30</v>
      </c>
      <c r="F1" s="9" t="s">
        <v>32</v>
      </c>
    </row>
    <row r="2" spans="1:6">
      <c r="A2" s="5" t="str">
        <f>CONCATENATE("kingdom_name_",A1,"#str")</f>
        <v>kingdom_name_zh-CN#str</v>
      </c>
      <c r="B2" s="9" t="s">
        <v>24</v>
      </c>
      <c r="C2" s="9" t="s">
        <v>24</v>
      </c>
      <c r="D2" s="9" t="s">
        <v>24</v>
      </c>
      <c r="E2" s="9" t="s">
        <v>24</v>
      </c>
      <c r="F2" s="9" t="s">
        <v>24</v>
      </c>
    </row>
    <row r="3" spans="1:6">
      <c r="A3" s="2" t="s">
        <v>5</v>
      </c>
      <c r="B3" s="9"/>
      <c r="C3" s="9"/>
      <c r="D3" s="9"/>
      <c r="E3" s="9"/>
      <c r="F3" s="9"/>
    </row>
    <row r="4" spans="1:6">
      <c r="A4" s="2" t="s">
        <v>7</v>
      </c>
      <c r="B4" s="2"/>
      <c r="C4" s="2"/>
      <c r="D4" s="2"/>
      <c r="E4" s="2"/>
      <c r="F4" s="2"/>
    </row>
    <row r="5" spans="1:6" ht="67.5">
      <c r="A5" s="14" t="s">
        <v>97</v>
      </c>
      <c r="B5" s="13" t="s">
        <v>25</v>
      </c>
      <c r="C5" s="13" t="s">
        <v>27</v>
      </c>
      <c r="D5" s="13" t="s">
        <v>29</v>
      </c>
      <c r="E5" s="13" t="s">
        <v>31</v>
      </c>
      <c r="F5" s="13" t="s">
        <v>33</v>
      </c>
    </row>
    <row r="6" spans="1:6" ht="54">
      <c r="A6" s="15" t="s">
        <v>96</v>
      </c>
      <c r="B6" s="13" t="s">
        <v>35</v>
      </c>
      <c r="C6" s="11" t="s">
        <v>36</v>
      </c>
      <c r="D6" s="13" t="s">
        <v>38</v>
      </c>
      <c r="E6" s="13" t="s">
        <v>53</v>
      </c>
      <c r="F6" s="13" t="s">
        <v>39</v>
      </c>
    </row>
    <row r="7" spans="1:6" ht="40.5">
      <c r="A7" s="9" t="s">
        <v>99</v>
      </c>
      <c r="B7" s="13" t="s">
        <v>100</v>
      </c>
      <c r="C7" s="11" t="s">
        <v>37</v>
      </c>
      <c r="D7" s="11" t="s">
        <v>48</v>
      </c>
      <c r="E7" s="13" t="s">
        <v>51</v>
      </c>
      <c r="F7" s="13" t="s">
        <v>54</v>
      </c>
    </row>
    <row r="8" spans="1:6" ht="67.5">
      <c r="A8" s="9" t="s">
        <v>93</v>
      </c>
      <c r="B8" s="13" t="s">
        <v>47</v>
      </c>
      <c r="C8" s="11" t="s">
        <v>44</v>
      </c>
      <c r="D8" s="11" t="s">
        <v>48</v>
      </c>
      <c r="E8" s="13" t="s">
        <v>49</v>
      </c>
      <c r="F8" s="13" t="s">
        <v>56</v>
      </c>
    </row>
    <row r="9" spans="1:6" ht="40.5">
      <c r="A9" s="9" t="s">
        <v>94</v>
      </c>
      <c r="B9" s="13" t="s">
        <v>101</v>
      </c>
      <c r="C9" s="11" t="s">
        <v>34</v>
      </c>
      <c r="D9" s="11" t="s">
        <v>48</v>
      </c>
      <c r="E9" s="13" t="s">
        <v>58</v>
      </c>
      <c r="F9" s="13" t="s">
        <v>55</v>
      </c>
    </row>
    <row r="10" spans="1:6" ht="40.5">
      <c r="A10" s="9" t="s">
        <v>95</v>
      </c>
      <c r="B10" s="13" t="s">
        <v>102</v>
      </c>
      <c r="C10" s="11" t="s">
        <v>50</v>
      </c>
      <c r="D10" s="11" t="s">
        <v>48</v>
      </c>
      <c r="E10" s="13" t="s">
        <v>52</v>
      </c>
      <c r="F10" s="13" t="s">
        <v>54</v>
      </c>
    </row>
    <row r="11" spans="1:6" ht="67.5">
      <c r="A11" s="21" t="s">
        <v>98</v>
      </c>
      <c r="B11" s="16" t="s">
        <v>42</v>
      </c>
      <c r="C11" s="12" t="s">
        <v>46</v>
      </c>
      <c r="D11" s="16" t="s">
        <v>43</v>
      </c>
      <c r="E11" s="13" t="s">
        <v>45</v>
      </c>
      <c r="F11" s="16" t="s">
        <v>57</v>
      </c>
    </row>
    <row r="12" spans="1:6">
      <c r="A12" s="2" t="s">
        <v>16</v>
      </c>
      <c r="B12" s="7"/>
      <c r="C12" s="7"/>
      <c r="D12" s="7"/>
      <c r="E12" s="7"/>
      <c r="F12" s="7"/>
    </row>
    <row r="13" spans="1:6">
      <c r="A13" s="2" t="s">
        <v>17</v>
      </c>
      <c r="B13" s="2"/>
      <c r="C13" s="2"/>
      <c r="D13" s="2"/>
      <c r="E13" s="2"/>
      <c r="F13" s="2"/>
    </row>
    <row r="14" spans="1:6">
      <c r="A14" s="2" t="s">
        <v>18</v>
      </c>
      <c r="B14" s="2"/>
      <c r="C14" s="2"/>
      <c r="D14" s="2"/>
      <c r="E14" s="2"/>
      <c r="F14" s="2"/>
    </row>
    <row r="15" spans="1:6">
      <c r="A15" s="8" t="s">
        <v>208</v>
      </c>
      <c r="B15" s="2"/>
      <c r="C15" s="2"/>
      <c r="D15" s="2"/>
      <c r="E15" s="2"/>
      <c r="F15" s="2"/>
    </row>
    <row r="16" spans="1:6">
      <c r="A16" s="8" t="s">
        <v>209</v>
      </c>
      <c r="B16" s="2"/>
      <c r="C16" s="2"/>
      <c r="D16" s="2"/>
      <c r="E16" s="2"/>
      <c r="F16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kingdom</vt:lpstr>
      <vt:lpstr>!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Looming MI</dc:creator>
  <cp:lastModifiedBy>Looming MI</cp:lastModifiedBy>
  <dcterms:created xsi:type="dcterms:W3CDTF">2022-04-25T14:14:00Z</dcterms:created>
  <dcterms:modified xsi:type="dcterms:W3CDTF">2026-02-23T08:11:12Z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