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1111DBF5-5D5D-45D8-8E64-EE919B4099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_rule" sheetId="1" r:id="rId1"/>
  </sheets>
  <definedNames>
    <definedName name="_xlnm._FilterDatabase" localSheetId="0" hidden="1">summary_rule!$D$1:$D$131</definedName>
  </definedNames>
  <calcPr calcId="181029"/>
</workbook>
</file>

<file path=xl/calcChain.xml><?xml version="1.0" encoding="utf-8"?>
<calcChain xmlns="http://schemas.openxmlformats.org/spreadsheetml/2006/main">
  <c r="Q141" i="1" l="1"/>
  <c r="Q140" i="1"/>
  <c r="Q139" i="1" l="1"/>
  <c r="Q138" i="1"/>
  <c r="Q137" i="1" l="1"/>
  <c r="Q136" i="1"/>
  <c r="Q135" i="1"/>
  <c r="Q134" i="1" l="1"/>
  <c r="Q133" i="1" l="1"/>
  <c r="Q132" i="1"/>
  <c r="Q130" i="1"/>
  <c r="Q129" i="1"/>
  <c r="Q128" i="1"/>
  <c r="Q127" i="1" l="1"/>
  <c r="Q126" i="1"/>
  <c r="Q124" i="1" l="1"/>
  <c r="Q125" i="1"/>
  <c r="Q7" i="1"/>
  <c r="Q123" i="1" l="1"/>
  <c r="Q122" i="1"/>
  <c r="Q121" i="1"/>
  <c r="Q119" i="1"/>
  <c r="Q120" i="1"/>
  <c r="Q117" i="1"/>
  <c r="Q118" i="1"/>
  <c r="Q116" i="1" l="1"/>
  <c r="Q115" i="1"/>
  <c r="Q114" i="1"/>
  <c r="Q113" i="1"/>
  <c r="Q112" i="1" l="1"/>
  <c r="Q111" i="1" l="1"/>
  <c r="Q110" i="1" l="1"/>
  <c r="Q109" i="1" l="1"/>
  <c r="Q131" i="1" l="1"/>
  <c r="Q106" i="1"/>
  <c r="Q100" i="1"/>
  <c r="Q101" i="1"/>
  <c r="Q102" i="1"/>
  <c r="Q103" i="1"/>
  <c r="Q104" i="1"/>
  <c r="Q105" i="1"/>
  <c r="Q107" i="1"/>
  <c r="Q108" i="1"/>
  <c r="Q73" i="1" l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66" i="1"/>
  <c r="Q67" i="1"/>
  <c r="Q68" i="1"/>
  <c r="Q69" i="1"/>
  <c r="Q9" i="1"/>
  <c r="Q70" i="1"/>
  <c r="Q71" i="1"/>
  <c r="Q72" i="1"/>
  <c r="Q65" i="1"/>
  <c r="Q64" i="1"/>
  <c r="Q63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36" i="1"/>
  <c r="Q34" i="1" l="1"/>
  <c r="Q35" i="1"/>
  <c r="Q33" i="1"/>
  <c r="Q14" i="1" l="1"/>
  <c r="Q32" i="1" l="1"/>
  <c r="Q31" i="1"/>
  <c r="Q30" i="1" l="1"/>
  <c r="Q29" i="1" l="1"/>
  <c r="Q24" i="1"/>
  <c r="Q25" i="1"/>
  <c r="Q26" i="1"/>
  <c r="Q27" i="1"/>
  <c r="Q28" i="1"/>
  <c r="Q23" i="1" l="1"/>
  <c r="Q22" i="1" l="1"/>
  <c r="Q16" i="1" l="1"/>
  <c r="Q17" i="1"/>
  <c r="Q18" i="1"/>
  <c r="Q19" i="1"/>
  <c r="Q20" i="1"/>
  <c r="Q21" i="1"/>
  <c r="Q15" i="1" l="1"/>
  <c r="Q4" i="1" l="1"/>
  <c r="Q5" i="1"/>
  <c r="Q6" i="1"/>
  <c r="Q8" i="1"/>
  <c r="Q10" i="1"/>
  <c r="Q11" i="1"/>
  <c r="Q12" i="1"/>
  <c r="Q13" i="1"/>
  <c r="Q3" i="1"/>
</calcChain>
</file>

<file path=xl/sharedStrings.xml><?xml version="1.0" encoding="utf-8"?>
<sst xmlns="http://schemas.openxmlformats.org/spreadsheetml/2006/main" count="878" uniqueCount="627">
  <si>
    <t>原木</t>
    <phoneticPr fontId="3" type="noConversion"/>
  </si>
  <si>
    <t>煤</t>
    <phoneticPr fontId="3" type="noConversion"/>
  </si>
  <si>
    <t>草药</t>
    <phoneticPr fontId="3" type="noConversion"/>
  </si>
  <si>
    <t>酒</t>
    <phoneticPr fontId="3" type="noConversion"/>
  </si>
  <si>
    <t>工具</t>
    <phoneticPr fontId="3" type="noConversion"/>
  </si>
  <si>
    <t>衣服</t>
    <phoneticPr fontId="3" type="noConversion"/>
  </si>
  <si>
    <t>物品小类</t>
    <phoneticPr fontId="3" type="noConversion"/>
  </si>
  <si>
    <t>物品大类</t>
    <phoneticPr fontId="3" type="noConversion"/>
  </si>
  <si>
    <t>关键字</t>
    <phoneticPr fontId="3" type="noConversion"/>
  </si>
  <si>
    <t>keyword#str</t>
    <phoneticPr fontId="3" type="noConversion"/>
  </si>
  <si>
    <t>wood</t>
    <phoneticPr fontId="3" type="noConversion"/>
  </si>
  <si>
    <t>coal</t>
    <phoneticPr fontId="3" type="noConversion"/>
  </si>
  <si>
    <t>medicine</t>
    <phoneticPr fontId="3" type="noConversion"/>
  </si>
  <si>
    <t>wine</t>
    <phoneticPr fontId="3" type="noConversion"/>
  </si>
  <si>
    <t>stone</t>
    <phoneticPr fontId="3" type="noConversion"/>
  </si>
  <si>
    <t>柴火</t>
    <phoneticPr fontId="3" type="noConversion"/>
  </si>
  <si>
    <t>firewood</t>
    <phoneticPr fontId="3" type="noConversion"/>
  </si>
  <si>
    <t>iron</t>
    <phoneticPr fontId="3" type="noConversion"/>
  </si>
  <si>
    <t>tool</t>
    <phoneticPr fontId="3" type="noConversion"/>
  </si>
  <si>
    <t>clothing</t>
    <phoneticPr fontId="3" type="noConversion"/>
  </si>
  <si>
    <t>初始上限</t>
    <phoneticPr fontId="3" type="noConversion"/>
  </si>
  <si>
    <t>default_limit#int</t>
    <phoneticPr fontId="3" type="noConversion"/>
  </si>
  <si>
    <t>_stuff_sub_type#str</t>
    <phoneticPr fontId="3" type="noConversion"/>
  </si>
  <si>
    <t>_stuff_type#str</t>
    <phoneticPr fontId="3" type="noConversion"/>
  </si>
  <si>
    <t>404</t>
    <phoneticPr fontId="3" type="noConversion"/>
  </si>
  <si>
    <t>403</t>
    <phoneticPr fontId="3" type="noConversion"/>
  </si>
  <si>
    <t>100</t>
    <phoneticPr fontId="3" type="noConversion"/>
  </si>
  <si>
    <t>200</t>
    <phoneticPr fontId="3" type="noConversion"/>
  </si>
  <si>
    <t>500</t>
    <phoneticPr fontId="3" type="noConversion"/>
  </si>
  <si>
    <t>白银</t>
    <phoneticPr fontId="3" type="noConversion"/>
  </si>
  <si>
    <t>silver</t>
    <phoneticPr fontId="3" type="noConversion"/>
  </si>
  <si>
    <t>gold</t>
    <phoneticPr fontId="3" type="noConversion"/>
  </si>
  <si>
    <t>0</t>
    <phoneticPr fontId="3" type="noConversion"/>
  </si>
  <si>
    <t>汇总图标</t>
    <phoneticPr fontId="3" type="noConversion"/>
  </si>
  <si>
    <t>summary_icon#str</t>
    <phoneticPr fontId="3" type="noConversion"/>
  </si>
  <si>
    <t>ic_summary_wood</t>
  </si>
  <si>
    <t>ic_summary_firewood</t>
  </si>
  <si>
    <t>ic_summary_coal</t>
  </si>
  <si>
    <t>ic_summary_stone</t>
  </si>
  <si>
    <t>ic_summary_tool</t>
  </si>
  <si>
    <t>ic_summary_clothing</t>
  </si>
  <si>
    <t>ic_summary_silver</t>
  </si>
  <si>
    <t>ic_summary_gold</t>
  </si>
  <si>
    <t>ic_summary_medicine</t>
    <phoneticPr fontId="3" type="noConversion"/>
  </si>
  <si>
    <t>触发优先搬运的数量</t>
    <phoneticPr fontId="3" type="noConversion"/>
  </si>
  <si>
    <r>
      <t>limit_increase_step#</t>
    </r>
    <r>
      <rPr>
        <sz val="11"/>
        <color theme="1"/>
        <rFont val="宋体"/>
        <family val="3"/>
        <charset val="134"/>
        <scheme val="minor"/>
      </rPr>
      <t>int</t>
    </r>
    <phoneticPr fontId="3" type="noConversion"/>
  </si>
  <si>
    <t>上限加减单位</t>
    <phoneticPr fontId="3" type="noConversion"/>
  </si>
  <si>
    <t>1000</t>
    <phoneticPr fontId="3" type="noConversion"/>
  </si>
  <si>
    <t>0</t>
    <phoneticPr fontId="3" type="noConversion"/>
  </si>
  <si>
    <t>临时</t>
    <phoneticPr fontId="3" type="noConversion"/>
  </si>
  <si>
    <t>!code</t>
    <phoneticPr fontId="3" type="noConversion"/>
  </si>
  <si>
    <t>500</t>
    <phoneticPr fontId="3" type="noConversion"/>
  </si>
  <si>
    <t>fertilizer</t>
    <phoneticPr fontId="3" type="noConversion"/>
  </si>
  <si>
    <t>肥料</t>
    <phoneticPr fontId="3" type="noConversion"/>
  </si>
  <si>
    <t>0</t>
    <phoneticPr fontId="3" type="noConversion"/>
  </si>
  <si>
    <t>500</t>
    <phoneticPr fontId="3" type="noConversion"/>
  </si>
  <si>
    <t>500</t>
    <phoneticPr fontId="3" type="noConversion"/>
  </si>
  <si>
    <t>data_id#int</t>
    <phoneticPr fontId="3" type="noConversion"/>
  </si>
  <si>
    <t>排序</t>
    <phoneticPr fontId="3" type="noConversion"/>
  </si>
  <si>
    <t>order#int</t>
    <phoneticPr fontId="3" type="noConversion"/>
  </si>
  <si>
    <t>蓝宝石</t>
    <phoneticPr fontId="3" type="noConversion"/>
  </si>
  <si>
    <t>绿宝石</t>
    <phoneticPr fontId="3" type="noConversion"/>
  </si>
  <si>
    <t>红宝石碎片</t>
    <phoneticPr fontId="3" type="noConversion"/>
  </si>
  <si>
    <t>蓝宝石碎片</t>
    <phoneticPr fontId="3" type="noConversion"/>
  </si>
  <si>
    <t>绿宝石碎片</t>
    <phoneticPr fontId="3" type="noConversion"/>
  </si>
  <si>
    <r>
      <t>g</t>
    </r>
    <r>
      <rPr>
        <sz val="11"/>
        <color theme="1"/>
        <rFont val="宋体"/>
        <family val="3"/>
        <charset val="134"/>
        <scheme val="minor"/>
      </rPr>
      <t>em_red</t>
    </r>
    <phoneticPr fontId="3" type="noConversion"/>
  </si>
  <si>
    <r>
      <t>g</t>
    </r>
    <r>
      <rPr>
        <sz val="11"/>
        <color theme="1"/>
        <rFont val="宋体"/>
        <family val="3"/>
        <charset val="134"/>
        <scheme val="minor"/>
      </rPr>
      <t>em_blue</t>
    </r>
    <phoneticPr fontId="3" type="noConversion"/>
  </si>
  <si>
    <r>
      <t>g</t>
    </r>
    <r>
      <rPr>
        <sz val="11"/>
        <color theme="1"/>
        <rFont val="宋体"/>
        <family val="3"/>
        <charset val="134"/>
        <scheme val="minor"/>
      </rPr>
      <t>em_green</t>
    </r>
    <phoneticPr fontId="3" type="noConversion"/>
  </si>
  <si>
    <r>
      <t>g</t>
    </r>
    <r>
      <rPr>
        <sz val="11"/>
        <color theme="1"/>
        <rFont val="宋体"/>
        <family val="3"/>
        <charset val="134"/>
        <scheme val="minor"/>
      </rPr>
      <t>em_red_fragment</t>
    </r>
    <phoneticPr fontId="3" type="noConversion"/>
  </si>
  <si>
    <t>gem_blue_fragment</t>
    <phoneticPr fontId="3" type="noConversion"/>
  </si>
  <si>
    <t>gem_green_fragment</t>
    <phoneticPr fontId="3" type="noConversion"/>
  </si>
  <si>
    <t>ui_612001</t>
  </si>
  <si>
    <t>ui_612002</t>
  </si>
  <si>
    <t>ui_612003</t>
  </si>
  <si>
    <t>ui_615001</t>
  </si>
  <si>
    <t>ui_615002</t>
  </si>
  <si>
    <t>ui_615003</t>
  </si>
  <si>
    <t>红宝石</t>
    <phoneticPr fontId="3" type="noConversion"/>
  </si>
  <si>
    <t>ui_412002</t>
    <phoneticPr fontId="3" type="noConversion"/>
  </si>
  <si>
    <t>100</t>
    <phoneticPr fontId="3" type="noConversion"/>
  </si>
  <si>
    <t>treasure</t>
    <phoneticPr fontId="3" type="noConversion"/>
  </si>
  <si>
    <t>ic_summary_treasure</t>
    <phoneticPr fontId="3" type="noConversion"/>
  </si>
  <si>
    <t>珍宝</t>
    <phoneticPr fontId="3" type="noConversion"/>
  </si>
  <si>
    <t>黄金</t>
    <phoneticPr fontId="3" type="noConversion"/>
  </si>
  <si>
    <t>zh-CN</t>
  </si>
  <si>
    <t>肉类</t>
    <phoneticPr fontId="3" type="noConversion"/>
  </si>
  <si>
    <t>粮食</t>
    <phoneticPr fontId="3" type="noConversion"/>
  </si>
  <si>
    <t>水果</t>
    <phoneticPr fontId="3" type="noConversion"/>
  </si>
  <si>
    <t>熟食</t>
    <phoneticPr fontId="3" type="noConversion"/>
  </si>
  <si>
    <t>meat</t>
    <phoneticPr fontId="3" type="noConversion"/>
  </si>
  <si>
    <r>
      <rPr>
        <sz val="11"/>
        <color theme="1"/>
        <rFont val="宋体"/>
        <family val="3"/>
        <charset val="134"/>
        <scheme val="minor"/>
      </rPr>
      <t>s</t>
    </r>
    <r>
      <rPr>
        <sz val="11"/>
        <color theme="1"/>
        <rFont val="宋体"/>
        <family val="3"/>
        <charset val="134"/>
        <scheme val="minor"/>
      </rPr>
      <t>taple</t>
    </r>
    <phoneticPr fontId="3" type="noConversion"/>
  </si>
  <si>
    <t>vegetable</t>
    <phoneticPr fontId="3" type="noConversion"/>
  </si>
  <si>
    <t>fruit</t>
    <phoneticPr fontId="3" type="noConversion"/>
  </si>
  <si>
    <t>ic_summary_fertilizer</t>
    <phoneticPr fontId="3" type="noConversion"/>
  </si>
  <si>
    <t>cooked_food</t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</si>
  <si>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02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</si>
  <si>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01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</si>
  <si>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03</t>
    </r>
    <phoneticPr fontId="3" type="noConversion"/>
  </si>
  <si>
    <t>ic_summary_cooked_food</t>
    <phoneticPr fontId="3" type="noConversion"/>
  </si>
  <si>
    <t>ic_summary_meat</t>
    <phoneticPr fontId="3" type="noConversion"/>
  </si>
  <si>
    <t>ic_summary_fruit</t>
    <phoneticPr fontId="3" type="noConversion"/>
  </si>
  <si>
    <t>ic_summary_vegetable</t>
    <phoneticPr fontId="3" type="noConversion"/>
  </si>
  <si>
    <t>ic_summary_staple</t>
    <phoneticPr fontId="3" type="noConversion"/>
  </si>
  <si>
    <t>蜂蜜</t>
    <phoneticPr fontId="3" type="noConversion"/>
  </si>
  <si>
    <t>honey</t>
    <phoneticPr fontId="3" type="noConversion"/>
  </si>
  <si>
    <t>ic_summary_honey</t>
    <phoneticPr fontId="3" type="noConversion"/>
  </si>
  <si>
    <t>306</t>
    <phoneticPr fontId="3" type="noConversion"/>
  </si>
  <si>
    <t>umbrella</t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</si>
  <si>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19</t>
    </r>
    <phoneticPr fontId="3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</si>
  <si>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</t>
    </r>
    <phoneticPr fontId="3" type="noConversion"/>
  </si>
  <si>
    <t>ic_summary_umbrella</t>
    <phoneticPr fontId="3" type="noConversion"/>
  </si>
  <si>
    <t>雨伞</t>
    <phoneticPr fontId="3" type="noConversion"/>
  </si>
  <si>
    <t>potion</t>
    <phoneticPr fontId="3" type="noConversion"/>
  </si>
  <si>
    <t>ic_potion</t>
    <phoneticPr fontId="3" type="noConversion"/>
  </si>
  <si>
    <t>100</t>
    <phoneticPr fontId="3" type="noConversion"/>
  </si>
  <si>
    <t>药剂</t>
    <phoneticPr fontId="3" type="noConversion"/>
  </si>
  <si>
    <t>ic_summary_leather</t>
    <phoneticPr fontId="3" type="noConversion"/>
  </si>
  <si>
    <t>ic_summary_wine</t>
    <phoneticPr fontId="3" type="noConversion"/>
  </si>
  <si>
    <t>ic_summary_wool</t>
    <phoneticPr fontId="3" type="noConversion"/>
  </si>
  <si>
    <t>皮革</t>
  </si>
  <si>
    <t>羊毛</t>
  </si>
  <si>
    <t>leather</t>
    <phoneticPr fontId="3" type="noConversion"/>
  </si>
  <si>
    <t>wool</t>
    <phoneticPr fontId="3" type="noConversion"/>
  </si>
  <si>
    <t>summary_name_zh-CN#str</t>
  </si>
  <si>
    <t>ui_412001</t>
    <phoneticPr fontId="3" type="noConversion"/>
  </si>
  <si>
    <t>ui_611001</t>
    <phoneticPr fontId="3" type="noConversion"/>
  </si>
  <si>
    <t>ui_611002</t>
    <phoneticPr fontId="3" type="noConversion"/>
  </si>
  <si>
    <t>巧克力</t>
  </si>
  <si>
    <t>咖啡豆</t>
  </si>
  <si>
    <t>可可豆</t>
  </si>
  <si>
    <t>咖啡</t>
    <phoneticPr fontId="3" type="noConversion"/>
  </si>
  <si>
    <t>coffee</t>
    <phoneticPr fontId="3" type="noConversion"/>
  </si>
  <si>
    <t>chocolate</t>
    <phoneticPr fontId="3" type="noConversion"/>
  </si>
  <si>
    <t>cocoa_beans</t>
    <phoneticPr fontId="3" type="noConversion"/>
  </si>
  <si>
    <t>简单武器</t>
    <phoneticPr fontId="3" type="noConversion"/>
  </si>
  <si>
    <t>普通武器</t>
    <phoneticPr fontId="3" type="noConversion"/>
  </si>
  <si>
    <t>优良武器</t>
    <phoneticPr fontId="3" type="noConversion"/>
  </si>
  <si>
    <t>高级武器</t>
    <phoneticPr fontId="3" type="noConversion"/>
  </si>
  <si>
    <t>稀有武器</t>
    <phoneticPr fontId="3" type="noConversion"/>
  </si>
  <si>
    <t>特殊武器</t>
    <phoneticPr fontId="3" type="noConversion"/>
  </si>
  <si>
    <t>极品武器</t>
    <phoneticPr fontId="3" type="noConversion"/>
  </si>
  <si>
    <t>传说武器</t>
    <phoneticPr fontId="3" type="noConversion"/>
  </si>
  <si>
    <t>史诗武器</t>
    <phoneticPr fontId="3" type="noConversion"/>
  </si>
  <si>
    <t>简单盾牌</t>
    <phoneticPr fontId="3" type="noConversion"/>
  </si>
  <si>
    <t>普通盾牌</t>
  </si>
  <si>
    <t>优良盾牌</t>
  </si>
  <si>
    <t>高级盾牌</t>
  </si>
  <si>
    <t>稀有盾牌</t>
  </si>
  <si>
    <t>特殊盾牌</t>
  </si>
  <si>
    <t>极品盾牌</t>
  </si>
  <si>
    <t>传说盾牌</t>
  </si>
  <si>
    <t>史诗盾牌</t>
  </si>
  <si>
    <t>简单盔甲</t>
  </si>
  <si>
    <t>普通盔甲</t>
  </si>
  <si>
    <t>优良盔甲</t>
  </si>
  <si>
    <t>高级盔甲</t>
  </si>
  <si>
    <t>稀有盔甲</t>
  </si>
  <si>
    <t>特殊盔甲</t>
  </si>
  <si>
    <t>极品盔甲</t>
  </si>
  <si>
    <t>传说盔甲</t>
  </si>
  <si>
    <t>史诗盔甲</t>
  </si>
  <si>
    <t>ui_413001</t>
  </si>
  <si>
    <t>ui_413002</t>
  </si>
  <si>
    <t>ui_413003</t>
  </si>
  <si>
    <t>ui_413004</t>
  </si>
  <si>
    <t>ui_413005</t>
  </si>
  <si>
    <t>ui_413006</t>
  </si>
  <si>
    <t>ui_413007</t>
  </si>
  <si>
    <t>ui_413008</t>
  </si>
  <si>
    <t>ui_413009</t>
  </si>
  <si>
    <t>ui_414001</t>
  </si>
  <si>
    <t>ui_414002</t>
  </si>
  <si>
    <t>ui_414003</t>
  </si>
  <si>
    <t>ui_414004</t>
  </si>
  <si>
    <t>ui_414005</t>
  </si>
  <si>
    <t>ui_414006</t>
  </si>
  <si>
    <t>ui_414007</t>
  </si>
  <si>
    <t>ui_414008</t>
  </si>
  <si>
    <t>ui_414009</t>
  </si>
  <si>
    <t>ui_415001</t>
  </si>
  <si>
    <t>ui_415002</t>
  </si>
  <si>
    <t>ui_415003</t>
  </si>
  <si>
    <t>ui_415004</t>
  </si>
  <si>
    <t>ui_415005</t>
  </si>
  <si>
    <t>ui_415006</t>
  </si>
  <si>
    <t>ui_415007</t>
  </si>
  <si>
    <t>ui_415008</t>
  </si>
  <si>
    <t>weapon1</t>
    <phoneticPr fontId="3" type="noConversion"/>
  </si>
  <si>
    <t>weapon2</t>
  </si>
  <si>
    <t>weapon3</t>
  </si>
  <si>
    <t>weapon4</t>
  </si>
  <si>
    <t>weapon5</t>
  </si>
  <si>
    <t>weapon6</t>
  </si>
  <si>
    <t>weapon7</t>
  </si>
  <si>
    <t>weapon8</t>
  </si>
  <si>
    <t>weapon9</t>
  </si>
  <si>
    <t>shield1</t>
    <phoneticPr fontId="3" type="noConversion"/>
  </si>
  <si>
    <t>shield2</t>
  </si>
  <si>
    <t>shield3</t>
  </si>
  <si>
    <t>shield4</t>
  </si>
  <si>
    <t>shield5</t>
  </si>
  <si>
    <t>shield6</t>
  </si>
  <si>
    <t>shield7</t>
  </si>
  <si>
    <t>shield8</t>
  </si>
  <si>
    <t>shield9</t>
  </si>
  <si>
    <t>armor2</t>
  </si>
  <si>
    <t>armor3</t>
  </si>
  <si>
    <t>armor4</t>
  </si>
  <si>
    <t>armor5</t>
  </si>
  <si>
    <t>armor6</t>
  </si>
  <si>
    <t>armor7</t>
  </si>
  <si>
    <t>armor8</t>
  </si>
  <si>
    <t>armor1</t>
    <phoneticPr fontId="3" type="noConversion"/>
  </si>
  <si>
    <t>armor9</t>
  </si>
  <si>
    <t>ui_415009</t>
    <phoneticPr fontId="3" type="noConversion"/>
  </si>
  <si>
    <t>ui_418001</t>
    <phoneticPr fontId="3" type="noConversion"/>
  </si>
  <si>
    <t>100</t>
    <phoneticPr fontId="3" type="noConversion"/>
  </si>
  <si>
    <t>蘑菇精华</t>
  </si>
  <si>
    <t>mushroom_essence</t>
    <phoneticPr fontId="3" type="noConversion"/>
  </si>
  <si>
    <t>leather_bag</t>
    <phoneticPr fontId="3" type="noConversion"/>
  </si>
  <si>
    <t>ui_420001</t>
    <phoneticPr fontId="3" type="noConversion"/>
  </si>
  <si>
    <t>皮包</t>
    <phoneticPr fontId="3" type="noConversion"/>
  </si>
  <si>
    <t>herbal_tea</t>
    <phoneticPr fontId="3" type="noConversion"/>
  </si>
  <si>
    <t>ui_421001</t>
    <phoneticPr fontId="3" type="noConversion"/>
  </si>
  <si>
    <t>药茶</t>
    <phoneticPr fontId="3" type="noConversion"/>
  </si>
  <si>
    <t>count_should_pick_up_first#int</t>
    <phoneticPr fontId="3" type="noConversion"/>
  </si>
  <si>
    <t>秘银锭</t>
  </si>
  <si>
    <t>精金锭</t>
  </si>
  <si>
    <t>山铜锭</t>
  </si>
  <si>
    <t>mithril</t>
    <phoneticPr fontId="3" type="noConversion"/>
  </si>
  <si>
    <t>adamantite</t>
    <phoneticPr fontId="3" type="noConversion"/>
  </si>
  <si>
    <t>orichalcum</t>
    <phoneticPr fontId="3" type="noConversion"/>
  </si>
  <si>
    <t>iron_ore</t>
    <phoneticPr fontId="3" type="noConversion"/>
  </si>
  <si>
    <t>mithril_ore</t>
    <phoneticPr fontId="3" type="noConversion"/>
  </si>
  <si>
    <t>adamantite_ore</t>
    <phoneticPr fontId="3" type="noConversion"/>
  </si>
  <si>
    <t>orichalcum_ore</t>
    <phoneticPr fontId="3" type="noConversion"/>
  </si>
  <si>
    <t>ui_603001</t>
  </si>
  <si>
    <t>ui_603002</t>
  </si>
  <si>
    <t>ui_603003</t>
  </si>
  <si>
    <t>ui_603004</t>
  </si>
  <si>
    <t>铁矿</t>
  </si>
  <si>
    <t>秘银矿</t>
  </si>
  <si>
    <t>精金矿</t>
  </si>
  <si>
    <t>山铜矿</t>
  </si>
  <si>
    <t>ui_616002</t>
  </si>
  <si>
    <t>ui_616003</t>
  </si>
  <si>
    <t>ui_616004</t>
  </si>
  <si>
    <t>damaged_weapon1</t>
  </si>
  <si>
    <t>damaged_weapon2</t>
  </si>
  <si>
    <t>damaged_weapon3</t>
  </si>
  <si>
    <t>damaged_weapon4</t>
  </si>
  <si>
    <t>damaged_weapon5</t>
  </si>
  <si>
    <t>damaged_weapon6</t>
  </si>
  <si>
    <t>damaged_weapon7</t>
  </si>
  <si>
    <t>damaged_weapon8</t>
  </si>
  <si>
    <t>damaged_weapon9</t>
  </si>
  <si>
    <t>damaged_shield1</t>
  </si>
  <si>
    <t>damaged_shield2</t>
  </si>
  <si>
    <t>damaged_shield3</t>
  </si>
  <si>
    <t>damaged_shield4</t>
  </si>
  <si>
    <t>damaged_shield5</t>
  </si>
  <si>
    <t>damaged_shield6</t>
  </si>
  <si>
    <t>damaged_shield7</t>
  </si>
  <si>
    <t>damaged_shield8</t>
  </si>
  <si>
    <t>damaged_shield9</t>
  </si>
  <si>
    <t>damaged_armor1</t>
  </si>
  <si>
    <t>damaged_armor2</t>
  </si>
  <si>
    <t>damaged_armor3</t>
  </si>
  <si>
    <t>damaged_armor4</t>
  </si>
  <si>
    <t>damaged_armor5</t>
  </si>
  <si>
    <t>damaged_armor6</t>
  </si>
  <si>
    <t>damaged_armor7</t>
  </si>
  <si>
    <t>damaged_armor8</t>
  </si>
  <si>
    <t>damaged_armor9</t>
  </si>
  <si>
    <t>ui_417001</t>
  </si>
  <si>
    <t>417001</t>
  </si>
  <si>
    <t>ui_417002</t>
  </si>
  <si>
    <t>417002</t>
  </si>
  <si>
    <t>ui_417003</t>
  </si>
  <si>
    <t>417003</t>
  </si>
  <si>
    <t>ui_417004</t>
  </si>
  <si>
    <t>417004</t>
  </si>
  <si>
    <t>ui_417005</t>
  </si>
  <si>
    <t>417005</t>
  </si>
  <si>
    <t>ui_417006</t>
  </si>
  <si>
    <t>417006</t>
  </si>
  <si>
    <t>ui_417007</t>
  </si>
  <si>
    <t>417007</t>
  </si>
  <si>
    <t>ui_417008</t>
  </si>
  <si>
    <t>417008</t>
  </si>
  <si>
    <t>ui_417009</t>
  </si>
  <si>
    <t>417009</t>
  </si>
  <si>
    <t>ui_417010</t>
  </si>
  <si>
    <t>417010</t>
  </si>
  <si>
    <t>ui_417011</t>
  </si>
  <si>
    <t>417011</t>
  </si>
  <si>
    <t>ui_417012</t>
  </si>
  <si>
    <t>417012</t>
  </si>
  <si>
    <t>ui_417013</t>
  </si>
  <si>
    <t>417013</t>
  </si>
  <si>
    <t>ui_417014</t>
  </si>
  <si>
    <t>417014</t>
  </si>
  <si>
    <t>ui_417015</t>
  </si>
  <si>
    <t>417015</t>
  </si>
  <si>
    <t>ui_417016</t>
  </si>
  <si>
    <t>417016</t>
  </si>
  <si>
    <t>ui_417017</t>
  </si>
  <si>
    <t>417017</t>
  </si>
  <si>
    <t>ui_417018</t>
  </si>
  <si>
    <t>417018</t>
  </si>
  <si>
    <t>ui_417019</t>
  </si>
  <si>
    <t>417019</t>
  </si>
  <si>
    <t>ui_417020</t>
  </si>
  <si>
    <t>417020</t>
  </si>
  <si>
    <t>ui_417021</t>
  </si>
  <si>
    <t>417021</t>
  </si>
  <si>
    <t>ui_417022</t>
  </si>
  <si>
    <t>417022</t>
  </si>
  <si>
    <t>ui_417023</t>
  </si>
  <si>
    <t>417023</t>
  </si>
  <si>
    <t>ui_417024</t>
  </si>
  <si>
    <t>417024</t>
  </si>
  <si>
    <t>ui_417025</t>
  </si>
  <si>
    <t>417025</t>
  </si>
  <si>
    <t>ui_417026</t>
  </si>
  <si>
    <t>417026</t>
  </si>
  <si>
    <t>ui_417027</t>
  </si>
  <si>
    <t>417027</t>
  </si>
  <si>
    <t>is_show_limit_setting#int</t>
    <phoneticPr fontId="3" type="noConversion"/>
  </si>
  <si>
    <t>0</t>
    <phoneticPr fontId="3" type="noConversion"/>
  </si>
  <si>
    <t>损坏的简单武器</t>
  </si>
  <si>
    <t>损坏的普通武器</t>
  </si>
  <si>
    <t>损坏的优良武器</t>
  </si>
  <si>
    <t>损坏的高级武器</t>
  </si>
  <si>
    <t>损坏的稀有武器</t>
  </si>
  <si>
    <t>损坏的特殊武器</t>
  </si>
  <si>
    <t>损坏的极品武器</t>
  </si>
  <si>
    <t>损坏的传说武器</t>
  </si>
  <si>
    <t>损坏的史诗武器</t>
  </si>
  <si>
    <t>损坏的简单盾牌</t>
  </si>
  <si>
    <t>损坏的普通盾牌</t>
  </si>
  <si>
    <t>损坏的优良盾牌</t>
  </si>
  <si>
    <t>损坏的高级盾牌</t>
  </si>
  <si>
    <t>损坏的稀有盾牌</t>
  </si>
  <si>
    <t>损坏的特殊盾牌</t>
  </si>
  <si>
    <t>损坏的极品盾牌</t>
  </si>
  <si>
    <t>损坏的传说盾牌</t>
  </si>
  <si>
    <t>损坏的史诗盾牌</t>
  </si>
  <si>
    <t>损坏的简单盔甲</t>
  </si>
  <si>
    <t>损坏的普通盔甲</t>
  </si>
  <si>
    <t>损坏的优良盔甲</t>
  </si>
  <si>
    <t>损坏的高级盔甲</t>
  </si>
  <si>
    <t>损坏的稀有盔甲</t>
  </si>
  <si>
    <t>损坏的特殊盔甲</t>
  </si>
  <si>
    <t>损坏的极品盔甲</t>
  </si>
  <si>
    <t>损坏的传说盔甲</t>
  </si>
  <si>
    <t>损坏的史诗盔甲</t>
  </si>
  <si>
    <t>铁锭</t>
    <phoneticPr fontId="3" type="noConversion"/>
  </si>
  <si>
    <t>在详情中拼凑显示（节省UI空间）</t>
    <phoneticPr fontId="3" type="noConversion"/>
  </si>
  <si>
    <t>_splice_to_show#str</t>
    <phoneticPr fontId="3" type="noConversion"/>
  </si>
  <si>
    <t>603002,603003,603004</t>
    <phoneticPr fontId="3" type="noConversion"/>
  </si>
  <si>
    <t>10000</t>
    <phoneticPr fontId="3" type="noConversion"/>
  </si>
  <si>
    <r>
      <t>ui</t>
    </r>
    <r>
      <rPr>
        <sz val="11"/>
        <color theme="1"/>
        <rFont val="宋体"/>
        <family val="3"/>
        <charset val="134"/>
        <scheme val="minor"/>
      </rPr>
      <t>_422001</t>
    </r>
    <phoneticPr fontId="3" type="noConversion"/>
  </si>
  <si>
    <r>
      <t>g</t>
    </r>
    <r>
      <rPr>
        <sz val="11"/>
        <color theme="1"/>
        <rFont val="宋体"/>
        <family val="3"/>
        <charset val="134"/>
        <scheme val="minor"/>
      </rPr>
      <t>un_powder</t>
    </r>
    <phoneticPr fontId="3" type="noConversion"/>
  </si>
  <si>
    <t>火药</t>
  </si>
  <si>
    <t>grenade</t>
  </si>
  <si>
    <t>ui_423001</t>
  </si>
  <si>
    <t>榴弹</t>
  </si>
  <si>
    <t>iron_bomb</t>
  </si>
  <si>
    <t>ui_423002</t>
  </si>
  <si>
    <t>铁弹</t>
  </si>
  <si>
    <t>ui_423003</t>
  </si>
  <si>
    <t>巨型炸弹</t>
  </si>
  <si>
    <t>meat_fish</t>
    <phoneticPr fontId="3" type="noConversion"/>
  </si>
  <si>
    <t>meat_meat</t>
    <phoneticPr fontId="3" type="noConversion"/>
  </si>
  <si>
    <t>ui_305001</t>
    <phoneticPr fontId="3" type="noConversion"/>
  </si>
  <si>
    <t>ui_305002</t>
    <phoneticPr fontId="3" type="noConversion"/>
  </si>
  <si>
    <t>ui_304001</t>
    <phoneticPr fontId="3" type="noConversion"/>
  </si>
  <si>
    <r>
      <t>u</t>
    </r>
    <r>
      <rPr>
        <sz val="11"/>
        <color theme="1"/>
        <rFont val="宋体"/>
        <family val="3"/>
        <charset val="134"/>
        <scheme val="minor"/>
      </rPr>
      <t>i_304002</t>
    </r>
    <phoneticPr fontId="3" type="noConversion"/>
  </si>
  <si>
    <t>鱼</t>
  </si>
  <si>
    <t>简单食物</t>
  </si>
  <si>
    <t>精致食物</t>
  </si>
  <si>
    <t>fine_food</t>
    <phoneticPr fontId="3" type="noConversion"/>
  </si>
  <si>
    <t>simple_food</t>
    <phoneticPr fontId="3" type="noConversion"/>
  </si>
  <si>
    <t>100</t>
    <phoneticPr fontId="3" type="noConversion"/>
  </si>
  <si>
    <t>other_cooked_food</t>
    <phoneticPr fontId="3" type="noConversion"/>
  </si>
  <si>
    <t>二次汇总</t>
    <phoneticPr fontId="3" type="noConversion"/>
  </si>
  <si>
    <t>secondary_summary#str</t>
    <phoneticPr fontId="3" type="noConversion"/>
  </si>
  <si>
    <t>其它熟食</t>
    <phoneticPr fontId="3" type="noConversion"/>
  </si>
  <si>
    <r>
      <t>f</t>
    </r>
    <r>
      <rPr>
        <sz val="11"/>
        <color theme="1"/>
        <rFont val="宋体"/>
        <family val="3"/>
        <charset val="134"/>
        <scheme val="minor"/>
      </rPr>
      <t>ood</t>
    </r>
    <phoneticPr fontId="3" type="noConversion"/>
  </si>
  <si>
    <t>食物</t>
    <phoneticPr fontId="3" type="noConversion"/>
  </si>
  <si>
    <t>数据编号</t>
    <phoneticPr fontId="3" type="noConversion"/>
  </si>
  <si>
    <t>ui_305004</t>
    <phoneticPr fontId="3" type="noConversion"/>
  </si>
  <si>
    <t>腐败食物</t>
  </si>
  <si>
    <r>
      <t>spoiled</t>
    </r>
    <r>
      <rPr>
        <sz val="11"/>
        <color theme="1"/>
        <rFont val="宋体"/>
        <family val="3"/>
        <charset val="134"/>
        <scheme val="minor"/>
      </rPr>
      <t>_f</t>
    </r>
    <r>
      <rPr>
        <sz val="11"/>
        <color theme="1"/>
        <rFont val="宋体"/>
        <family val="3"/>
        <charset val="134"/>
        <scheme val="minor"/>
      </rPr>
      <t>ood</t>
    </r>
    <phoneticPr fontId="3" type="noConversion"/>
  </si>
  <si>
    <r>
      <t>u</t>
    </r>
    <r>
      <rPr>
        <sz val="11"/>
        <color theme="1"/>
        <rFont val="宋体"/>
        <family val="3"/>
        <charset val="134"/>
        <scheme val="minor"/>
      </rPr>
      <t>i_610002</t>
    </r>
    <phoneticPr fontId="3" type="noConversion"/>
  </si>
  <si>
    <t>0</t>
    <phoneticPr fontId="3" type="noConversion"/>
  </si>
  <si>
    <t>show_type#int</t>
    <phoneticPr fontId="3" type="noConversion"/>
  </si>
  <si>
    <t xml:space="preserve">giant_bomb </t>
    <phoneticPr fontId="3" type="noConversion"/>
  </si>
  <si>
    <t>虾蟹</t>
    <phoneticPr fontId="3" type="noConversion"/>
  </si>
  <si>
    <t>meat_shrimp_crab</t>
    <phoneticPr fontId="3" type="noConversion"/>
  </si>
  <si>
    <t>ic_summary_meat_shrimp_crab</t>
    <phoneticPr fontId="3" type="noConversion"/>
  </si>
  <si>
    <t>coffee_beans</t>
    <phoneticPr fontId="3" type="noConversion"/>
  </si>
  <si>
    <t>616002,616003,616004,616005,616006</t>
    <phoneticPr fontId="3" type="noConversion"/>
  </si>
  <si>
    <r>
      <t>forage</t>
    </r>
    <r>
      <rPr>
        <sz val="11"/>
        <color theme="1"/>
        <rFont val="宋体"/>
        <family val="3"/>
        <charset val="134"/>
        <scheme val="minor"/>
      </rPr>
      <t>_g</t>
    </r>
    <r>
      <rPr>
        <sz val="11"/>
        <color theme="1"/>
        <rFont val="宋体"/>
        <family val="3"/>
        <charset val="134"/>
        <scheme val="minor"/>
      </rPr>
      <t>rass</t>
    </r>
    <phoneticPr fontId="3" type="noConversion"/>
  </si>
  <si>
    <t>ui_617001</t>
    <phoneticPr fontId="3" type="noConversion"/>
  </si>
  <si>
    <t>牧草</t>
    <phoneticPr fontId="3" type="noConversion"/>
  </si>
  <si>
    <r>
      <t>su</t>
    </r>
    <r>
      <rPr>
        <sz val="11"/>
        <color theme="1"/>
        <rFont val="宋体"/>
        <family val="3"/>
        <charset val="134"/>
        <scheme val="minor"/>
      </rPr>
      <t>gar</t>
    </r>
    <phoneticPr fontId="3" type="noConversion"/>
  </si>
  <si>
    <t>ui_412003</t>
    <phoneticPr fontId="3" type="noConversion"/>
  </si>
  <si>
    <t>糖</t>
    <phoneticPr fontId="3" type="noConversion"/>
  </si>
  <si>
    <t>50</t>
    <phoneticPr fontId="3" type="noConversion"/>
  </si>
  <si>
    <t>甘蔗</t>
    <phoneticPr fontId="3" type="noConversion"/>
  </si>
  <si>
    <t>sugarcane</t>
    <phoneticPr fontId="3" type="noConversion"/>
  </si>
  <si>
    <t>ui_611003</t>
    <phoneticPr fontId="3" type="noConversion"/>
  </si>
  <si>
    <t>书</t>
    <phoneticPr fontId="3" type="noConversion"/>
  </si>
  <si>
    <t>book</t>
    <phoneticPr fontId="3" type="noConversion"/>
  </si>
  <si>
    <t>ui_book</t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</si>
  <si>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24</t>
    </r>
    <phoneticPr fontId="3" type="noConversion"/>
  </si>
  <si>
    <t>魔法戒指</t>
    <phoneticPr fontId="3" type="noConversion"/>
  </si>
  <si>
    <t>魔法项链</t>
    <phoneticPr fontId="3" type="noConversion"/>
  </si>
  <si>
    <r>
      <t>r</t>
    </r>
    <r>
      <rPr>
        <sz val="11"/>
        <color theme="1"/>
        <rFont val="宋体"/>
        <family val="3"/>
        <charset val="134"/>
        <scheme val="minor"/>
      </rPr>
      <t>ing</t>
    </r>
    <phoneticPr fontId="3" type="noConversion"/>
  </si>
  <si>
    <t>necklace</t>
    <phoneticPr fontId="3" type="noConversion"/>
  </si>
  <si>
    <t>ui_426001</t>
    <phoneticPr fontId="3" type="noConversion"/>
  </si>
  <si>
    <t>ui_427001</t>
    <phoneticPr fontId="3" type="noConversion"/>
  </si>
  <si>
    <t>milk</t>
    <phoneticPr fontId="3" type="noConversion"/>
  </si>
  <si>
    <t>ui_611004</t>
    <phoneticPr fontId="3" type="noConversion"/>
  </si>
  <si>
    <t>ui_611005</t>
    <phoneticPr fontId="3" type="noConversion"/>
  </si>
  <si>
    <t>611005</t>
    <phoneticPr fontId="3" type="noConversion"/>
  </si>
  <si>
    <t>flour</t>
    <phoneticPr fontId="3" type="noConversion"/>
  </si>
  <si>
    <t>牛奶</t>
    <phoneticPr fontId="3" type="noConversion"/>
  </si>
  <si>
    <t>面粉</t>
    <phoneticPr fontId="3" type="noConversion"/>
  </si>
  <si>
    <t>饼干</t>
    <phoneticPr fontId="3" type="noConversion"/>
  </si>
  <si>
    <t>蛋糕</t>
    <phoneticPr fontId="3" type="noConversion"/>
  </si>
  <si>
    <t>cookies</t>
    <phoneticPr fontId="3" type="noConversion"/>
  </si>
  <si>
    <t>cake</t>
    <phoneticPr fontId="3" type="noConversion"/>
  </si>
  <si>
    <t>20107,20108,20109,20122,20123</t>
    <phoneticPr fontId="3" type="noConversion"/>
  </si>
  <si>
    <t>ui_305005</t>
    <phoneticPr fontId="3" type="noConversion"/>
  </si>
  <si>
    <t>ui_305006</t>
    <phoneticPr fontId="3" type="noConversion"/>
  </si>
  <si>
    <t>20110,20111,20107,20108,20109,20028,20029,20030,20031,20122,20123</t>
    <phoneticPr fontId="3" type="noConversion"/>
  </si>
  <si>
    <t>611004,421001,412001</t>
    <phoneticPr fontId="3" type="noConversion"/>
  </si>
  <si>
    <t>肉</t>
    <phoneticPr fontId="3" type="noConversion"/>
  </si>
  <si>
    <t>meat_egg</t>
    <phoneticPr fontId="3" type="noConversion"/>
  </si>
  <si>
    <t>蛋</t>
    <phoneticPr fontId="3" type="noConversion"/>
  </si>
  <si>
    <t>ui_304005</t>
    <phoneticPr fontId="3" type="noConversion"/>
  </si>
  <si>
    <t>20110,20111,20113,20124</t>
    <phoneticPr fontId="3" type="noConversion"/>
  </si>
  <si>
    <t>606001,606002</t>
    <phoneticPr fontId="3" type="noConversion"/>
  </si>
  <si>
    <t>wine_spirits</t>
    <phoneticPr fontId="3" type="noConversion"/>
  </si>
  <si>
    <t>wine_ratafia</t>
    <phoneticPr fontId="3" type="noConversion"/>
  </si>
  <si>
    <t>ui_401001</t>
    <phoneticPr fontId="3" type="noConversion"/>
  </si>
  <si>
    <t>ui_401002</t>
    <phoneticPr fontId="3" type="noConversion"/>
  </si>
  <si>
    <t>烈酒</t>
  </si>
  <si>
    <t>果酒</t>
  </si>
  <si>
    <t>两轮马车</t>
    <phoneticPr fontId="3" type="noConversion"/>
  </si>
  <si>
    <t>四轮马车</t>
    <phoneticPr fontId="3" type="noConversion"/>
  </si>
  <si>
    <t>light_carriage</t>
    <phoneticPr fontId="3" type="noConversion"/>
  </si>
  <si>
    <t>carriage</t>
    <phoneticPr fontId="3" type="noConversion"/>
  </si>
  <si>
    <t>ui_416001</t>
    <phoneticPr fontId="3" type="noConversion"/>
  </si>
  <si>
    <t>ui_416002</t>
    <phoneticPr fontId="3" type="noConversion"/>
  </si>
  <si>
    <t>mushroom</t>
    <phoneticPr fontId="3" type="noConversion"/>
  </si>
  <si>
    <t>ui_301006</t>
    <phoneticPr fontId="3" type="noConversion"/>
  </si>
  <si>
    <t>301006</t>
    <phoneticPr fontId="3" type="noConversion"/>
  </si>
  <si>
    <t>排除物品</t>
    <phoneticPr fontId="3" type="noConversion"/>
  </si>
  <si>
    <t>_stuff_id_exclude#str</t>
    <phoneticPr fontId="3" type="noConversion"/>
  </si>
  <si>
    <t>3000</t>
    <phoneticPr fontId="3" type="noConversion"/>
  </si>
  <si>
    <t>蘑菇</t>
    <phoneticPr fontId="3" type="noConversion"/>
  </si>
  <si>
    <t>ui_616001</t>
    <phoneticPr fontId="3" type="noConversion"/>
  </si>
  <si>
    <t>显示类别
0不显示
1主列表显示
2横向显示
3仅详情中显示
4仅主列表末尾显示，不显示详情</t>
    <phoneticPr fontId="3" type="noConversion"/>
  </si>
  <si>
    <t>石料</t>
  </si>
  <si>
    <r>
      <t>b</t>
    </r>
    <r>
      <rPr>
        <sz val="11"/>
        <color theme="1"/>
        <rFont val="宋体"/>
        <family val="3"/>
        <charset val="134"/>
        <scheme val="minor"/>
      </rPr>
      <t>ullet</t>
    </r>
    <phoneticPr fontId="3" type="noConversion"/>
  </si>
  <si>
    <t>子弹</t>
    <phoneticPr fontId="3" type="noConversion"/>
  </si>
  <si>
    <r>
      <t>u</t>
    </r>
    <r>
      <rPr>
        <sz val="11"/>
        <color theme="1"/>
        <rFont val="宋体"/>
        <family val="3"/>
        <charset val="134"/>
        <scheme val="minor"/>
      </rPr>
      <t>i_428001</t>
    </r>
    <phoneticPr fontId="3" type="noConversion"/>
  </si>
  <si>
    <t>423001,423002,423003,428001</t>
    <phoneticPr fontId="3" type="noConversion"/>
  </si>
  <si>
    <t>ui_616005</t>
    <phoneticPr fontId="3" type="noConversion"/>
  </si>
  <si>
    <t>ui_616006</t>
    <phoneticPr fontId="3" type="noConversion"/>
  </si>
  <si>
    <t>gold_ore</t>
    <phoneticPr fontId="3" type="noConversion"/>
  </si>
  <si>
    <t>silver_ore</t>
    <phoneticPr fontId="3" type="noConversion"/>
  </si>
  <si>
    <t>金矿</t>
    <phoneticPr fontId="3" type="noConversion"/>
  </si>
  <si>
    <t>银矿</t>
    <phoneticPr fontId="3" type="noConversion"/>
  </si>
  <si>
    <r>
      <t>silver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coin</t>
    </r>
    <phoneticPr fontId="3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</si>
  <si>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000</t>
    </r>
    <phoneticPr fontId="3" type="noConversion"/>
  </si>
  <si>
    <t>1000</t>
    <phoneticPr fontId="3" type="noConversion"/>
  </si>
  <si>
    <t>银币</t>
    <phoneticPr fontId="3" type="noConversion"/>
  </si>
  <si>
    <t>ui_618001</t>
    <phoneticPr fontId="3" type="noConversion"/>
  </si>
  <si>
    <t>gem_wisdom</t>
    <phoneticPr fontId="3" type="noConversion"/>
  </si>
  <si>
    <t>ui_619001</t>
    <phoneticPr fontId="3" type="noConversion"/>
  </si>
  <si>
    <t>1</t>
    <phoneticPr fontId="3" type="noConversion"/>
  </si>
  <si>
    <t>智慧宝石</t>
    <phoneticPr fontId="3" type="noConversion"/>
  </si>
  <si>
    <t>602003,602004</t>
    <phoneticPr fontId="3" type="noConversion"/>
  </si>
  <si>
    <t>wine_mead</t>
    <phoneticPr fontId="3" type="noConversion"/>
  </si>
  <si>
    <t>ui_401003</t>
    <phoneticPr fontId="3" type="noConversion"/>
  </si>
  <si>
    <t>蜂蜜酒</t>
    <phoneticPr fontId="3" type="noConversion"/>
  </si>
  <si>
    <t>20125,20126,20135</t>
    <phoneticPr fontId="3" type="noConversion"/>
  </si>
  <si>
    <r>
      <rPr>
        <sz val="11"/>
        <color theme="1"/>
        <rFont val="宋体"/>
        <family val="3"/>
        <charset val="134"/>
        <scheme val="minor"/>
      </rPr>
      <t>v</t>
    </r>
    <r>
      <rPr>
        <sz val="11"/>
        <color theme="1"/>
        <rFont val="宋体"/>
        <family val="3"/>
        <charset val="134"/>
        <scheme val="minor"/>
      </rPr>
      <t>eterinary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drugs</t>
    </r>
    <phoneticPr fontId="3" type="noConversion"/>
  </si>
  <si>
    <t>418001,418002,429001,429002,429003</t>
  </si>
  <si>
    <t>ui_902147</t>
    <phoneticPr fontId="3" type="noConversion"/>
  </si>
  <si>
    <r>
      <t>4</t>
    </r>
    <r>
      <rPr>
        <sz val="11"/>
        <color theme="1"/>
        <rFont val="宋体"/>
        <family val="3"/>
        <charset val="134"/>
        <scheme val="minor"/>
      </rPr>
      <t>29</t>
    </r>
    <phoneticPr fontId="3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</si>
  <si>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</t>
    </r>
    <phoneticPr fontId="3" type="noConversion"/>
  </si>
  <si>
    <t>兽药</t>
    <phoneticPr fontId="3" type="noConversion"/>
  </si>
  <si>
    <t>monster_material</t>
    <phoneticPr fontId="3" type="noConversion"/>
  </si>
  <si>
    <t>ui_620001</t>
  </si>
  <si>
    <r>
      <t>6</t>
    </r>
    <r>
      <rPr>
        <sz val="11"/>
        <color theme="1"/>
        <rFont val="宋体"/>
        <family val="3"/>
        <charset val="134"/>
        <scheme val="minor"/>
      </rPr>
      <t>20</t>
    </r>
    <phoneticPr fontId="3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</si>
  <si>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</t>
    </r>
    <phoneticPr fontId="3" type="noConversion"/>
  </si>
  <si>
    <t>怪物素材</t>
    <phoneticPr fontId="3" type="noConversion"/>
  </si>
  <si>
    <t>410,613,614,430</t>
    <phoneticPr fontId="3" type="noConversion"/>
  </si>
  <si>
    <t>生产上限默认展开，按单物品限制</t>
    <phoneticPr fontId="3" type="noConversion"/>
  </si>
  <si>
    <t>default_expand#int</t>
    <phoneticPr fontId="3" type="noConversion"/>
  </si>
  <si>
    <t>ui_620001</t>
    <phoneticPr fontId="3" type="noConversion"/>
  </si>
  <si>
    <t>ui_620002</t>
    <phoneticPr fontId="3" type="noConversion"/>
  </si>
  <si>
    <t>ant_glue</t>
    <phoneticPr fontId="3" type="noConversion"/>
  </si>
  <si>
    <t>slime_gel</t>
    <phoneticPr fontId="3" type="noConversion"/>
  </si>
  <si>
    <t>史莱姆凝液</t>
    <phoneticPr fontId="3" type="noConversion"/>
  </si>
  <si>
    <t>是否可设置生产交易上限</t>
    <phoneticPr fontId="3" type="noConversion"/>
  </si>
  <si>
    <t>_stuff_id#str</t>
  </si>
  <si>
    <t>物品ID</t>
  </si>
  <si>
    <t>604001</t>
  </si>
  <si>
    <t>402001</t>
  </si>
  <si>
    <t>601001</t>
  </si>
  <si>
    <t>602001</t>
  </si>
  <si>
    <t>605001</t>
  </si>
  <si>
    <t>603001</t>
  </si>
  <si>
    <t>607001</t>
  </si>
  <si>
    <t>608001</t>
  </si>
  <si>
    <t>606001</t>
  </si>
  <si>
    <t>609001</t>
  </si>
  <si>
    <t>612001</t>
  </si>
  <si>
    <t>612002</t>
  </si>
  <si>
    <t>612003</t>
  </si>
  <si>
    <t>615001</t>
  </si>
  <si>
    <t>615002</t>
  </si>
  <si>
    <t>615003</t>
  </si>
  <si>
    <t>412001</t>
  </si>
  <si>
    <t>602002</t>
  </si>
  <si>
    <t>606002</t>
  </si>
  <si>
    <t>412002</t>
  </si>
  <si>
    <t>611001</t>
  </si>
  <si>
    <t>611002</t>
  </si>
  <si>
    <t>413001</t>
  </si>
  <si>
    <t>413002</t>
  </si>
  <si>
    <t>413003</t>
  </si>
  <si>
    <t>413004</t>
  </si>
  <si>
    <t>413005</t>
  </si>
  <si>
    <t>413006</t>
  </si>
  <si>
    <t>413007</t>
  </si>
  <si>
    <t>413008</t>
  </si>
  <si>
    <t>413009</t>
  </si>
  <si>
    <t>414001</t>
  </si>
  <si>
    <t>414002</t>
  </si>
  <si>
    <t>414003</t>
  </si>
  <si>
    <t>414004</t>
  </si>
  <si>
    <t>414005</t>
  </si>
  <si>
    <t>414006</t>
  </si>
  <si>
    <t>414007</t>
  </si>
  <si>
    <t>414008</t>
  </si>
  <si>
    <t>414009</t>
  </si>
  <si>
    <t>415001</t>
  </si>
  <si>
    <t>415002</t>
  </si>
  <si>
    <t>415003</t>
  </si>
  <si>
    <t>415004</t>
  </si>
  <si>
    <t>415005</t>
  </si>
  <si>
    <t>415006</t>
  </si>
  <si>
    <t>415007</t>
  </si>
  <si>
    <t>415008</t>
  </si>
  <si>
    <t>415009</t>
  </si>
  <si>
    <t>418001</t>
  </si>
  <si>
    <t>420001</t>
  </si>
  <si>
    <t>421001</t>
  </si>
  <si>
    <t>616001</t>
  </si>
  <si>
    <t>616002</t>
  </si>
  <si>
    <t>616003</t>
  </si>
  <si>
    <t>616004</t>
  </si>
  <si>
    <t>603002</t>
  </si>
  <si>
    <t>603003</t>
  </si>
  <si>
    <t>603004</t>
  </si>
  <si>
    <t>422001</t>
  </si>
  <si>
    <t>423001</t>
  </si>
  <si>
    <t>423002</t>
  </si>
  <si>
    <t>423003</t>
  </si>
  <si>
    <t>305001</t>
  </si>
  <si>
    <t>305002</t>
  </si>
  <si>
    <t>305003,305004</t>
  </si>
  <si>
    <t>610002</t>
  </si>
  <si>
    <t>304007,304008</t>
  </si>
  <si>
    <t>617001</t>
  </si>
  <si>
    <t>412003</t>
  </si>
  <si>
    <t>611003</t>
  </si>
  <si>
    <t>426001</t>
  </si>
  <si>
    <t>427001</t>
  </si>
  <si>
    <t>611004</t>
  </si>
  <si>
    <t>611005</t>
  </si>
  <si>
    <t>305005</t>
  </si>
  <si>
    <t>305006</t>
  </si>
  <si>
    <t>304005</t>
  </si>
  <si>
    <t>401001</t>
  </si>
  <si>
    <t>401002</t>
  </si>
  <si>
    <t>416001</t>
  </si>
  <si>
    <t>416002</t>
  </si>
  <si>
    <t>301006</t>
  </si>
  <si>
    <t>428001</t>
  </si>
  <si>
    <t>616005</t>
  </si>
  <si>
    <t>616006</t>
  </si>
  <si>
    <t>618001</t>
  </si>
  <si>
    <t>619001</t>
  </si>
  <si>
    <t>401003</t>
  </si>
  <si>
    <t>620001</t>
  </si>
  <si>
    <t>620002</t>
  </si>
  <si>
    <t>蚁胶</t>
  </si>
  <si>
    <t>602003</t>
    <phoneticPr fontId="3" type="noConversion"/>
  </si>
  <si>
    <t>602004</t>
    <phoneticPr fontId="3" type="noConversion"/>
  </si>
  <si>
    <t>ui_602004</t>
    <phoneticPr fontId="3" type="noConversion"/>
  </si>
  <si>
    <t>ui_602003</t>
    <phoneticPr fontId="3" type="noConversion"/>
  </si>
  <si>
    <t>life_fruit</t>
    <phoneticPr fontId="3" type="noConversion"/>
  </si>
  <si>
    <t>forget_worry_fruit</t>
    <phoneticPr fontId="3" type="noConversion"/>
  </si>
  <si>
    <t>生命果实</t>
    <phoneticPr fontId="3" type="noConversion"/>
  </si>
  <si>
    <t>忘忧果</t>
    <phoneticPr fontId="3" type="noConversion"/>
  </si>
  <si>
    <t>蔬菜(除蘑菇)</t>
    <phoneticPr fontId="3" type="noConversion"/>
  </si>
  <si>
    <t>beautifying_dan</t>
    <phoneticPr fontId="3" type="noConversion"/>
  </si>
  <si>
    <t>ui_418002</t>
    <phoneticPr fontId="3" type="noConversion"/>
  </si>
  <si>
    <t>418002</t>
    <phoneticPr fontId="3" type="noConversion"/>
  </si>
  <si>
    <t>养颜丹</t>
  </si>
  <si>
    <t>304001,304009</t>
    <phoneticPr fontId="3" type="noConversion"/>
  </si>
  <si>
    <r>
      <t>304002</t>
    </r>
    <r>
      <rPr>
        <sz val="11"/>
        <color theme="1"/>
        <rFont val="宋体"/>
        <family val="3"/>
        <charset val="134"/>
        <scheme val="minor"/>
      </rPr>
      <t>,304010</t>
    </r>
    <phoneticPr fontId="3" type="noConversion"/>
  </si>
  <si>
    <t>flower</t>
    <phoneticPr fontId="3" type="noConversion"/>
  </si>
  <si>
    <t>ui_621004</t>
    <phoneticPr fontId="3" type="noConversion"/>
  </si>
  <si>
    <t>621</t>
    <phoneticPr fontId="3" type="noConversion"/>
  </si>
  <si>
    <t>0</t>
    <phoneticPr fontId="3" type="noConversion"/>
  </si>
  <si>
    <t>鲜花</t>
    <phoneticPr fontId="3" type="noConversion"/>
  </si>
  <si>
    <t>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</si>
</sst>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51">
    <xf numFmtId="0" fontId="0" fillId="0" borderId="0" xfId="0"/>
    <xf numFmtId="17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0" borderId="1" xfId="0" applyBorder="1"/>
    <xf numFmtId="49" fontId="0" fillId="0" borderId="1" xfId="0" applyNumberFormat="1" applyBorder="1" applyAlignment="1">
      <alignment horizontal="right" wrapText="1"/>
    </xf>
    <xf numFmtId="176" fontId="0" fillId="0" borderId="1" xfId="0" applyNumberFormat="1" applyBorder="1" applyAlignment="1">
      <alignment horizontal="right" wrapText="1"/>
    </xf>
    <xf numFmtId="49" fontId="0" fillId="0" borderId="1" xfId="0" applyNumberFormat="1" applyBorder="1" applyAlignment="1">
      <alignment horizontal="right"/>
    </xf>
    <xf numFmtId="49" fontId="0" fillId="0" borderId="1" xfId="0" applyNumberFormat="1" applyBorder="1"/>
    <xf numFmtId="49" fontId="0" fillId="0" borderId="0" xfId="0" applyNumberFormat="1"/>
    <xf numFmtId="49" fontId="4" fillId="0" borderId="1" xfId="0" applyNumberFormat="1" applyFont="1" applyBorder="1" applyAlignment="1">
      <alignment horizontal="right"/>
    </xf>
    <xf numFmtId="49" fontId="4" fillId="0" borderId="1" xfId="0" applyNumberFormat="1" applyFont="1" applyBorder="1"/>
    <xf numFmtId="49" fontId="4" fillId="0" borderId="1" xfId="0" applyNumberFormat="1" applyFont="1" applyBorder="1" applyAlignment="1">
      <alignment wrapText="1"/>
    </xf>
    <xf numFmtId="176" fontId="0" fillId="0" borderId="1" xfId="0" applyNumberFormat="1" applyBorder="1" applyAlignment="1">
      <alignment horizontal="left" wrapText="1"/>
    </xf>
    <xf numFmtId="176" fontId="4" fillId="0" borderId="1" xfId="0" applyNumberFormat="1" applyFont="1" applyBorder="1" applyAlignment="1">
      <alignment horizontal="right"/>
    </xf>
    <xf numFmtId="176" fontId="4" fillId="0" borderId="1" xfId="0" applyNumberFormat="1" applyFont="1" applyBorder="1" applyAlignment="1">
      <alignment horizontal="left" wrapText="1"/>
    </xf>
    <xf numFmtId="0" fontId="4" fillId="0" borderId="1" xfId="0" applyFont="1" applyBorder="1"/>
    <xf numFmtId="176" fontId="0" fillId="0" borderId="1" xfId="0" applyNumberFormat="1" applyBorder="1" applyAlignment="1">
      <alignment horizontal="left"/>
    </xf>
    <xf numFmtId="176" fontId="0" fillId="0" borderId="0" xfId="0" applyNumberFormat="1" applyAlignment="1">
      <alignment horizontal="left"/>
    </xf>
    <xf numFmtId="176" fontId="4" fillId="0" borderId="1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right"/>
    </xf>
    <xf numFmtId="0" fontId="0" fillId="0" borderId="2" xfId="0" applyBorder="1"/>
    <xf numFmtId="49" fontId="0" fillId="0" borderId="2" xfId="0" applyNumberForma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left" wrapText="1"/>
    </xf>
    <xf numFmtId="49" fontId="4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176" fontId="0" fillId="0" borderId="2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4" fillId="0" borderId="1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/>
    </xf>
    <xf numFmtId="49" fontId="0" fillId="0" borderId="1" xfId="0" applyNumberFormat="1" applyBorder="1" applyAlignment="1">
      <alignment wrapText="1"/>
    </xf>
    <xf numFmtId="176" fontId="4" fillId="0" borderId="1" xfId="0" applyNumberFormat="1" applyFont="1" applyBorder="1" applyAlignment="1">
      <alignment horizontal="right" wrapText="1"/>
    </xf>
    <xf numFmtId="49" fontId="4" fillId="3" borderId="1" xfId="0" applyNumberFormat="1" applyFont="1" applyFill="1" applyBorder="1" applyAlignment="1">
      <alignment horizontal="right" wrapText="1"/>
    </xf>
    <xf numFmtId="0" fontId="0" fillId="4" borderId="1" xfId="0" applyFill="1" applyBorder="1"/>
    <xf numFmtId="0" fontId="0" fillId="5" borderId="1" xfId="0" applyFill="1" applyBorder="1"/>
    <xf numFmtId="49" fontId="4" fillId="0" borderId="1" xfId="0" applyNumberFormat="1" applyFont="1" applyBorder="1" applyAlignment="1">
      <alignment horizontal="right" wrapText="1"/>
    </xf>
    <xf numFmtId="49" fontId="4" fillId="3" borderId="1" xfId="0" applyNumberFormat="1" applyFont="1" applyFill="1" applyBorder="1" applyAlignment="1">
      <alignment horizontal="right"/>
    </xf>
    <xf numFmtId="176" fontId="0" fillId="0" borderId="0" xfId="0" applyNumberFormat="1" applyAlignment="1">
      <alignment horizontal="right" wrapText="1"/>
    </xf>
    <xf numFmtId="49" fontId="4" fillId="5" borderId="1" xfId="0" applyNumberFormat="1" applyFont="1" applyFill="1" applyBorder="1" applyAlignment="1">
      <alignment horizontal="right"/>
    </xf>
    <xf numFmtId="49" fontId="0" fillId="5" borderId="1" xfId="0" applyNumberFormat="1" applyFill="1" applyBorder="1" applyAlignment="1">
      <alignment horizontal="right"/>
    </xf>
    <xf numFmtId="49" fontId="4" fillId="0" borderId="3" xfId="0" applyNumberFormat="1" applyFont="1" applyBorder="1"/>
    <xf numFmtId="0" fontId="4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4">
    <cellStyle name="常规" xfId="0" builtinId="0"/>
    <cellStyle name="常规 2" xfId="1" xr:uid="{00000000-0005-0000-0000-000001000000}"/>
    <cellStyle name="常规 2 2" xfId="3" xr:uid="{00000000-0005-0000-0000-000002000000}"/>
    <cellStyle name="常规 3" xfId="2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1"/>
  <sheetViews>
    <sheetView tabSelected="1" topLeftCell="A37" workbookViewId="0">
      <selection activeCell="F65" sqref="F65"/>
    </sheetView>
  </sheetViews>
  <sheetFormatPr defaultRowHeight="13.5" x14ac:dyDescent="0.15"/>
  <cols>
    <col min="1" max="1" width="17" style="2" customWidth="1"/>
    <col min="3" max="3" width="14.125" style="1" customWidth="1"/>
    <col min="4" max="4" width="14.125" style="40" customWidth="1"/>
    <col min="5" max="6" width="14.125" style="1" customWidth="1"/>
    <col min="7" max="7" width="21.875" style="2" customWidth="1"/>
    <col min="8" max="8" width="21.875" style="18" customWidth="1"/>
    <col min="9" max="9" width="21.875" style="28" customWidth="1"/>
    <col min="10" max="11" width="8.875" style="28" customWidth="1"/>
    <col min="12" max="12" width="9.125" style="9" customWidth="1"/>
    <col min="13" max="13" width="9" style="9" customWidth="1"/>
    <col min="14" max="15" width="9" style="9"/>
    <col min="17" max="17" width="27.375" customWidth="1"/>
    <col min="18" max="18" width="19.75" style="50" customWidth="1"/>
  </cols>
  <sheetData>
    <row r="1" spans="1:18" ht="78" customHeight="1" x14ac:dyDescent="0.15">
      <c r="A1" s="5" t="s">
        <v>8</v>
      </c>
      <c r="B1" s="24" t="s">
        <v>391</v>
      </c>
      <c r="C1" s="3" t="s">
        <v>58</v>
      </c>
      <c r="D1" s="15" t="s">
        <v>466</v>
      </c>
      <c r="E1" s="34" t="s">
        <v>511</v>
      </c>
      <c r="F1" s="34" t="s">
        <v>504</v>
      </c>
      <c r="G1" s="10" t="s">
        <v>386</v>
      </c>
      <c r="H1" s="17" t="s">
        <v>33</v>
      </c>
      <c r="I1" s="27" t="s">
        <v>358</v>
      </c>
      <c r="J1" s="31" t="s">
        <v>461</v>
      </c>
      <c r="K1" s="26" t="s">
        <v>513</v>
      </c>
      <c r="L1" s="8" t="s">
        <v>6</v>
      </c>
      <c r="M1" s="8" t="s">
        <v>7</v>
      </c>
      <c r="N1" s="8" t="s">
        <v>20</v>
      </c>
      <c r="O1" s="11" t="s">
        <v>46</v>
      </c>
      <c r="P1" s="11" t="s">
        <v>44</v>
      </c>
      <c r="Q1" s="8" t="s">
        <v>49</v>
      </c>
      <c r="R1" s="45" t="s">
        <v>84</v>
      </c>
    </row>
    <row r="2" spans="1:18" x14ac:dyDescent="0.15">
      <c r="A2" s="5" t="s">
        <v>9</v>
      </c>
      <c r="B2" s="16" t="s">
        <v>57</v>
      </c>
      <c r="C2" s="3" t="s">
        <v>59</v>
      </c>
      <c r="D2" s="34" t="s">
        <v>397</v>
      </c>
      <c r="E2" s="14" t="s">
        <v>328</v>
      </c>
      <c r="F2" s="14" t="s">
        <v>505</v>
      </c>
      <c r="G2" s="10" t="s">
        <v>387</v>
      </c>
      <c r="H2" s="17" t="s">
        <v>34</v>
      </c>
      <c r="I2" s="27" t="s">
        <v>359</v>
      </c>
      <c r="J2" s="27" t="s">
        <v>462</v>
      </c>
      <c r="K2" s="27" t="s">
        <v>512</v>
      </c>
      <c r="L2" s="11" t="s">
        <v>22</v>
      </c>
      <c r="M2" s="8" t="s">
        <v>23</v>
      </c>
      <c r="N2" s="11" t="s">
        <v>21</v>
      </c>
      <c r="O2" s="11" t="s">
        <v>45</v>
      </c>
      <c r="P2" s="11" t="s">
        <v>225</v>
      </c>
      <c r="Q2" s="11" t="s">
        <v>50</v>
      </c>
      <c r="R2" s="46" t="s">
        <v>123</v>
      </c>
    </row>
    <row r="3" spans="1:18" x14ac:dyDescent="0.15">
      <c r="A3" s="42" t="s">
        <v>10</v>
      </c>
      <c r="B3" s="4">
        <v>20001</v>
      </c>
      <c r="C3" s="3">
        <v>580</v>
      </c>
      <c r="D3" s="6">
        <v>4</v>
      </c>
      <c r="E3" s="14">
        <v>1</v>
      </c>
      <c r="F3" s="14">
        <v>0</v>
      </c>
      <c r="G3" s="10"/>
      <c r="H3" s="13" t="s">
        <v>35</v>
      </c>
      <c r="I3" s="26"/>
      <c r="J3" s="26"/>
      <c r="K3" s="26" t="s">
        <v>514</v>
      </c>
      <c r="L3" s="11"/>
      <c r="M3" s="8"/>
      <c r="N3" s="11" t="s">
        <v>32</v>
      </c>
      <c r="O3" s="11" t="s">
        <v>55</v>
      </c>
      <c r="P3" s="4">
        <v>30</v>
      </c>
      <c r="Q3" s="4" t="str">
        <f t="shared" ref="Q3:Q34" si="0">CONCATENATE("public const int ",A3," = ",B3,";")</f>
        <v>public const int wood = 20001;</v>
      </c>
      <c r="R3" s="13" t="s">
        <v>0</v>
      </c>
    </row>
    <row r="4" spans="1:18" x14ac:dyDescent="0.15">
      <c r="A4" s="42" t="s">
        <v>16</v>
      </c>
      <c r="B4" s="4">
        <v>20002</v>
      </c>
      <c r="C4" s="14">
        <v>570</v>
      </c>
      <c r="D4" s="6">
        <v>4</v>
      </c>
      <c r="E4" s="14">
        <v>1</v>
      </c>
      <c r="F4" s="14">
        <v>0</v>
      </c>
      <c r="G4" s="10"/>
      <c r="H4" s="13" t="s">
        <v>36</v>
      </c>
      <c r="I4" s="26"/>
      <c r="J4" s="26"/>
      <c r="K4" s="26" t="s">
        <v>515</v>
      </c>
      <c r="L4" s="12"/>
      <c r="M4" s="8"/>
      <c r="N4" s="11" t="s">
        <v>51</v>
      </c>
      <c r="O4" s="11" t="s">
        <v>28</v>
      </c>
      <c r="P4" s="4">
        <v>30</v>
      </c>
      <c r="Q4" s="4" t="str">
        <f t="shared" si="0"/>
        <v>public const int firewood = 20002;</v>
      </c>
      <c r="R4" s="13" t="s">
        <v>15</v>
      </c>
    </row>
    <row r="5" spans="1:18" x14ac:dyDescent="0.15">
      <c r="A5" s="41" t="s">
        <v>11</v>
      </c>
      <c r="B5" s="4">
        <v>20003</v>
      </c>
      <c r="C5" s="3">
        <v>560</v>
      </c>
      <c r="D5" s="6">
        <v>4</v>
      </c>
      <c r="E5" s="14">
        <v>1</v>
      </c>
      <c r="F5" s="14">
        <v>0</v>
      </c>
      <c r="G5" s="10"/>
      <c r="H5" s="13" t="s">
        <v>37</v>
      </c>
      <c r="I5" s="26"/>
      <c r="J5" s="26"/>
      <c r="K5" s="26" t="s">
        <v>516</v>
      </c>
      <c r="L5" s="11"/>
      <c r="M5" s="8"/>
      <c r="N5" s="11" t="s">
        <v>32</v>
      </c>
      <c r="O5" s="11" t="s">
        <v>28</v>
      </c>
      <c r="P5" s="4">
        <v>50</v>
      </c>
      <c r="Q5" s="4" t="str">
        <f t="shared" si="0"/>
        <v>public const int coal = 20003;</v>
      </c>
      <c r="R5" s="13" t="s">
        <v>1</v>
      </c>
    </row>
    <row r="6" spans="1:18" x14ac:dyDescent="0.15">
      <c r="A6" s="7" t="s">
        <v>12</v>
      </c>
      <c r="B6" s="4">
        <v>20005</v>
      </c>
      <c r="C6" s="3">
        <v>160</v>
      </c>
      <c r="D6" s="6">
        <v>1</v>
      </c>
      <c r="E6" s="14">
        <v>1</v>
      </c>
      <c r="F6" s="14">
        <v>0</v>
      </c>
      <c r="G6" s="10"/>
      <c r="H6" s="13" t="s">
        <v>43</v>
      </c>
      <c r="I6" s="31" t="s">
        <v>487</v>
      </c>
      <c r="J6" s="26"/>
      <c r="K6" s="26" t="s">
        <v>517</v>
      </c>
      <c r="L6" s="11"/>
      <c r="M6" s="8"/>
      <c r="N6" s="11" t="s">
        <v>32</v>
      </c>
      <c r="O6" s="11" t="s">
        <v>28</v>
      </c>
      <c r="P6" s="4">
        <v>30</v>
      </c>
      <c r="Q6" s="4" t="str">
        <f t="shared" si="0"/>
        <v>public const int medicine = 20005;</v>
      </c>
      <c r="R6" s="17" t="s">
        <v>2</v>
      </c>
    </row>
    <row r="7" spans="1:18" x14ac:dyDescent="0.15">
      <c r="A7" s="7" t="s">
        <v>13</v>
      </c>
      <c r="B7" s="37">
        <v>20006</v>
      </c>
      <c r="C7" s="3">
        <v>240</v>
      </c>
      <c r="D7" s="6">
        <v>1</v>
      </c>
      <c r="E7" s="14">
        <v>0</v>
      </c>
      <c r="F7" s="14">
        <v>0</v>
      </c>
      <c r="G7" s="39" t="s">
        <v>491</v>
      </c>
      <c r="H7" s="15" t="s">
        <v>117</v>
      </c>
      <c r="I7" s="31" t="s">
        <v>439</v>
      </c>
      <c r="J7" s="31"/>
      <c r="K7" s="31"/>
      <c r="L7" s="11"/>
      <c r="M7" s="8"/>
      <c r="N7" s="11" t="s">
        <v>28</v>
      </c>
      <c r="O7" s="11" t="s">
        <v>28</v>
      </c>
      <c r="P7" s="4">
        <v>100</v>
      </c>
      <c r="Q7" s="4" t="str">
        <f t="shared" si="0"/>
        <v>public const int wine = 20006;</v>
      </c>
      <c r="R7" s="19" t="s">
        <v>3</v>
      </c>
    </row>
    <row r="8" spans="1:18" x14ac:dyDescent="0.15">
      <c r="A8" s="42" t="s">
        <v>14</v>
      </c>
      <c r="B8" s="4">
        <v>20007</v>
      </c>
      <c r="C8" s="14">
        <v>590</v>
      </c>
      <c r="D8" s="6">
        <v>4</v>
      </c>
      <c r="E8" s="14">
        <v>1</v>
      </c>
      <c r="F8" s="14">
        <v>0</v>
      </c>
      <c r="G8" s="10"/>
      <c r="H8" s="13" t="s">
        <v>38</v>
      </c>
      <c r="I8" s="26"/>
      <c r="J8" s="26"/>
      <c r="K8" s="26" t="s">
        <v>518</v>
      </c>
      <c r="L8" s="11"/>
      <c r="M8" s="8"/>
      <c r="N8" s="11" t="s">
        <v>32</v>
      </c>
      <c r="O8" s="11" t="s">
        <v>28</v>
      </c>
      <c r="P8" s="4">
        <v>30</v>
      </c>
      <c r="Q8" s="4" t="str">
        <f t="shared" si="0"/>
        <v>public const int stone = 20007;</v>
      </c>
      <c r="R8" s="46" t="s">
        <v>467</v>
      </c>
    </row>
    <row r="9" spans="1:18" x14ac:dyDescent="0.15">
      <c r="A9" s="10" t="s">
        <v>17</v>
      </c>
      <c r="B9" s="4">
        <v>20008</v>
      </c>
      <c r="C9" s="3">
        <v>310</v>
      </c>
      <c r="D9" s="6">
        <v>1</v>
      </c>
      <c r="E9" s="14">
        <v>1</v>
      </c>
      <c r="F9" s="14">
        <v>0</v>
      </c>
      <c r="G9" s="10"/>
      <c r="H9" s="15" t="s">
        <v>236</v>
      </c>
      <c r="I9" s="31" t="s">
        <v>360</v>
      </c>
      <c r="J9" s="31"/>
      <c r="K9" s="31" t="s">
        <v>519</v>
      </c>
      <c r="L9" s="11"/>
      <c r="M9" s="8"/>
      <c r="N9" s="11" t="s">
        <v>32</v>
      </c>
      <c r="O9" s="11" t="s">
        <v>28</v>
      </c>
      <c r="P9" s="4">
        <v>30</v>
      </c>
      <c r="Q9" s="4" t="str">
        <f t="shared" si="0"/>
        <v>public const int iron = 20008;</v>
      </c>
      <c r="R9" s="44" t="s">
        <v>357</v>
      </c>
    </row>
    <row r="10" spans="1:18" x14ac:dyDescent="0.15">
      <c r="A10" s="7" t="s">
        <v>18</v>
      </c>
      <c r="B10" s="4">
        <v>20009</v>
      </c>
      <c r="C10" s="3">
        <v>180</v>
      </c>
      <c r="D10" s="6">
        <v>1</v>
      </c>
      <c r="E10" s="14">
        <v>1</v>
      </c>
      <c r="F10" s="14">
        <v>0</v>
      </c>
      <c r="G10" s="10"/>
      <c r="H10" s="13" t="s">
        <v>39</v>
      </c>
      <c r="I10" s="26"/>
      <c r="J10" s="26"/>
      <c r="K10" s="26"/>
      <c r="L10" s="11" t="s">
        <v>25</v>
      </c>
      <c r="M10" s="8"/>
      <c r="N10" s="11" t="s">
        <v>410</v>
      </c>
      <c r="O10" s="11" t="s">
        <v>26</v>
      </c>
      <c r="P10" s="4">
        <v>10</v>
      </c>
      <c r="Q10" s="4" t="str">
        <f t="shared" si="0"/>
        <v>public const int tool = 20009;</v>
      </c>
      <c r="R10" s="17" t="s">
        <v>4</v>
      </c>
    </row>
    <row r="11" spans="1:18" x14ac:dyDescent="0.15">
      <c r="A11" s="7" t="s">
        <v>19</v>
      </c>
      <c r="B11" s="4">
        <v>20010</v>
      </c>
      <c r="C11" s="14">
        <v>190</v>
      </c>
      <c r="D11" s="6">
        <v>1</v>
      </c>
      <c r="E11" s="14">
        <v>1</v>
      </c>
      <c r="F11" s="14">
        <v>0</v>
      </c>
      <c r="G11" s="10"/>
      <c r="H11" s="13" t="s">
        <v>40</v>
      </c>
      <c r="I11" s="26" t="s">
        <v>445</v>
      </c>
      <c r="J11" s="26"/>
      <c r="K11" s="26"/>
      <c r="L11" s="11" t="s">
        <v>24</v>
      </c>
      <c r="M11" s="8"/>
      <c r="N11" s="11" t="s">
        <v>410</v>
      </c>
      <c r="O11" s="11" t="s">
        <v>26</v>
      </c>
      <c r="P11" s="4">
        <v>10</v>
      </c>
      <c r="Q11" s="4" t="str">
        <f t="shared" si="0"/>
        <v>public const int clothing = 20010;</v>
      </c>
      <c r="R11" s="17" t="s">
        <v>5</v>
      </c>
    </row>
    <row r="12" spans="1:18" x14ac:dyDescent="0.15">
      <c r="A12" s="10" t="s">
        <v>30</v>
      </c>
      <c r="B12" s="4">
        <v>20011</v>
      </c>
      <c r="C12" s="14">
        <v>10</v>
      </c>
      <c r="D12" s="6">
        <v>2</v>
      </c>
      <c r="E12" s="14">
        <v>0</v>
      </c>
      <c r="F12" s="14">
        <v>0</v>
      </c>
      <c r="G12" s="10"/>
      <c r="H12" s="13" t="s">
        <v>41</v>
      </c>
      <c r="I12" s="26"/>
      <c r="J12" s="26"/>
      <c r="K12" s="26" t="s">
        <v>520</v>
      </c>
      <c r="L12" s="8"/>
      <c r="M12" s="8"/>
      <c r="N12" s="8" t="s">
        <v>32</v>
      </c>
      <c r="O12" s="11" t="s">
        <v>32</v>
      </c>
      <c r="P12" s="4">
        <v>10000</v>
      </c>
      <c r="Q12" s="4" t="str">
        <f t="shared" si="0"/>
        <v>public const int silver = 20011;</v>
      </c>
      <c r="R12" s="17" t="s">
        <v>29</v>
      </c>
    </row>
    <row r="13" spans="1:18" x14ac:dyDescent="0.15">
      <c r="A13" s="7" t="s">
        <v>31</v>
      </c>
      <c r="B13" s="4">
        <v>20012</v>
      </c>
      <c r="C13" s="3">
        <v>20</v>
      </c>
      <c r="D13" s="6">
        <v>2</v>
      </c>
      <c r="E13" s="14">
        <v>0</v>
      </c>
      <c r="F13" s="14">
        <v>0</v>
      </c>
      <c r="G13" s="10"/>
      <c r="H13" s="13" t="s">
        <v>42</v>
      </c>
      <c r="I13" s="26"/>
      <c r="J13" s="26"/>
      <c r="K13" s="26" t="s">
        <v>521</v>
      </c>
      <c r="L13" s="8"/>
      <c r="M13" s="8"/>
      <c r="N13" s="8" t="s">
        <v>32</v>
      </c>
      <c r="O13" s="11" t="s">
        <v>32</v>
      </c>
      <c r="P13" s="4">
        <v>10000</v>
      </c>
      <c r="Q13" s="4" t="str">
        <f t="shared" si="0"/>
        <v>public const int gold = 20012;</v>
      </c>
      <c r="R13" s="19" t="s">
        <v>83</v>
      </c>
    </row>
    <row r="14" spans="1:18" x14ac:dyDescent="0.15">
      <c r="A14" s="10" t="s">
        <v>121</v>
      </c>
      <c r="B14" s="4">
        <v>20013</v>
      </c>
      <c r="C14" s="3">
        <v>200</v>
      </c>
      <c r="D14" s="6">
        <v>0</v>
      </c>
      <c r="E14" s="14">
        <v>1</v>
      </c>
      <c r="F14" s="14">
        <v>0</v>
      </c>
      <c r="G14" s="10"/>
      <c r="H14" s="15" t="s">
        <v>116</v>
      </c>
      <c r="I14" s="31"/>
      <c r="J14" s="31"/>
      <c r="K14" s="31" t="s">
        <v>522</v>
      </c>
      <c r="L14" s="11"/>
      <c r="M14" s="8"/>
      <c r="N14" s="11" t="s">
        <v>32</v>
      </c>
      <c r="O14" s="11" t="s">
        <v>56</v>
      </c>
      <c r="P14" s="4">
        <v>30</v>
      </c>
      <c r="Q14" s="4" t="str">
        <f t="shared" si="0"/>
        <v>public const int leather = 20013;</v>
      </c>
      <c r="R14" s="46" t="s">
        <v>119</v>
      </c>
    </row>
    <row r="15" spans="1:18" x14ac:dyDescent="0.15">
      <c r="A15" s="10" t="s">
        <v>52</v>
      </c>
      <c r="B15" s="4">
        <v>20017</v>
      </c>
      <c r="C15" s="14">
        <v>370</v>
      </c>
      <c r="D15" s="34">
        <v>3</v>
      </c>
      <c r="E15" s="14">
        <v>1</v>
      </c>
      <c r="F15" s="14">
        <v>0</v>
      </c>
      <c r="G15" s="10"/>
      <c r="H15" s="15" t="s">
        <v>93</v>
      </c>
      <c r="I15" s="31"/>
      <c r="J15" s="31"/>
      <c r="K15" s="31" t="s">
        <v>523</v>
      </c>
      <c r="L15" s="11"/>
      <c r="M15" s="8"/>
      <c r="N15" s="11" t="s">
        <v>54</v>
      </c>
      <c r="O15" s="11" t="s">
        <v>48</v>
      </c>
      <c r="P15" s="4">
        <v>100</v>
      </c>
      <c r="Q15" s="4" t="str">
        <f t="shared" si="0"/>
        <v>public const int fertilizer = 20017;</v>
      </c>
      <c r="R15" s="19" t="s">
        <v>53</v>
      </c>
    </row>
    <row r="16" spans="1:18" x14ac:dyDescent="0.15">
      <c r="A16" s="10" t="s">
        <v>65</v>
      </c>
      <c r="B16" s="4">
        <v>20018</v>
      </c>
      <c r="C16" s="3">
        <v>380</v>
      </c>
      <c r="D16" s="34">
        <v>3</v>
      </c>
      <c r="E16" s="14">
        <v>1</v>
      </c>
      <c r="F16" s="14">
        <v>0</v>
      </c>
      <c r="G16" s="10"/>
      <c r="H16" s="17" t="s">
        <v>71</v>
      </c>
      <c r="I16" s="30"/>
      <c r="J16" s="30"/>
      <c r="K16" s="30" t="s">
        <v>524</v>
      </c>
      <c r="L16" s="8"/>
      <c r="M16" s="8"/>
      <c r="N16" s="11" t="s">
        <v>32</v>
      </c>
      <c r="O16" s="11" t="s">
        <v>28</v>
      </c>
      <c r="P16" s="4">
        <v>10000</v>
      </c>
      <c r="Q16" s="4" t="str">
        <f t="shared" si="0"/>
        <v>public const int gem_red = 20018;</v>
      </c>
      <c r="R16" s="47" t="s">
        <v>77</v>
      </c>
    </row>
    <row r="17" spans="1:18" x14ac:dyDescent="0.15">
      <c r="A17" s="10" t="s">
        <v>66</v>
      </c>
      <c r="B17" s="4">
        <v>20019</v>
      </c>
      <c r="C17" s="14">
        <v>390</v>
      </c>
      <c r="D17" s="34">
        <v>3</v>
      </c>
      <c r="E17" s="14">
        <v>1</v>
      </c>
      <c r="F17" s="14">
        <v>0</v>
      </c>
      <c r="G17" s="10"/>
      <c r="H17" s="17" t="s">
        <v>72</v>
      </c>
      <c r="I17" s="30"/>
      <c r="J17" s="30"/>
      <c r="K17" s="30" t="s">
        <v>525</v>
      </c>
      <c r="L17" s="8"/>
      <c r="M17" s="8"/>
      <c r="N17" s="11" t="s">
        <v>32</v>
      </c>
      <c r="O17" s="11" t="s">
        <v>28</v>
      </c>
      <c r="P17" s="4">
        <v>10000</v>
      </c>
      <c r="Q17" s="4" t="str">
        <f t="shared" si="0"/>
        <v>public const int gem_blue = 20019;</v>
      </c>
      <c r="R17" s="47" t="s">
        <v>60</v>
      </c>
    </row>
    <row r="18" spans="1:18" x14ac:dyDescent="0.15">
      <c r="A18" s="10" t="s">
        <v>67</v>
      </c>
      <c r="B18" s="4">
        <v>20020</v>
      </c>
      <c r="C18" s="3">
        <v>400</v>
      </c>
      <c r="D18" s="34">
        <v>3</v>
      </c>
      <c r="E18" s="14">
        <v>1</v>
      </c>
      <c r="F18" s="14">
        <v>0</v>
      </c>
      <c r="G18" s="10"/>
      <c r="H18" s="17" t="s">
        <v>73</v>
      </c>
      <c r="I18" s="30"/>
      <c r="J18" s="30"/>
      <c r="K18" s="30" t="s">
        <v>526</v>
      </c>
      <c r="L18" s="8"/>
      <c r="M18" s="8"/>
      <c r="N18" s="11" t="s">
        <v>32</v>
      </c>
      <c r="O18" s="11" t="s">
        <v>28</v>
      </c>
      <c r="P18" s="4">
        <v>10000</v>
      </c>
      <c r="Q18" s="4" t="str">
        <f t="shared" si="0"/>
        <v>public const int gem_green = 20020;</v>
      </c>
      <c r="R18" s="47" t="s">
        <v>61</v>
      </c>
    </row>
    <row r="19" spans="1:18" x14ac:dyDescent="0.15">
      <c r="A19" s="10" t="s">
        <v>68</v>
      </c>
      <c r="B19" s="4">
        <v>20021</v>
      </c>
      <c r="C19" s="14">
        <v>410</v>
      </c>
      <c r="D19" s="34">
        <v>3</v>
      </c>
      <c r="E19" s="14">
        <v>1</v>
      </c>
      <c r="F19" s="14">
        <v>0</v>
      </c>
      <c r="G19" s="10"/>
      <c r="H19" s="17" t="s">
        <v>74</v>
      </c>
      <c r="I19" s="30"/>
      <c r="J19" s="30"/>
      <c r="K19" s="30" t="s">
        <v>527</v>
      </c>
      <c r="L19" s="8"/>
      <c r="M19" s="8"/>
      <c r="N19" s="11" t="s">
        <v>32</v>
      </c>
      <c r="O19" s="11" t="s">
        <v>28</v>
      </c>
      <c r="P19" s="4">
        <v>100</v>
      </c>
      <c r="Q19" s="4" t="str">
        <f t="shared" si="0"/>
        <v>public const int gem_red_fragment = 20021;</v>
      </c>
      <c r="R19" s="47" t="s">
        <v>62</v>
      </c>
    </row>
    <row r="20" spans="1:18" x14ac:dyDescent="0.15">
      <c r="A20" s="10" t="s">
        <v>69</v>
      </c>
      <c r="B20" s="4">
        <v>20022</v>
      </c>
      <c r="C20" s="3">
        <v>420</v>
      </c>
      <c r="D20" s="34">
        <v>3</v>
      </c>
      <c r="E20" s="14">
        <v>1</v>
      </c>
      <c r="F20" s="14">
        <v>0</v>
      </c>
      <c r="G20" s="10"/>
      <c r="H20" s="17" t="s">
        <v>75</v>
      </c>
      <c r="I20" s="30"/>
      <c r="J20" s="30"/>
      <c r="K20" s="30" t="s">
        <v>528</v>
      </c>
      <c r="L20" s="8"/>
      <c r="M20" s="8"/>
      <c r="N20" s="11" t="s">
        <v>32</v>
      </c>
      <c r="O20" s="11" t="s">
        <v>28</v>
      </c>
      <c r="P20" s="4">
        <v>100</v>
      </c>
      <c r="Q20" s="4" t="str">
        <f t="shared" si="0"/>
        <v>public const int gem_blue_fragment = 20022;</v>
      </c>
      <c r="R20" s="47" t="s">
        <v>63</v>
      </c>
    </row>
    <row r="21" spans="1:18" x14ac:dyDescent="0.15">
      <c r="A21" s="10" t="s">
        <v>70</v>
      </c>
      <c r="B21" s="4">
        <v>20023</v>
      </c>
      <c r="C21" s="14">
        <v>430</v>
      </c>
      <c r="D21" s="34">
        <v>3</v>
      </c>
      <c r="E21" s="14">
        <v>1</v>
      </c>
      <c r="F21" s="14">
        <v>0</v>
      </c>
      <c r="G21" s="10"/>
      <c r="H21" s="17" t="s">
        <v>76</v>
      </c>
      <c r="I21" s="30"/>
      <c r="J21" s="30"/>
      <c r="K21" s="30" t="s">
        <v>529</v>
      </c>
      <c r="L21" s="8"/>
      <c r="M21" s="8"/>
      <c r="N21" s="11" t="s">
        <v>32</v>
      </c>
      <c r="O21" s="11" t="s">
        <v>28</v>
      </c>
      <c r="P21" s="4">
        <v>100</v>
      </c>
      <c r="Q21" s="4" t="str">
        <f t="shared" si="0"/>
        <v>public const int gem_green_fragment = 20023;</v>
      </c>
      <c r="R21" s="47" t="s">
        <v>64</v>
      </c>
    </row>
    <row r="22" spans="1:18" x14ac:dyDescent="0.15">
      <c r="A22" s="10" t="s">
        <v>131</v>
      </c>
      <c r="B22" s="4">
        <v>20024</v>
      </c>
      <c r="C22" s="3">
        <v>440</v>
      </c>
      <c r="D22" s="34">
        <v>0</v>
      </c>
      <c r="E22" s="14">
        <v>1</v>
      </c>
      <c r="F22" s="14">
        <v>0</v>
      </c>
      <c r="G22" s="10"/>
      <c r="H22" s="19" t="s">
        <v>124</v>
      </c>
      <c r="I22" s="27"/>
      <c r="J22" s="27"/>
      <c r="K22" s="27" t="s">
        <v>530</v>
      </c>
      <c r="L22" s="11"/>
      <c r="M22" s="8"/>
      <c r="N22" s="11" t="s">
        <v>32</v>
      </c>
      <c r="O22" s="11" t="s">
        <v>79</v>
      </c>
      <c r="P22" s="4">
        <v>10</v>
      </c>
      <c r="Q22" s="4" t="str">
        <f t="shared" si="0"/>
        <v>public const int coffee = 20024;</v>
      </c>
      <c r="R22" s="44" t="s">
        <v>130</v>
      </c>
    </row>
    <row r="23" spans="1:18" x14ac:dyDescent="0.15">
      <c r="A23" s="10" t="s">
        <v>80</v>
      </c>
      <c r="B23" s="4">
        <v>20025</v>
      </c>
      <c r="C23" s="14">
        <v>470</v>
      </c>
      <c r="D23" s="34">
        <v>3</v>
      </c>
      <c r="E23" s="14">
        <v>1</v>
      </c>
      <c r="F23" s="14">
        <v>1</v>
      </c>
      <c r="G23" s="7"/>
      <c r="H23" s="19" t="s">
        <v>81</v>
      </c>
      <c r="I23" s="27"/>
      <c r="J23" s="27"/>
      <c r="K23" s="27"/>
      <c r="L23" s="11" t="s">
        <v>503</v>
      </c>
      <c r="M23" s="8"/>
      <c r="N23" s="11" t="s">
        <v>32</v>
      </c>
      <c r="O23" s="11" t="s">
        <v>79</v>
      </c>
      <c r="P23" s="4">
        <v>10</v>
      </c>
      <c r="Q23" s="4" t="str">
        <f t="shared" si="0"/>
        <v>public const int treasure = 20025;</v>
      </c>
      <c r="R23" s="19" t="s">
        <v>82</v>
      </c>
    </row>
    <row r="24" spans="1:18" ht="27" x14ac:dyDescent="0.15">
      <c r="A24" s="23" t="s">
        <v>94</v>
      </c>
      <c r="B24" s="4">
        <v>20026</v>
      </c>
      <c r="C24" s="3">
        <v>40</v>
      </c>
      <c r="D24" s="6">
        <v>1</v>
      </c>
      <c r="E24" s="14">
        <v>0</v>
      </c>
      <c r="F24" s="14">
        <v>0</v>
      </c>
      <c r="G24" s="35" t="s">
        <v>435</v>
      </c>
      <c r="H24" s="19" t="s">
        <v>98</v>
      </c>
      <c r="I24" s="27"/>
      <c r="J24" s="27"/>
      <c r="K24" s="27"/>
      <c r="L24" s="11"/>
      <c r="M24" s="8"/>
      <c r="N24" s="11" t="s">
        <v>626</v>
      </c>
      <c r="O24" s="11"/>
      <c r="P24" s="4"/>
      <c r="Q24" s="4" t="str">
        <f t="shared" si="0"/>
        <v>public const int cooked_food = 20026;</v>
      </c>
      <c r="R24" s="47" t="s">
        <v>88</v>
      </c>
    </row>
    <row r="25" spans="1:18" ht="27" x14ac:dyDescent="0.15">
      <c r="A25" s="23" t="s">
        <v>89</v>
      </c>
      <c r="B25" s="4">
        <v>20027</v>
      </c>
      <c r="C25" s="3">
        <v>80</v>
      </c>
      <c r="D25" s="6">
        <v>1</v>
      </c>
      <c r="E25" s="14">
        <v>0</v>
      </c>
      <c r="F25" s="14">
        <v>0</v>
      </c>
      <c r="G25" s="35" t="s">
        <v>444</v>
      </c>
      <c r="H25" s="19" t="s">
        <v>99</v>
      </c>
      <c r="I25" s="27"/>
      <c r="J25" s="27"/>
      <c r="K25" s="27"/>
      <c r="L25" s="11"/>
      <c r="M25" s="8"/>
      <c r="N25" s="11" t="s">
        <v>626</v>
      </c>
      <c r="O25" s="11"/>
      <c r="P25" s="4"/>
      <c r="Q25" s="4" t="str">
        <f t="shared" si="0"/>
        <v>public const int meat = 20027;</v>
      </c>
      <c r="R25" s="47" t="s">
        <v>85</v>
      </c>
    </row>
    <row r="26" spans="1:18" x14ac:dyDescent="0.15">
      <c r="A26" s="23" t="s">
        <v>90</v>
      </c>
      <c r="B26" s="4">
        <v>20028</v>
      </c>
      <c r="C26" s="14">
        <v>130</v>
      </c>
      <c r="D26" s="6">
        <v>1</v>
      </c>
      <c r="E26" s="14">
        <v>1</v>
      </c>
      <c r="F26" s="14">
        <v>0</v>
      </c>
      <c r="G26" s="10"/>
      <c r="H26" s="19" t="s">
        <v>102</v>
      </c>
      <c r="I26" s="27" t="s">
        <v>427</v>
      </c>
      <c r="J26" s="27"/>
      <c r="K26" s="27"/>
      <c r="L26" s="11" t="s">
        <v>95</v>
      </c>
      <c r="M26" s="8"/>
      <c r="N26" s="11" t="s">
        <v>32</v>
      </c>
      <c r="O26" s="11" t="s">
        <v>361</v>
      </c>
      <c r="P26" s="4">
        <v>1000</v>
      </c>
      <c r="Q26" s="4" t="str">
        <f t="shared" si="0"/>
        <v>public const int staple = 20028;</v>
      </c>
      <c r="R26" s="47" t="s">
        <v>86</v>
      </c>
    </row>
    <row r="27" spans="1:18" x14ac:dyDescent="0.15">
      <c r="A27" s="23" t="s">
        <v>91</v>
      </c>
      <c r="B27" s="4">
        <v>20029</v>
      </c>
      <c r="C27" s="3">
        <v>140</v>
      </c>
      <c r="D27" s="6">
        <v>1</v>
      </c>
      <c r="E27" s="14">
        <v>1</v>
      </c>
      <c r="F27" s="14">
        <v>0</v>
      </c>
      <c r="G27" s="10"/>
      <c r="H27" s="19" t="s">
        <v>101</v>
      </c>
      <c r="I27" s="27" t="s">
        <v>460</v>
      </c>
      <c r="J27" s="27" t="s">
        <v>460</v>
      </c>
      <c r="K27" s="27"/>
      <c r="L27" s="11" t="s">
        <v>96</v>
      </c>
      <c r="M27" s="8"/>
      <c r="N27" s="11" t="s">
        <v>32</v>
      </c>
      <c r="O27" s="11" t="s">
        <v>361</v>
      </c>
      <c r="P27" s="4">
        <v>1000</v>
      </c>
      <c r="Q27" s="4" t="str">
        <f t="shared" si="0"/>
        <v>public const int vegetable = 20029;</v>
      </c>
      <c r="R27" s="47" t="s">
        <v>614</v>
      </c>
    </row>
    <row r="28" spans="1:18" x14ac:dyDescent="0.15">
      <c r="A28" s="23" t="s">
        <v>92</v>
      </c>
      <c r="B28" s="4">
        <v>20030</v>
      </c>
      <c r="C28" s="14">
        <v>150</v>
      </c>
      <c r="D28" s="6">
        <v>1</v>
      </c>
      <c r="E28" s="14">
        <v>1</v>
      </c>
      <c r="F28" s="14">
        <v>0</v>
      </c>
      <c r="G28" s="10"/>
      <c r="H28" s="19" t="s">
        <v>100</v>
      </c>
      <c r="I28" s="27"/>
      <c r="J28" s="27"/>
      <c r="K28" s="27"/>
      <c r="L28" s="11" t="s">
        <v>97</v>
      </c>
      <c r="M28" s="8"/>
      <c r="N28" s="11" t="s">
        <v>32</v>
      </c>
      <c r="O28" s="11" t="s">
        <v>361</v>
      </c>
      <c r="P28" s="4">
        <v>1000</v>
      </c>
      <c r="Q28" s="4" t="str">
        <f t="shared" si="0"/>
        <v>public const int fruit = 20030;</v>
      </c>
      <c r="R28" s="47" t="s">
        <v>87</v>
      </c>
    </row>
    <row r="29" spans="1:18" x14ac:dyDescent="0.15">
      <c r="A29" s="23" t="s">
        <v>104</v>
      </c>
      <c r="B29" s="4">
        <v>20031</v>
      </c>
      <c r="C29" s="3">
        <v>220</v>
      </c>
      <c r="D29" s="6">
        <v>3</v>
      </c>
      <c r="E29" s="14">
        <v>1</v>
      </c>
      <c r="F29" s="14">
        <v>0</v>
      </c>
      <c r="G29" s="10"/>
      <c r="H29" s="19" t="s">
        <v>105</v>
      </c>
      <c r="I29" s="27"/>
      <c r="J29" s="27"/>
      <c r="K29" s="27"/>
      <c r="L29" s="11" t="s">
        <v>106</v>
      </c>
      <c r="M29" s="8"/>
      <c r="N29" s="11" t="s">
        <v>32</v>
      </c>
      <c r="O29" s="11" t="s">
        <v>361</v>
      </c>
      <c r="P29" s="4">
        <v>1000</v>
      </c>
      <c r="Q29" s="4" t="str">
        <f t="shared" si="0"/>
        <v>public const int honey = 20031;</v>
      </c>
      <c r="R29" s="47" t="s">
        <v>103</v>
      </c>
    </row>
    <row r="30" spans="1:18" x14ac:dyDescent="0.15">
      <c r="A30" s="10" t="s">
        <v>107</v>
      </c>
      <c r="B30" s="4">
        <v>20032</v>
      </c>
      <c r="C30" s="3">
        <v>480</v>
      </c>
      <c r="D30" s="6">
        <v>3</v>
      </c>
      <c r="E30" s="14">
        <v>1</v>
      </c>
      <c r="F30" s="14">
        <v>0</v>
      </c>
      <c r="G30" s="10"/>
      <c r="H30" s="19" t="s">
        <v>110</v>
      </c>
      <c r="I30" s="27"/>
      <c r="J30" s="27"/>
      <c r="K30" s="27"/>
      <c r="L30" s="11" t="s">
        <v>108</v>
      </c>
      <c r="M30" s="8"/>
      <c r="N30" s="11" t="s">
        <v>410</v>
      </c>
      <c r="O30" s="11" t="s">
        <v>109</v>
      </c>
      <c r="P30" s="4">
        <v>10</v>
      </c>
      <c r="Q30" s="4" t="str">
        <f t="shared" si="0"/>
        <v>public const int umbrella = 20032;</v>
      </c>
      <c r="R30" s="44" t="s">
        <v>111</v>
      </c>
    </row>
    <row r="31" spans="1:18" ht="27" x14ac:dyDescent="0.15">
      <c r="A31" s="10" t="s">
        <v>112</v>
      </c>
      <c r="B31" s="4">
        <v>20034</v>
      </c>
      <c r="C31" s="14">
        <v>170</v>
      </c>
      <c r="D31" s="6">
        <v>1</v>
      </c>
      <c r="E31" s="14">
        <v>1</v>
      </c>
      <c r="F31" s="14">
        <v>0</v>
      </c>
      <c r="G31" s="10"/>
      <c r="H31" s="15" t="s">
        <v>113</v>
      </c>
      <c r="I31" s="31" t="s">
        <v>493</v>
      </c>
      <c r="J31" s="31"/>
      <c r="K31" s="31" t="s">
        <v>531</v>
      </c>
      <c r="L31" s="11"/>
      <c r="M31" s="8"/>
      <c r="N31" s="11" t="s">
        <v>28</v>
      </c>
      <c r="O31" s="11" t="s">
        <v>114</v>
      </c>
      <c r="P31" s="4">
        <v>100</v>
      </c>
      <c r="Q31" s="4" t="str">
        <f t="shared" si="0"/>
        <v>public const int potion = 20034;</v>
      </c>
      <c r="R31" s="19" t="s">
        <v>115</v>
      </c>
    </row>
    <row r="32" spans="1:18" x14ac:dyDescent="0.15">
      <c r="A32" s="10" t="s">
        <v>122</v>
      </c>
      <c r="B32" s="4">
        <v>20035</v>
      </c>
      <c r="C32" s="14">
        <v>210</v>
      </c>
      <c r="D32" s="6">
        <v>0</v>
      </c>
      <c r="E32" s="14">
        <v>1</v>
      </c>
      <c r="F32" s="14">
        <v>0</v>
      </c>
      <c r="G32" s="10"/>
      <c r="H32" s="15" t="s">
        <v>118</v>
      </c>
      <c r="I32" s="31"/>
      <c r="J32" s="31"/>
      <c r="K32" s="31" t="s">
        <v>532</v>
      </c>
      <c r="L32" s="11"/>
      <c r="M32" s="8"/>
      <c r="N32" s="11" t="s">
        <v>32</v>
      </c>
      <c r="O32" s="11" t="s">
        <v>28</v>
      </c>
      <c r="P32" s="4">
        <v>30</v>
      </c>
      <c r="Q32" s="4" t="str">
        <f t="shared" si="0"/>
        <v>public const int wool = 20035;</v>
      </c>
      <c r="R32" s="46" t="s">
        <v>120</v>
      </c>
    </row>
    <row r="33" spans="1:18" x14ac:dyDescent="0.15">
      <c r="A33" s="23" t="s">
        <v>132</v>
      </c>
      <c r="B33" s="4">
        <v>20036</v>
      </c>
      <c r="C33" s="14">
        <v>450</v>
      </c>
      <c r="D33" s="6">
        <v>3</v>
      </c>
      <c r="E33" s="14">
        <v>1</v>
      </c>
      <c r="F33" s="14">
        <v>0</v>
      </c>
      <c r="G33" s="10"/>
      <c r="H33" s="19" t="s">
        <v>78</v>
      </c>
      <c r="I33" s="27"/>
      <c r="J33" s="27"/>
      <c r="K33" s="27" t="s">
        <v>533</v>
      </c>
      <c r="L33" s="11"/>
      <c r="M33" s="8"/>
      <c r="N33" s="11" t="s">
        <v>32</v>
      </c>
      <c r="O33" s="11" t="s">
        <v>26</v>
      </c>
      <c r="P33" s="4">
        <v>10</v>
      </c>
      <c r="Q33" s="4" t="str">
        <f t="shared" si="0"/>
        <v>public const int chocolate = 20036;</v>
      </c>
      <c r="R33" s="46" t="s">
        <v>127</v>
      </c>
    </row>
    <row r="34" spans="1:18" x14ac:dyDescent="0.15">
      <c r="A34" s="23" t="s">
        <v>402</v>
      </c>
      <c r="B34" s="4">
        <v>20037</v>
      </c>
      <c r="C34" s="3">
        <v>460</v>
      </c>
      <c r="D34" s="6">
        <v>3</v>
      </c>
      <c r="E34" s="14">
        <v>1</v>
      </c>
      <c r="F34" s="14">
        <v>0</v>
      </c>
      <c r="G34" s="10"/>
      <c r="H34" s="19" t="s">
        <v>125</v>
      </c>
      <c r="I34" s="27"/>
      <c r="J34" s="27"/>
      <c r="K34" s="27" t="s">
        <v>534</v>
      </c>
      <c r="L34" s="11"/>
      <c r="M34" s="8"/>
      <c r="N34" s="11" t="s">
        <v>32</v>
      </c>
      <c r="O34" s="11" t="s">
        <v>26</v>
      </c>
      <c r="P34" s="4">
        <v>10</v>
      </c>
      <c r="Q34" s="4" t="str">
        <f t="shared" si="0"/>
        <v>public const int coffee_beans = 20037;</v>
      </c>
      <c r="R34" s="46" t="s">
        <v>128</v>
      </c>
    </row>
    <row r="35" spans="1:18" x14ac:dyDescent="0.15">
      <c r="A35" s="23" t="s">
        <v>133</v>
      </c>
      <c r="B35" s="4">
        <v>20038</v>
      </c>
      <c r="C35" s="3">
        <v>1001</v>
      </c>
      <c r="D35" s="6">
        <v>3</v>
      </c>
      <c r="E35" s="14">
        <v>1</v>
      </c>
      <c r="F35" s="14">
        <v>0</v>
      </c>
      <c r="G35" s="10"/>
      <c r="H35" s="19" t="s">
        <v>126</v>
      </c>
      <c r="I35" s="27"/>
      <c r="J35" s="27"/>
      <c r="K35" s="27" t="s">
        <v>535</v>
      </c>
      <c r="L35" s="11"/>
      <c r="M35" s="8"/>
      <c r="N35" s="11" t="s">
        <v>32</v>
      </c>
      <c r="O35" s="11" t="s">
        <v>26</v>
      </c>
      <c r="P35" s="4">
        <v>10</v>
      </c>
      <c r="Q35" s="4" t="str">
        <f t="shared" ref="Q35:Q66" si="1">CONCATENATE("public const int ",A35," = ",B35,";")</f>
        <v>public const int cocoa_beans = 20038;</v>
      </c>
      <c r="R35" s="46" t="s">
        <v>129</v>
      </c>
    </row>
    <row r="36" spans="1:18" x14ac:dyDescent="0.15">
      <c r="A36" s="10" t="s">
        <v>187</v>
      </c>
      <c r="B36" s="4">
        <v>20039</v>
      </c>
      <c r="C36" s="3">
        <v>1002</v>
      </c>
      <c r="D36" s="6">
        <v>3</v>
      </c>
      <c r="E36" s="14">
        <v>1</v>
      </c>
      <c r="F36" s="14">
        <v>0</v>
      </c>
      <c r="G36" s="10"/>
      <c r="H36" s="17" t="s">
        <v>161</v>
      </c>
      <c r="I36" s="30"/>
      <c r="J36" s="30"/>
      <c r="K36" s="30" t="s">
        <v>536</v>
      </c>
      <c r="L36" s="8"/>
      <c r="M36" s="8"/>
      <c r="N36" s="11" t="s">
        <v>26</v>
      </c>
      <c r="O36" s="11" t="s">
        <v>26</v>
      </c>
      <c r="P36" s="4">
        <v>10</v>
      </c>
      <c r="Q36" s="4" t="str">
        <f t="shared" si="1"/>
        <v>public const int weapon1 = 20039;</v>
      </c>
      <c r="R36" s="48" t="s">
        <v>134</v>
      </c>
    </row>
    <row r="37" spans="1:18" x14ac:dyDescent="0.15">
      <c r="A37" s="10" t="s">
        <v>188</v>
      </c>
      <c r="B37" s="4">
        <v>20040</v>
      </c>
      <c r="C37" s="3">
        <v>1003</v>
      </c>
      <c r="D37" s="6">
        <v>3</v>
      </c>
      <c r="E37" s="14">
        <v>1</v>
      </c>
      <c r="F37" s="14">
        <v>0</v>
      </c>
      <c r="G37" s="10"/>
      <c r="H37" s="17" t="s">
        <v>162</v>
      </c>
      <c r="I37" s="30"/>
      <c r="J37" s="30"/>
      <c r="K37" s="30" t="s">
        <v>537</v>
      </c>
      <c r="L37" s="8"/>
      <c r="M37" s="8"/>
      <c r="N37" s="11" t="s">
        <v>26</v>
      </c>
      <c r="O37" s="11" t="s">
        <v>26</v>
      </c>
      <c r="P37" s="4">
        <v>10</v>
      </c>
      <c r="Q37" s="4" t="str">
        <f t="shared" si="1"/>
        <v>public const int weapon2 = 20040;</v>
      </c>
      <c r="R37" s="48" t="s">
        <v>135</v>
      </c>
    </row>
    <row r="38" spans="1:18" x14ac:dyDescent="0.15">
      <c r="A38" s="10" t="s">
        <v>189</v>
      </c>
      <c r="B38" s="4">
        <v>20041</v>
      </c>
      <c r="C38" s="3">
        <v>1004</v>
      </c>
      <c r="D38" s="6">
        <v>3</v>
      </c>
      <c r="E38" s="14">
        <v>1</v>
      </c>
      <c r="F38" s="14">
        <v>0</v>
      </c>
      <c r="G38" s="10"/>
      <c r="H38" s="17" t="s">
        <v>163</v>
      </c>
      <c r="I38" s="30"/>
      <c r="J38" s="30"/>
      <c r="K38" s="30" t="s">
        <v>538</v>
      </c>
      <c r="L38" s="8"/>
      <c r="M38" s="8"/>
      <c r="N38" s="11" t="s">
        <v>26</v>
      </c>
      <c r="O38" s="11" t="s">
        <v>26</v>
      </c>
      <c r="P38" s="4">
        <v>10</v>
      </c>
      <c r="Q38" s="4" t="str">
        <f t="shared" si="1"/>
        <v>public const int weapon3 = 20041;</v>
      </c>
      <c r="R38" s="48" t="s">
        <v>136</v>
      </c>
    </row>
    <row r="39" spans="1:18" x14ac:dyDescent="0.15">
      <c r="A39" s="10" t="s">
        <v>190</v>
      </c>
      <c r="B39" s="4">
        <v>20042</v>
      </c>
      <c r="C39" s="3">
        <v>1005</v>
      </c>
      <c r="D39" s="6">
        <v>3</v>
      </c>
      <c r="E39" s="14">
        <v>1</v>
      </c>
      <c r="F39" s="14">
        <v>0</v>
      </c>
      <c r="G39" s="10"/>
      <c r="H39" s="17" t="s">
        <v>164</v>
      </c>
      <c r="I39" s="30"/>
      <c r="J39" s="30"/>
      <c r="K39" s="30" t="s">
        <v>539</v>
      </c>
      <c r="L39" s="8"/>
      <c r="M39" s="8"/>
      <c r="N39" s="11" t="s">
        <v>26</v>
      </c>
      <c r="O39" s="11" t="s">
        <v>26</v>
      </c>
      <c r="P39" s="4">
        <v>10000</v>
      </c>
      <c r="Q39" s="4" t="str">
        <f t="shared" si="1"/>
        <v>public const int weapon4 = 20042;</v>
      </c>
      <c r="R39" s="48" t="s">
        <v>137</v>
      </c>
    </row>
    <row r="40" spans="1:18" x14ac:dyDescent="0.15">
      <c r="A40" s="10" t="s">
        <v>191</v>
      </c>
      <c r="B40" s="4">
        <v>20043</v>
      </c>
      <c r="C40" s="3">
        <v>1006</v>
      </c>
      <c r="D40" s="6">
        <v>3</v>
      </c>
      <c r="E40" s="14">
        <v>1</v>
      </c>
      <c r="F40" s="14">
        <v>0</v>
      </c>
      <c r="G40" s="10"/>
      <c r="H40" s="17" t="s">
        <v>165</v>
      </c>
      <c r="I40" s="30"/>
      <c r="J40" s="30"/>
      <c r="K40" s="30" t="s">
        <v>540</v>
      </c>
      <c r="L40" s="8"/>
      <c r="M40" s="8"/>
      <c r="N40" s="11" t="s">
        <v>26</v>
      </c>
      <c r="O40" s="11" t="s">
        <v>26</v>
      </c>
      <c r="P40" s="4">
        <v>10000</v>
      </c>
      <c r="Q40" s="4" t="str">
        <f t="shared" si="1"/>
        <v>public const int weapon5 = 20043;</v>
      </c>
      <c r="R40" s="48" t="s">
        <v>138</v>
      </c>
    </row>
    <row r="41" spans="1:18" x14ac:dyDescent="0.15">
      <c r="A41" s="10" t="s">
        <v>192</v>
      </c>
      <c r="B41" s="4">
        <v>20044</v>
      </c>
      <c r="C41" s="3">
        <v>1007</v>
      </c>
      <c r="D41" s="6">
        <v>3</v>
      </c>
      <c r="E41" s="14">
        <v>1</v>
      </c>
      <c r="F41" s="14">
        <v>0</v>
      </c>
      <c r="G41" s="10"/>
      <c r="H41" s="17" t="s">
        <v>166</v>
      </c>
      <c r="I41" s="30"/>
      <c r="J41" s="30"/>
      <c r="K41" s="30" t="s">
        <v>541</v>
      </c>
      <c r="L41" s="8"/>
      <c r="M41" s="8"/>
      <c r="N41" s="11" t="s">
        <v>26</v>
      </c>
      <c r="O41" s="11" t="s">
        <v>26</v>
      </c>
      <c r="P41" s="4">
        <v>10000</v>
      </c>
      <c r="Q41" s="4" t="str">
        <f t="shared" si="1"/>
        <v>public const int weapon6 = 20044;</v>
      </c>
      <c r="R41" s="48" t="s">
        <v>139</v>
      </c>
    </row>
    <row r="42" spans="1:18" x14ac:dyDescent="0.15">
      <c r="A42" s="10" t="s">
        <v>193</v>
      </c>
      <c r="B42" s="4">
        <v>20045</v>
      </c>
      <c r="C42" s="3">
        <v>1008</v>
      </c>
      <c r="D42" s="6">
        <v>3</v>
      </c>
      <c r="E42" s="14">
        <v>1</v>
      </c>
      <c r="F42" s="14">
        <v>0</v>
      </c>
      <c r="G42" s="10"/>
      <c r="H42" s="17" t="s">
        <v>167</v>
      </c>
      <c r="I42" s="30"/>
      <c r="J42" s="30"/>
      <c r="K42" s="30" t="s">
        <v>542</v>
      </c>
      <c r="L42" s="8"/>
      <c r="M42" s="8"/>
      <c r="N42" s="11" t="s">
        <v>26</v>
      </c>
      <c r="O42" s="11" t="s">
        <v>26</v>
      </c>
      <c r="P42" s="4">
        <v>10000</v>
      </c>
      <c r="Q42" s="4" t="str">
        <f t="shared" si="1"/>
        <v>public const int weapon7 = 20045;</v>
      </c>
      <c r="R42" s="48" t="s">
        <v>140</v>
      </c>
    </row>
    <row r="43" spans="1:18" x14ac:dyDescent="0.15">
      <c r="A43" s="10" t="s">
        <v>194</v>
      </c>
      <c r="B43" s="4">
        <v>20046</v>
      </c>
      <c r="C43" s="3">
        <v>1009</v>
      </c>
      <c r="D43" s="6">
        <v>3</v>
      </c>
      <c r="E43" s="14">
        <v>1</v>
      </c>
      <c r="F43" s="14">
        <v>0</v>
      </c>
      <c r="G43" s="10"/>
      <c r="H43" s="17" t="s">
        <v>168</v>
      </c>
      <c r="I43" s="30"/>
      <c r="J43" s="30"/>
      <c r="K43" s="30" t="s">
        <v>543</v>
      </c>
      <c r="L43" s="8"/>
      <c r="M43" s="8"/>
      <c r="N43" s="11" t="s">
        <v>26</v>
      </c>
      <c r="O43" s="11" t="s">
        <v>26</v>
      </c>
      <c r="P43" s="4">
        <v>10000</v>
      </c>
      <c r="Q43" s="4" t="str">
        <f t="shared" si="1"/>
        <v>public const int weapon8 = 20046;</v>
      </c>
      <c r="R43" s="48" t="s">
        <v>141</v>
      </c>
    </row>
    <row r="44" spans="1:18" x14ac:dyDescent="0.15">
      <c r="A44" s="20" t="s">
        <v>195</v>
      </c>
      <c r="B44" s="21">
        <v>20047</v>
      </c>
      <c r="C44" s="3">
        <v>1010</v>
      </c>
      <c r="D44" s="6">
        <v>3</v>
      </c>
      <c r="E44" s="14">
        <v>1</v>
      </c>
      <c r="F44" s="14">
        <v>0</v>
      </c>
      <c r="G44" s="20"/>
      <c r="H44" s="29" t="s">
        <v>169</v>
      </c>
      <c r="I44" s="32"/>
      <c r="J44" s="32"/>
      <c r="K44" s="32" t="s">
        <v>544</v>
      </c>
      <c r="L44" s="22"/>
      <c r="M44" s="22"/>
      <c r="N44" s="11" t="s">
        <v>26</v>
      </c>
      <c r="O44" s="11" t="s">
        <v>26</v>
      </c>
      <c r="P44" s="21">
        <v>10000</v>
      </c>
      <c r="Q44" s="4" t="str">
        <f t="shared" si="1"/>
        <v>public const int weapon9 = 20047;</v>
      </c>
      <c r="R44" s="48" t="s">
        <v>142</v>
      </c>
    </row>
    <row r="45" spans="1:18" x14ac:dyDescent="0.15">
      <c r="A45" s="10" t="s">
        <v>196</v>
      </c>
      <c r="B45" s="4">
        <v>20048</v>
      </c>
      <c r="C45" s="3">
        <v>1011</v>
      </c>
      <c r="D45" s="6">
        <v>3</v>
      </c>
      <c r="E45" s="14">
        <v>1</v>
      </c>
      <c r="F45" s="14">
        <v>0</v>
      </c>
      <c r="G45" s="10"/>
      <c r="H45" s="17" t="s">
        <v>170</v>
      </c>
      <c r="I45" s="30"/>
      <c r="J45" s="30"/>
      <c r="K45" s="30" t="s">
        <v>545</v>
      </c>
      <c r="L45" s="8"/>
      <c r="M45" s="8"/>
      <c r="N45" s="11" t="s">
        <v>26</v>
      </c>
      <c r="O45" s="11" t="s">
        <v>26</v>
      </c>
      <c r="P45" s="4">
        <v>10</v>
      </c>
      <c r="Q45" s="4" t="str">
        <f t="shared" si="1"/>
        <v>public const int shield1 = 20048;</v>
      </c>
      <c r="R45" s="48" t="s">
        <v>143</v>
      </c>
    </row>
    <row r="46" spans="1:18" x14ac:dyDescent="0.15">
      <c r="A46" s="10" t="s">
        <v>197</v>
      </c>
      <c r="B46" s="4">
        <v>20049</v>
      </c>
      <c r="C46" s="3">
        <v>1012</v>
      </c>
      <c r="D46" s="6">
        <v>3</v>
      </c>
      <c r="E46" s="14">
        <v>1</v>
      </c>
      <c r="F46" s="14">
        <v>0</v>
      </c>
      <c r="G46" s="10"/>
      <c r="H46" s="17" t="s">
        <v>171</v>
      </c>
      <c r="I46" s="30"/>
      <c r="J46" s="30"/>
      <c r="K46" s="30" t="s">
        <v>546</v>
      </c>
      <c r="L46" s="8"/>
      <c r="M46" s="8"/>
      <c r="N46" s="11" t="s">
        <v>26</v>
      </c>
      <c r="O46" s="11" t="s">
        <v>26</v>
      </c>
      <c r="P46" s="4">
        <v>10</v>
      </c>
      <c r="Q46" s="4" t="str">
        <f t="shared" si="1"/>
        <v>public const int shield2 = 20049;</v>
      </c>
      <c r="R46" s="48" t="s">
        <v>144</v>
      </c>
    </row>
    <row r="47" spans="1:18" x14ac:dyDescent="0.15">
      <c r="A47" s="10" t="s">
        <v>198</v>
      </c>
      <c r="B47" s="4">
        <v>20050</v>
      </c>
      <c r="C47" s="3">
        <v>1013</v>
      </c>
      <c r="D47" s="6">
        <v>3</v>
      </c>
      <c r="E47" s="14">
        <v>1</v>
      </c>
      <c r="F47" s="14">
        <v>0</v>
      </c>
      <c r="G47" s="10"/>
      <c r="H47" s="17" t="s">
        <v>172</v>
      </c>
      <c r="I47" s="30"/>
      <c r="J47" s="30"/>
      <c r="K47" s="30" t="s">
        <v>547</v>
      </c>
      <c r="L47" s="8"/>
      <c r="M47" s="8"/>
      <c r="N47" s="11" t="s">
        <v>26</v>
      </c>
      <c r="O47" s="11" t="s">
        <v>26</v>
      </c>
      <c r="P47" s="4">
        <v>10</v>
      </c>
      <c r="Q47" s="4" t="str">
        <f t="shared" si="1"/>
        <v>public const int shield3 = 20050;</v>
      </c>
      <c r="R47" s="48" t="s">
        <v>145</v>
      </c>
    </row>
    <row r="48" spans="1:18" x14ac:dyDescent="0.15">
      <c r="A48" s="10" t="s">
        <v>199</v>
      </c>
      <c r="B48" s="4">
        <v>20051</v>
      </c>
      <c r="C48" s="3">
        <v>1014</v>
      </c>
      <c r="D48" s="6">
        <v>3</v>
      </c>
      <c r="E48" s="14">
        <v>1</v>
      </c>
      <c r="F48" s="14">
        <v>0</v>
      </c>
      <c r="G48" s="10"/>
      <c r="H48" s="17" t="s">
        <v>173</v>
      </c>
      <c r="I48" s="30"/>
      <c r="J48" s="30"/>
      <c r="K48" s="30" t="s">
        <v>548</v>
      </c>
      <c r="L48" s="8"/>
      <c r="M48" s="8"/>
      <c r="N48" s="11" t="s">
        <v>26</v>
      </c>
      <c r="O48" s="11" t="s">
        <v>26</v>
      </c>
      <c r="P48" s="4">
        <v>10000</v>
      </c>
      <c r="Q48" s="4" t="str">
        <f t="shared" si="1"/>
        <v>public const int shield4 = 20051;</v>
      </c>
      <c r="R48" s="48" t="s">
        <v>146</v>
      </c>
    </row>
    <row r="49" spans="1:18" x14ac:dyDescent="0.15">
      <c r="A49" s="10" t="s">
        <v>200</v>
      </c>
      <c r="B49" s="4">
        <v>20052</v>
      </c>
      <c r="C49" s="3">
        <v>1015</v>
      </c>
      <c r="D49" s="6">
        <v>3</v>
      </c>
      <c r="E49" s="14">
        <v>1</v>
      </c>
      <c r="F49" s="14">
        <v>0</v>
      </c>
      <c r="G49" s="10"/>
      <c r="H49" s="17" t="s">
        <v>174</v>
      </c>
      <c r="I49" s="30"/>
      <c r="J49" s="30"/>
      <c r="K49" s="30" t="s">
        <v>549</v>
      </c>
      <c r="L49" s="8"/>
      <c r="M49" s="8"/>
      <c r="N49" s="11" t="s">
        <v>26</v>
      </c>
      <c r="O49" s="11" t="s">
        <v>26</v>
      </c>
      <c r="P49" s="4">
        <v>10000</v>
      </c>
      <c r="Q49" s="4" t="str">
        <f t="shared" si="1"/>
        <v>public const int shield5 = 20052;</v>
      </c>
      <c r="R49" s="48" t="s">
        <v>147</v>
      </c>
    </row>
    <row r="50" spans="1:18" x14ac:dyDescent="0.15">
      <c r="A50" s="10" t="s">
        <v>201</v>
      </c>
      <c r="B50" s="4">
        <v>20053</v>
      </c>
      <c r="C50" s="3">
        <v>1016</v>
      </c>
      <c r="D50" s="6">
        <v>3</v>
      </c>
      <c r="E50" s="14">
        <v>1</v>
      </c>
      <c r="F50" s="14">
        <v>0</v>
      </c>
      <c r="G50" s="10"/>
      <c r="H50" s="17" t="s">
        <v>175</v>
      </c>
      <c r="I50" s="30"/>
      <c r="J50" s="30"/>
      <c r="K50" s="30" t="s">
        <v>550</v>
      </c>
      <c r="L50" s="8"/>
      <c r="M50" s="8"/>
      <c r="N50" s="11" t="s">
        <v>26</v>
      </c>
      <c r="O50" s="11" t="s">
        <v>26</v>
      </c>
      <c r="P50" s="4">
        <v>10000</v>
      </c>
      <c r="Q50" s="4" t="str">
        <f t="shared" si="1"/>
        <v>public const int shield6 = 20053;</v>
      </c>
      <c r="R50" s="48" t="s">
        <v>148</v>
      </c>
    </row>
    <row r="51" spans="1:18" x14ac:dyDescent="0.15">
      <c r="A51" s="10" t="s">
        <v>202</v>
      </c>
      <c r="B51" s="4">
        <v>20054</v>
      </c>
      <c r="C51" s="3">
        <v>1017</v>
      </c>
      <c r="D51" s="6">
        <v>3</v>
      </c>
      <c r="E51" s="14">
        <v>1</v>
      </c>
      <c r="F51" s="14">
        <v>0</v>
      </c>
      <c r="G51" s="10"/>
      <c r="H51" s="17" t="s">
        <v>176</v>
      </c>
      <c r="I51" s="30"/>
      <c r="J51" s="30"/>
      <c r="K51" s="30" t="s">
        <v>551</v>
      </c>
      <c r="L51" s="8"/>
      <c r="M51" s="8"/>
      <c r="N51" s="11" t="s">
        <v>26</v>
      </c>
      <c r="O51" s="11" t="s">
        <v>26</v>
      </c>
      <c r="P51" s="4">
        <v>10000</v>
      </c>
      <c r="Q51" s="4" t="str">
        <f t="shared" si="1"/>
        <v>public const int shield7 = 20054;</v>
      </c>
      <c r="R51" s="48" t="s">
        <v>149</v>
      </c>
    </row>
    <row r="52" spans="1:18" x14ac:dyDescent="0.15">
      <c r="A52" s="10" t="s">
        <v>203</v>
      </c>
      <c r="B52" s="4">
        <v>20055</v>
      </c>
      <c r="C52" s="3">
        <v>1018</v>
      </c>
      <c r="D52" s="6">
        <v>3</v>
      </c>
      <c r="E52" s="14">
        <v>1</v>
      </c>
      <c r="F52" s="14">
        <v>0</v>
      </c>
      <c r="G52" s="10"/>
      <c r="H52" s="17" t="s">
        <v>177</v>
      </c>
      <c r="I52" s="30"/>
      <c r="J52" s="30"/>
      <c r="K52" s="30" t="s">
        <v>552</v>
      </c>
      <c r="L52" s="8"/>
      <c r="M52" s="8"/>
      <c r="N52" s="11" t="s">
        <v>26</v>
      </c>
      <c r="O52" s="11" t="s">
        <v>26</v>
      </c>
      <c r="P52" s="4">
        <v>10000</v>
      </c>
      <c r="Q52" s="4" t="str">
        <f t="shared" si="1"/>
        <v>public const int shield8 = 20055;</v>
      </c>
      <c r="R52" s="48" t="s">
        <v>150</v>
      </c>
    </row>
    <row r="53" spans="1:18" x14ac:dyDescent="0.15">
      <c r="A53" s="10" t="s">
        <v>204</v>
      </c>
      <c r="B53" s="4">
        <v>20056</v>
      </c>
      <c r="C53" s="3">
        <v>1019</v>
      </c>
      <c r="D53" s="6">
        <v>3</v>
      </c>
      <c r="E53" s="14">
        <v>1</v>
      </c>
      <c r="F53" s="14">
        <v>0</v>
      </c>
      <c r="G53" s="10"/>
      <c r="H53" s="17" t="s">
        <v>178</v>
      </c>
      <c r="I53" s="30"/>
      <c r="J53" s="30"/>
      <c r="K53" s="30" t="s">
        <v>553</v>
      </c>
      <c r="L53" s="8"/>
      <c r="M53" s="8"/>
      <c r="N53" s="11" t="s">
        <v>26</v>
      </c>
      <c r="O53" s="11" t="s">
        <v>26</v>
      </c>
      <c r="P53" s="4">
        <v>10000</v>
      </c>
      <c r="Q53" s="4" t="str">
        <f t="shared" si="1"/>
        <v>public const int shield9 = 20056;</v>
      </c>
      <c r="R53" s="48" t="s">
        <v>151</v>
      </c>
    </row>
    <row r="54" spans="1:18" x14ac:dyDescent="0.15">
      <c r="A54" s="10" t="s">
        <v>212</v>
      </c>
      <c r="B54" s="4">
        <v>20057</v>
      </c>
      <c r="C54" s="3">
        <v>1020</v>
      </c>
      <c r="D54" s="6">
        <v>3</v>
      </c>
      <c r="E54" s="14">
        <v>1</v>
      </c>
      <c r="F54" s="14">
        <v>0</v>
      </c>
      <c r="G54" s="10"/>
      <c r="H54" s="17" t="s">
        <v>179</v>
      </c>
      <c r="I54" s="30"/>
      <c r="J54" s="30"/>
      <c r="K54" s="30" t="s">
        <v>554</v>
      </c>
      <c r="L54" s="8"/>
      <c r="M54" s="8"/>
      <c r="N54" s="11" t="s">
        <v>26</v>
      </c>
      <c r="O54" s="11" t="s">
        <v>26</v>
      </c>
      <c r="P54" s="4">
        <v>10</v>
      </c>
      <c r="Q54" s="4" t="str">
        <f t="shared" si="1"/>
        <v>public const int armor1 = 20057;</v>
      </c>
      <c r="R54" s="48" t="s">
        <v>152</v>
      </c>
    </row>
    <row r="55" spans="1:18" x14ac:dyDescent="0.15">
      <c r="A55" s="10" t="s">
        <v>205</v>
      </c>
      <c r="B55" s="4">
        <v>20058</v>
      </c>
      <c r="C55" s="3">
        <v>1021</v>
      </c>
      <c r="D55" s="6">
        <v>3</v>
      </c>
      <c r="E55" s="14">
        <v>1</v>
      </c>
      <c r="F55" s="14">
        <v>0</v>
      </c>
      <c r="G55" s="10"/>
      <c r="H55" s="17" t="s">
        <v>180</v>
      </c>
      <c r="I55" s="30"/>
      <c r="J55" s="30"/>
      <c r="K55" s="30" t="s">
        <v>555</v>
      </c>
      <c r="L55" s="8"/>
      <c r="M55" s="8"/>
      <c r="N55" s="11" t="s">
        <v>26</v>
      </c>
      <c r="O55" s="11" t="s">
        <v>26</v>
      </c>
      <c r="P55" s="4">
        <v>10</v>
      </c>
      <c r="Q55" s="4" t="str">
        <f t="shared" si="1"/>
        <v>public const int armor2 = 20058;</v>
      </c>
      <c r="R55" s="48" t="s">
        <v>153</v>
      </c>
    </row>
    <row r="56" spans="1:18" x14ac:dyDescent="0.15">
      <c r="A56" s="10" t="s">
        <v>206</v>
      </c>
      <c r="B56" s="4">
        <v>20059</v>
      </c>
      <c r="C56" s="3">
        <v>1022</v>
      </c>
      <c r="D56" s="6">
        <v>3</v>
      </c>
      <c r="E56" s="14">
        <v>1</v>
      </c>
      <c r="F56" s="14">
        <v>0</v>
      </c>
      <c r="G56" s="10"/>
      <c r="H56" s="17" t="s">
        <v>181</v>
      </c>
      <c r="I56" s="30"/>
      <c r="J56" s="30"/>
      <c r="K56" s="30" t="s">
        <v>556</v>
      </c>
      <c r="L56" s="8"/>
      <c r="M56" s="8"/>
      <c r="N56" s="11" t="s">
        <v>26</v>
      </c>
      <c r="O56" s="11" t="s">
        <v>26</v>
      </c>
      <c r="P56" s="4">
        <v>10</v>
      </c>
      <c r="Q56" s="4" t="str">
        <f t="shared" si="1"/>
        <v>public const int armor3 = 20059;</v>
      </c>
      <c r="R56" s="48" t="s">
        <v>154</v>
      </c>
    </row>
    <row r="57" spans="1:18" x14ac:dyDescent="0.15">
      <c r="A57" s="10" t="s">
        <v>207</v>
      </c>
      <c r="B57" s="4">
        <v>20060</v>
      </c>
      <c r="C57" s="3">
        <v>1023</v>
      </c>
      <c r="D57" s="6">
        <v>3</v>
      </c>
      <c r="E57" s="14">
        <v>1</v>
      </c>
      <c r="F57" s="14">
        <v>0</v>
      </c>
      <c r="G57" s="10"/>
      <c r="H57" s="17" t="s">
        <v>182</v>
      </c>
      <c r="I57" s="30"/>
      <c r="J57" s="30"/>
      <c r="K57" s="30" t="s">
        <v>557</v>
      </c>
      <c r="L57" s="8"/>
      <c r="M57" s="8"/>
      <c r="N57" s="11" t="s">
        <v>26</v>
      </c>
      <c r="O57" s="11" t="s">
        <v>26</v>
      </c>
      <c r="P57" s="4">
        <v>10000</v>
      </c>
      <c r="Q57" s="4" t="str">
        <f t="shared" si="1"/>
        <v>public const int armor4 = 20060;</v>
      </c>
      <c r="R57" s="48" t="s">
        <v>155</v>
      </c>
    </row>
    <row r="58" spans="1:18" x14ac:dyDescent="0.15">
      <c r="A58" s="10" t="s">
        <v>208</v>
      </c>
      <c r="B58" s="4">
        <v>20061</v>
      </c>
      <c r="C58" s="3">
        <v>1024</v>
      </c>
      <c r="D58" s="6">
        <v>3</v>
      </c>
      <c r="E58" s="14">
        <v>1</v>
      </c>
      <c r="F58" s="14">
        <v>0</v>
      </c>
      <c r="G58" s="10"/>
      <c r="H58" s="17" t="s">
        <v>183</v>
      </c>
      <c r="I58" s="30"/>
      <c r="J58" s="30"/>
      <c r="K58" s="30" t="s">
        <v>558</v>
      </c>
      <c r="L58" s="8"/>
      <c r="M58" s="8"/>
      <c r="N58" s="11" t="s">
        <v>26</v>
      </c>
      <c r="O58" s="11" t="s">
        <v>26</v>
      </c>
      <c r="P58" s="4">
        <v>10000</v>
      </c>
      <c r="Q58" s="4" t="str">
        <f t="shared" si="1"/>
        <v>public const int armor5 = 20061;</v>
      </c>
      <c r="R58" s="48" t="s">
        <v>156</v>
      </c>
    </row>
    <row r="59" spans="1:18" x14ac:dyDescent="0.15">
      <c r="A59" s="10" t="s">
        <v>209</v>
      </c>
      <c r="B59" s="4">
        <v>20062</v>
      </c>
      <c r="C59" s="3">
        <v>1025</v>
      </c>
      <c r="D59" s="6">
        <v>3</v>
      </c>
      <c r="E59" s="14">
        <v>1</v>
      </c>
      <c r="F59" s="14">
        <v>0</v>
      </c>
      <c r="G59" s="10"/>
      <c r="H59" s="17" t="s">
        <v>184</v>
      </c>
      <c r="I59" s="30"/>
      <c r="J59" s="30"/>
      <c r="K59" s="30" t="s">
        <v>559</v>
      </c>
      <c r="L59" s="8"/>
      <c r="M59" s="8"/>
      <c r="N59" s="11" t="s">
        <v>26</v>
      </c>
      <c r="O59" s="11" t="s">
        <v>26</v>
      </c>
      <c r="P59" s="4">
        <v>10000</v>
      </c>
      <c r="Q59" s="4" t="str">
        <f t="shared" si="1"/>
        <v>public const int armor6 = 20062;</v>
      </c>
      <c r="R59" s="48" t="s">
        <v>157</v>
      </c>
    </row>
    <row r="60" spans="1:18" x14ac:dyDescent="0.15">
      <c r="A60" s="10" t="s">
        <v>210</v>
      </c>
      <c r="B60" s="4">
        <v>20063</v>
      </c>
      <c r="C60" s="3">
        <v>1026</v>
      </c>
      <c r="D60" s="6">
        <v>3</v>
      </c>
      <c r="E60" s="14">
        <v>1</v>
      </c>
      <c r="F60" s="14">
        <v>0</v>
      </c>
      <c r="G60" s="10"/>
      <c r="H60" s="17" t="s">
        <v>185</v>
      </c>
      <c r="I60" s="30"/>
      <c r="J60" s="30"/>
      <c r="K60" s="30" t="s">
        <v>560</v>
      </c>
      <c r="L60" s="8"/>
      <c r="M60" s="8"/>
      <c r="N60" s="11" t="s">
        <v>26</v>
      </c>
      <c r="O60" s="11" t="s">
        <v>26</v>
      </c>
      <c r="P60" s="4">
        <v>10000</v>
      </c>
      <c r="Q60" s="4" t="str">
        <f t="shared" si="1"/>
        <v>public const int armor7 = 20063;</v>
      </c>
      <c r="R60" s="48" t="s">
        <v>158</v>
      </c>
    </row>
    <row r="61" spans="1:18" x14ac:dyDescent="0.15">
      <c r="A61" s="10" t="s">
        <v>211</v>
      </c>
      <c r="B61" s="4">
        <v>20064</v>
      </c>
      <c r="C61" s="3">
        <v>1027</v>
      </c>
      <c r="D61" s="6">
        <v>3</v>
      </c>
      <c r="E61" s="14">
        <v>1</v>
      </c>
      <c r="F61" s="14">
        <v>0</v>
      </c>
      <c r="G61" s="10"/>
      <c r="H61" s="17" t="s">
        <v>186</v>
      </c>
      <c r="I61" s="30"/>
      <c r="J61" s="30"/>
      <c r="K61" s="30" t="s">
        <v>561</v>
      </c>
      <c r="L61" s="8"/>
      <c r="M61" s="8"/>
      <c r="N61" s="11" t="s">
        <v>26</v>
      </c>
      <c r="O61" s="11" t="s">
        <v>26</v>
      </c>
      <c r="P61" s="4">
        <v>10000</v>
      </c>
      <c r="Q61" s="4" t="str">
        <f t="shared" si="1"/>
        <v>public const int armor8 = 20064;</v>
      </c>
      <c r="R61" s="48" t="s">
        <v>159</v>
      </c>
    </row>
    <row r="62" spans="1:18" x14ac:dyDescent="0.15">
      <c r="A62" s="10" t="s">
        <v>213</v>
      </c>
      <c r="B62" s="4">
        <v>20065</v>
      </c>
      <c r="C62" s="3">
        <v>1028</v>
      </c>
      <c r="D62" s="6">
        <v>3</v>
      </c>
      <c r="E62" s="14">
        <v>1</v>
      </c>
      <c r="F62" s="14">
        <v>0</v>
      </c>
      <c r="G62" s="10"/>
      <c r="H62" s="19" t="s">
        <v>214</v>
      </c>
      <c r="I62" s="27"/>
      <c r="J62" s="27"/>
      <c r="K62" s="27" t="s">
        <v>562</v>
      </c>
      <c r="L62" s="8"/>
      <c r="M62" s="8"/>
      <c r="N62" s="11" t="s">
        <v>26</v>
      </c>
      <c r="O62" s="11" t="s">
        <v>26</v>
      </c>
      <c r="P62" s="4">
        <v>10000</v>
      </c>
      <c r="Q62" s="4" t="str">
        <f t="shared" si="1"/>
        <v>public const int armor9 = 20065;</v>
      </c>
      <c r="R62" s="48" t="s">
        <v>160</v>
      </c>
    </row>
    <row r="63" spans="1:18" x14ac:dyDescent="0.15">
      <c r="A63" s="10" t="s">
        <v>218</v>
      </c>
      <c r="B63" s="16">
        <v>20066</v>
      </c>
      <c r="C63" s="14">
        <v>510</v>
      </c>
      <c r="D63" s="6">
        <v>0</v>
      </c>
      <c r="E63" s="14">
        <v>1</v>
      </c>
      <c r="F63" s="14">
        <v>0</v>
      </c>
      <c r="G63" s="10"/>
      <c r="H63" s="19" t="s">
        <v>215</v>
      </c>
      <c r="I63" s="27"/>
      <c r="J63" s="27"/>
      <c r="K63" s="27" t="s">
        <v>563</v>
      </c>
      <c r="L63" s="8"/>
      <c r="M63" s="8"/>
      <c r="N63" s="11" t="s">
        <v>216</v>
      </c>
      <c r="O63" s="11" t="s">
        <v>26</v>
      </c>
      <c r="P63" s="4">
        <v>30</v>
      </c>
      <c r="Q63" s="4" t="str">
        <f t="shared" si="1"/>
        <v>public const int mushroom_essence = 20066;</v>
      </c>
      <c r="R63" s="46" t="s">
        <v>217</v>
      </c>
    </row>
    <row r="64" spans="1:18" x14ac:dyDescent="0.15">
      <c r="A64" s="10" t="s">
        <v>219</v>
      </c>
      <c r="B64" s="4">
        <v>20067</v>
      </c>
      <c r="C64" s="14">
        <v>490</v>
      </c>
      <c r="D64" s="6">
        <v>3</v>
      </c>
      <c r="E64" s="14">
        <v>1</v>
      </c>
      <c r="F64" s="14">
        <v>0</v>
      </c>
      <c r="G64" s="10"/>
      <c r="H64" s="19" t="s">
        <v>220</v>
      </c>
      <c r="I64" s="27"/>
      <c r="J64" s="27"/>
      <c r="K64" s="27" t="s">
        <v>564</v>
      </c>
      <c r="L64" s="11"/>
      <c r="M64" s="8"/>
      <c r="N64" s="11" t="s">
        <v>26</v>
      </c>
      <c r="O64" s="11" t="s">
        <v>109</v>
      </c>
      <c r="P64" s="4">
        <v>10</v>
      </c>
      <c r="Q64" s="4" t="str">
        <f t="shared" si="1"/>
        <v>public const int leather_bag = 20067;</v>
      </c>
      <c r="R64" s="44" t="s">
        <v>221</v>
      </c>
    </row>
    <row r="65" spans="1:18" x14ac:dyDescent="0.15">
      <c r="A65" s="10" t="s">
        <v>222</v>
      </c>
      <c r="B65" s="16">
        <v>20068</v>
      </c>
      <c r="C65" s="3">
        <v>360</v>
      </c>
      <c r="D65" s="6">
        <v>0</v>
      </c>
      <c r="E65" s="14">
        <v>1</v>
      </c>
      <c r="F65" s="14">
        <v>0</v>
      </c>
      <c r="G65" s="10"/>
      <c r="H65" s="19" t="s">
        <v>223</v>
      </c>
      <c r="I65" s="27"/>
      <c r="J65" s="27"/>
      <c r="K65" s="27" t="s">
        <v>565</v>
      </c>
      <c r="L65" s="11"/>
      <c r="M65" s="8"/>
      <c r="N65" s="11" t="s">
        <v>26</v>
      </c>
      <c r="O65" s="11" t="s">
        <v>109</v>
      </c>
      <c r="P65" s="4">
        <v>10</v>
      </c>
      <c r="Q65" s="4" t="str">
        <f t="shared" si="1"/>
        <v>public const int herbal_tea = 20068;</v>
      </c>
      <c r="R65" s="44" t="s">
        <v>224</v>
      </c>
    </row>
    <row r="66" spans="1:18" ht="27" x14ac:dyDescent="0.15">
      <c r="A66" s="10" t="s">
        <v>232</v>
      </c>
      <c r="B66" s="4">
        <v>20069</v>
      </c>
      <c r="C66" s="3">
        <v>300</v>
      </c>
      <c r="D66" s="6">
        <v>1</v>
      </c>
      <c r="E66" s="14">
        <v>1</v>
      </c>
      <c r="F66" s="14">
        <v>0</v>
      </c>
      <c r="G66" s="10"/>
      <c r="H66" s="15" t="s">
        <v>465</v>
      </c>
      <c r="I66" s="31" t="s">
        <v>403</v>
      </c>
      <c r="J66" s="31"/>
      <c r="K66" s="31" t="s">
        <v>566</v>
      </c>
      <c r="L66" s="11"/>
      <c r="M66" s="8"/>
      <c r="N66" s="11" t="s">
        <v>32</v>
      </c>
      <c r="O66" s="11" t="s">
        <v>28</v>
      </c>
      <c r="P66" s="4">
        <v>30</v>
      </c>
      <c r="Q66" s="4" t="str">
        <f t="shared" si="1"/>
        <v>public const int iron_ore = 20069;</v>
      </c>
      <c r="R66" s="49" t="s">
        <v>240</v>
      </c>
    </row>
    <row r="67" spans="1:18" x14ac:dyDescent="0.15">
      <c r="A67" s="10" t="s">
        <v>233</v>
      </c>
      <c r="B67" s="4">
        <v>20070</v>
      </c>
      <c r="C67" s="3">
        <v>301</v>
      </c>
      <c r="D67" s="6">
        <v>0</v>
      </c>
      <c r="E67" s="14">
        <v>1</v>
      </c>
      <c r="F67" s="14">
        <v>0</v>
      </c>
      <c r="G67" s="10"/>
      <c r="H67" s="13" t="s">
        <v>244</v>
      </c>
      <c r="I67" s="26"/>
      <c r="J67" s="26"/>
      <c r="K67" s="26" t="s">
        <v>567</v>
      </c>
      <c r="L67" s="11"/>
      <c r="M67" s="8"/>
      <c r="N67" s="11" t="s">
        <v>32</v>
      </c>
      <c r="O67" s="11" t="s">
        <v>28</v>
      </c>
      <c r="P67" s="4">
        <v>30</v>
      </c>
      <c r="Q67" s="4" t="str">
        <f t="shared" ref="Q67:Q98" si="2">CONCATENATE("public const int ",A67," = ",B67,";")</f>
        <v>public const int mithril_ore = 20070;</v>
      </c>
      <c r="R67" s="46" t="s">
        <v>241</v>
      </c>
    </row>
    <row r="68" spans="1:18" x14ac:dyDescent="0.15">
      <c r="A68" s="10" t="s">
        <v>234</v>
      </c>
      <c r="B68" s="4">
        <v>20071</v>
      </c>
      <c r="C68" s="3">
        <v>302</v>
      </c>
      <c r="D68" s="6">
        <v>0</v>
      </c>
      <c r="E68" s="14">
        <v>1</v>
      </c>
      <c r="F68" s="14">
        <v>0</v>
      </c>
      <c r="G68" s="10"/>
      <c r="H68" s="13" t="s">
        <v>245</v>
      </c>
      <c r="I68" s="26"/>
      <c r="J68" s="26"/>
      <c r="K68" s="26" t="s">
        <v>568</v>
      </c>
      <c r="L68" s="11"/>
      <c r="M68" s="8"/>
      <c r="N68" s="11" t="s">
        <v>32</v>
      </c>
      <c r="O68" s="11" t="s">
        <v>28</v>
      </c>
      <c r="P68" s="4">
        <v>30</v>
      </c>
      <c r="Q68" s="4" t="str">
        <f t="shared" si="2"/>
        <v>public const int adamantite_ore = 20071;</v>
      </c>
      <c r="R68" s="46" t="s">
        <v>242</v>
      </c>
    </row>
    <row r="69" spans="1:18" x14ac:dyDescent="0.15">
      <c r="A69" s="10" t="s">
        <v>235</v>
      </c>
      <c r="B69" s="4">
        <v>20072</v>
      </c>
      <c r="C69" s="3">
        <v>303</v>
      </c>
      <c r="D69" s="6">
        <v>0</v>
      </c>
      <c r="E69" s="14">
        <v>1</v>
      </c>
      <c r="F69" s="14">
        <v>0</v>
      </c>
      <c r="G69" s="10"/>
      <c r="H69" s="13" t="s">
        <v>246</v>
      </c>
      <c r="I69" s="26"/>
      <c r="J69" s="26"/>
      <c r="K69" s="26" t="s">
        <v>569</v>
      </c>
      <c r="L69" s="11"/>
      <c r="M69" s="8"/>
      <c r="N69" s="11" t="s">
        <v>32</v>
      </c>
      <c r="O69" s="11" t="s">
        <v>28</v>
      </c>
      <c r="P69" s="4">
        <v>30</v>
      </c>
      <c r="Q69" s="4" t="str">
        <f t="shared" si="2"/>
        <v>public const int orichalcum_ore = 20072;</v>
      </c>
      <c r="R69" s="46" t="s">
        <v>243</v>
      </c>
    </row>
    <row r="70" spans="1:18" x14ac:dyDescent="0.15">
      <c r="A70" s="10" t="s">
        <v>229</v>
      </c>
      <c r="B70" s="4">
        <v>20073</v>
      </c>
      <c r="C70" s="3">
        <v>311</v>
      </c>
      <c r="D70" s="6">
        <v>0</v>
      </c>
      <c r="E70" s="14">
        <v>1</v>
      </c>
      <c r="F70" s="14">
        <v>0</v>
      </c>
      <c r="G70" s="10"/>
      <c r="H70" s="13" t="s">
        <v>237</v>
      </c>
      <c r="I70" s="26"/>
      <c r="J70" s="26"/>
      <c r="K70" s="26" t="s">
        <v>570</v>
      </c>
      <c r="L70" s="43"/>
      <c r="M70" s="8"/>
      <c r="N70" s="11" t="s">
        <v>32</v>
      </c>
      <c r="O70" s="11" t="s">
        <v>28</v>
      </c>
      <c r="P70" s="4">
        <v>30</v>
      </c>
      <c r="Q70" s="4" t="str">
        <f t="shared" si="2"/>
        <v>public const int mithril = 20073;</v>
      </c>
      <c r="R70" s="46" t="s">
        <v>226</v>
      </c>
    </row>
    <row r="71" spans="1:18" x14ac:dyDescent="0.15">
      <c r="A71" s="10" t="s">
        <v>230</v>
      </c>
      <c r="B71" s="4">
        <v>20074</v>
      </c>
      <c r="C71" s="3">
        <v>312</v>
      </c>
      <c r="D71" s="6">
        <v>0</v>
      </c>
      <c r="E71" s="14">
        <v>1</v>
      </c>
      <c r="F71" s="14">
        <v>0</v>
      </c>
      <c r="G71" s="10"/>
      <c r="H71" s="13" t="s">
        <v>238</v>
      </c>
      <c r="I71" s="26"/>
      <c r="J71" s="26"/>
      <c r="K71" s="26" t="s">
        <v>571</v>
      </c>
      <c r="L71" s="43"/>
      <c r="M71" s="8"/>
      <c r="N71" s="11" t="s">
        <v>32</v>
      </c>
      <c r="O71" s="11" t="s">
        <v>28</v>
      </c>
      <c r="P71" s="4">
        <v>30</v>
      </c>
      <c r="Q71" s="4" t="str">
        <f t="shared" si="2"/>
        <v>public const int adamantite = 20074;</v>
      </c>
      <c r="R71" s="46" t="s">
        <v>227</v>
      </c>
    </row>
    <row r="72" spans="1:18" x14ac:dyDescent="0.15">
      <c r="A72" s="10" t="s">
        <v>231</v>
      </c>
      <c r="B72" s="4">
        <v>20075</v>
      </c>
      <c r="C72" s="3">
        <v>313</v>
      </c>
      <c r="D72" s="6">
        <v>0</v>
      </c>
      <c r="E72" s="14">
        <v>1</v>
      </c>
      <c r="F72" s="14">
        <v>0</v>
      </c>
      <c r="G72" s="10"/>
      <c r="H72" s="13" t="s">
        <v>239</v>
      </c>
      <c r="I72" s="26"/>
      <c r="J72" s="26"/>
      <c r="K72" s="26" t="s">
        <v>572</v>
      </c>
      <c r="L72" s="43"/>
      <c r="M72" s="8"/>
      <c r="N72" s="11" t="s">
        <v>32</v>
      </c>
      <c r="O72" s="11" t="s">
        <v>28</v>
      </c>
      <c r="P72" s="4">
        <v>30</v>
      </c>
      <c r="Q72" s="4" t="str">
        <f t="shared" si="2"/>
        <v>public const int orichalcum = 20075;</v>
      </c>
      <c r="R72" s="46" t="s">
        <v>228</v>
      </c>
    </row>
    <row r="73" spans="1:18" x14ac:dyDescent="0.15">
      <c r="A73" s="10" t="s">
        <v>247</v>
      </c>
      <c r="B73" s="16">
        <v>20076</v>
      </c>
      <c r="C73" s="3">
        <v>1029</v>
      </c>
      <c r="D73" s="6">
        <v>3</v>
      </c>
      <c r="E73" s="3">
        <v>0</v>
      </c>
      <c r="F73" s="14">
        <v>0</v>
      </c>
      <c r="G73" s="7"/>
      <c r="H73" s="17" t="s">
        <v>274</v>
      </c>
      <c r="I73" s="30"/>
      <c r="J73" s="30"/>
      <c r="K73" s="30" t="s">
        <v>275</v>
      </c>
      <c r="L73" s="8"/>
      <c r="M73" s="8"/>
      <c r="N73" s="11" t="s">
        <v>329</v>
      </c>
      <c r="O73" s="11" t="s">
        <v>329</v>
      </c>
      <c r="P73" s="4">
        <v>10000</v>
      </c>
      <c r="Q73" s="4" t="str">
        <f t="shared" si="2"/>
        <v>public const int damaged_weapon1 = 20076;</v>
      </c>
      <c r="R73" s="46" t="s">
        <v>330</v>
      </c>
    </row>
    <row r="74" spans="1:18" x14ac:dyDescent="0.15">
      <c r="A74" s="10" t="s">
        <v>248</v>
      </c>
      <c r="B74" s="16">
        <v>20077</v>
      </c>
      <c r="C74" s="3">
        <v>1030</v>
      </c>
      <c r="D74" s="6">
        <v>3</v>
      </c>
      <c r="E74" s="3">
        <v>0</v>
      </c>
      <c r="F74" s="14">
        <v>0</v>
      </c>
      <c r="G74" s="7"/>
      <c r="H74" s="17" t="s">
        <v>276</v>
      </c>
      <c r="I74" s="30"/>
      <c r="J74" s="30"/>
      <c r="K74" s="30" t="s">
        <v>277</v>
      </c>
      <c r="L74" s="8"/>
      <c r="M74" s="8"/>
      <c r="N74" s="11" t="s">
        <v>329</v>
      </c>
      <c r="O74" s="11" t="s">
        <v>329</v>
      </c>
      <c r="P74" s="4">
        <v>10000</v>
      </c>
      <c r="Q74" s="4" t="str">
        <f t="shared" si="2"/>
        <v>public const int damaged_weapon2 = 20077;</v>
      </c>
      <c r="R74" s="46" t="s">
        <v>331</v>
      </c>
    </row>
    <row r="75" spans="1:18" x14ac:dyDescent="0.15">
      <c r="A75" s="10" t="s">
        <v>249</v>
      </c>
      <c r="B75" s="16">
        <v>20078</v>
      </c>
      <c r="C75" s="3">
        <v>1031</v>
      </c>
      <c r="D75" s="6">
        <v>3</v>
      </c>
      <c r="E75" s="3">
        <v>0</v>
      </c>
      <c r="F75" s="14">
        <v>0</v>
      </c>
      <c r="G75" s="7"/>
      <c r="H75" s="17" t="s">
        <v>278</v>
      </c>
      <c r="I75" s="30"/>
      <c r="J75" s="30"/>
      <c r="K75" s="30" t="s">
        <v>279</v>
      </c>
      <c r="L75" s="8"/>
      <c r="M75" s="8"/>
      <c r="N75" s="11" t="s">
        <v>329</v>
      </c>
      <c r="O75" s="11" t="s">
        <v>329</v>
      </c>
      <c r="P75" s="4">
        <v>10000</v>
      </c>
      <c r="Q75" s="4" t="str">
        <f t="shared" si="2"/>
        <v>public const int damaged_weapon3 = 20078;</v>
      </c>
      <c r="R75" s="46" t="s">
        <v>332</v>
      </c>
    </row>
    <row r="76" spans="1:18" x14ac:dyDescent="0.15">
      <c r="A76" s="10" t="s">
        <v>250</v>
      </c>
      <c r="B76" s="16">
        <v>20079</v>
      </c>
      <c r="C76" s="3">
        <v>1032</v>
      </c>
      <c r="D76" s="6">
        <v>3</v>
      </c>
      <c r="E76" s="3">
        <v>0</v>
      </c>
      <c r="F76" s="14">
        <v>0</v>
      </c>
      <c r="G76" s="7"/>
      <c r="H76" s="17" t="s">
        <v>280</v>
      </c>
      <c r="I76" s="30"/>
      <c r="J76" s="30"/>
      <c r="K76" s="30" t="s">
        <v>281</v>
      </c>
      <c r="L76" s="8"/>
      <c r="M76" s="8"/>
      <c r="N76" s="11" t="s">
        <v>329</v>
      </c>
      <c r="O76" s="11" t="s">
        <v>329</v>
      </c>
      <c r="P76" s="4">
        <v>10000</v>
      </c>
      <c r="Q76" s="4" t="str">
        <f t="shared" si="2"/>
        <v>public const int damaged_weapon4 = 20079;</v>
      </c>
      <c r="R76" s="46" t="s">
        <v>333</v>
      </c>
    </row>
    <row r="77" spans="1:18" x14ac:dyDescent="0.15">
      <c r="A77" s="10" t="s">
        <v>251</v>
      </c>
      <c r="B77" s="16">
        <v>20080</v>
      </c>
      <c r="C77" s="3">
        <v>1033</v>
      </c>
      <c r="D77" s="6">
        <v>3</v>
      </c>
      <c r="E77" s="3">
        <v>0</v>
      </c>
      <c r="F77" s="14">
        <v>0</v>
      </c>
      <c r="G77" s="7"/>
      <c r="H77" s="17" t="s">
        <v>282</v>
      </c>
      <c r="I77" s="30"/>
      <c r="J77" s="30"/>
      <c r="K77" s="30" t="s">
        <v>283</v>
      </c>
      <c r="L77" s="8"/>
      <c r="M77" s="8"/>
      <c r="N77" s="11" t="s">
        <v>329</v>
      </c>
      <c r="O77" s="11" t="s">
        <v>329</v>
      </c>
      <c r="P77" s="4">
        <v>10000</v>
      </c>
      <c r="Q77" s="4" t="str">
        <f t="shared" si="2"/>
        <v>public const int damaged_weapon5 = 20080;</v>
      </c>
      <c r="R77" s="46" t="s">
        <v>334</v>
      </c>
    </row>
    <row r="78" spans="1:18" x14ac:dyDescent="0.15">
      <c r="A78" s="10" t="s">
        <v>252</v>
      </c>
      <c r="B78" s="16">
        <v>20081</v>
      </c>
      <c r="C78" s="3">
        <v>1034</v>
      </c>
      <c r="D78" s="6">
        <v>3</v>
      </c>
      <c r="E78" s="3">
        <v>0</v>
      </c>
      <c r="F78" s="14">
        <v>0</v>
      </c>
      <c r="G78" s="7"/>
      <c r="H78" s="17" t="s">
        <v>284</v>
      </c>
      <c r="I78" s="30"/>
      <c r="J78" s="30"/>
      <c r="K78" s="30" t="s">
        <v>285</v>
      </c>
      <c r="L78" s="8"/>
      <c r="M78" s="8"/>
      <c r="N78" s="11" t="s">
        <v>329</v>
      </c>
      <c r="O78" s="11" t="s">
        <v>329</v>
      </c>
      <c r="P78" s="4">
        <v>10000</v>
      </c>
      <c r="Q78" s="4" t="str">
        <f t="shared" si="2"/>
        <v>public const int damaged_weapon6 = 20081;</v>
      </c>
      <c r="R78" s="46" t="s">
        <v>335</v>
      </c>
    </row>
    <row r="79" spans="1:18" x14ac:dyDescent="0.15">
      <c r="A79" s="10" t="s">
        <v>253</v>
      </c>
      <c r="B79" s="16">
        <v>20082</v>
      </c>
      <c r="C79" s="3">
        <v>1035</v>
      </c>
      <c r="D79" s="6">
        <v>3</v>
      </c>
      <c r="E79" s="3">
        <v>0</v>
      </c>
      <c r="F79" s="14">
        <v>0</v>
      </c>
      <c r="G79" s="7"/>
      <c r="H79" s="17" t="s">
        <v>286</v>
      </c>
      <c r="I79" s="30"/>
      <c r="J79" s="30"/>
      <c r="K79" s="30" t="s">
        <v>287</v>
      </c>
      <c r="L79" s="8"/>
      <c r="M79" s="8"/>
      <c r="N79" s="11" t="s">
        <v>329</v>
      </c>
      <c r="O79" s="11" t="s">
        <v>329</v>
      </c>
      <c r="P79" s="4">
        <v>10000</v>
      </c>
      <c r="Q79" s="4" t="str">
        <f t="shared" si="2"/>
        <v>public const int damaged_weapon7 = 20082;</v>
      </c>
      <c r="R79" s="46" t="s">
        <v>336</v>
      </c>
    </row>
    <row r="80" spans="1:18" x14ac:dyDescent="0.15">
      <c r="A80" s="10" t="s">
        <v>254</v>
      </c>
      <c r="B80" s="16">
        <v>20083</v>
      </c>
      <c r="C80" s="3">
        <v>1036</v>
      </c>
      <c r="D80" s="6">
        <v>3</v>
      </c>
      <c r="E80" s="3">
        <v>0</v>
      </c>
      <c r="F80" s="14">
        <v>0</v>
      </c>
      <c r="G80" s="7"/>
      <c r="H80" s="17" t="s">
        <v>288</v>
      </c>
      <c r="I80" s="30"/>
      <c r="J80" s="30"/>
      <c r="K80" s="30" t="s">
        <v>289</v>
      </c>
      <c r="L80" s="8"/>
      <c r="M80" s="8"/>
      <c r="N80" s="11" t="s">
        <v>329</v>
      </c>
      <c r="O80" s="11" t="s">
        <v>329</v>
      </c>
      <c r="P80" s="4">
        <v>10000</v>
      </c>
      <c r="Q80" s="4" t="str">
        <f t="shared" si="2"/>
        <v>public const int damaged_weapon8 = 20083;</v>
      </c>
      <c r="R80" s="46" t="s">
        <v>337</v>
      </c>
    </row>
    <row r="81" spans="1:18" x14ac:dyDescent="0.15">
      <c r="A81" s="20" t="s">
        <v>255</v>
      </c>
      <c r="B81" s="16">
        <v>20084</v>
      </c>
      <c r="C81" s="3">
        <v>1037</v>
      </c>
      <c r="D81" s="6">
        <v>3</v>
      </c>
      <c r="E81" s="3">
        <v>0</v>
      </c>
      <c r="F81" s="14">
        <v>0</v>
      </c>
      <c r="G81" s="7"/>
      <c r="H81" s="17" t="s">
        <v>290</v>
      </c>
      <c r="I81" s="30"/>
      <c r="J81" s="30"/>
      <c r="K81" s="30" t="s">
        <v>291</v>
      </c>
      <c r="L81" s="8"/>
      <c r="M81" s="8"/>
      <c r="N81" s="11" t="s">
        <v>329</v>
      </c>
      <c r="O81" s="11" t="s">
        <v>329</v>
      </c>
      <c r="P81" s="4">
        <v>10000</v>
      </c>
      <c r="Q81" s="4" t="str">
        <f t="shared" si="2"/>
        <v>public const int damaged_weapon9 = 20084;</v>
      </c>
      <c r="R81" s="46" t="s">
        <v>338</v>
      </c>
    </row>
    <row r="82" spans="1:18" x14ac:dyDescent="0.15">
      <c r="A82" s="10" t="s">
        <v>256</v>
      </c>
      <c r="B82" s="16">
        <v>20085</v>
      </c>
      <c r="C82" s="3">
        <v>1038</v>
      </c>
      <c r="D82" s="6">
        <v>3</v>
      </c>
      <c r="E82" s="3">
        <v>0</v>
      </c>
      <c r="F82" s="14">
        <v>0</v>
      </c>
      <c r="G82" s="7"/>
      <c r="H82" s="17" t="s">
        <v>292</v>
      </c>
      <c r="I82" s="30"/>
      <c r="J82" s="30"/>
      <c r="K82" s="30" t="s">
        <v>293</v>
      </c>
      <c r="L82" s="8"/>
      <c r="M82" s="8"/>
      <c r="N82" s="11" t="s">
        <v>329</v>
      </c>
      <c r="O82" s="11" t="s">
        <v>329</v>
      </c>
      <c r="P82" s="4">
        <v>10000</v>
      </c>
      <c r="Q82" s="4" t="str">
        <f t="shared" si="2"/>
        <v>public const int damaged_shield1 = 20085;</v>
      </c>
      <c r="R82" s="46" t="s">
        <v>339</v>
      </c>
    </row>
    <row r="83" spans="1:18" x14ac:dyDescent="0.15">
      <c r="A83" s="10" t="s">
        <v>257</v>
      </c>
      <c r="B83" s="16">
        <v>20086</v>
      </c>
      <c r="C83" s="3">
        <v>1039</v>
      </c>
      <c r="D83" s="6">
        <v>3</v>
      </c>
      <c r="E83" s="3">
        <v>0</v>
      </c>
      <c r="F83" s="14">
        <v>0</v>
      </c>
      <c r="G83" s="7"/>
      <c r="H83" s="17" t="s">
        <v>294</v>
      </c>
      <c r="I83" s="30"/>
      <c r="J83" s="30"/>
      <c r="K83" s="30" t="s">
        <v>295</v>
      </c>
      <c r="L83" s="8"/>
      <c r="M83" s="8"/>
      <c r="N83" s="11" t="s">
        <v>329</v>
      </c>
      <c r="O83" s="11" t="s">
        <v>329</v>
      </c>
      <c r="P83" s="4">
        <v>10000</v>
      </c>
      <c r="Q83" s="4" t="str">
        <f t="shared" si="2"/>
        <v>public const int damaged_shield2 = 20086;</v>
      </c>
      <c r="R83" s="46" t="s">
        <v>340</v>
      </c>
    </row>
    <row r="84" spans="1:18" x14ac:dyDescent="0.15">
      <c r="A84" s="10" t="s">
        <v>258</v>
      </c>
      <c r="B84" s="16">
        <v>20087</v>
      </c>
      <c r="C84" s="3">
        <v>1040</v>
      </c>
      <c r="D84" s="6">
        <v>3</v>
      </c>
      <c r="E84" s="3">
        <v>0</v>
      </c>
      <c r="F84" s="14">
        <v>0</v>
      </c>
      <c r="G84" s="7"/>
      <c r="H84" s="17" t="s">
        <v>296</v>
      </c>
      <c r="I84" s="30"/>
      <c r="J84" s="30"/>
      <c r="K84" s="30" t="s">
        <v>297</v>
      </c>
      <c r="L84" s="8"/>
      <c r="M84" s="8"/>
      <c r="N84" s="11" t="s">
        <v>329</v>
      </c>
      <c r="O84" s="11" t="s">
        <v>329</v>
      </c>
      <c r="P84" s="4">
        <v>10000</v>
      </c>
      <c r="Q84" s="4" t="str">
        <f t="shared" si="2"/>
        <v>public const int damaged_shield3 = 20087;</v>
      </c>
      <c r="R84" s="46" t="s">
        <v>341</v>
      </c>
    </row>
    <row r="85" spans="1:18" x14ac:dyDescent="0.15">
      <c r="A85" s="10" t="s">
        <v>259</v>
      </c>
      <c r="B85" s="16">
        <v>20088</v>
      </c>
      <c r="C85" s="3">
        <v>1041</v>
      </c>
      <c r="D85" s="6">
        <v>3</v>
      </c>
      <c r="E85" s="3">
        <v>0</v>
      </c>
      <c r="F85" s="14">
        <v>0</v>
      </c>
      <c r="G85" s="7"/>
      <c r="H85" s="17" t="s">
        <v>298</v>
      </c>
      <c r="I85" s="30"/>
      <c r="J85" s="30"/>
      <c r="K85" s="30" t="s">
        <v>299</v>
      </c>
      <c r="L85" s="8"/>
      <c r="M85" s="8"/>
      <c r="N85" s="11" t="s">
        <v>329</v>
      </c>
      <c r="O85" s="11" t="s">
        <v>329</v>
      </c>
      <c r="P85" s="4">
        <v>10000</v>
      </c>
      <c r="Q85" s="4" t="str">
        <f t="shared" si="2"/>
        <v>public const int damaged_shield4 = 20088;</v>
      </c>
      <c r="R85" s="46" t="s">
        <v>342</v>
      </c>
    </row>
    <row r="86" spans="1:18" x14ac:dyDescent="0.15">
      <c r="A86" s="10" t="s">
        <v>260</v>
      </c>
      <c r="B86" s="16">
        <v>20089</v>
      </c>
      <c r="C86" s="3">
        <v>1042</v>
      </c>
      <c r="D86" s="6">
        <v>3</v>
      </c>
      <c r="E86" s="3">
        <v>0</v>
      </c>
      <c r="F86" s="14">
        <v>0</v>
      </c>
      <c r="G86" s="7"/>
      <c r="H86" s="17" t="s">
        <v>300</v>
      </c>
      <c r="I86" s="30"/>
      <c r="J86" s="30"/>
      <c r="K86" s="30" t="s">
        <v>301</v>
      </c>
      <c r="L86" s="8"/>
      <c r="M86" s="8"/>
      <c r="N86" s="11" t="s">
        <v>329</v>
      </c>
      <c r="O86" s="11" t="s">
        <v>329</v>
      </c>
      <c r="P86" s="4">
        <v>10000</v>
      </c>
      <c r="Q86" s="4" t="str">
        <f t="shared" si="2"/>
        <v>public const int damaged_shield5 = 20089;</v>
      </c>
      <c r="R86" s="46" t="s">
        <v>343</v>
      </c>
    </row>
    <row r="87" spans="1:18" x14ac:dyDescent="0.15">
      <c r="A87" s="10" t="s">
        <v>261</v>
      </c>
      <c r="B87" s="16">
        <v>20090</v>
      </c>
      <c r="C87" s="3">
        <v>1043</v>
      </c>
      <c r="D87" s="6">
        <v>3</v>
      </c>
      <c r="E87" s="3">
        <v>0</v>
      </c>
      <c r="F87" s="14">
        <v>0</v>
      </c>
      <c r="G87" s="7"/>
      <c r="H87" s="17" t="s">
        <v>302</v>
      </c>
      <c r="I87" s="30"/>
      <c r="J87" s="30"/>
      <c r="K87" s="30" t="s">
        <v>303</v>
      </c>
      <c r="L87" s="8"/>
      <c r="M87" s="8"/>
      <c r="N87" s="11" t="s">
        <v>329</v>
      </c>
      <c r="O87" s="11" t="s">
        <v>329</v>
      </c>
      <c r="P87" s="4">
        <v>10000</v>
      </c>
      <c r="Q87" s="4" t="str">
        <f t="shared" si="2"/>
        <v>public const int damaged_shield6 = 20090;</v>
      </c>
      <c r="R87" s="46" t="s">
        <v>344</v>
      </c>
    </row>
    <row r="88" spans="1:18" x14ac:dyDescent="0.15">
      <c r="A88" s="10" t="s">
        <v>262</v>
      </c>
      <c r="B88" s="16">
        <v>20091</v>
      </c>
      <c r="C88" s="3">
        <v>1044</v>
      </c>
      <c r="D88" s="6">
        <v>3</v>
      </c>
      <c r="E88" s="3">
        <v>0</v>
      </c>
      <c r="F88" s="14">
        <v>0</v>
      </c>
      <c r="G88" s="7"/>
      <c r="H88" s="17" t="s">
        <v>304</v>
      </c>
      <c r="I88" s="30"/>
      <c r="J88" s="30"/>
      <c r="K88" s="30" t="s">
        <v>305</v>
      </c>
      <c r="L88" s="8"/>
      <c r="M88" s="8"/>
      <c r="N88" s="11" t="s">
        <v>329</v>
      </c>
      <c r="O88" s="11" t="s">
        <v>329</v>
      </c>
      <c r="P88" s="4">
        <v>10000</v>
      </c>
      <c r="Q88" s="4" t="str">
        <f t="shared" si="2"/>
        <v>public const int damaged_shield7 = 20091;</v>
      </c>
      <c r="R88" s="46" t="s">
        <v>345</v>
      </c>
    </row>
    <row r="89" spans="1:18" x14ac:dyDescent="0.15">
      <c r="A89" s="10" t="s">
        <v>263</v>
      </c>
      <c r="B89" s="16">
        <v>20092</v>
      </c>
      <c r="C89" s="3">
        <v>1045</v>
      </c>
      <c r="D89" s="6">
        <v>3</v>
      </c>
      <c r="E89" s="3">
        <v>0</v>
      </c>
      <c r="F89" s="14">
        <v>0</v>
      </c>
      <c r="G89" s="7"/>
      <c r="H89" s="17" t="s">
        <v>306</v>
      </c>
      <c r="I89" s="30"/>
      <c r="J89" s="30"/>
      <c r="K89" s="30" t="s">
        <v>307</v>
      </c>
      <c r="L89" s="8"/>
      <c r="M89" s="8"/>
      <c r="N89" s="11" t="s">
        <v>329</v>
      </c>
      <c r="O89" s="11" t="s">
        <v>329</v>
      </c>
      <c r="P89" s="4">
        <v>10000</v>
      </c>
      <c r="Q89" s="4" t="str">
        <f t="shared" si="2"/>
        <v>public const int damaged_shield8 = 20092;</v>
      </c>
      <c r="R89" s="46" t="s">
        <v>346</v>
      </c>
    </row>
    <row r="90" spans="1:18" x14ac:dyDescent="0.15">
      <c r="A90" s="10" t="s">
        <v>264</v>
      </c>
      <c r="B90" s="16">
        <v>20093</v>
      </c>
      <c r="C90" s="3">
        <v>1046</v>
      </c>
      <c r="D90" s="6">
        <v>3</v>
      </c>
      <c r="E90" s="3">
        <v>0</v>
      </c>
      <c r="F90" s="14">
        <v>0</v>
      </c>
      <c r="G90" s="7"/>
      <c r="H90" s="17" t="s">
        <v>308</v>
      </c>
      <c r="I90" s="30"/>
      <c r="J90" s="30"/>
      <c r="K90" s="30" t="s">
        <v>309</v>
      </c>
      <c r="L90" s="8"/>
      <c r="M90" s="8"/>
      <c r="N90" s="11" t="s">
        <v>329</v>
      </c>
      <c r="O90" s="11" t="s">
        <v>329</v>
      </c>
      <c r="P90" s="4">
        <v>10000</v>
      </c>
      <c r="Q90" s="4" t="str">
        <f t="shared" si="2"/>
        <v>public const int damaged_shield9 = 20093;</v>
      </c>
      <c r="R90" s="46" t="s">
        <v>347</v>
      </c>
    </row>
    <row r="91" spans="1:18" x14ac:dyDescent="0.15">
      <c r="A91" s="10" t="s">
        <v>265</v>
      </c>
      <c r="B91" s="16">
        <v>20094</v>
      </c>
      <c r="C91" s="3">
        <v>1047</v>
      </c>
      <c r="D91" s="6">
        <v>3</v>
      </c>
      <c r="E91" s="3">
        <v>0</v>
      </c>
      <c r="F91" s="14">
        <v>0</v>
      </c>
      <c r="G91" s="7"/>
      <c r="H91" s="17" t="s">
        <v>310</v>
      </c>
      <c r="I91" s="30"/>
      <c r="J91" s="30"/>
      <c r="K91" s="30" t="s">
        <v>311</v>
      </c>
      <c r="L91" s="8"/>
      <c r="M91" s="8"/>
      <c r="N91" s="11" t="s">
        <v>329</v>
      </c>
      <c r="O91" s="11" t="s">
        <v>329</v>
      </c>
      <c r="P91" s="4">
        <v>10000</v>
      </c>
      <c r="Q91" s="4" t="str">
        <f t="shared" si="2"/>
        <v>public const int damaged_armor1 = 20094;</v>
      </c>
      <c r="R91" s="46" t="s">
        <v>348</v>
      </c>
    </row>
    <row r="92" spans="1:18" x14ac:dyDescent="0.15">
      <c r="A92" s="10" t="s">
        <v>266</v>
      </c>
      <c r="B92" s="16">
        <v>20095</v>
      </c>
      <c r="C92" s="3">
        <v>1048</v>
      </c>
      <c r="D92" s="6">
        <v>3</v>
      </c>
      <c r="E92" s="3">
        <v>0</v>
      </c>
      <c r="F92" s="14">
        <v>0</v>
      </c>
      <c r="G92" s="7"/>
      <c r="H92" s="17" t="s">
        <v>312</v>
      </c>
      <c r="I92" s="30"/>
      <c r="J92" s="30"/>
      <c r="K92" s="30" t="s">
        <v>313</v>
      </c>
      <c r="L92" s="8"/>
      <c r="M92" s="8"/>
      <c r="N92" s="11" t="s">
        <v>329</v>
      </c>
      <c r="O92" s="11" t="s">
        <v>329</v>
      </c>
      <c r="P92" s="4">
        <v>10000</v>
      </c>
      <c r="Q92" s="4" t="str">
        <f t="shared" si="2"/>
        <v>public const int damaged_armor2 = 20095;</v>
      </c>
      <c r="R92" s="46" t="s">
        <v>349</v>
      </c>
    </row>
    <row r="93" spans="1:18" x14ac:dyDescent="0.15">
      <c r="A93" s="10" t="s">
        <v>267</v>
      </c>
      <c r="B93" s="16">
        <v>20096</v>
      </c>
      <c r="C93" s="3">
        <v>1049</v>
      </c>
      <c r="D93" s="6">
        <v>3</v>
      </c>
      <c r="E93" s="3">
        <v>0</v>
      </c>
      <c r="F93" s="14">
        <v>0</v>
      </c>
      <c r="G93" s="7"/>
      <c r="H93" s="17" t="s">
        <v>314</v>
      </c>
      <c r="I93" s="30"/>
      <c r="J93" s="30"/>
      <c r="K93" s="30" t="s">
        <v>315</v>
      </c>
      <c r="L93" s="8"/>
      <c r="M93" s="8"/>
      <c r="N93" s="11" t="s">
        <v>329</v>
      </c>
      <c r="O93" s="11" t="s">
        <v>329</v>
      </c>
      <c r="P93" s="4">
        <v>10000</v>
      </c>
      <c r="Q93" s="4" t="str">
        <f t="shared" si="2"/>
        <v>public const int damaged_armor3 = 20096;</v>
      </c>
      <c r="R93" s="46" t="s">
        <v>350</v>
      </c>
    </row>
    <row r="94" spans="1:18" x14ac:dyDescent="0.15">
      <c r="A94" s="10" t="s">
        <v>268</v>
      </c>
      <c r="B94" s="16">
        <v>20097</v>
      </c>
      <c r="C94" s="3">
        <v>1050</v>
      </c>
      <c r="D94" s="6">
        <v>3</v>
      </c>
      <c r="E94" s="3">
        <v>0</v>
      </c>
      <c r="F94" s="14">
        <v>0</v>
      </c>
      <c r="G94" s="7"/>
      <c r="H94" s="17" t="s">
        <v>316</v>
      </c>
      <c r="I94" s="30"/>
      <c r="J94" s="30"/>
      <c r="K94" s="30" t="s">
        <v>317</v>
      </c>
      <c r="L94" s="8"/>
      <c r="M94" s="8"/>
      <c r="N94" s="11" t="s">
        <v>329</v>
      </c>
      <c r="O94" s="11" t="s">
        <v>329</v>
      </c>
      <c r="P94" s="4">
        <v>10000</v>
      </c>
      <c r="Q94" s="4" t="str">
        <f t="shared" si="2"/>
        <v>public const int damaged_armor4 = 20097;</v>
      </c>
      <c r="R94" s="46" t="s">
        <v>351</v>
      </c>
    </row>
    <row r="95" spans="1:18" x14ac:dyDescent="0.15">
      <c r="A95" s="10" t="s">
        <v>269</v>
      </c>
      <c r="B95" s="16">
        <v>20098</v>
      </c>
      <c r="C95" s="3">
        <v>1051</v>
      </c>
      <c r="D95" s="6">
        <v>3</v>
      </c>
      <c r="E95" s="3">
        <v>0</v>
      </c>
      <c r="F95" s="14">
        <v>0</v>
      </c>
      <c r="G95" s="7"/>
      <c r="H95" s="17" t="s">
        <v>318</v>
      </c>
      <c r="I95" s="30"/>
      <c r="J95" s="30"/>
      <c r="K95" s="30" t="s">
        <v>319</v>
      </c>
      <c r="L95" s="8"/>
      <c r="M95" s="8"/>
      <c r="N95" s="11" t="s">
        <v>329</v>
      </c>
      <c r="O95" s="11" t="s">
        <v>329</v>
      </c>
      <c r="P95" s="4">
        <v>10000</v>
      </c>
      <c r="Q95" s="4" t="str">
        <f t="shared" si="2"/>
        <v>public const int damaged_armor5 = 20098;</v>
      </c>
      <c r="R95" s="46" t="s">
        <v>352</v>
      </c>
    </row>
    <row r="96" spans="1:18" x14ac:dyDescent="0.15">
      <c r="A96" s="10" t="s">
        <v>270</v>
      </c>
      <c r="B96" s="16">
        <v>20099</v>
      </c>
      <c r="C96" s="3">
        <v>1052</v>
      </c>
      <c r="D96" s="6">
        <v>3</v>
      </c>
      <c r="E96" s="3">
        <v>0</v>
      </c>
      <c r="F96" s="14">
        <v>0</v>
      </c>
      <c r="G96" s="7"/>
      <c r="H96" s="17" t="s">
        <v>320</v>
      </c>
      <c r="I96" s="30"/>
      <c r="J96" s="30"/>
      <c r="K96" s="30" t="s">
        <v>321</v>
      </c>
      <c r="L96" s="8"/>
      <c r="M96" s="8"/>
      <c r="N96" s="11" t="s">
        <v>329</v>
      </c>
      <c r="O96" s="11" t="s">
        <v>329</v>
      </c>
      <c r="P96" s="4">
        <v>10000</v>
      </c>
      <c r="Q96" s="4" t="str">
        <f t="shared" si="2"/>
        <v>public const int damaged_armor6 = 20099;</v>
      </c>
      <c r="R96" s="46" t="s">
        <v>353</v>
      </c>
    </row>
    <row r="97" spans="1:18" x14ac:dyDescent="0.15">
      <c r="A97" s="10" t="s">
        <v>271</v>
      </c>
      <c r="B97" s="16">
        <v>20100</v>
      </c>
      <c r="C97" s="3">
        <v>1053</v>
      </c>
      <c r="D97" s="6">
        <v>3</v>
      </c>
      <c r="E97" s="3">
        <v>0</v>
      </c>
      <c r="F97" s="14">
        <v>0</v>
      </c>
      <c r="G97" s="7"/>
      <c r="H97" s="17" t="s">
        <v>322</v>
      </c>
      <c r="I97" s="30"/>
      <c r="J97" s="30"/>
      <c r="K97" s="30" t="s">
        <v>323</v>
      </c>
      <c r="L97" s="8"/>
      <c r="M97" s="8"/>
      <c r="N97" s="11" t="s">
        <v>329</v>
      </c>
      <c r="O97" s="11" t="s">
        <v>329</v>
      </c>
      <c r="P97" s="4">
        <v>10000</v>
      </c>
      <c r="Q97" s="4" t="str">
        <f t="shared" si="2"/>
        <v>public const int damaged_armor7 = 20100;</v>
      </c>
      <c r="R97" s="46" t="s">
        <v>354</v>
      </c>
    </row>
    <row r="98" spans="1:18" x14ac:dyDescent="0.15">
      <c r="A98" s="10" t="s">
        <v>272</v>
      </c>
      <c r="B98" s="16">
        <v>20101</v>
      </c>
      <c r="C98" s="3">
        <v>1054</v>
      </c>
      <c r="D98" s="6">
        <v>3</v>
      </c>
      <c r="E98" s="3">
        <v>0</v>
      </c>
      <c r="F98" s="14">
        <v>0</v>
      </c>
      <c r="G98" s="7"/>
      <c r="H98" s="17" t="s">
        <v>324</v>
      </c>
      <c r="I98" s="30"/>
      <c r="J98" s="30"/>
      <c r="K98" s="30" t="s">
        <v>325</v>
      </c>
      <c r="L98" s="8"/>
      <c r="M98" s="8"/>
      <c r="N98" s="11" t="s">
        <v>329</v>
      </c>
      <c r="O98" s="11" t="s">
        <v>329</v>
      </c>
      <c r="P98" s="4">
        <v>10000</v>
      </c>
      <c r="Q98" s="4" t="str">
        <f t="shared" si="2"/>
        <v>public const int damaged_armor8 = 20101;</v>
      </c>
      <c r="R98" s="46" t="s">
        <v>355</v>
      </c>
    </row>
    <row r="99" spans="1:18" x14ac:dyDescent="0.15">
      <c r="A99" s="10" t="s">
        <v>273</v>
      </c>
      <c r="B99" s="16">
        <v>20102</v>
      </c>
      <c r="C99" s="3">
        <v>1055</v>
      </c>
      <c r="D99" s="6">
        <v>3</v>
      </c>
      <c r="E99" s="3">
        <v>0</v>
      </c>
      <c r="F99" s="14">
        <v>0</v>
      </c>
      <c r="G99" s="7"/>
      <c r="H99" s="17" t="s">
        <v>326</v>
      </c>
      <c r="I99" s="30"/>
      <c r="J99" s="30"/>
      <c r="K99" s="30" t="s">
        <v>327</v>
      </c>
      <c r="L99" s="8"/>
      <c r="M99" s="8"/>
      <c r="N99" s="11" t="s">
        <v>329</v>
      </c>
      <c r="O99" s="11" t="s">
        <v>329</v>
      </c>
      <c r="P99" s="4">
        <v>10000</v>
      </c>
      <c r="Q99" s="4" t="str">
        <f t="shared" ref="Q99:Q132" si="3">CONCATENATE("public const int ",A99," = ",B99,";")</f>
        <v>public const int damaged_armor9 = 20102;</v>
      </c>
      <c r="R99" s="46" t="s">
        <v>356</v>
      </c>
    </row>
    <row r="100" spans="1:18" x14ac:dyDescent="0.15">
      <c r="A100" s="10" t="s">
        <v>363</v>
      </c>
      <c r="B100" s="16">
        <v>20103</v>
      </c>
      <c r="C100" s="3">
        <v>520</v>
      </c>
      <c r="D100" s="6">
        <v>1</v>
      </c>
      <c r="E100" s="3">
        <v>1</v>
      </c>
      <c r="F100" s="14">
        <v>0</v>
      </c>
      <c r="G100" s="7"/>
      <c r="H100" s="19" t="s">
        <v>362</v>
      </c>
      <c r="I100" s="27" t="s">
        <v>471</v>
      </c>
      <c r="J100" s="27"/>
      <c r="K100" s="27" t="s">
        <v>573</v>
      </c>
      <c r="L100" s="8"/>
      <c r="M100" s="8"/>
      <c r="N100" s="11" t="s">
        <v>32</v>
      </c>
      <c r="O100" s="11" t="s">
        <v>32</v>
      </c>
      <c r="P100" s="4">
        <v>1000</v>
      </c>
      <c r="Q100" s="4" t="str">
        <f t="shared" si="3"/>
        <v>public const int gun_powder = 20103;</v>
      </c>
      <c r="R100" s="46" t="s">
        <v>364</v>
      </c>
    </row>
    <row r="101" spans="1:18" x14ac:dyDescent="0.15">
      <c r="A101" s="25" t="s">
        <v>365</v>
      </c>
      <c r="B101" s="4">
        <v>20104</v>
      </c>
      <c r="C101" s="14">
        <v>530</v>
      </c>
      <c r="D101" s="6">
        <v>0</v>
      </c>
      <c r="E101" s="3">
        <v>1</v>
      </c>
      <c r="F101" s="14">
        <v>0</v>
      </c>
      <c r="G101" s="8"/>
      <c r="H101" s="4" t="s">
        <v>366</v>
      </c>
      <c r="I101" s="33"/>
      <c r="J101" s="33"/>
      <c r="K101" s="33" t="s">
        <v>574</v>
      </c>
      <c r="L101" s="33"/>
      <c r="M101" s="8"/>
      <c r="N101" s="11" t="s">
        <v>384</v>
      </c>
      <c r="O101" s="11" t="s">
        <v>384</v>
      </c>
      <c r="P101" s="4">
        <v>100</v>
      </c>
      <c r="Q101" s="4" t="str">
        <f t="shared" si="3"/>
        <v>public const int grenade = 20104;</v>
      </c>
      <c r="R101" s="46" t="s">
        <v>367</v>
      </c>
    </row>
    <row r="102" spans="1:18" x14ac:dyDescent="0.15">
      <c r="A102" s="25" t="s">
        <v>368</v>
      </c>
      <c r="B102" s="4">
        <v>20105</v>
      </c>
      <c r="C102" s="3">
        <v>540</v>
      </c>
      <c r="D102" s="6">
        <v>0</v>
      </c>
      <c r="E102" s="3">
        <v>1</v>
      </c>
      <c r="F102" s="14">
        <v>0</v>
      </c>
      <c r="G102" s="8"/>
      <c r="H102" s="4" t="s">
        <v>369</v>
      </c>
      <c r="I102" s="33"/>
      <c r="J102" s="33"/>
      <c r="K102" s="33" t="s">
        <v>575</v>
      </c>
      <c r="L102" s="33"/>
      <c r="M102" s="8"/>
      <c r="N102" s="11" t="s">
        <v>384</v>
      </c>
      <c r="O102" s="11" t="s">
        <v>384</v>
      </c>
      <c r="P102" s="4">
        <v>100</v>
      </c>
      <c r="Q102" s="4" t="str">
        <f t="shared" si="3"/>
        <v>public const int iron_bomb = 20105;</v>
      </c>
      <c r="R102" s="46" t="s">
        <v>370</v>
      </c>
    </row>
    <row r="103" spans="1:18" x14ac:dyDescent="0.15">
      <c r="A103" s="23" t="s">
        <v>398</v>
      </c>
      <c r="B103" s="4">
        <v>20106</v>
      </c>
      <c r="C103" s="14">
        <v>550</v>
      </c>
      <c r="D103" s="6">
        <v>0</v>
      </c>
      <c r="E103" s="3">
        <v>1</v>
      </c>
      <c r="F103" s="14">
        <v>0</v>
      </c>
      <c r="G103" s="8"/>
      <c r="H103" s="4" t="s">
        <v>371</v>
      </c>
      <c r="I103" s="33"/>
      <c r="J103" s="33"/>
      <c r="K103" s="33" t="s">
        <v>576</v>
      </c>
      <c r="L103" s="33"/>
      <c r="M103" s="8"/>
      <c r="N103" s="11" t="s">
        <v>384</v>
      </c>
      <c r="O103" s="11" t="s">
        <v>384</v>
      </c>
      <c r="P103" s="4">
        <v>100</v>
      </c>
      <c r="Q103" s="4" t="str">
        <f t="shared" si="3"/>
        <v>public const int giant_bomb  = 20106;</v>
      </c>
      <c r="R103" s="46" t="s">
        <v>372</v>
      </c>
    </row>
    <row r="104" spans="1:18" x14ac:dyDescent="0.15">
      <c r="A104" s="23" t="s">
        <v>383</v>
      </c>
      <c r="B104" s="4">
        <v>20107</v>
      </c>
      <c r="C104" s="3">
        <v>60</v>
      </c>
      <c r="D104" s="6">
        <v>0</v>
      </c>
      <c r="E104" s="14">
        <v>1</v>
      </c>
      <c r="F104" s="14">
        <v>0</v>
      </c>
      <c r="G104" s="10"/>
      <c r="H104" s="19" t="s">
        <v>375</v>
      </c>
      <c r="I104" s="27"/>
      <c r="J104" s="27"/>
      <c r="K104" s="27" t="s">
        <v>577</v>
      </c>
      <c r="L104" s="11"/>
      <c r="M104" s="8"/>
      <c r="N104" s="11" t="s">
        <v>361</v>
      </c>
      <c r="O104" s="11" t="s">
        <v>361</v>
      </c>
      <c r="P104" s="4">
        <v>1000</v>
      </c>
      <c r="Q104" s="4" t="str">
        <f t="shared" si="3"/>
        <v>public const int simple_food = 20107;</v>
      </c>
      <c r="R104" s="46" t="s">
        <v>380</v>
      </c>
    </row>
    <row r="105" spans="1:18" x14ac:dyDescent="0.15">
      <c r="A105" s="23" t="s">
        <v>382</v>
      </c>
      <c r="B105" s="4">
        <v>20108</v>
      </c>
      <c r="C105" s="14">
        <v>50</v>
      </c>
      <c r="D105" s="6">
        <v>0</v>
      </c>
      <c r="E105" s="14">
        <v>1</v>
      </c>
      <c r="F105" s="14">
        <v>0</v>
      </c>
      <c r="G105" s="10"/>
      <c r="H105" s="19" t="s">
        <v>376</v>
      </c>
      <c r="I105" s="27"/>
      <c r="J105" s="27"/>
      <c r="K105" s="27" t="s">
        <v>578</v>
      </c>
      <c r="L105" s="11"/>
      <c r="M105" s="8"/>
      <c r="N105" s="11" t="s">
        <v>361</v>
      </c>
      <c r="O105" s="11" t="s">
        <v>361</v>
      </c>
      <c r="P105" s="4">
        <v>1000</v>
      </c>
      <c r="Q105" s="4" t="str">
        <f t="shared" si="3"/>
        <v>public const int fine_food = 20108;</v>
      </c>
      <c r="R105" s="46" t="s">
        <v>381</v>
      </c>
    </row>
    <row r="106" spans="1:18" x14ac:dyDescent="0.15">
      <c r="A106" s="23" t="s">
        <v>385</v>
      </c>
      <c r="B106" s="4">
        <v>20109</v>
      </c>
      <c r="C106" s="14">
        <v>70</v>
      </c>
      <c r="D106" s="6">
        <v>0</v>
      </c>
      <c r="E106" s="14">
        <v>1</v>
      </c>
      <c r="F106" s="14">
        <v>0</v>
      </c>
      <c r="G106" s="10"/>
      <c r="H106" s="19" t="s">
        <v>392</v>
      </c>
      <c r="I106" s="27"/>
      <c r="J106" s="27"/>
      <c r="K106" s="27" t="s">
        <v>579</v>
      </c>
      <c r="L106" s="11"/>
      <c r="M106" s="8"/>
      <c r="N106" s="11" t="s">
        <v>361</v>
      </c>
      <c r="O106" s="11" t="s">
        <v>361</v>
      </c>
      <c r="P106" s="4">
        <v>1000</v>
      </c>
      <c r="Q106" s="4" t="str">
        <f t="shared" si="3"/>
        <v>public const int other_cooked_food = 20109;</v>
      </c>
      <c r="R106" s="44" t="s">
        <v>388</v>
      </c>
    </row>
    <row r="107" spans="1:18" x14ac:dyDescent="0.15">
      <c r="A107" s="23" t="s">
        <v>373</v>
      </c>
      <c r="B107" s="4">
        <v>20110</v>
      </c>
      <c r="C107" s="14">
        <v>90</v>
      </c>
      <c r="D107" s="6">
        <v>0</v>
      </c>
      <c r="E107" s="14">
        <v>1</v>
      </c>
      <c r="F107" s="14">
        <v>0</v>
      </c>
      <c r="G107" s="10"/>
      <c r="H107" s="19" t="s">
        <v>377</v>
      </c>
      <c r="I107" s="27"/>
      <c r="J107" s="27"/>
      <c r="K107" s="27" t="s">
        <v>619</v>
      </c>
      <c r="L107" s="11"/>
      <c r="M107" s="8"/>
      <c r="N107" s="11" t="s">
        <v>32</v>
      </c>
      <c r="O107" s="11" t="s">
        <v>361</v>
      </c>
      <c r="P107" s="4">
        <v>1000</v>
      </c>
      <c r="Q107" s="4" t="str">
        <f t="shared" si="3"/>
        <v>public const int meat_fish = 20110;</v>
      </c>
      <c r="R107" s="46" t="s">
        <v>379</v>
      </c>
    </row>
    <row r="108" spans="1:18" x14ac:dyDescent="0.15">
      <c r="A108" s="23" t="s">
        <v>374</v>
      </c>
      <c r="B108" s="4">
        <v>20111</v>
      </c>
      <c r="C108" s="3">
        <v>100</v>
      </c>
      <c r="D108" s="6">
        <v>0</v>
      </c>
      <c r="E108" s="3">
        <v>1</v>
      </c>
      <c r="F108" s="14">
        <v>0</v>
      </c>
      <c r="G108" s="7"/>
      <c r="H108" s="19" t="s">
        <v>378</v>
      </c>
      <c r="I108" s="30"/>
      <c r="J108" s="30"/>
      <c r="K108" s="27" t="s">
        <v>620</v>
      </c>
      <c r="L108" s="8"/>
      <c r="M108" s="8"/>
      <c r="N108" s="11" t="s">
        <v>32</v>
      </c>
      <c r="O108" s="11" t="s">
        <v>361</v>
      </c>
      <c r="P108" s="4">
        <v>1000</v>
      </c>
      <c r="Q108" s="4" t="str">
        <f t="shared" si="3"/>
        <v>public const int meat_meat = 20111;</v>
      </c>
      <c r="R108" s="44" t="s">
        <v>440</v>
      </c>
    </row>
    <row r="109" spans="1:18" x14ac:dyDescent="0.15">
      <c r="A109" s="10" t="s">
        <v>394</v>
      </c>
      <c r="B109" s="4">
        <v>20112</v>
      </c>
      <c r="C109" s="3">
        <v>120</v>
      </c>
      <c r="D109" s="6">
        <v>3</v>
      </c>
      <c r="E109" s="3">
        <v>0</v>
      </c>
      <c r="F109" s="14">
        <v>0</v>
      </c>
      <c r="G109" s="7"/>
      <c r="H109" s="19" t="s">
        <v>395</v>
      </c>
      <c r="I109" s="30"/>
      <c r="J109" s="30"/>
      <c r="K109" s="30" t="s">
        <v>580</v>
      </c>
      <c r="L109" s="4"/>
      <c r="M109" s="8"/>
      <c r="N109" s="11" t="s">
        <v>396</v>
      </c>
      <c r="O109" s="11" t="s">
        <v>396</v>
      </c>
      <c r="P109" s="4"/>
      <c r="Q109" s="4" t="str">
        <f t="shared" si="3"/>
        <v>public const int spoiled_food = 20112;</v>
      </c>
      <c r="R109" s="46" t="s">
        <v>393</v>
      </c>
    </row>
    <row r="110" spans="1:18" x14ac:dyDescent="0.15">
      <c r="A110" s="23" t="s">
        <v>400</v>
      </c>
      <c r="B110" s="4">
        <v>20113</v>
      </c>
      <c r="C110" s="14">
        <v>110</v>
      </c>
      <c r="D110" s="6">
        <v>0</v>
      </c>
      <c r="E110" s="14">
        <v>1</v>
      </c>
      <c r="F110" s="14">
        <v>0</v>
      </c>
      <c r="G110" s="10"/>
      <c r="H110" s="19" t="s">
        <v>401</v>
      </c>
      <c r="I110" s="27"/>
      <c r="J110" s="27"/>
      <c r="K110" s="27" t="s">
        <v>581</v>
      </c>
      <c r="L110" s="11"/>
      <c r="M110" s="8"/>
      <c r="N110" s="11" t="s">
        <v>32</v>
      </c>
      <c r="O110" s="11" t="s">
        <v>361</v>
      </c>
      <c r="P110" s="4">
        <v>1000</v>
      </c>
      <c r="Q110" s="4" t="str">
        <f t="shared" si="3"/>
        <v>public const int meat_shrimp_crab = 20113;</v>
      </c>
      <c r="R110" s="46" t="s">
        <v>399</v>
      </c>
    </row>
    <row r="111" spans="1:18" x14ac:dyDescent="0.15">
      <c r="A111" s="41" t="s">
        <v>404</v>
      </c>
      <c r="B111" s="4">
        <v>20114</v>
      </c>
      <c r="C111" s="3">
        <v>600</v>
      </c>
      <c r="D111" s="6">
        <v>4</v>
      </c>
      <c r="E111" s="14">
        <v>1</v>
      </c>
      <c r="F111" s="14">
        <v>0</v>
      </c>
      <c r="G111" s="10"/>
      <c r="H111" s="15" t="s">
        <v>405</v>
      </c>
      <c r="I111" s="31"/>
      <c r="J111" s="31"/>
      <c r="K111" s="31" t="s">
        <v>582</v>
      </c>
      <c r="L111" s="11"/>
      <c r="M111" s="8"/>
      <c r="N111" s="11" t="s">
        <v>32</v>
      </c>
      <c r="O111" s="11" t="s">
        <v>28</v>
      </c>
      <c r="P111" s="4">
        <v>1000</v>
      </c>
      <c r="Q111" s="4" t="str">
        <f t="shared" si="3"/>
        <v>public const int forage_grass = 20114;</v>
      </c>
      <c r="R111" s="44" t="s">
        <v>406</v>
      </c>
    </row>
    <row r="112" spans="1:18" x14ac:dyDescent="0.15">
      <c r="A112" s="10" t="s">
        <v>407</v>
      </c>
      <c r="B112" s="4">
        <v>20115</v>
      </c>
      <c r="C112" s="3">
        <v>441</v>
      </c>
      <c r="D112" s="6">
        <v>3</v>
      </c>
      <c r="E112" s="3">
        <v>1</v>
      </c>
      <c r="F112" s="14">
        <v>0</v>
      </c>
      <c r="G112" s="7"/>
      <c r="H112" s="27" t="s">
        <v>408</v>
      </c>
      <c r="I112" s="30"/>
      <c r="J112" s="30"/>
      <c r="K112" s="30" t="s">
        <v>583</v>
      </c>
      <c r="L112" s="8"/>
      <c r="M112" s="8"/>
      <c r="N112" s="11" t="s">
        <v>32</v>
      </c>
      <c r="O112" s="11" t="s">
        <v>32</v>
      </c>
      <c r="P112" s="4">
        <v>100</v>
      </c>
      <c r="Q112" s="4" t="str">
        <f t="shared" si="3"/>
        <v>public const int sugar = 20115;</v>
      </c>
      <c r="R112" s="46" t="s">
        <v>409</v>
      </c>
    </row>
    <row r="113" spans="1:18" x14ac:dyDescent="0.15">
      <c r="A113" s="7" t="s">
        <v>412</v>
      </c>
      <c r="B113" s="4">
        <v>20116</v>
      </c>
      <c r="C113" s="3">
        <v>461</v>
      </c>
      <c r="D113" s="6">
        <v>3</v>
      </c>
      <c r="E113" s="3">
        <v>1</v>
      </c>
      <c r="F113" s="14">
        <v>0</v>
      </c>
      <c r="G113" s="7"/>
      <c r="H113" s="19" t="s">
        <v>413</v>
      </c>
      <c r="I113" s="30"/>
      <c r="J113" s="30"/>
      <c r="K113" s="30" t="s">
        <v>584</v>
      </c>
      <c r="L113" s="4"/>
      <c r="M113" s="8"/>
      <c r="N113" s="11" t="s">
        <v>32</v>
      </c>
      <c r="O113" s="11" t="s">
        <v>26</v>
      </c>
      <c r="P113" s="4">
        <v>100</v>
      </c>
      <c r="Q113" s="4" t="str">
        <f t="shared" si="3"/>
        <v>public const int sugarcane = 20116;</v>
      </c>
      <c r="R113" s="46" t="s">
        <v>411</v>
      </c>
    </row>
    <row r="114" spans="1:18" x14ac:dyDescent="0.15">
      <c r="A114" s="10" t="s">
        <v>415</v>
      </c>
      <c r="B114" s="4">
        <v>20117</v>
      </c>
      <c r="C114" s="3">
        <v>462</v>
      </c>
      <c r="D114" s="6">
        <v>3</v>
      </c>
      <c r="E114" s="3">
        <v>1</v>
      </c>
      <c r="F114" s="14">
        <v>1</v>
      </c>
      <c r="G114" s="7"/>
      <c r="H114" s="27" t="s">
        <v>416</v>
      </c>
      <c r="I114" s="30"/>
      <c r="J114" s="30"/>
      <c r="K114" s="30"/>
      <c r="L114" s="11" t="s">
        <v>417</v>
      </c>
      <c r="M114" s="8"/>
      <c r="N114" s="11" t="s">
        <v>47</v>
      </c>
      <c r="O114" s="11" t="s">
        <v>26</v>
      </c>
      <c r="P114" s="4">
        <v>100</v>
      </c>
      <c r="Q114" s="4" t="str">
        <f t="shared" si="3"/>
        <v>public const int book = 20117;</v>
      </c>
      <c r="R114" s="44" t="s">
        <v>414</v>
      </c>
    </row>
    <row r="115" spans="1:18" x14ac:dyDescent="0.15">
      <c r="A115" s="10" t="s">
        <v>420</v>
      </c>
      <c r="B115" s="4">
        <v>20118</v>
      </c>
      <c r="C115" s="3">
        <v>463</v>
      </c>
      <c r="D115" s="6">
        <v>3</v>
      </c>
      <c r="E115" s="3">
        <v>1</v>
      </c>
      <c r="F115" s="14">
        <v>0</v>
      </c>
      <c r="G115" s="7"/>
      <c r="H115" s="19" t="s">
        <v>422</v>
      </c>
      <c r="I115" s="30"/>
      <c r="J115" s="30"/>
      <c r="K115" s="30" t="s">
        <v>585</v>
      </c>
      <c r="L115" s="8"/>
      <c r="M115" s="8"/>
      <c r="N115" s="11" t="s">
        <v>47</v>
      </c>
      <c r="O115" s="11" t="s">
        <v>26</v>
      </c>
      <c r="P115" s="4">
        <v>100</v>
      </c>
      <c r="Q115" s="4" t="str">
        <f t="shared" si="3"/>
        <v>public const int ring = 20118;</v>
      </c>
      <c r="R115" s="44" t="s">
        <v>418</v>
      </c>
    </row>
    <row r="116" spans="1:18" x14ac:dyDescent="0.15">
      <c r="A116" s="10" t="s">
        <v>421</v>
      </c>
      <c r="B116" s="4">
        <v>20119</v>
      </c>
      <c r="C116" s="3">
        <v>464</v>
      </c>
      <c r="D116" s="6">
        <v>3</v>
      </c>
      <c r="E116" s="3">
        <v>1</v>
      </c>
      <c r="F116" s="14">
        <v>0</v>
      </c>
      <c r="G116" s="7"/>
      <c r="H116" s="19" t="s">
        <v>423</v>
      </c>
      <c r="I116" s="30"/>
      <c r="J116" s="30"/>
      <c r="K116" s="30" t="s">
        <v>586</v>
      </c>
      <c r="L116" s="8"/>
      <c r="M116" s="8"/>
      <c r="N116" s="11" t="s">
        <v>47</v>
      </c>
      <c r="O116" s="11" t="s">
        <v>26</v>
      </c>
      <c r="P116" s="4">
        <v>100</v>
      </c>
      <c r="Q116" s="4" t="str">
        <f t="shared" si="3"/>
        <v>public const int necklace = 20119;</v>
      </c>
      <c r="R116" s="44" t="s">
        <v>419</v>
      </c>
    </row>
    <row r="117" spans="1:18" x14ac:dyDescent="0.15">
      <c r="A117" s="23" t="s">
        <v>424</v>
      </c>
      <c r="B117" s="4">
        <v>20120</v>
      </c>
      <c r="C117" s="3">
        <v>101</v>
      </c>
      <c r="D117" s="6">
        <v>0</v>
      </c>
      <c r="E117" s="3">
        <v>1</v>
      </c>
      <c r="F117" s="14">
        <v>0</v>
      </c>
      <c r="G117" s="7"/>
      <c r="H117" s="19" t="s">
        <v>425</v>
      </c>
      <c r="I117" s="30"/>
      <c r="J117" s="30"/>
      <c r="K117" s="30" t="s">
        <v>587</v>
      </c>
      <c r="L117" s="8"/>
      <c r="M117" s="8"/>
      <c r="N117" s="11" t="s">
        <v>32</v>
      </c>
      <c r="O117" s="11" t="s">
        <v>361</v>
      </c>
      <c r="P117" s="4">
        <v>1000</v>
      </c>
      <c r="Q117" s="4" t="str">
        <f t="shared" si="3"/>
        <v>public const int milk = 20120;</v>
      </c>
      <c r="R117" s="44" t="s">
        <v>429</v>
      </c>
    </row>
    <row r="118" spans="1:18" x14ac:dyDescent="0.15">
      <c r="A118" s="23" t="s">
        <v>428</v>
      </c>
      <c r="B118" s="4">
        <v>20121</v>
      </c>
      <c r="C118" s="3">
        <v>102</v>
      </c>
      <c r="D118" s="6">
        <v>0</v>
      </c>
      <c r="E118" s="3">
        <v>1</v>
      </c>
      <c r="F118" s="14">
        <v>0</v>
      </c>
      <c r="G118" s="7"/>
      <c r="H118" s="19" t="s">
        <v>426</v>
      </c>
      <c r="I118" s="30"/>
      <c r="J118" s="30"/>
      <c r="K118" s="30" t="s">
        <v>588</v>
      </c>
      <c r="L118" s="8"/>
      <c r="M118" s="8"/>
      <c r="N118" s="11" t="s">
        <v>361</v>
      </c>
      <c r="O118" s="11" t="s">
        <v>361</v>
      </c>
      <c r="P118" s="4">
        <v>1000</v>
      </c>
      <c r="Q118" s="4" t="str">
        <f t="shared" si="3"/>
        <v>public const int flour = 20121;</v>
      </c>
      <c r="R118" s="44" t="s">
        <v>430</v>
      </c>
    </row>
    <row r="119" spans="1:18" x14ac:dyDescent="0.15">
      <c r="A119" s="23" t="s">
        <v>433</v>
      </c>
      <c r="B119" s="36">
        <v>20122</v>
      </c>
      <c r="C119" s="14">
        <v>51</v>
      </c>
      <c r="D119" s="6">
        <v>0</v>
      </c>
      <c r="E119" s="14">
        <v>1</v>
      </c>
      <c r="F119" s="14">
        <v>0</v>
      </c>
      <c r="G119" s="10"/>
      <c r="H119" s="27" t="s">
        <v>436</v>
      </c>
      <c r="I119" s="27"/>
      <c r="J119" s="27"/>
      <c r="K119" s="27" t="s">
        <v>589</v>
      </c>
      <c r="L119" s="11"/>
      <c r="M119" s="8"/>
      <c r="N119" s="11" t="s">
        <v>361</v>
      </c>
      <c r="O119" s="11" t="s">
        <v>361</v>
      </c>
      <c r="P119" s="4">
        <v>1000</v>
      </c>
      <c r="Q119" s="4" t="str">
        <f t="shared" si="3"/>
        <v>public const int cookies = 20122;</v>
      </c>
      <c r="R119" s="44" t="s">
        <v>431</v>
      </c>
    </row>
    <row r="120" spans="1:18" x14ac:dyDescent="0.15">
      <c r="A120" s="23" t="s">
        <v>434</v>
      </c>
      <c r="B120" s="36">
        <v>20123</v>
      </c>
      <c r="C120" s="14">
        <v>52</v>
      </c>
      <c r="D120" s="6">
        <v>0</v>
      </c>
      <c r="E120" s="14">
        <v>1</v>
      </c>
      <c r="F120" s="14">
        <v>0</v>
      </c>
      <c r="G120" s="10"/>
      <c r="H120" s="27" t="s">
        <v>437</v>
      </c>
      <c r="I120" s="27"/>
      <c r="J120" s="27"/>
      <c r="K120" s="27" t="s">
        <v>590</v>
      </c>
      <c r="L120" s="11"/>
      <c r="M120" s="8"/>
      <c r="N120" s="11" t="s">
        <v>361</v>
      </c>
      <c r="O120" s="11" t="s">
        <v>361</v>
      </c>
      <c r="P120" s="4">
        <v>1000</v>
      </c>
      <c r="Q120" s="4" t="str">
        <f t="shared" si="3"/>
        <v>public const int cake = 20123;</v>
      </c>
      <c r="R120" s="46" t="s">
        <v>432</v>
      </c>
    </row>
    <row r="121" spans="1:18" x14ac:dyDescent="0.15">
      <c r="A121" s="23" t="s">
        <v>441</v>
      </c>
      <c r="B121" s="36">
        <v>20124</v>
      </c>
      <c r="C121" s="3">
        <v>100</v>
      </c>
      <c r="D121" s="6">
        <v>0</v>
      </c>
      <c r="E121" s="3">
        <v>1</v>
      </c>
      <c r="F121" s="14">
        <v>0</v>
      </c>
      <c r="G121" s="7"/>
      <c r="H121" s="19" t="s">
        <v>443</v>
      </c>
      <c r="I121" s="30"/>
      <c r="J121" s="30"/>
      <c r="K121" s="30" t="s">
        <v>591</v>
      </c>
      <c r="L121" s="8"/>
      <c r="M121" s="8"/>
      <c r="N121" s="11" t="s">
        <v>32</v>
      </c>
      <c r="O121" s="11" t="s">
        <v>361</v>
      </c>
      <c r="P121" s="4">
        <v>1000</v>
      </c>
      <c r="Q121" s="4" t="str">
        <f t="shared" si="3"/>
        <v>public const int meat_egg = 20124;</v>
      </c>
      <c r="R121" s="44" t="s">
        <v>442</v>
      </c>
    </row>
    <row r="122" spans="1:18" x14ac:dyDescent="0.15">
      <c r="A122" s="23" t="s">
        <v>446</v>
      </c>
      <c r="B122" s="4">
        <v>20125</v>
      </c>
      <c r="C122" s="14">
        <v>230</v>
      </c>
      <c r="D122" s="6">
        <v>0</v>
      </c>
      <c r="E122" s="14">
        <v>1</v>
      </c>
      <c r="F122" s="14">
        <v>0</v>
      </c>
      <c r="G122" s="38"/>
      <c r="H122" s="19" t="s">
        <v>448</v>
      </c>
      <c r="I122" s="27"/>
      <c r="J122" s="27"/>
      <c r="K122" s="27" t="s">
        <v>592</v>
      </c>
      <c r="L122" s="11"/>
      <c r="M122" s="8"/>
      <c r="N122" s="11" t="s">
        <v>47</v>
      </c>
      <c r="O122" s="11" t="s">
        <v>28</v>
      </c>
      <c r="P122" s="4">
        <v>100</v>
      </c>
      <c r="Q122" s="4" t="str">
        <f t="shared" si="3"/>
        <v>public const int wine_spirits = 20125;</v>
      </c>
      <c r="R122" s="46" t="s">
        <v>450</v>
      </c>
    </row>
    <row r="123" spans="1:18" x14ac:dyDescent="0.15">
      <c r="A123" s="23" t="s">
        <v>447</v>
      </c>
      <c r="B123" s="4">
        <v>20126</v>
      </c>
      <c r="C123" s="14">
        <v>250</v>
      </c>
      <c r="D123" s="6">
        <v>0</v>
      </c>
      <c r="E123" s="14">
        <v>1</v>
      </c>
      <c r="F123" s="14">
        <v>0</v>
      </c>
      <c r="G123" s="38"/>
      <c r="H123" s="19" t="s">
        <v>449</v>
      </c>
      <c r="I123" s="27"/>
      <c r="J123" s="27"/>
      <c r="K123" s="27" t="s">
        <v>593</v>
      </c>
      <c r="L123" s="11"/>
      <c r="M123" s="8"/>
      <c r="N123" s="11" t="s">
        <v>47</v>
      </c>
      <c r="O123" s="11" t="s">
        <v>28</v>
      </c>
      <c r="P123" s="4">
        <v>100</v>
      </c>
      <c r="Q123" s="4" t="str">
        <f t="shared" si="3"/>
        <v>public const int wine_ratafia = 20126;</v>
      </c>
      <c r="R123" s="46" t="s">
        <v>451</v>
      </c>
    </row>
    <row r="124" spans="1:18" x14ac:dyDescent="0.15">
      <c r="A124" s="16" t="s">
        <v>454</v>
      </c>
      <c r="B124" s="4">
        <v>20127</v>
      </c>
      <c r="C124" s="3">
        <v>500</v>
      </c>
      <c r="D124" s="6">
        <v>3</v>
      </c>
      <c r="E124" s="14">
        <v>1</v>
      </c>
      <c r="F124" s="14">
        <v>0</v>
      </c>
      <c r="G124" s="10"/>
      <c r="H124" s="19" t="s">
        <v>456</v>
      </c>
      <c r="I124" s="27"/>
      <c r="J124" s="27"/>
      <c r="K124" s="27" t="s">
        <v>594</v>
      </c>
      <c r="L124" s="11"/>
      <c r="M124" s="8"/>
      <c r="N124" s="11" t="s">
        <v>26</v>
      </c>
      <c r="O124" s="11" t="s">
        <v>109</v>
      </c>
      <c r="P124" s="4">
        <v>10</v>
      </c>
      <c r="Q124" s="4" t="str">
        <f t="shared" si="3"/>
        <v>public const int light_carriage = 20127;</v>
      </c>
      <c r="R124" s="44" t="s">
        <v>452</v>
      </c>
    </row>
    <row r="125" spans="1:18" x14ac:dyDescent="0.15">
      <c r="A125" s="16" t="s">
        <v>455</v>
      </c>
      <c r="B125" s="4">
        <v>20128</v>
      </c>
      <c r="C125" s="3">
        <v>501</v>
      </c>
      <c r="D125" s="6">
        <v>3</v>
      </c>
      <c r="E125" s="14">
        <v>1</v>
      </c>
      <c r="F125" s="14">
        <v>0</v>
      </c>
      <c r="G125" s="10"/>
      <c r="H125" s="19" t="s">
        <v>457</v>
      </c>
      <c r="I125" s="27"/>
      <c r="J125" s="27"/>
      <c r="K125" s="27" t="s">
        <v>595</v>
      </c>
      <c r="L125" s="11"/>
      <c r="M125" s="8"/>
      <c r="N125" s="11" t="s">
        <v>26</v>
      </c>
      <c r="O125" s="11" t="s">
        <v>109</v>
      </c>
      <c r="P125" s="4">
        <v>10</v>
      </c>
      <c r="Q125" s="4" t="str">
        <f t="shared" si="3"/>
        <v>public const int carriage = 20128;</v>
      </c>
      <c r="R125" s="44" t="s">
        <v>453</v>
      </c>
    </row>
    <row r="126" spans="1:18" x14ac:dyDescent="0.15">
      <c r="A126" s="23" t="s">
        <v>458</v>
      </c>
      <c r="B126" s="37">
        <v>20129</v>
      </c>
      <c r="C126" s="3">
        <v>141</v>
      </c>
      <c r="D126" s="6">
        <v>0</v>
      </c>
      <c r="E126" s="14">
        <v>1</v>
      </c>
      <c r="F126" s="14">
        <v>0</v>
      </c>
      <c r="G126" s="10"/>
      <c r="H126" s="19" t="s">
        <v>459</v>
      </c>
      <c r="I126" s="27"/>
      <c r="J126" s="27"/>
      <c r="K126" s="27" t="s">
        <v>596</v>
      </c>
      <c r="L126" s="11"/>
      <c r="M126" s="8"/>
      <c r="N126" s="11" t="s">
        <v>32</v>
      </c>
      <c r="O126" s="11" t="s">
        <v>463</v>
      </c>
      <c r="P126" s="4">
        <v>1000</v>
      </c>
      <c r="Q126" s="4" t="str">
        <f t="shared" si="3"/>
        <v>public const int mushroom = 20129;</v>
      </c>
      <c r="R126" s="44" t="s">
        <v>464</v>
      </c>
    </row>
    <row r="127" spans="1:18" x14ac:dyDescent="0.15">
      <c r="A127" s="10" t="s">
        <v>468</v>
      </c>
      <c r="B127" s="4">
        <v>20130</v>
      </c>
      <c r="C127" s="14">
        <v>551</v>
      </c>
      <c r="D127" s="6">
        <v>0</v>
      </c>
      <c r="E127" s="14">
        <v>1</v>
      </c>
      <c r="F127" s="14">
        <v>0</v>
      </c>
      <c r="G127" s="8"/>
      <c r="H127" s="19" t="s">
        <v>470</v>
      </c>
      <c r="I127" s="30"/>
      <c r="J127" s="30"/>
      <c r="K127" s="30" t="s">
        <v>597</v>
      </c>
      <c r="L127" s="16"/>
      <c r="M127" s="8"/>
      <c r="N127" s="11" t="s">
        <v>47</v>
      </c>
      <c r="O127" s="11" t="s">
        <v>26</v>
      </c>
      <c r="P127" s="4">
        <v>101</v>
      </c>
      <c r="Q127" s="4" t="str">
        <f t="shared" ref="Q127:Q130" si="4">CONCATENATE("public const int ",A127," = ",B127,";")</f>
        <v>public const int bullet = 20130;</v>
      </c>
      <c r="R127" s="44" t="s">
        <v>469</v>
      </c>
    </row>
    <row r="128" spans="1:18" x14ac:dyDescent="0.15">
      <c r="A128" s="10" t="s">
        <v>474</v>
      </c>
      <c r="B128" s="4">
        <v>20131</v>
      </c>
      <c r="C128" s="3">
        <v>304</v>
      </c>
      <c r="D128" s="6">
        <v>0</v>
      </c>
      <c r="E128" s="14">
        <v>1</v>
      </c>
      <c r="F128" s="14">
        <v>0</v>
      </c>
      <c r="G128" s="10"/>
      <c r="H128" s="13" t="s">
        <v>472</v>
      </c>
      <c r="I128" s="26"/>
      <c r="J128" s="26"/>
      <c r="K128" s="26" t="s">
        <v>598</v>
      </c>
      <c r="L128" s="11"/>
      <c r="M128" s="8"/>
      <c r="N128" s="11" t="s">
        <v>47</v>
      </c>
      <c r="O128" s="11" t="s">
        <v>28</v>
      </c>
      <c r="P128" s="4">
        <v>30</v>
      </c>
      <c r="Q128" s="4" t="str">
        <f t="shared" si="4"/>
        <v>public const int gold_ore = 20131;</v>
      </c>
      <c r="R128" s="46" t="s">
        <v>476</v>
      </c>
    </row>
    <row r="129" spans="1:18" x14ac:dyDescent="0.15">
      <c r="A129" s="10" t="s">
        <v>475</v>
      </c>
      <c r="B129" s="4">
        <v>20132</v>
      </c>
      <c r="C129" s="3">
        <v>305</v>
      </c>
      <c r="D129" s="6">
        <v>0</v>
      </c>
      <c r="E129" s="14">
        <v>1</v>
      </c>
      <c r="F129" s="14">
        <v>0</v>
      </c>
      <c r="G129" s="10"/>
      <c r="H129" s="13" t="s">
        <v>473</v>
      </c>
      <c r="I129" s="26"/>
      <c r="J129" s="26"/>
      <c r="K129" s="26" t="s">
        <v>599</v>
      </c>
      <c r="L129" s="11"/>
      <c r="M129" s="8"/>
      <c r="N129" s="11" t="s">
        <v>27</v>
      </c>
      <c r="O129" s="11" t="s">
        <v>28</v>
      </c>
      <c r="P129" s="4">
        <v>30</v>
      </c>
      <c r="Q129" s="4" t="str">
        <f t="shared" si="4"/>
        <v>public const int silver_ore = 20132;</v>
      </c>
      <c r="R129" s="46" t="s">
        <v>477</v>
      </c>
    </row>
    <row r="130" spans="1:18" x14ac:dyDescent="0.15">
      <c r="A130" s="10" t="s">
        <v>478</v>
      </c>
      <c r="B130" s="4">
        <v>20133</v>
      </c>
      <c r="C130" s="14">
        <v>11</v>
      </c>
      <c r="D130" s="6">
        <v>2</v>
      </c>
      <c r="E130" s="14">
        <v>0</v>
      </c>
      <c r="F130" s="14">
        <v>0</v>
      </c>
      <c r="G130" s="10"/>
      <c r="H130" s="15" t="s">
        <v>482</v>
      </c>
      <c r="I130" s="26"/>
      <c r="J130" s="26"/>
      <c r="K130" s="26" t="s">
        <v>600</v>
      </c>
      <c r="L130" s="8"/>
      <c r="M130" s="8"/>
      <c r="N130" s="11" t="s">
        <v>479</v>
      </c>
      <c r="O130" s="11" t="s">
        <v>480</v>
      </c>
      <c r="P130" s="4">
        <v>1000</v>
      </c>
      <c r="Q130" s="4" t="str">
        <f t="shared" si="4"/>
        <v>public const int silver_coin = 20133;</v>
      </c>
      <c r="R130" s="44" t="s">
        <v>481</v>
      </c>
    </row>
    <row r="131" spans="1:18" ht="54" x14ac:dyDescent="0.15">
      <c r="A131" s="10" t="s">
        <v>389</v>
      </c>
      <c r="B131" s="4">
        <v>29999</v>
      </c>
      <c r="C131" s="14">
        <v>30</v>
      </c>
      <c r="D131" s="6">
        <v>0</v>
      </c>
      <c r="E131" s="14">
        <v>0</v>
      </c>
      <c r="F131" s="14">
        <v>0</v>
      </c>
      <c r="G131" s="35" t="s">
        <v>438</v>
      </c>
      <c r="H131" s="19" t="s">
        <v>376</v>
      </c>
      <c r="I131" s="27"/>
      <c r="J131" s="27"/>
      <c r="K131" s="27"/>
      <c r="L131" s="11"/>
      <c r="M131" s="8"/>
      <c r="N131" s="11" t="s">
        <v>32</v>
      </c>
      <c r="O131" s="11" t="s">
        <v>26</v>
      </c>
      <c r="P131" s="4">
        <v>100</v>
      </c>
      <c r="Q131" s="4" t="str">
        <f t="shared" si="3"/>
        <v>public const int food = 29999;</v>
      </c>
      <c r="R131" s="44" t="s">
        <v>390</v>
      </c>
    </row>
    <row r="132" spans="1:18" x14ac:dyDescent="0.15">
      <c r="A132" s="10" t="s">
        <v>483</v>
      </c>
      <c r="B132" s="4">
        <v>20134</v>
      </c>
      <c r="C132" s="3">
        <v>401</v>
      </c>
      <c r="D132" s="34">
        <v>3</v>
      </c>
      <c r="E132" s="14">
        <v>0</v>
      </c>
      <c r="F132" s="14">
        <v>0</v>
      </c>
      <c r="G132" s="10"/>
      <c r="H132" s="17" t="s">
        <v>484</v>
      </c>
      <c r="I132" s="30"/>
      <c r="J132" s="30"/>
      <c r="K132" s="30" t="s">
        <v>601</v>
      </c>
      <c r="L132" s="8"/>
      <c r="M132" s="8"/>
      <c r="N132" s="11" t="s">
        <v>32</v>
      </c>
      <c r="O132" s="11" t="s">
        <v>485</v>
      </c>
      <c r="P132" s="4">
        <v>1</v>
      </c>
      <c r="Q132" s="4" t="str">
        <f t="shared" si="3"/>
        <v>public const int gem_wisdom = 20134;</v>
      </c>
      <c r="R132" s="44" t="s">
        <v>486</v>
      </c>
    </row>
    <row r="133" spans="1:18" x14ac:dyDescent="0.15">
      <c r="A133" s="23" t="s">
        <v>488</v>
      </c>
      <c r="B133" s="4">
        <v>20135</v>
      </c>
      <c r="C133" s="14">
        <v>250</v>
      </c>
      <c r="D133" s="6">
        <v>0</v>
      </c>
      <c r="E133" s="14">
        <v>1</v>
      </c>
      <c r="F133" s="14">
        <v>0</v>
      </c>
      <c r="G133" s="38"/>
      <c r="H133" s="19" t="s">
        <v>489</v>
      </c>
      <c r="I133" s="27"/>
      <c r="J133" s="27"/>
      <c r="K133" s="27" t="s">
        <v>602</v>
      </c>
      <c r="L133" s="11"/>
      <c r="M133" s="8"/>
      <c r="N133" s="11" t="s">
        <v>47</v>
      </c>
      <c r="O133" s="11" t="s">
        <v>28</v>
      </c>
      <c r="P133" s="4">
        <v>100</v>
      </c>
      <c r="Q133" s="4" t="str">
        <f t="shared" ref="Q133:Q139" si="5">CONCATENATE("public const int ",A133," = ",B133,";")</f>
        <v>public const int wine_mead = 20135;</v>
      </c>
      <c r="R133" s="44" t="s">
        <v>490</v>
      </c>
    </row>
    <row r="134" spans="1:18" x14ac:dyDescent="0.15">
      <c r="A134" s="10" t="s">
        <v>492</v>
      </c>
      <c r="B134" s="4">
        <v>20136</v>
      </c>
      <c r="C134" s="3">
        <v>171</v>
      </c>
      <c r="D134" s="6">
        <v>0</v>
      </c>
      <c r="E134" s="3">
        <v>1</v>
      </c>
      <c r="F134" s="14">
        <v>1</v>
      </c>
      <c r="G134" s="7"/>
      <c r="H134" s="19" t="s">
        <v>494</v>
      </c>
      <c r="I134" s="30"/>
      <c r="J134" s="30"/>
      <c r="K134" s="30"/>
      <c r="L134" s="11" t="s">
        <v>495</v>
      </c>
      <c r="M134" s="8"/>
      <c r="N134" s="11" t="s">
        <v>496</v>
      </c>
      <c r="O134" s="11" t="s">
        <v>496</v>
      </c>
      <c r="P134" s="4">
        <v>100</v>
      </c>
      <c r="Q134" s="4" t="str">
        <f t="shared" si="5"/>
        <v>public const int veterinary_drugs = 20136;</v>
      </c>
      <c r="R134" s="44" t="s">
        <v>497</v>
      </c>
    </row>
    <row r="135" spans="1:18" x14ac:dyDescent="0.15">
      <c r="A135" s="7" t="s">
        <v>498</v>
      </c>
      <c r="B135" s="4">
        <v>20137</v>
      </c>
      <c r="C135" s="3">
        <v>172</v>
      </c>
      <c r="D135" s="6">
        <v>3</v>
      </c>
      <c r="E135" s="3">
        <v>0</v>
      </c>
      <c r="F135" s="14">
        <v>0</v>
      </c>
      <c r="G135" s="7"/>
      <c r="H135" s="17" t="s">
        <v>499</v>
      </c>
      <c r="I135" s="30"/>
      <c r="J135" s="30"/>
      <c r="K135" s="30"/>
      <c r="L135" s="11" t="s">
        <v>500</v>
      </c>
      <c r="M135" s="8"/>
      <c r="N135" s="11" t="s">
        <v>501</v>
      </c>
      <c r="O135" s="11" t="s">
        <v>501</v>
      </c>
      <c r="P135" s="4">
        <v>100</v>
      </c>
      <c r="Q135" s="4" t="str">
        <f t="shared" si="5"/>
        <v>public const int monster_material = 20137;</v>
      </c>
      <c r="R135" s="44" t="s">
        <v>502</v>
      </c>
    </row>
    <row r="136" spans="1:18" x14ac:dyDescent="0.15">
      <c r="A136" s="23" t="s">
        <v>509</v>
      </c>
      <c r="B136" s="4">
        <v>20138</v>
      </c>
      <c r="C136" s="3">
        <v>9998</v>
      </c>
      <c r="D136" s="6">
        <v>0</v>
      </c>
      <c r="E136" s="3">
        <v>1</v>
      </c>
      <c r="F136" s="14">
        <v>0</v>
      </c>
      <c r="G136" s="7"/>
      <c r="H136" s="19" t="s">
        <v>506</v>
      </c>
      <c r="I136" s="30"/>
      <c r="J136" s="30"/>
      <c r="K136" s="30" t="s">
        <v>603</v>
      </c>
      <c r="L136" s="8"/>
      <c r="M136" s="8"/>
      <c r="N136" s="11" t="s">
        <v>32</v>
      </c>
      <c r="O136" s="11" t="s">
        <v>32</v>
      </c>
      <c r="P136" s="4">
        <v>100</v>
      </c>
      <c r="Q136" s="4" t="str">
        <f t="shared" si="5"/>
        <v>public const int slime_gel = 20138;</v>
      </c>
      <c r="R136" s="16" t="s">
        <v>510</v>
      </c>
    </row>
    <row r="137" spans="1:18" x14ac:dyDescent="0.15">
      <c r="A137" s="23" t="s">
        <v>508</v>
      </c>
      <c r="B137" s="4">
        <v>20139</v>
      </c>
      <c r="C137" s="3">
        <v>9999</v>
      </c>
      <c r="D137" s="6">
        <v>0</v>
      </c>
      <c r="E137" s="3">
        <v>1</v>
      </c>
      <c r="F137" s="14">
        <v>0</v>
      </c>
      <c r="G137" s="7"/>
      <c r="H137" s="19" t="s">
        <v>507</v>
      </c>
      <c r="I137" s="30"/>
      <c r="J137" s="30"/>
      <c r="K137" s="30" t="s">
        <v>604</v>
      </c>
      <c r="L137" s="8"/>
      <c r="M137" s="8"/>
      <c r="N137" s="11" t="s">
        <v>32</v>
      </c>
      <c r="O137" s="11" t="s">
        <v>32</v>
      </c>
      <c r="P137" s="4">
        <v>100</v>
      </c>
      <c r="Q137" s="4" t="str">
        <f t="shared" si="5"/>
        <v>public const int ant_glue = 20139;</v>
      </c>
      <c r="R137" s="16" t="s">
        <v>605</v>
      </c>
    </row>
    <row r="138" spans="1:18" x14ac:dyDescent="0.15">
      <c r="A138" s="23" t="s">
        <v>610</v>
      </c>
      <c r="B138" s="4">
        <v>20140</v>
      </c>
      <c r="C138" s="3">
        <v>161</v>
      </c>
      <c r="D138" s="6">
        <v>0</v>
      </c>
      <c r="E138" s="3">
        <v>1</v>
      </c>
      <c r="F138" s="14">
        <v>0</v>
      </c>
      <c r="G138" s="7"/>
      <c r="H138" s="19" t="s">
        <v>609</v>
      </c>
      <c r="I138" s="30"/>
      <c r="J138" s="30"/>
      <c r="K138" s="27" t="s">
        <v>606</v>
      </c>
      <c r="L138" s="8"/>
      <c r="M138" s="8"/>
      <c r="N138" s="11" t="s">
        <v>32</v>
      </c>
      <c r="O138" s="11" t="s">
        <v>28</v>
      </c>
      <c r="P138" s="4">
        <v>1000</v>
      </c>
      <c r="Q138" s="4" t="str">
        <f t="shared" si="5"/>
        <v>public const int life_fruit = 20140;</v>
      </c>
      <c r="R138" s="16" t="s">
        <v>612</v>
      </c>
    </row>
    <row r="139" spans="1:18" x14ac:dyDescent="0.15">
      <c r="A139" s="23" t="s">
        <v>611</v>
      </c>
      <c r="B139" s="4">
        <v>20141</v>
      </c>
      <c r="C139" s="3">
        <v>162</v>
      </c>
      <c r="D139" s="6">
        <v>0</v>
      </c>
      <c r="E139" s="3">
        <v>1</v>
      </c>
      <c r="F139" s="14">
        <v>0</v>
      </c>
      <c r="G139" s="7"/>
      <c r="H139" s="19" t="s">
        <v>608</v>
      </c>
      <c r="I139" s="30"/>
      <c r="J139" s="30"/>
      <c r="K139" s="27" t="s">
        <v>607</v>
      </c>
      <c r="L139" s="8"/>
      <c r="M139" s="8"/>
      <c r="N139" s="11" t="s">
        <v>32</v>
      </c>
      <c r="O139" s="11" t="s">
        <v>28</v>
      </c>
      <c r="P139" s="4">
        <v>1000</v>
      </c>
      <c r="Q139" s="4" t="str">
        <f t="shared" si="5"/>
        <v>public const int forget_worry_fruit = 20141;</v>
      </c>
      <c r="R139" s="16" t="s">
        <v>613</v>
      </c>
    </row>
    <row r="140" spans="1:18" x14ac:dyDescent="0.15">
      <c r="A140" s="10" t="s">
        <v>615</v>
      </c>
      <c r="B140" s="4">
        <v>20142</v>
      </c>
      <c r="C140" s="14">
        <v>510</v>
      </c>
      <c r="D140" s="6">
        <v>0</v>
      </c>
      <c r="E140" s="14">
        <v>1</v>
      </c>
      <c r="F140" s="14">
        <v>0</v>
      </c>
      <c r="G140" s="10"/>
      <c r="H140" s="19" t="s">
        <v>616</v>
      </c>
      <c r="I140" s="27"/>
      <c r="J140" s="27"/>
      <c r="K140" s="27" t="s">
        <v>617</v>
      </c>
      <c r="L140" s="8"/>
      <c r="M140" s="8"/>
      <c r="N140" s="11" t="s">
        <v>26</v>
      </c>
      <c r="O140" s="11" t="s">
        <v>26</v>
      </c>
      <c r="P140" s="4">
        <v>30</v>
      </c>
      <c r="Q140" s="4" t="str">
        <f t="shared" ref="Q140:Q141" si="6">CONCATENATE("public const int ",A140," = ",B140,";")</f>
        <v>public const int beautifying_dan = 20142;</v>
      </c>
      <c r="R140" s="46" t="s">
        <v>618</v>
      </c>
    </row>
    <row r="141" spans="1:18" x14ac:dyDescent="0.15">
      <c r="A141" s="7" t="s">
        <v>621</v>
      </c>
      <c r="B141" s="4">
        <v>20143</v>
      </c>
      <c r="C141" s="3">
        <v>1056</v>
      </c>
      <c r="D141" s="6">
        <v>3</v>
      </c>
      <c r="E141" s="3">
        <v>0</v>
      </c>
      <c r="F141" s="14">
        <v>0</v>
      </c>
      <c r="G141" s="7"/>
      <c r="H141" s="17" t="s">
        <v>622</v>
      </c>
      <c r="I141" s="30"/>
      <c r="J141" s="30"/>
      <c r="K141" s="30"/>
      <c r="L141" s="8" t="s">
        <v>623</v>
      </c>
      <c r="M141" s="8"/>
      <c r="N141" s="8" t="s">
        <v>624</v>
      </c>
      <c r="O141" s="8" t="s">
        <v>624</v>
      </c>
      <c r="P141" s="4">
        <v>10000</v>
      </c>
      <c r="Q141" s="4" t="str">
        <f t="shared" si="6"/>
        <v>public const int flower = 20143;</v>
      </c>
      <c r="R141" s="46" t="s">
        <v>625</v>
      </c>
    </row>
  </sheetData>
  <autoFilter ref="D1:D131" xr:uid="{00000000-0001-0000-0000-000000000000}"/>
  <sortState xmlns:xlrd2="http://schemas.microsoft.com/office/spreadsheetml/2017/richdata2" ref="A3:R141">
    <sortCondition ref="B1:B14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2026-02-06T02:28:06Z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2052-11.1.0.10577</vt:lpwstr>
  </property>
</Properties>
</file>