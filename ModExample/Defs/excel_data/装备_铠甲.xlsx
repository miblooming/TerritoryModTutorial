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A8848C98-15B6-43DA-A9E1-61A39DA7AEB8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rmor" sheetId="1" r:id="rId1"/>
  </sheets>
  <calcPr calcId="181029"/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3" i="1"/>
  <c r="O4" i="1"/>
  <c r="O5" i="1"/>
  <c r="O6" i="1"/>
  <c r="O7" i="1"/>
  <c r="O8" i="1"/>
  <c r="O9" i="1"/>
  <c r="O10" i="1"/>
  <c r="O11" i="1"/>
  <c r="O3" i="1"/>
  <c r="W4" i="1" l="1"/>
  <c r="W5" i="1" s="1"/>
  <c r="V4" i="1"/>
  <c r="V5" i="1" s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V13" i="1"/>
  <c r="V22" i="1" s="1"/>
  <c r="V31" i="1" s="1"/>
  <c r="V40" i="1" s="1"/>
  <c r="V49" i="1" s="1"/>
  <c r="V58" i="1" s="1"/>
  <c r="V67" i="1" s="1"/>
  <c r="V76" i="1" s="1"/>
  <c r="V85" i="1" s="1"/>
  <c r="V94" i="1" s="1"/>
  <c r="V103" i="1" s="1"/>
  <c r="V112" i="1" s="1"/>
  <c r="W13" i="1"/>
  <c r="W22" i="1" s="1"/>
  <c r="W31" i="1" s="1"/>
  <c r="W40" i="1" s="1"/>
  <c r="W49" i="1" s="1"/>
  <c r="W58" i="1" s="1"/>
  <c r="W67" i="1" s="1"/>
  <c r="W76" i="1" s="1"/>
  <c r="W85" i="1" s="1"/>
  <c r="W94" i="1" s="1"/>
  <c r="W103" i="1" s="1"/>
  <c r="W112" i="1" s="1"/>
  <c r="V12" i="1"/>
  <c r="V21" i="1" s="1"/>
  <c r="V30" i="1" s="1"/>
  <c r="V39" i="1" s="1"/>
  <c r="V48" i="1" s="1"/>
  <c r="V57" i="1" s="1"/>
  <c r="V66" i="1" s="1"/>
  <c r="V75" i="1" s="1"/>
  <c r="V84" i="1" s="1"/>
  <c r="V93" i="1" s="1"/>
  <c r="V102" i="1" s="1"/>
  <c r="V111" i="1" s="1"/>
  <c r="W12" i="1"/>
  <c r="W21" i="1" s="1"/>
  <c r="W30" i="1" s="1"/>
  <c r="W39" i="1" s="1"/>
  <c r="W48" i="1" s="1"/>
  <c r="W57" i="1" s="1"/>
  <c r="W66" i="1" s="1"/>
  <c r="W75" i="1" s="1"/>
  <c r="W84" i="1" s="1"/>
  <c r="W93" i="1" s="1"/>
  <c r="W102" i="1" s="1"/>
  <c r="W111" i="1" s="1"/>
  <c r="W6" i="1" l="1"/>
  <c r="W14" i="1"/>
  <c r="W23" i="1" s="1"/>
  <c r="W32" i="1" s="1"/>
  <c r="W41" i="1" s="1"/>
  <c r="W50" i="1" s="1"/>
  <c r="W59" i="1" s="1"/>
  <c r="W68" i="1" s="1"/>
  <c r="W77" i="1" s="1"/>
  <c r="W86" i="1" s="1"/>
  <c r="W95" i="1" s="1"/>
  <c r="W104" i="1" s="1"/>
  <c r="W113" i="1" s="1"/>
  <c r="V6" i="1"/>
  <c r="V14" i="1"/>
  <c r="V23" i="1" s="1"/>
  <c r="V32" i="1" s="1"/>
  <c r="V41" i="1" s="1"/>
  <c r="V50" i="1" s="1"/>
  <c r="V59" i="1" s="1"/>
  <c r="V68" i="1" s="1"/>
  <c r="V77" i="1" s="1"/>
  <c r="V86" i="1" s="1"/>
  <c r="V95" i="1" s="1"/>
  <c r="V104" i="1" s="1"/>
  <c r="V113" i="1" s="1"/>
  <c r="W7" i="1"/>
  <c r="W15" i="1"/>
  <c r="W24" i="1" s="1"/>
  <c r="W33" i="1" s="1"/>
  <c r="W42" i="1" s="1"/>
  <c r="W51" i="1" s="1"/>
  <c r="W60" i="1" s="1"/>
  <c r="W69" i="1" s="1"/>
  <c r="W78" i="1" s="1"/>
  <c r="W87" i="1" s="1"/>
  <c r="W96" i="1" s="1"/>
  <c r="W105" i="1" s="1"/>
  <c r="W114" i="1" s="1"/>
  <c r="C13" i="1"/>
  <c r="O13" i="1" s="1"/>
  <c r="C14" i="1"/>
  <c r="O14" i="1" s="1"/>
  <c r="C15" i="1"/>
  <c r="O15" i="1" s="1"/>
  <c r="C16" i="1"/>
  <c r="O16" i="1" s="1"/>
  <c r="C17" i="1"/>
  <c r="O17" i="1" s="1"/>
  <c r="C18" i="1"/>
  <c r="O18" i="1" s="1"/>
  <c r="C19" i="1"/>
  <c r="O19" i="1" s="1"/>
  <c r="C20" i="1"/>
  <c r="O20" i="1" s="1"/>
  <c r="C12" i="1"/>
  <c r="O12" i="1" s="1"/>
  <c r="V15" i="1" l="1"/>
  <c r="V24" i="1" s="1"/>
  <c r="V33" i="1" s="1"/>
  <c r="V42" i="1" s="1"/>
  <c r="V51" i="1" s="1"/>
  <c r="V60" i="1" s="1"/>
  <c r="V69" i="1" s="1"/>
  <c r="V78" i="1" s="1"/>
  <c r="V87" i="1" s="1"/>
  <c r="V96" i="1" s="1"/>
  <c r="V105" i="1" s="1"/>
  <c r="V114" i="1" s="1"/>
  <c r="V7" i="1"/>
  <c r="W16" i="1"/>
  <c r="W25" i="1" s="1"/>
  <c r="W34" i="1" s="1"/>
  <c r="W43" i="1" s="1"/>
  <c r="W52" i="1" s="1"/>
  <c r="W61" i="1" s="1"/>
  <c r="W70" i="1" s="1"/>
  <c r="W79" i="1" s="1"/>
  <c r="W88" i="1" s="1"/>
  <c r="W97" i="1" s="1"/>
  <c r="W106" i="1" s="1"/>
  <c r="W115" i="1" s="1"/>
  <c r="W8" i="1"/>
  <c r="C27" i="1"/>
  <c r="O27" i="1" s="1"/>
  <c r="C21" i="1"/>
  <c r="O21" i="1" s="1"/>
  <c r="C22" i="1"/>
  <c r="O22" i="1" s="1"/>
  <c r="C23" i="1"/>
  <c r="O23" i="1" s="1"/>
  <c r="C24" i="1"/>
  <c r="O24" i="1" s="1"/>
  <c r="C25" i="1"/>
  <c r="O25" i="1" s="1"/>
  <c r="C26" i="1"/>
  <c r="O26" i="1" s="1"/>
  <c r="C28" i="1"/>
  <c r="O28" i="1" s="1"/>
  <c r="C29" i="1"/>
  <c r="O29" i="1" s="1"/>
  <c r="C32" i="1"/>
  <c r="O32" i="1" s="1"/>
  <c r="L74" i="1"/>
  <c r="L73" i="1"/>
  <c r="L72" i="1"/>
  <c r="L71" i="1"/>
  <c r="L70" i="1"/>
  <c r="L69" i="1"/>
  <c r="L68" i="1"/>
  <c r="L67" i="1"/>
  <c r="L66" i="1"/>
  <c r="C35" i="1" l="1"/>
  <c r="O35" i="1" s="1"/>
  <c r="C36" i="1"/>
  <c r="O36" i="1" s="1"/>
  <c r="C30" i="1"/>
  <c r="O30" i="1" s="1"/>
  <c r="C31" i="1"/>
  <c r="O31" i="1" s="1"/>
  <c r="V8" i="1"/>
  <c r="V16" i="1"/>
  <c r="V25" i="1" s="1"/>
  <c r="V34" i="1" s="1"/>
  <c r="V43" i="1" s="1"/>
  <c r="V52" i="1" s="1"/>
  <c r="V61" i="1" s="1"/>
  <c r="V70" i="1" s="1"/>
  <c r="V79" i="1" s="1"/>
  <c r="V88" i="1" s="1"/>
  <c r="V97" i="1" s="1"/>
  <c r="V106" i="1" s="1"/>
  <c r="V115" i="1" s="1"/>
  <c r="W17" i="1"/>
  <c r="W26" i="1" s="1"/>
  <c r="W35" i="1" s="1"/>
  <c r="W44" i="1" s="1"/>
  <c r="W53" i="1" s="1"/>
  <c r="W62" i="1" s="1"/>
  <c r="W71" i="1" s="1"/>
  <c r="W80" i="1" s="1"/>
  <c r="W89" i="1" s="1"/>
  <c r="W98" i="1" s="1"/>
  <c r="W107" i="1" s="1"/>
  <c r="W116" i="1" s="1"/>
  <c r="W9" i="1"/>
  <c r="C37" i="1"/>
  <c r="O37" i="1" s="1"/>
  <c r="C34" i="1"/>
  <c r="O34" i="1" s="1"/>
  <c r="C33" i="1"/>
  <c r="O33" i="1" s="1"/>
  <c r="C40" i="1"/>
  <c r="O40" i="1" s="1"/>
  <c r="C41" i="1"/>
  <c r="O41" i="1" s="1"/>
  <c r="C38" i="1"/>
  <c r="O38" i="1" s="1"/>
  <c r="C44" i="1"/>
  <c r="O44" i="1" s="1"/>
  <c r="C43" i="1"/>
  <c r="O43" i="1" s="1"/>
  <c r="C39" i="1"/>
  <c r="O39" i="1" s="1"/>
  <c r="C45" i="1"/>
  <c r="O45" i="1" s="1"/>
  <c r="C46" i="1" l="1"/>
  <c r="O46" i="1" s="1"/>
  <c r="V17" i="1"/>
  <c r="V26" i="1" s="1"/>
  <c r="V35" i="1" s="1"/>
  <c r="V44" i="1" s="1"/>
  <c r="V53" i="1" s="1"/>
  <c r="V62" i="1" s="1"/>
  <c r="V71" i="1" s="1"/>
  <c r="V80" i="1" s="1"/>
  <c r="V89" i="1" s="1"/>
  <c r="V98" i="1" s="1"/>
  <c r="V107" i="1" s="1"/>
  <c r="V116" i="1" s="1"/>
  <c r="V9" i="1"/>
  <c r="W10" i="1"/>
  <c r="W18" i="1"/>
  <c r="W27" i="1" s="1"/>
  <c r="W36" i="1" s="1"/>
  <c r="W45" i="1" s="1"/>
  <c r="W54" i="1" s="1"/>
  <c r="W63" i="1" s="1"/>
  <c r="W72" i="1" s="1"/>
  <c r="W81" i="1" s="1"/>
  <c r="W90" i="1" s="1"/>
  <c r="W99" i="1" s="1"/>
  <c r="W108" i="1" s="1"/>
  <c r="W117" i="1" s="1"/>
  <c r="C42" i="1"/>
  <c r="O42" i="1" s="1"/>
  <c r="C52" i="1"/>
  <c r="O52" i="1" s="1"/>
  <c r="C48" i="1"/>
  <c r="O48" i="1" s="1"/>
  <c r="C47" i="1"/>
  <c r="O47" i="1" s="1"/>
  <c r="C55" i="1"/>
  <c r="O55" i="1" s="1"/>
  <c r="C53" i="1"/>
  <c r="O53" i="1" s="1"/>
  <c r="C50" i="1"/>
  <c r="O50" i="1" s="1"/>
  <c r="C54" i="1"/>
  <c r="O54" i="1" s="1"/>
  <c r="C49" i="1"/>
  <c r="O49" i="1" s="1"/>
  <c r="K13" i="1"/>
  <c r="K14" i="1"/>
  <c r="K15" i="1"/>
  <c r="K16" i="1"/>
  <c r="K25" i="1" s="1"/>
  <c r="K17" i="1"/>
  <c r="K18" i="1"/>
  <c r="K27" i="1" s="1"/>
  <c r="K36" i="1" s="1"/>
  <c r="K19" i="1"/>
  <c r="K28" i="1" s="1"/>
  <c r="K20" i="1"/>
  <c r="K12" i="1"/>
  <c r="K21" i="1" s="1"/>
  <c r="K30" i="1" s="1"/>
  <c r="C51" i="1" l="1"/>
  <c r="O51" i="1" s="1"/>
  <c r="V18" i="1"/>
  <c r="V27" i="1" s="1"/>
  <c r="V36" i="1" s="1"/>
  <c r="V45" i="1" s="1"/>
  <c r="V54" i="1" s="1"/>
  <c r="V63" i="1" s="1"/>
  <c r="V72" i="1" s="1"/>
  <c r="V81" i="1" s="1"/>
  <c r="V90" i="1" s="1"/>
  <c r="V99" i="1" s="1"/>
  <c r="V108" i="1" s="1"/>
  <c r="V117" i="1" s="1"/>
  <c r="V10" i="1"/>
  <c r="W11" i="1"/>
  <c r="W20" i="1" s="1"/>
  <c r="W29" i="1" s="1"/>
  <c r="W38" i="1" s="1"/>
  <c r="W47" i="1" s="1"/>
  <c r="W56" i="1" s="1"/>
  <c r="W65" i="1" s="1"/>
  <c r="W74" i="1" s="1"/>
  <c r="W83" i="1" s="1"/>
  <c r="W92" i="1" s="1"/>
  <c r="W101" i="1" s="1"/>
  <c r="W110" i="1" s="1"/>
  <c r="W119" i="1" s="1"/>
  <c r="W19" i="1"/>
  <c r="W28" i="1" s="1"/>
  <c r="W37" i="1" s="1"/>
  <c r="W46" i="1" s="1"/>
  <c r="W55" i="1" s="1"/>
  <c r="W64" i="1" s="1"/>
  <c r="W73" i="1" s="1"/>
  <c r="W82" i="1" s="1"/>
  <c r="W91" i="1" s="1"/>
  <c r="W100" i="1" s="1"/>
  <c r="W109" i="1" s="1"/>
  <c r="W118" i="1" s="1"/>
  <c r="C63" i="1"/>
  <c r="O63" i="1" s="1"/>
  <c r="C59" i="1"/>
  <c r="O59" i="1" s="1"/>
  <c r="C60" i="1"/>
  <c r="O60" i="1" s="1"/>
  <c r="C62" i="1"/>
  <c r="O62" i="1" s="1"/>
  <c r="C64" i="1"/>
  <c r="O64" i="1" s="1"/>
  <c r="C56" i="1"/>
  <c r="O56" i="1" s="1"/>
  <c r="C57" i="1"/>
  <c r="O57" i="1" s="1"/>
  <c r="C58" i="1"/>
  <c r="O58" i="1" s="1"/>
  <c r="C61" i="1"/>
  <c r="O61" i="1" s="1"/>
  <c r="K45" i="1"/>
  <c r="K39" i="1"/>
  <c r="K37" i="1"/>
  <c r="K34" i="1"/>
  <c r="K23" i="1"/>
  <c r="K26" i="1"/>
  <c r="K24" i="1"/>
  <c r="K22" i="1"/>
  <c r="K29" i="1"/>
  <c r="L65" i="1"/>
  <c r="L64" i="1"/>
  <c r="L63" i="1"/>
  <c r="L62" i="1"/>
  <c r="L61" i="1"/>
  <c r="L60" i="1"/>
  <c r="L59" i="1"/>
  <c r="L58" i="1"/>
  <c r="L57" i="1"/>
  <c r="L55" i="1"/>
  <c r="L53" i="1"/>
  <c r="L52" i="1"/>
  <c r="L50" i="1"/>
  <c r="L56" i="1"/>
  <c r="L54" i="1"/>
  <c r="L51" i="1"/>
  <c r="L49" i="1"/>
  <c r="L48" i="1"/>
  <c r="L47" i="1"/>
  <c r="L46" i="1"/>
  <c r="L45" i="1"/>
  <c r="L44" i="1"/>
  <c r="L43" i="1"/>
  <c r="L42" i="1"/>
  <c r="L41" i="1"/>
  <c r="L40" i="1"/>
  <c r="L39" i="1"/>
  <c r="L4" i="1"/>
  <c r="U4" i="1" s="1"/>
  <c r="L5" i="1"/>
  <c r="U5" i="1" s="1"/>
  <c r="L6" i="1"/>
  <c r="U6" i="1" s="1"/>
  <c r="L7" i="1"/>
  <c r="U7" i="1" s="1"/>
  <c r="L8" i="1"/>
  <c r="U8" i="1" s="1"/>
  <c r="L9" i="1"/>
  <c r="U9" i="1" s="1"/>
  <c r="L10" i="1"/>
  <c r="U10" i="1" s="1"/>
  <c r="L11" i="1"/>
  <c r="U11" i="1" s="1"/>
  <c r="L12" i="1"/>
  <c r="U12" i="1" s="1"/>
  <c r="L13" i="1"/>
  <c r="U13" i="1" s="1"/>
  <c r="L14" i="1"/>
  <c r="U14" i="1" s="1"/>
  <c r="L15" i="1"/>
  <c r="U15" i="1" s="1"/>
  <c r="L16" i="1"/>
  <c r="U16" i="1" s="1"/>
  <c r="L17" i="1"/>
  <c r="U17" i="1" s="1"/>
  <c r="L18" i="1"/>
  <c r="U18" i="1" s="1"/>
  <c r="L19" i="1"/>
  <c r="U19" i="1" s="1"/>
  <c r="L20" i="1"/>
  <c r="U20" i="1" s="1"/>
  <c r="L21" i="1"/>
  <c r="U21" i="1" s="1"/>
  <c r="L22" i="1"/>
  <c r="L23" i="1"/>
  <c r="L24" i="1"/>
  <c r="L25" i="1"/>
  <c r="U25" i="1" s="1"/>
  <c r="L26" i="1"/>
  <c r="L27" i="1"/>
  <c r="U27" i="1" s="1"/>
  <c r="L28" i="1"/>
  <c r="U28" i="1" s="1"/>
  <c r="L29" i="1"/>
  <c r="L30" i="1"/>
  <c r="U30" i="1" s="1"/>
  <c r="L31" i="1"/>
  <c r="L32" i="1"/>
  <c r="L33" i="1"/>
  <c r="L34" i="1"/>
  <c r="L35" i="1"/>
  <c r="L36" i="1"/>
  <c r="U36" i="1" s="1"/>
  <c r="L37" i="1"/>
  <c r="L38" i="1"/>
  <c r="L3" i="1"/>
  <c r="U3" i="1" s="1"/>
  <c r="V11" i="1" l="1"/>
  <c r="V20" i="1" s="1"/>
  <c r="V29" i="1" s="1"/>
  <c r="V38" i="1" s="1"/>
  <c r="V47" i="1" s="1"/>
  <c r="V56" i="1" s="1"/>
  <c r="V65" i="1" s="1"/>
  <c r="V74" i="1" s="1"/>
  <c r="V83" i="1" s="1"/>
  <c r="V92" i="1" s="1"/>
  <c r="V101" i="1" s="1"/>
  <c r="V110" i="1" s="1"/>
  <c r="V119" i="1" s="1"/>
  <c r="V19" i="1"/>
  <c r="V28" i="1" s="1"/>
  <c r="V37" i="1" s="1"/>
  <c r="V46" i="1" s="1"/>
  <c r="V55" i="1" s="1"/>
  <c r="V64" i="1" s="1"/>
  <c r="V73" i="1" s="1"/>
  <c r="V82" i="1" s="1"/>
  <c r="V91" i="1" s="1"/>
  <c r="V100" i="1" s="1"/>
  <c r="V109" i="1" s="1"/>
  <c r="V118" i="1" s="1"/>
  <c r="C67" i="1"/>
  <c r="O67" i="1" s="1"/>
  <c r="C69" i="1"/>
  <c r="O69" i="1" s="1"/>
  <c r="C66" i="1"/>
  <c r="O66" i="1" s="1"/>
  <c r="C70" i="1"/>
  <c r="O70" i="1" s="1"/>
  <c r="C68" i="1"/>
  <c r="O68" i="1" s="1"/>
  <c r="C73" i="1"/>
  <c r="O73" i="1" s="1"/>
  <c r="C71" i="1"/>
  <c r="O71" i="1" s="1"/>
  <c r="C65" i="1"/>
  <c r="O65" i="1" s="1"/>
  <c r="C72" i="1"/>
  <c r="O72" i="1" s="1"/>
  <c r="K38" i="1"/>
  <c r="U29" i="1"/>
  <c r="K31" i="1"/>
  <c r="U22" i="1"/>
  <c r="U23" i="1"/>
  <c r="K32" i="1"/>
  <c r="K43" i="1"/>
  <c r="U34" i="1"/>
  <c r="K46" i="1"/>
  <c r="U37" i="1"/>
  <c r="U24" i="1"/>
  <c r="K33" i="1"/>
  <c r="K35" i="1"/>
  <c r="U26" i="1"/>
  <c r="K48" i="1"/>
  <c r="U39" i="1"/>
  <c r="K54" i="1"/>
  <c r="U45" i="1"/>
  <c r="C75" i="1" l="1"/>
  <c r="O75" i="1" s="1"/>
  <c r="C78" i="1"/>
  <c r="O78" i="1" s="1"/>
  <c r="C76" i="1"/>
  <c r="O76" i="1" s="1"/>
  <c r="C81" i="1"/>
  <c r="O81" i="1" s="1"/>
  <c r="C80" i="1"/>
  <c r="O80" i="1" s="1"/>
  <c r="C82" i="1"/>
  <c r="O82" i="1" s="1"/>
  <c r="C77" i="1"/>
  <c r="O77" i="1" s="1"/>
  <c r="C79" i="1"/>
  <c r="O79" i="1" s="1"/>
  <c r="C74" i="1"/>
  <c r="O74" i="1" s="1"/>
  <c r="K57" i="1"/>
  <c r="U48" i="1"/>
  <c r="K44" i="1"/>
  <c r="U35" i="1"/>
  <c r="K52" i="1"/>
  <c r="U43" i="1"/>
  <c r="U32" i="1"/>
  <c r="K41" i="1"/>
  <c r="K40" i="1"/>
  <c r="U31" i="1"/>
  <c r="K42" i="1"/>
  <c r="U33" i="1"/>
  <c r="K55" i="1"/>
  <c r="U46" i="1"/>
  <c r="K63" i="1"/>
  <c r="U54" i="1"/>
  <c r="K47" i="1"/>
  <c r="U38" i="1"/>
  <c r="C85" i="1" l="1"/>
  <c r="O85" i="1" s="1"/>
  <c r="C87" i="1"/>
  <c r="O87" i="1" s="1"/>
  <c r="C84" i="1"/>
  <c r="O84" i="1" s="1"/>
  <c r="C83" i="1"/>
  <c r="O83" i="1" s="1"/>
  <c r="C88" i="1"/>
  <c r="O88" i="1" s="1"/>
  <c r="C86" i="1"/>
  <c r="O86" i="1" s="1"/>
  <c r="C91" i="1"/>
  <c r="O91" i="1" s="1"/>
  <c r="C89" i="1"/>
  <c r="O89" i="1" s="1"/>
  <c r="C90" i="1"/>
  <c r="O90" i="1" s="1"/>
  <c r="K72" i="1"/>
  <c r="U63" i="1"/>
  <c r="K64" i="1"/>
  <c r="U55" i="1"/>
  <c r="K51" i="1"/>
  <c r="U42" i="1"/>
  <c r="K49" i="1"/>
  <c r="U40" i="1"/>
  <c r="K50" i="1"/>
  <c r="U41" i="1"/>
  <c r="K53" i="1"/>
  <c r="U44" i="1"/>
  <c r="K61" i="1"/>
  <c r="U52" i="1"/>
  <c r="K56" i="1"/>
  <c r="U47" i="1"/>
  <c r="K66" i="1"/>
  <c r="U57" i="1"/>
  <c r="U72" i="1" l="1"/>
  <c r="K81" i="1"/>
  <c r="K90" i="1" s="1"/>
  <c r="K99" i="1" s="1"/>
  <c r="K108" i="1" s="1"/>
  <c r="K117" i="1" s="1"/>
  <c r="U90" i="1"/>
  <c r="C99" i="1"/>
  <c r="O99" i="1" s="1"/>
  <c r="C98" i="1"/>
  <c r="O98" i="1" s="1"/>
  <c r="U66" i="1"/>
  <c r="K75" i="1"/>
  <c r="K84" i="1" s="1"/>
  <c r="K93" i="1" s="1"/>
  <c r="K102" i="1" s="1"/>
  <c r="K111" i="1" s="1"/>
  <c r="C95" i="1"/>
  <c r="O95" i="1" s="1"/>
  <c r="C92" i="1"/>
  <c r="O92" i="1" s="1"/>
  <c r="U75" i="1"/>
  <c r="U84" i="1"/>
  <c r="C93" i="1"/>
  <c r="O93" i="1" s="1"/>
  <c r="C96" i="1"/>
  <c r="O96" i="1" s="1"/>
  <c r="U81" i="1"/>
  <c r="C100" i="1"/>
  <c r="O100" i="1" s="1"/>
  <c r="C97" i="1"/>
  <c r="O97" i="1" s="1"/>
  <c r="C94" i="1"/>
  <c r="O94" i="1" s="1"/>
  <c r="K70" i="1"/>
  <c r="U61" i="1"/>
  <c r="K65" i="1"/>
  <c r="U56" i="1"/>
  <c r="K59" i="1"/>
  <c r="U50" i="1"/>
  <c r="K62" i="1"/>
  <c r="U53" i="1"/>
  <c r="K58" i="1"/>
  <c r="U49" i="1"/>
  <c r="K60" i="1"/>
  <c r="U51" i="1"/>
  <c r="K73" i="1"/>
  <c r="U64" i="1"/>
  <c r="C105" i="1" l="1"/>
  <c r="O105" i="1" s="1"/>
  <c r="U93" i="1"/>
  <c r="C102" i="1"/>
  <c r="O102" i="1" s="1"/>
  <c r="U70" i="1"/>
  <c r="K79" i="1"/>
  <c r="C107" i="1"/>
  <c r="O107" i="1" s="1"/>
  <c r="C109" i="1"/>
  <c r="O109" i="1" s="1"/>
  <c r="U99" i="1"/>
  <c r="C108" i="1"/>
  <c r="O108" i="1" s="1"/>
  <c r="C101" i="1"/>
  <c r="O101" i="1" s="1"/>
  <c r="C104" i="1"/>
  <c r="O104" i="1" s="1"/>
  <c r="C103" i="1"/>
  <c r="O103" i="1" s="1"/>
  <c r="C106" i="1"/>
  <c r="O106" i="1" s="1"/>
  <c r="U73" i="1"/>
  <c r="K82" i="1"/>
  <c r="K67" i="1"/>
  <c r="U58" i="1"/>
  <c r="K69" i="1"/>
  <c r="U60" i="1"/>
  <c r="K71" i="1"/>
  <c r="U62" i="1"/>
  <c r="K68" i="1"/>
  <c r="U59" i="1"/>
  <c r="K74" i="1"/>
  <c r="U65" i="1"/>
  <c r="C112" i="1" l="1"/>
  <c r="O112" i="1" s="1"/>
  <c r="C118" i="1"/>
  <c r="O118" i="1" s="1"/>
  <c r="C116" i="1"/>
  <c r="O116" i="1" s="1"/>
  <c r="C115" i="1"/>
  <c r="O115" i="1" s="1"/>
  <c r="U102" i="1"/>
  <c r="C111" i="1"/>
  <c r="O111" i="1" s="1"/>
  <c r="C113" i="1"/>
  <c r="O113" i="1" s="1"/>
  <c r="U108" i="1"/>
  <c r="C117" i="1"/>
  <c r="O117" i="1" s="1"/>
  <c r="C114" i="1"/>
  <c r="O114" i="1" s="1"/>
  <c r="C110" i="1"/>
  <c r="O110" i="1" s="1"/>
  <c r="U71" i="1"/>
  <c r="K80" i="1"/>
  <c r="K88" i="1"/>
  <c r="U79" i="1"/>
  <c r="U74" i="1"/>
  <c r="K83" i="1"/>
  <c r="U68" i="1"/>
  <c r="K77" i="1"/>
  <c r="U69" i="1"/>
  <c r="K78" i="1"/>
  <c r="U67" i="1"/>
  <c r="K76" i="1"/>
  <c r="K91" i="1"/>
  <c r="U82" i="1"/>
  <c r="U117" i="1" l="1"/>
  <c r="U111" i="1"/>
  <c r="C119" i="1"/>
  <c r="O119" i="1" s="1"/>
  <c r="K100" i="1"/>
  <c r="U91" i="1"/>
  <c r="K89" i="1"/>
  <c r="U80" i="1"/>
  <c r="K87" i="1"/>
  <c r="U78" i="1"/>
  <c r="K86" i="1"/>
  <c r="U77" i="1"/>
  <c r="K92" i="1"/>
  <c r="U83" i="1"/>
  <c r="K97" i="1"/>
  <c r="U88" i="1"/>
  <c r="K85" i="1"/>
  <c r="U76" i="1"/>
  <c r="K94" i="1" l="1"/>
  <c r="U85" i="1"/>
  <c r="K106" i="1"/>
  <c r="U97" i="1"/>
  <c r="K101" i="1"/>
  <c r="U92" i="1"/>
  <c r="K95" i="1"/>
  <c r="U86" i="1"/>
  <c r="K96" i="1"/>
  <c r="U87" i="1"/>
  <c r="K98" i="1"/>
  <c r="U89" i="1"/>
  <c r="K109" i="1"/>
  <c r="U100" i="1"/>
  <c r="U109" i="1" l="1"/>
  <c r="K118" i="1"/>
  <c r="U118" i="1" s="1"/>
  <c r="U106" i="1"/>
  <c r="K115" i="1"/>
  <c r="U115" i="1" s="1"/>
  <c r="K107" i="1"/>
  <c r="U98" i="1"/>
  <c r="K110" i="1"/>
  <c r="U101" i="1"/>
  <c r="K105" i="1"/>
  <c r="U96" i="1"/>
  <c r="K104" i="1"/>
  <c r="U95" i="1"/>
  <c r="K103" i="1"/>
  <c r="U94" i="1"/>
  <c r="U103" i="1" l="1"/>
  <c r="K112" i="1"/>
  <c r="U112" i="1" s="1"/>
  <c r="U104" i="1"/>
  <c r="K113" i="1"/>
  <c r="U113" i="1" s="1"/>
  <c r="U105" i="1"/>
  <c r="K114" i="1"/>
  <c r="U114" i="1" s="1"/>
  <c r="U110" i="1"/>
  <c r="K119" i="1"/>
  <c r="U119" i="1" s="1"/>
  <c r="U107" i="1"/>
  <c r="K116" i="1"/>
  <c r="U116" i="1" s="1"/>
</calcChain>
</file>

<file path=xl/sharedStrings.xml><?xml version="1.0" encoding="utf-8"?>
<sst xmlns="http://schemas.openxmlformats.org/spreadsheetml/2006/main" count="549" uniqueCount="296">
  <si>
    <t>armor_id#int</t>
    <phoneticPr fontId="1" type="noConversion"/>
  </si>
  <si>
    <t>护甲ID</t>
    <phoneticPr fontId="1" type="noConversion"/>
  </si>
  <si>
    <t>攻速影响（乘法）</t>
    <phoneticPr fontId="1" type="noConversion"/>
  </si>
  <si>
    <t>!armor_name#str</t>
    <phoneticPr fontId="1" type="noConversion"/>
  </si>
  <si>
    <t>护甲名称</t>
    <phoneticPr fontId="1" type="noConversion"/>
  </si>
  <si>
    <t>自动装备顺序</t>
    <phoneticPr fontId="1" type="noConversion"/>
  </si>
  <si>
    <t>equipping_order#int</t>
    <phoneticPr fontId="1" type="noConversion"/>
  </si>
  <si>
    <t>special_use#int</t>
    <phoneticPr fontId="1" type="noConversion"/>
  </si>
  <si>
    <t>特殊用途</t>
    <phoneticPr fontId="1" type="noConversion"/>
  </si>
  <si>
    <t>品级</t>
    <phoneticPr fontId="1" type="noConversion"/>
  </si>
  <si>
    <t>品级名称</t>
    <phoneticPr fontId="1" type="noConversion"/>
  </si>
  <si>
    <t>!armor_level_name#str</t>
    <phoneticPr fontId="1" type="noConversion"/>
  </si>
  <si>
    <t>atk_speed_effect#float</t>
    <phoneticPr fontId="1" type="noConversion"/>
  </si>
  <si>
    <t>hurt_reduction#float</t>
    <phoneticPr fontId="1" type="noConversion"/>
  </si>
  <si>
    <t>img#str</t>
    <phoneticPr fontId="1" type="noConversion"/>
  </si>
  <si>
    <t>外观图片</t>
    <phoneticPr fontId="1" type="noConversion"/>
  </si>
  <si>
    <t>预制体</t>
    <phoneticPr fontId="1" type="noConversion"/>
  </si>
  <si>
    <t>prefab#str</t>
    <phoneticPr fontId="1" type="noConversion"/>
  </si>
  <si>
    <t>hat</t>
    <phoneticPr fontId="1" type="noConversion"/>
  </si>
  <si>
    <t>hat_high</t>
    <phoneticPr fontId="1" type="noConversion"/>
  </si>
  <si>
    <t>1级皮甲</t>
    <phoneticPr fontId="1" type="noConversion"/>
  </si>
  <si>
    <t>2级皮甲</t>
  </si>
  <si>
    <t>3级皮甲</t>
  </si>
  <si>
    <t>4级皮甲</t>
  </si>
  <si>
    <t>5级皮甲</t>
  </si>
  <si>
    <t>6级皮甲</t>
  </si>
  <si>
    <t>7级皮甲</t>
  </si>
  <si>
    <t>8级皮甲</t>
  </si>
  <si>
    <t>9级皮甲</t>
  </si>
  <si>
    <t>1级鳞甲</t>
    <phoneticPr fontId="1" type="noConversion"/>
  </si>
  <si>
    <t>2级鳞甲</t>
  </si>
  <si>
    <t>3级鳞甲</t>
  </si>
  <si>
    <t>4级鳞甲</t>
  </si>
  <si>
    <t>5级鳞甲</t>
  </si>
  <si>
    <t>6级鳞甲</t>
  </si>
  <si>
    <t>7级鳞甲</t>
  </si>
  <si>
    <t>8级鳞甲</t>
  </si>
  <si>
    <t>9级鳞甲</t>
  </si>
  <si>
    <t>1级板甲</t>
    <phoneticPr fontId="1" type="noConversion"/>
  </si>
  <si>
    <t>2级板甲</t>
  </si>
  <si>
    <t>3级板甲</t>
  </si>
  <si>
    <t>4级板甲</t>
  </si>
  <si>
    <t>5级板甲</t>
  </si>
  <si>
    <t>6级板甲</t>
  </si>
  <si>
    <t>7级板甲</t>
  </si>
  <si>
    <t>8级板甲</t>
  </si>
  <si>
    <t>9级板甲</t>
  </si>
  <si>
    <t>简单盔甲</t>
  </si>
  <si>
    <t>普通盔甲</t>
  </si>
  <si>
    <t>优良盔甲</t>
  </si>
  <si>
    <t>高级盔甲</t>
  </si>
  <si>
    <t>稀有盔甲</t>
  </si>
  <si>
    <t>特殊盔甲</t>
  </si>
  <si>
    <t>极品盔甲</t>
  </si>
  <si>
    <t>传说盔甲</t>
  </si>
  <si>
    <t>史诗盔甲</t>
  </si>
  <si>
    <t>!tmp</t>
    <phoneticPr fontId="1" type="noConversion"/>
  </si>
  <si>
    <t>!tmp</t>
    <phoneticPr fontId="1" type="noConversion"/>
  </si>
  <si>
    <t>1级棉甲</t>
    <phoneticPr fontId="1" type="noConversion"/>
  </si>
  <si>
    <t>2级棉甲</t>
  </si>
  <si>
    <t>3级棉甲</t>
  </si>
  <si>
    <t>4级棉甲</t>
  </si>
  <si>
    <t>5级棉甲</t>
  </si>
  <si>
    <t>6级棉甲</t>
  </si>
  <si>
    <t>7级棉甲</t>
  </si>
  <si>
    <t>8级棉甲</t>
  </si>
  <si>
    <t>9级棉甲</t>
  </si>
  <si>
    <t>敌人</t>
    <phoneticPr fontId="1" type="noConversion"/>
  </si>
  <si>
    <t>img2#str</t>
    <phoneticPr fontId="1" type="noConversion"/>
  </si>
  <si>
    <t>1级骑鳞甲</t>
    <phoneticPr fontId="1" type="noConversion"/>
  </si>
  <si>
    <t>2级骑鳞甲</t>
  </si>
  <si>
    <t>3级骑鳞甲</t>
  </si>
  <si>
    <t>4级骑鳞甲</t>
  </si>
  <si>
    <t>5级骑鳞甲</t>
  </si>
  <si>
    <t>6级骑鳞甲</t>
  </si>
  <si>
    <t>7级骑鳞甲</t>
  </si>
  <si>
    <t>8级骑鳞甲</t>
  </si>
  <si>
    <t>9级骑鳞甲</t>
  </si>
  <si>
    <t>hat_0</t>
    <phoneticPr fontId="1" type="noConversion"/>
  </si>
  <si>
    <t>hat_1</t>
  </si>
  <si>
    <t>hat_2</t>
  </si>
  <si>
    <t>hat_3</t>
  </si>
  <si>
    <t>hat_4</t>
  </si>
  <si>
    <t>hat_5</t>
  </si>
  <si>
    <t>hat_6</t>
  </si>
  <si>
    <t>hat_7</t>
  </si>
  <si>
    <t>hat_8</t>
  </si>
  <si>
    <t>hat_9</t>
  </si>
  <si>
    <t>hat_10</t>
  </si>
  <si>
    <t>hat_11</t>
  </si>
  <si>
    <t>hat_12</t>
  </si>
  <si>
    <t>hat_13</t>
  </si>
  <si>
    <t>hat_14</t>
  </si>
  <si>
    <t>hat_15</t>
  </si>
  <si>
    <t>hat_16</t>
  </si>
  <si>
    <t>hat_17</t>
  </si>
  <si>
    <t>hat_18</t>
  </si>
  <si>
    <t>hat_19</t>
  </si>
  <si>
    <t>hat_20</t>
  </si>
  <si>
    <t>hat_21</t>
  </si>
  <si>
    <t>hat_22</t>
  </si>
  <si>
    <t>hat_23</t>
  </si>
  <si>
    <t>hat_24</t>
  </si>
  <si>
    <t>hat_25</t>
  </si>
  <si>
    <t>hat_26</t>
  </si>
  <si>
    <t>hat_27</t>
  </si>
  <si>
    <t>hat_28</t>
  </si>
  <si>
    <t>hat_29</t>
  </si>
  <si>
    <t>hat_30</t>
  </si>
  <si>
    <t>hat_31</t>
  </si>
  <si>
    <t>hat_32</t>
  </si>
  <si>
    <t>hat_33</t>
  </si>
  <si>
    <t>hat_34</t>
  </si>
  <si>
    <t>hat_35</t>
  </si>
  <si>
    <t>hat_36</t>
    <phoneticPr fontId="1" type="noConversion"/>
  </si>
  <si>
    <t>hat_37</t>
  </si>
  <si>
    <t>hat_38</t>
  </si>
  <si>
    <t>hat_39</t>
  </si>
  <si>
    <t>hat_40</t>
  </si>
  <si>
    <t>hat_41</t>
  </si>
  <si>
    <t>hat_42</t>
  </si>
  <si>
    <t>hat_43</t>
  </si>
  <si>
    <t>hat_44</t>
  </si>
  <si>
    <t>hat_45</t>
  </si>
  <si>
    <t>hat_46</t>
  </si>
  <si>
    <t>hat_47</t>
  </si>
  <si>
    <t>hat_48</t>
  </si>
  <si>
    <t>hat_49</t>
  </si>
  <si>
    <t>hat_50</t>
  </si>
  <si>
    <t>hat_51</t>
  </si>
  <si>
    <t>hat_52</t>
  </si>
  <si>
    <t>hat_53</t>
  </si>
  <si>
    <t>hat_high_0</t>
    <phoneticPr fontId="1" type="noConversion"/>
  </si>
  <si>
    <t>hat_high_1</t>
  </si>
  <si>
    <t>hat_high_2</t>
  </si>
  <si>
    <t>hat_high_3</t>
  </si>
  <si>
    <t>hat_high_4</t>
  </si>
  <si>
    <t>hat_high_5</t>
  </si>
  <si>
    <t>hat_high_6</t>
  </si>
  <si>
    <t>hat_high_7</t>
  </si>
  <si>
    <t>hat_high_8</t>
  </si>
  <si>
    <t>hat_high_9</t>
  </si>
  <si>
    <t>hat_high_10</t>
  </si>
  <si>
    <t>hat_high_11</t>
  </si>
  <si>
    <t>hat_high_12</t>
  </si>
  <si>
    <t>hat_high_13</t>
  </si>
  <si>
    <t>hat_high_14</t>
  </si>
  <si>
    <t>hat_high_15</t>
  </si>
  <si>
    <t>hat_high_16</t>
  </si>
  <si>
    <t>hat_high_17</t>
  </si>
  <si>
    <t>hat_high_19</t>
  </si>
  <si>
    <t>hat_high_20</t>
  </si>
  <si>
    <t>hat_high_21</t>
  </si>
  <si>
    <t>hat_high_22</t>
  </si>
  <si>
    <t>hat_high_23</t>
  </si>
  <si>
    <t>hat_high_24</t>
  </si>
  <si>
    <t>hat_high_25</t>
  </si>
  <si>
    <t>hat_high_26</t>
  </si>
  <si>
    <t>hat_high_27</t>
  </si>
  <si>
    <t>hat_high_28</t>
  </si>
  <si>
    <t>hat_high_29</t>
  </si>
  <si>
    <t>hat_high_30</t>
  </si>
  <si>
    <t>hat_high_31</t>
  </si>
  <si>
    <t>hat_high_32</t>
  </si>
  <si>
    <t>hat_high_33</t>
  </si>
  <si>
    <t>hat_high_34</t>
  </si>
  <si>
    <t>hat_high_18</t>
    <phoneticPr fontId="1" type="noConversion"/>
  </si>
  <si>
    <t>hat_high_35</t>
    <phoneticPr fontId="1" type="noConversion"/>
  </si>
  <si>
    <t>hat_high_36</t>
    <phoneticPr fontId="1" type="noConversion"/>
  </si>
  <si>
    <t>hat_high_37</t>
  </si>
  <si>
    <t>hat_high_38</t>
  </si>
  <si>
    <t>hat_high_39</t>
  </si>
  <si>
    <t>hat_high_40</t>
  </si>
  <si>
    <t>hat_high_41</t>
  </si>
  <si>
    <t>hat_high_42</t>
  </si>
  <si>
    <t>hat_high_43</t>
  </si>
  <si>
    <t>hat_high_44</t>
  </si>
  <si>
    <t>armor_group#int</t>
    <phoneticPr fontId="1" type="noConversion"/>
  </si>
  <si>
    <t>盔甲组别</t>
    <phoneticPr fontId="1" type="noConversion"/>
  </si>
  <si>
    <t>armor_level_stuff_id#int</t>
    <phoneticPr fontId="1" type="noConversion"/>
  </si>
  <si>
    <t>血量影响</t>
    <phoneticPr fontId="1" type="noConversion"/>
  </si>
  <si>
    <t>作为敌人时的强度权值系数</t>
    <phoneticPr fontId="1" type="noConversion"/>
  </si>
  <si>
    <t>strength_index_factor#float</t>
    <phoneticPr fontId="1" type="noConversion"/>
  </si>
  <si>
    <t>1级将军板甲</t>
    <phoneticPr fontId="1" type="noConversion"/>
  </si>
  <si>
    <t>2级将军板甲</t>
  </si>
  <si>
    <t>3级将军板甲</t>
  </si>
  <si>
    <t>4级将军板甲</t>
  </si>
  <si>
    <t>5级将军板甲</t>
  </si>
  <si>
    <t>6级将军板甲</t>
  </si>
  <si>
    <t>7级将军板甲</t>
  </si>
  <si>
    <t>8级将军板甲</t>
  </si>
  <si>
    <t>9级将军板甲</t>
  </si>
  <si>
    <t>1级蛮将军鳞甲</t>
    <phoneticPr fontId="1" type="noConversion"/>
  </si>
  <si>
    <t>2级蛮将军鳞甲</t>
  </si>
  <si>
    <t>3级蛮将军鳞甲</t>
  </si>
  <si>
    <t>4级蛮将军鳞甲</t>
  </si>
  <si>
    <t>5级蛮将军鳞甲</t>
  </si>
  <si>
    <t>6级蛮将军鳞甲</t>
  </si>
  <si>
    <t>7级蛮将军鳞甲</t>
  </si>
  <si>
    <t>8级蛮将军鳞甲</t>
  </si>
  <si>
    <t>9级蛮将军鳞甲</t>
  </si>
  <si>
    <t>1级轻甲</t>
    <phoneticPr fontId="1" type="noConversion"/>
  </si>
  <si>
    <t>2级轻甲</t>
  </si>
  <si>
    <t>3级轻甲</t>
  </si>
  <si>
    <t>4级轻甲</t>
  </si>
  <si>
    <t>5级轻甲</t>
  </si>
  <si>
    <t>6级轻甲</t>
  </si>
  <si>
    <t>7级轻甲</t>
  </si>
  <si>
    <t>8级轻甲</t>
  </si>
  <si>
    <t>9级轻甲</t>
  </si>
  <si>
    <t>hat_80</t>
    <phoneticPr fontId="1" type="noConversion"/>
  </si>
  <si>
    <t>hat_72</t>
  </si>
  <si>
    <t>hat_73</t>
  </si>
  <si>
    <t>hat_74</t>
  </si>
  <si>
    <t>hat_75</t>
  </si>
  <si>
    <t>hat_76</t>
  </si>
  <si>
    <t>hat_77</t>
  </si>
  <si>
    <t>hat_78</t>
  </si>
  <si>
    <t>hat_79</t>
  </si>
  <si>
    <t>hurt_reduce_factor1#float</t>
    <phoneticPr fontId="1" type="noConversion"/>
  </si>
  <si>
    <t>hurt_reduce_factor2#float</t>
    <phoneticPr fontId="1" type="noConversion"/>
  </si>
  <si>
    <t>最终伤害=伤害*等级压制 * （1-伤害减免）
伤害减免</t>
    <phoneticPr fontId="1" type="noConversion"/>
  </si>
  <si>
    <r>
      <t>伤害降低系数1，对低1级的武器</t>
    </r>
    <r>
      <rPr>
        <sz val="11"/>
        <color rgb="FFFF0000"/>
        <rFont val="宋体"/>
        <family val="3"/>
        <charset val="134"/>
        <scheme val="minor"/>
      </rPr>
      <t>等级压制</t>
    </r>
    <phoneticPr fontId="1" type="noConversion"/>
  </si>
  <si>
    <r>
      <t>伤害降低系数2，对低2级+的武器</t>
    </r>
    <r>
      <rPr>
        <sz val="11"/>
        <color rgb="FFFF0000"/>
        <rFont val="宋体"/>
        <family val="3"/>
        <charset val="134"/>
        <scheme val="minor"/>
      </rPr>
      <t>等级压制</t>
    </r>
    <phoneticPr fontId="1" type="noConversion"/>
  </si>
  <si>
    <t>护甲等级</t>
    <phoneticPr fontId="1" type="noConversion"/>
  </si>
  <si>
    <t>armor_level#int</t>
    <phoneticPr fontId="1" type="noConversion"/>
  </si>
  <si>
    <t>hp_factor#float</t>
    <phoneticPr fontId="1" type="noConversion"/>
  </si>
  <si>
    <t>1级斗篷</t>
    <phoneticPr fontId="1" type="noConversion"/>
  </si>
  <si>
    <t>2级斗篷</t>
  </si>
  <si>
    <t>3级斗篷</t>
  </si>
  <si>
    <t>4级斗篷</t>
  </si>
  <si>
    <t>5级斗篷</t>
  </si>
  <si>
    <t>6级斗篷</t>
  </si>
  <si>
    <t>7级斗篷</t>
  </si>
  <si>
    <t>8级斗篷</t>
  </si>
  <si>
    <t>9级斗篷</t>
  </si>
  <si>
    <t>hat_magic_0</t>
    <phoneticPr fontId="1" type="noConversion"/>
  </si>
  <si>
    <t>hat_magic_1</t>
  </si>
  <si>
    <t>hat_magic_2</t>
  </si>
  <si>
    <t>hat_magic_3</t>
  </si>
  <si>
    <t>hat_magic_4</t>
  </si>
  <si>
    <t>hat_magic_5</t>
  </si>
  <si>
    <t>hat_magic_6</t>
  </si>
  <si>
    <t>hat_magic_7</t>
  </si>
  <si>
    <t>hat_magic_8</t>
  </si>
  <si>
    <t>hat_magic_9</t>
  </si>
  <si>
    <t>hat_magic_10</t>
  </si>
  <si>
    <t>hat_magic_11</t>
  </si>
  <si>
    <t>hat_magic_12</t>
  </si>
  <si>
    <t>hat_magic_13</t>
  </si>
  <si>
    <t>hat_magic_14</t>
  </si>
  <si>
    <t>hat_magic_15</t>
  </si>
  <si>
    <t>hat_magic_16</t>
  </si>
  <si>
    <t>hat_magic_17</t>
  </si>
  <si>
    <t>hat_magic_18</t>
  </si>
  <si>
    <t>hat_magic_19</t>
  </si>
  <si>
    <t>hat_magic_20</t>
  </si>
  <si>
    <t>hat_magic_21</t>
  </si>
  <si>
    <t>hat_magic_22</t>
  </si>
  <si>
    <t>hat_magic_23</t>
  </si>
  <si>
    <t>hat_magic_24</t>
  </si>
  <si>
    <t>hat_magic_25</t>
  </si>
  <si>
    <t>hat_magic_26</t>
  </si>
  <si>
    <t>hat_magic_27</t>
  </si>
  <si>
    <t>hat_magic_28</t>
  </si>
  <si>
    <t>hat_magic_29</t>
  </si>
  <si>
    <t>hat_magic_30</t>
  </si>
  <si>
    <t>hat_magic_31</t>
  </si>
  <si>
    <t>hat_magic_32</t>
  </si>
  <si>
    <t>hat_magic_33</t>
  </si>
  <si>
    <t>hat_magic_34</t>
  </si>
  <si>
    <t>hat_magic_35</t>
  </si>
  <si>
    <t>1级狼人铠甲</t>
    <phoneticPr fontId="1" type="noConversion"/>
  </si>
  <si>
    <t>2级狼人铠甲</t>
  </si>
  <si>
    <t>3级狼人铠甲</t>
  </si>
  <si>
    <t>4级狼人铠甲</t>
  </si>
  <si>
    <t>5级狼人铠甲</t>
  </si>
  <si>
    <t>6级狼人铠甲</t>
  </si>
  <si>
    <t>7级狼人铠甲</t>
  </si>
  <si>
    <t>8级狼人铠甲</t>
  </si>
  <si>
    <t>9级狼人铠甲</t>
  </si>
  <si>
    <t>hat_high_81</t>
    <phoneticPr fontId="1" type="noConversion"/>
  </si>
  <si>
    <t>hat_high_82</t>
  </si>
  <si>
    <t>hat_high_83</t>
  </si>
  <si>
    <t>hat_high_84</t>
  </si>
  <si>
    <t>hat_high_85</t>
  </si>
  <si>
    <t>hat_high_86</t>
  </si>
  <si>
    <t>hat_high_87</t>
  </si>
  <si>
    <t>hat_high_88</t>
  </si>
  <si>
    <t>hat_high_89</t>
  </si>
  <si>
    <t>hurt_reduction_of_magic#float</t>
    <phoneticPr fontId="1" type="noConversion"/>
  </si>
  <si>
    <t>魔抗
魔法伤害减免</t>
    <phoneticPr fontId="1" type="noConversion"/>
  </si>
  <si>
    <t>基础物理伤害减免</t>
    <phoneticPr fontId="1" type="noConversion"/>
  </si>
  <si>
    <t>基础魔法伤害减免</t>
    <phoneticPr fontId="1" type="noConversion"/>
  </si>
  <si>
    <t>物理伤害减免等级增量</t>
    <phoneticPr fontId="1" type="noConversion"/>
  </si>
  <si>
    <t>!tmp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</si>
</sst>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5" fillId="0" borderId="0"/>
    <xf numFmtId="0" fontId="2" fillId="0" borderId="0"/>
    <xf numFmtId="0" fontId="2" fillId="0" borderId="0"/>
    <xf numFmtId="0" fontId="4" fillId="0" borderId="0"/>
  </cellStyleXfs>
  <cellXfs count="12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3" borderId="1" xfId="0" applyFont="1" applyFill="1" applyBorder="1"/>
    <xf numFmtId="0" fontId="0" fillId="0" borderId="2" xfId="0" applyBorder="1"/>
    <xf numFmtId="0" fontId="2" fillId="2" borderId="3" xfId="0" applyFont="1" applyFill="1" applyBorder="1"/>
    <xf numFmtId="0" fontId="0" fillId="0" borderId="3" xfId="0" applyBorder="1"/>
    <xf numFmtId="0" fontId="2" fillId="3" borderId="3" xfId="0" applyFont="1" applyFill="1" applyBorder="1"/>
    <xf numFmtId="0" fontId="0" fillId="3" borderId="1" xfId="0" applyFill="1" applyBorder="1" applyAlignment="1">
      <alignment wrapText="1"/>
    </xf>
    <xf numFmtId="0" fontId="0" fillId="4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</cellXfs>
  <cellStyles count="5">
    <cellStyle name="常规" xfId="0" builtinId="0"/>
    <cellStyle name="常规 2" xfId="1" xr:uid="{00000000-0005-0000-0000-000001000000}"/>
    <cellStyle name="常规 2 2" xfId="2" xr:uid="{00000000-0005-0000-0000-000002000000}"/>
    <cellStyle name="常规 3" xfId="3" xr:uid="{00000000-0005-0000-0000-000003000000}"/>
    <cellStyle name="常规 4" xfId="4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9"/>
  <sheetViews>
    <sheetView tabSelected="1" topLeftCell="A79" workbookViewId="0">
      <selection activeCell="S117" sqref="S117"/>
    </sheetView>
  </sheetViews>
  <sheetFormatPr defaultRowHeight="13.5" x14ac:dyDescent="0.15"/>
  <cols>
    <col min="1" max="1" width="8" customWidth="1"/>
    <col min="2" max="5" width="10.625" customWidth="1"/>
    <col min="6" max="6" width="13.25" customWidth="1"/>
    <col min="7" max="7" width="16.75" customWidth="1"/>
    <col min="8" max="9" width="8" customWidth="1"/>
    <col min="10" max="11" width="8.5" customWidth="1"/>
    <col min="12" max="12" width="10" customWidth="1"/>
    <col min="15" max="15" width="10" customWidth="1"/>
    <col min="16" max="16" width="10.25" customWidth="1"/>
  </cols>
  <sheetData>
    <row r="1" spans="1:23" ht="81" x14ac:dyDescent="0.15">
      <c r="A1" s="1" t="s">
        <v>1</v>
      </c>
      <c r="B1" s="1" t="s">
        <v>4</v>
      </c>
      <c r="C1" s="1" t="s">
        <v>224</v>
      </c>
      <c r="D1" s="1" t="s">
        <v>16</v>
      </c>
      <c r="E1" s="1" t="s">
        <v>178</v>
      </c>
      <c r="F1" s="1" t="s">
        <v>15</v>
      </c>
      <c r="G1" s="1" t="s">
        <v>67</v>
      </c>
      <c r="H1" s="1" t="s">
        <v>9</v>
      </c>
      <c r="I1" s="1" t="s">
        <v>10</v>
      </c>
      <c r="J1" s="1" t="s">
        <v>8</v>
      </c>
      <c r="K1" s="1" t="s">
        <v>180</v>
      </c>
      <c r="L1" s="1" t="s">
        <v>2</v>
      </c>
      <c r="M1" s="10" t="s">
        <v>5</v>
      </c>
      <c r="N1" s="1"/>
      <c r="O1" s="10" t="s">
        <v>221</v>
      </c>
      <c r="P1" s="10" t="s">
        <v>291</v>
      </c>
      <c r="Q1" s="10" t="s">
        <v>292</v>
      </c>
      <c r="R1" s="10" t="s">
        <v>294</v>
      </c>
      <c r="S1" s="10" t="s">
        <v>293</v>
      </c>
      <c r="T1" s="10" t="s">
        <v>294</v>
      </c>
      <c r="U1" s="8" t="s">
        <v>181</v>
      </c>
      <c r="V1" s="10" t="s">
        <v>222</v>
      </c>
      <c r="W1" s="10" t="s">
        <v>223</v>
      </c>
    </row>
    <row r="2" spans="1:23" x14ac:dyDescent="0.15">
      <c r="A2" s="1" t="s">
        <v>0</v>
      </c>
      <c r="B2" s="1" t="s">
        <v>3</v>
      </c>
      <c r="C2" s="1" t="s">
        <v>225</v>
      </c>
      <c r="D2" s="1" t="s">
        <v>17</v>
      </c>
      <c r="E2" s="1" t="s">
        <v>177</v>
      </c>
      <c r="F2" s="1" t="s">
        <v>14</v>
      </c>
      <c r="G2" s="1" t="s">
        <v>68</v>
      </c>
      <c r="H2" s="1" t="s">
        <v>179</v>
      </c>
      <c r="I2" s="1" t="s">
        <v>11</v>
      </c>
      <c r="J2" s="1" t="s">
        <v>7</v>
      </c>
      <c r="K2" s="1" t="s">
        <v>226</v>
      </c>
      <c r="L2" s="1" t="s">
        <v>12</v>
      </c>
      <c r="M2" s="1" t="s">
        <v>6</v>
      </c>
      <c r="N2" s="1" t="s">
        <v>56</v>
      </c>
      <c r="O2" s="1" t="s">
        <v>13</v>
      </c>
      <c r="P2" s="1" t="s">
        <v>290</v>
      </c>
      <c r="Q2" s="1" t="s">
        <v>57</v>
      </c>
      <c r="R2" s="1" t="s">
        <v>295</v>
      </c>
      <c r="S2" s="1" t="s">
        <v>56</v>
      </c>
      <c r="T2" s="1" t="s">
        <v>295</v>
      </c>
      <c r="U2" s="1" t="s">
        <v>182</v>
      </c>
      <c r="V2" s="1" t="s">
        <v>219</v>
      </c>
      <c r="W2" s="1" t="s">
        <v>220</v>
      </c>
    </row>
    <row r="3" spans="1:23" x14ac:dyDescent="0.15">
      <c r="A3" s="1">
        <v>407011</v>
      </c>
      <c r="B3" s="2" t="s">
        <v>20</v>
      </c>
      <c r="C3" s="2">
        <v>1</v>
      </c>
      <c r="D3" s="1" t="s">
        <v>18</v>
      </c>
      <c r="E3" s="1">
        <v>1</v>
      </c>
      <c r="F3" s="1" t="s">
        <v>78</v>
      </c>
      <c r="G3" s="1" t="s">
        <v>114</v>
      </c>
      <c r="H3" s="1">
        <v>415001</v>
      </c>
      <c r="I3" s="3" t="s">
        <v>47</v>
      </c>
      <c r="J3" s="1">
        <v>0</v>
      </c>
      <c r="K3" s="1">
        <v>1.25</v>
      </c>
      <c r="L3" s="1">
        <f t="shared" ref="L3:L34" si="0">N3+(M3-1)*0.02</f>
        <v>0.8</v>
      </c>
      <c r="M3" s="1">
        <v>1</v>
      </c>
      <c r="N3" s="1">
        <v>0.8</v>
      </c>
      <c r="O3" s="1">
        <f t="shared" ref="O3:O34" si="1">Q3+(C3-1)*R3</f>
        <v>0.1</v>
      </c>
      <c r="P3" s="1">
        <f t="shared" ref="P3:P34" si="2">S3+(M3-1)*T3</f>
        <v>0</v>
      </c>
      <c r="Q3" s="1">
        <v>0.1</v>
      </c>
      <c r="R3" s="1">
        <v>0.03</v>
      </c>
      <c r="S3" s="1">
        <v>0</v>
      </c>
      <c r="T3" s="1">
        <v>0</v>
      </c>
      <c r="U3" s="1">
        <f t="shared" ref="U3:U34" si="3">O3*L3*K3</f>
        <v>0.10000000000000002</v>
      </c>
      <c r="V3" s="11">
        <v>0.85</v>
      </c>
      <c r="W3" s="11">
        <v>0.55000000000000004</v>
      </c>
    </row>
    <row r="4" spans="1:23" x14ac:dyDescent="0.15">
      <c r="A4" s="1">
        <v>407012</v>
      </c>
      <c r="B4" s="2" t="s">
        <v>21</v>
      </c>
      <c r="C4" s="2">
        <v>2</v>
      </c>
      <c r="D4" s="1" t="s">
        <v>18</v>
      </c>
      <c r="E4" s="1">
        <v>1</v>
      </c>
      <c r="F4" s="1" t="s">
        <v>79</v>
      </c>
      <c r="G4" s="1" t="s">
        <v>115</v>
      </c>
      <c r="H4" s="1">
        <v>415002</v>
      </c>
      <c r="I4" s="3" t="s">
        <v>48</v>
      </c>
      <c r="J4" s="1">
        <v>0</v>
      </c>
      <c r="K4" s="1">
        <v>1.75</v>
      </c>
      <c r="L4" s="1">
        <f t="shared" si="0"/>
        <v>0.82000000000000006</v>
      </c>
      <c r="M4" s="4">
        <v>2</v>
      </c>
      <c r="N4" s="1">
        <v>0.8</v>
      </c>
      <c r="O4" s="1">
        <f t="shared" si="1"/>
        <v>0.13</v>
      </c>
      <c r="P4" s="1">
        <f t="shared" si="2"/>
        <v>0</v>
      </c>
      <c r="Q4" s="1">
        <v>0.1</v>
      </c>
      <c r="R4" s="1">
        <v>0.03</v>
      </c>
      <c r="S4" s="1">
        <v>0</v>
      </c>
      <c r="T4" s="1">
        <v>0</v>
      </c>
      <c r="U4" s="1">
        <f t="shared" si="3"/>
        <v>0.18655000000000002</v>
      </c>
      <c r="V4" s="11">
        <f>V3</f>
        <v>0.85</v>
      </c>
      <c r="W4" s="11">
        <f>W3</f>
        <v>0.55000000000000004</v>
      </c>
    </row>
    <row r="5" spans="1:23" x14ac:dyDescent="0.15">
      <c r="A5" s="1">
        <v>407013</v>
      </c>
      <c r="B5" s="2" t="s">
        <v>22</v>
      </c>
      <c r="C5" s="2">
        <v>3</v>
      </c>
      <c r="D5" s="1" t="s">
        <v>18</v>
      </c>
      <c r="E5" s="1">
        <v>1</v>
      </c>
      <c r="F5" s="1" t="s">
        <v>80</v>
      </c>
      <c r="G5" s="1" t="s">
        <v>116</v>
      </c>
      <c r="H5" s="1">
        <v>415003</v>
      </c>
      <c r="I5" s="3" t="s">
        <v>49</v>
      </c>
      <c r="J5" s="1">
        <v>0</v>
      </c>
      <c r="K5" s="1">
        <v>2.25</v>
      </c>
      <c r="L5" s="1">
        <f t="shared" si="0"/>
        <v>0.84000000000000008</v>
      </c>
      <c r="M5" s="1">
        <v>3</v>
      </c>
      <c r="N5" s="1">
        <v>0.8</v>
      </c>
      <c r="O5" s="1">
        <f t="shared" si="1"/>
        <v>0.16</v>
      </c>
      <c r="P5" s="1">
        <f t="shared" si="2"/>
        <v>0</v>
      </c>
      <c r="Q5" s="1">
        <v>0.1</v>
      </c>
      <c r="R5" s="1">
        <v>0.03</v>
      </c>
      <c r="S5" s="1">
        <v>0</v>
      </c>
      <c r="T5" s="1">
        <v>0</v>
      </c>
      <c r="U5" s="1">
        <f t="shared" si="3"/>
        <v>0.30240000000000006</v>
      </c>
      <c r="V5" s="11">
        <f t="shared" ref="V5:V11" si="4">V4</f>
        <v>0.85</v>
      </c>
      <c r="W5" s="11">
        <f t="shared" ref="W5:W11" si="5">W4</f>
        <v>0.55000000000000004</v>
      </c>
    </row>
    <row r="6" spans="1:23" x14ac:dyDescent="0.15">
      <c r="A6" s="1">
        <v>407014</v>
      </c>
      <c r="B6" s="2" t="s">
        <v>23</v>
      </c>
      <c r="C6" s="2">
        <v>4</v>
      </c>
      <c r="D6" s="1" t="s">
        <v>18</v>
      </c>
      <c r="E6" s="1">
        <v>1</v>
      </c>
      <c r="F6" s="1" t="s">
        <v>81</v>
      </c>
      <c r="G6" s="1" t="s">
        <v>117</v>
      </c>
      <c r="H6" s="1">
        <v>415004</v>
      </c>
      <c r="I6" s="3" t="s">
        <v>50</v>
      </c>
      <c r="J6" s="1">
        <v>0</v>
      </c>
      <c r="K6" s="1">
        <v>2.75</v>
      </c>
      <c r="L6" s="1">
        <f t="shared" si="0"/>
        <v>0.8600000000000001</v>
      </c>
      <c r="M6" s="4">
        <v>4</v>
      </c>
      <c r="N6" s="1">
        <v>0.8</v>
      </c>
      <c r="O6" s="1">
        <f t="shared" si="1"/>
        <v>0.19</v>
      </c>
      <c r="P6" s="1">
        <f t="shared" si="2"/>
        <v>0</v>
      </c>
      <c r="Q6" s="1">
        <v>0.1</v>
      </c>
      <c r="R6" s="1">
        <v>0.03</v>
      </c>
      <c r="S6" s="1">
        <v>0</v>
      </c>
      <c r="T6" s="1">
        <v>0</v>
      </c>
      <c r="U6" s="1">
        <f t="shared" si="3"/>
        <v>0.44935000000000003</v>
      </c>
      <c r="V6" s="11">
        <f t="shared" si="4"/>
        <v>0.85</v>
      </c>
      <c r="W6" s="11">
        <f t="shared" si="5"/>
        <v>0.55000000000000004</v>
      </c>
    </row>
    <row r="7" spans="1:23" x14ac:dyDescent="0.15">
      <c r="A7" s="1">
        <v>407015</v>
      </c>
      <c r="B7" s="2" t="s">
        <v>24</v>
      </c>
      <c r="C7" s="2">
        <v>5</v>
      </c>
      <c r="D7" s="1" t="s">
        <v>18</v>
      </c>
      <c r="E7" s="1">
        <v>1</v>
      </c>
      <c r="F7" s="1" t="s">
        <v>82</v>
      </c>
      <c r="G7" s="1" t="s">
        <v>118</v>
      </c>
      <c r="H7" s="1">
        <v>415005</v>
      </c>
      <c r="I7" s="3" t="s">
        <v>51</v>
      </c>
      <c r="J7" s="1">
        <v>0</v>
      </c>
      <c r="K7" s="1">
        <v>3.25</v>
      </c>
      <c r="L7" s="1">
        <f t="shared" si="0"/>
        <v>0.88</v>
      </c>
      <c r="M7" s="1">
        <v>5</v>
      </c>
      <c r="N7" s="1">
        <v>0.8</v>
      </c>
      <c r="O7" s="1">
        <f t="shared" si="1"/>
        <v>0.22</v>
      </c>
      <c r="P7" s="1">
        <f t="shared" si="2"/>
        <v>0</v>
      </c>
      <c r="Q7" s="1">
        <v>0.1</v>
      </c>
      <c r="R7" s="1">
        <v>0.03</v>
      </c>
      <c r="S7" s="1">
        <v>0</v>
      </c>
      <c r="T7" s="1">
        <v>0</v>
      </c>
      <c r="U7" s="1">
        <f t="shared" si="3"/>
        <v>0.62919999999999998</v>
      </c>
      <c r="V7" s="11">
        <f t="shared" si="4"/>
        <v>0.85</v>
      </c>
      <c r="W7" s="11">
        <f t="shared" si="5"/>
        <v>0.55000000000000004</v>
      </c>
    </row>
    <row r="8" spans="1:23" x14ac:dyDescent="0.15">
      <c r="A8" s="1">
        <v>407016</v>
      </c>
      <c r="B8" s="2" t="s">
        <v>25</v>
      </c>
      <c r="C8" s="2">
        <v>6</v>
      </c>
      <c r="D8" s="1" t="s">
        <v>18</v>
      </c>
      <c r="E8" s="1">
        <v>1</v>
      </c>
      <c r="F8" s="1" t="s">
        <v>83</v>
      </c>
      <c r="G8" s="1" t="s">
        <v>119</v>
      </c>
      <c r="H8" s="1">
        <v>415006</v>
      </c>
      <c r="I8" s="3" t="s">
        <v>52</v>
      </c>
      <c r="J8" s="1">
        <v>0</v>
      </c>
      <c r="K8" s="1">
        <v>3.75</v>
      </c>
      <c r="L8" s="1">
        <f t="shared" si="0"/>
        <v>0.9</v>
      </c>
      <c r="M8" s="4">
        <v>6</v>
      </c>
      <c r="N8" s="1">
        <v>0.8</v>
      </c>
      <c r="O8" s="1">
        <f t="shared" si="1"/>
        <v>0.25</v>
      </c>
      <c r="P8" s="1">
        <f t="shared" si="2"/>
        <v>0</v>
      </c>
      <c r="Q8" s="1">
        <v>0.1</v>
      </c>
      <c r="R8" s="1">
        <v>0.03</v>
      </c>
      <c r="S8" s="1">
        <v>0</v>
      </c>
      <c r="T8" s="1">
        <v>0</v>
      </c>
      <c r="U8" s="1">
        <f t="shared" si="3"/>
        <v>0.84375</v>
      </c>
      <c r="V8" s="11">
        <f t="shared" si="4"/>
        <v>0.85</v>
      </c>
      <c r="W8" s="11">
        <f t="shared" si="5"/>
        <v>0.55000000000000004</v>
      </c>
    </row>
    <row r="9" spans="1:23" x14ac:dyDescent="0.15">
      <c r="A9" s="1">
        <v>407017</v>
      </c>
      <c r="B9" s="2" t="s">
        <v>26</v>
      </c>
      <c r="C9" s="2">
        <v>7</v>
      </c>
      <c r="D9" s="1" t="s">
        <v>18</v>
      </c>
      <c r="E9" s="1">
        <v>1</v>
      </c>
      <c r="F9" s="1" t="s">
        <v>84</v>
      </c>
      <c r="G9" s="1" t="s">
        <v>120</v>
      </c>
      <c r="H9" s="1">
        <v>415007</v>
      </c>
      <c r="I9" s="3" t="s">
        <v>53</v>
      </c>
      <c r="J9" s="1">
        <v>0</v>
      </c>
      <c r="K9" s="1">
        <v>4.25</v>
      </c>
      <c r="L9" s="1">
        <f t="shared" si="0"/>
        <v>0.92</v>
      </c>
      <c r="M9" s="1">
        <v>7</v>
      </c>
      <c r="N9" s="1">
        <v>0.8</v>
      </c>
      <c r="O9" s="1">
        <f t="shared" si="1"/>
        <v>0.28000000000000003</v>
      </c>
      <c r="P9" s="1">
        <f t="shared" si="2"/>
        <v>0</v>
      </c>
      <c r="Q9" s="1">
        <v>0.1</v>
      </c>
      <c r="R9" s="1">
        <v>0.03</v>
      </c>
      <c r="S9" s="1">
        <v>0</v>
      </c>
      <c r="T9" s="1">
        <v>0</v>
      </c>
      <c r="U9" s="1">
        <f t="shared" si="3"/>
        <v>1.0948000000000002</v>
      </c>
      <c r="V9" s="11">
        <f t="shared" si="4"/>
        <v>0.85</v>
      </c>
      <c r="W9" s="11">
        <f t="shared" si="5"/>
        <v>0.55000000000000004</v>
      </c>
    </row>
    <row r="10" spans="1:23" x14ac:dyDescent="0.15">
      <c r="A10" s="1">
        <v>407018</v>
      </c>
      <c r="B10" s="2" t="s">
        <v>27</v>
      </c>
      <c r="C10" s="2">
        <v>8</v>
      </c>
      <c r="D10" s="1" t="s">
        <v>18</v>
      </c>
      <c r="E10" s="1">
        <v>1</v>
      </c>
      <c r="F10" s="1" t="s">
        <v>85</v>
      </c>
      <c r="G10" s="1" t="s">
        <v>121</v>
      </c>
      <c r="H10" s="1">
        <v>415008</v>
      </c>
      <c r="I10" s="3" t="s">
        <v>54</v>
      </c>
      <c r="J10" s="1">
        <v>0</v>
      </c>
      <c r="K10" s="1">
        <v>4.75</v>
      </c>
      <c r="L10" s="1">
        <f t="shared" si="0"/>
        <v>0.94000000000000006</v>
      </c>
      <c r="M10" s="4">
        <v>8</v>
      </c>
      <c r="N10" s="1">
        <v>0.8</v>
      </c>
      <c r="O10" s="1">
        <f t="shared" si="1"/>
        <v>0.31</v>
      </c>
      <c r="P10" s="1">
        <f t="shared" si="2"/>
        <v>0</v>
      </c>
      <c r="Q10" s="1">
        <v>0.1</v>
      </c>
      <c r="R10" s="1">
        <v>0.03</v>
      </c>
      <c r="S10" s="1">
        <v>0</v>
      </c>
      <c r="T10" s="1">
        <v>0</v>
      </c>
      <c r="U10" s="1">
        <f t="shared" si="3"/>
        <v>1.38415</v>
      </c>
      <c r="V10" s="11">
        <f t="shared" si="4"/>
        <v>0.85</v>
      </c>
      <c r="W10" s="11">
        <f t="shared" si="5"/>
        <v>0.55000000000000004</v>
      </c>
    </row>
    <row r="11" spans="1:23" x14ac:dyDescent="0.15">
      <c r="A11" s="1">
        <v>407019</v>
      </c>
      <c r="B11" s="2" t="s">
        <v>28</v>
      </c>
      <c r="C11" s="2">
        <v>9</v>
      </c>
      <c r="D11" s="1" t="s">
        <v>18</v>
      </c>
      <c r="E11" s="1">
        <v>1</v>
      </c>
      <c r="F11" s="1" t="s">
        <v>86</v>
      </c>
      <c r="G11" s="1" t="s">
        <v>122</v>
      </c>
      <c r="H11" s="1">
        <v>415009</v>
      </c>
      <c r="I11" s="3" t="s">
        <v>55</v>
      </c>
      <c r="J11" s="1">
        <v>0</v>
      </c>
      <c r="K11" s="1">
        <v>5.25</v>
      </c>
      <c r="L11" s="1">
        <f t="shared" si="0"/>
        <v>0.96000000000000008</v>
      </c>
      <c r="M11" s="1">
        <v>9</v>
      </c>
      <c r="N11" s="1">
        <v>0.8</v>
      </c>
      <c r="O11" s="1">
        <f t="shared" si="1"/>
        <v>0.33999999999999997</v>
      </c>
      <c r="P11" s="1">
        <f t="shared" si="2"/>
        <v>0</v>
      </c>
      <c r="Q11" s="1">
        <v>0.1</v>
      </c>
      <c r="R11" s="1">
        <v>0.03</v>
      </c>
      <c r="S11" s="1">
        <v>0</v>
      </c>
      <c r="T11" s="1">
        <v>0</v>
      </c>
      <c r="U11" s="1">
        <f t="shared" si="3"/>
        <v>1.7136</v>
      </c>
      <c r="V11" s="11">
        <f t="shared" si="4"/>
        <v>0.85</v>
      </c>
      <c r="W11" s="11">
        <f t="shared" si="5"/>
        <v>0.55000000000000004</v>
      </c>
    </row>
    <row r="12" spans="1:23" x14ac:dyDescent="0.15">
      <c r="A12" s="1">
        <v>407021</v>
      </c>
      <c r="B12" s="2" t="s">
        <v>58</v>
      </c>
      <c r="C12" s="2">
        <f>C3</f>
        <v>1</v>
      </c>
      <c r="D12" s="1" t="s">
        <v>18</v>
      </c>
      <c r="E12" s="1">
        <v>2</v>
      </c>
      <c r="F12" s="1" t="s">
        <v>87</v>
      </c>
      <c r="G12" s="1" t="s">
        <v>123</v>
      </c>
      <c r="H12" s="1">
        <v>415001</v>
      </c>
      <c r="I12" s="3" t="s">
        <v>47</v>
      </c>
      <c r="J12" s="1">
        <v>0</v>
      </c>
      <c r="K12" s="9">
        <f>K3</f>
        <v>1.25</v>
      </c>
      <c r="L12" s="1">
        <f t="shared" si="0"/>
        <v>0.75</v>
      </c>
      <c r="M12" s="1">
        <v>1</v>
      </c>
      <c r="N12" s="1">
        <v>0.75</v>
      </c>
      <c r="O12" s="1">
        <f t="shared" si="1"/>
        <v>0.15</v>
      </c>
      <c r="P12" s="1">
        <f t="shared" si="2"/>
        <v>0</v>
      </c>
      <c r="Q12" s="1">
        <v>0.15</v>
      </c>
      <c r="R12" s="1">
        <v>0.03</v>
      </c>
      <c r="S12" s="1">
        <v>0</v>
      </c>
      <c r="T12" s="1">
        <v>0</v>
      </c>
      <c r="U12" s="1">
        <f t="shared" si="3"/>
        <v>0.140625</v>
      </c>
      <c r="V12" s="11">
        <f>V3</f>
        <v>0.85</v>
      </c>
      <c r="W12" s="11">
        <f>W3</f>
        <v>0.55000000000000004</v>
      </c>
    </row>
    <row r="13" spans="1:23" x14ac:dyDescent="0.15">
      <c r="A13" s="1">
        <v>407022</v>
      </c>
      <c r="B13" s="2" t="s">
        <v>59</v>
      </c>
      <c r="C13" s="2">
        <f t="shared" ref="C13:C76" si="6">C4</f>
        <v>2</v>
      </c>
      <c r="D13" s="1" t="s">
        <v>18</v>
      </c>
      <c r="E13" s="1">
        <v>2</v>
      </c>
      <c r="F13" s="1" t="s">
        <v>88</v>
      </c>
      <c r="G13" s="1" t="s">
        <v>124</v>
      </c>
      <c r="H13" s="1">
        <v>415002</v>
      </c>
      <c r="I13" s="3" t="s">
        <v>48</v>
      </c>
      <c r="J13" s="1">
        <v>0</v>
      </c>
      <c r="K13" s="9">
        <f t="shared" ref="K13:K76" si="7">K4</f>
        <v>1.75</v>
      </c>
      <c r="L13" s="1">
        <f t="shared" si="0"/>
        <v>0.77</v>
      </c>
      <c r="M13" s="4">
        <v>2</v>
      </c>
      <c r="N13" s="1">
        <v>0.75</v>
      </c>
      <c r="O13" s="1">
        <f t="shared" si="1"/>
        <v>0.18</v>
      </c>
      <c r="P13" s="1">
        <f t="shared" si="2"/>
        <v>0</v>
      </c>
      <c r="Q13" s="1">
        <v>0.15</v>
      </c>
      <c r="R13" s="1">
        <v>0.03</v>
      </c>
      <c r="S13" s="1">
        <v>0</v>
      </c>
      <c r="T13" s="1">
        <v>0</v>
      </c>
      <c r="U13" s="1">
        <f t="shared" si="3"/>
        <v>0.24254999999999999</v>
      </c>
      <c r="V13" s="11">
        <f t="shared" ref="V13:W13" si="8">V4</f>
        <v>0.85</v>
      </c>
      <c r="W13" s="11">
        <f t="shared" si="8"/>
        <v>0.55000000000000004</v>
      </c>
    </row>
    <row r="14" spans="1:23" x14ac:dyDescent="0.15">
      <c r="A14" s="1">
        <v>407023</v>
      </c>
      <c r="B14" s="2" t="s">
        <v>60</v>
      </c>
      <c r="C14" s="2">
        <f t="shared" si="6"/>
        <v>3</v>
      </c>
      <c r="D14" s="1" t="s">
        <v>18</v>
      </c>
      <c r="E14" s="1">
        <v>2</v>
      </c>
      <c r="F14" s="1" t="s">
        <v>89</v>
      </c>
      <c r="G14" s="1" t="s">
        <v>125</v>
      </c>
      <c r="H14" s="1">
        <v>415003</v>
      </c>
      <c r="I14" s="3" t="s">
        <v>49</v>
      </c>
      <c r="J14" s="1">
        <v>0</v>
      </c>
      <c r="K14" s="9">
        <f t="shared" si="7"/>
        <v>2.25</v>
      </c>
      <c r="L14" s="1">
        <f t="shared" si="0"/>
        <v>0.79</v>
      </c>
      <c r="M14" s="1">
        <v>3</v>
      </c>
      <c r="N14" s="1">
        <v>0.75</v>
      </c>
      <c r="O14" s="1">
        <f t="shared" si="1"/>
        <v>0.21</v>
      </c>
      <c r="P14" s="1">
        <f t="shared" si="2"/>
        <v>0</v>
      </c>
      <c r="Q14" s="1">
        <v>0.15</v>
      </c>
      <c r="R14" s="1">
        <v>0.03</v>
      </c>
      <c r="S14" s="1">
        <v>0</v>
      </c>
      <c r="T14" s="1">
        <v>0</v>
      </c>
      <c r="U14" s="1">
        <f t="shared" si="3"/>
        <v>0.37327499999999997</v>
      </c>
      <c r="V14" s="11">
        <f t="shared" ref="V14:W14" si="9">V5</f>
        <v>0.85</v>
      </c>
      <c r="W14" s="11">
        <f t="shared" si="9"/>
        <v>0.55000000000000004</v>
      </c>
    </row>
    <row r="15" spans="1:23" x14ac:dyDescent="0.15">
      <c r="A15" s="1">
        <v>407024</v>
      </c>
      <c r="B15" s="2" t="s">
        <v>61</v>
      </c>
      <c r="C15" s="2">
        <f t="shared" si="6"/>
        <v>4</v>
      </c>
      <c r="D15" s="1" t="s">
        <v>18</v>
      </c>
      <c r="E15" s="1">
        <v>2</v>
      </c>
      <c r="F15" s="1" t="s">
        <v>90</v>
      </c>
      <c r="G15" s="1" t="s">
        <v>126</v>
      </c>
      <c r="H15" s="1">
        <v>415004</v>
      </c>
      <c r="I15" s="3" t="s">
        <v>50</v>
      </c>
      <c r="J15" s="1">
        <v>0</v>
      </c>
      <c r="K15" s="9">
        <f t="shared" si="7"/>
        <v>2.75</v>
      </c>
      <c r="L15" s="1">
        <f t="shared" si="0"/>
        <v>0.81</v>
      </c>
      <c r="M15" s="4">
        <v>4</v>
      </c>
      <c r="N15" s="1">
        <v>0.75</v>
      </c>
      <c r="O15" s="1">
        <f t="shared" si="1"/>
        <v>0.24</v>
      </c>
      <c r="P15" s="1">
        <f t="shared" si="2"/>
        <v>0</v>
      </c>
      <c r="Q15" s="1">
        <v>0.15</v>
      </c>
      <c r="R15" s="1">
        <v>0.03</v>
      </c>
      <c r="S15" s="1">
        <v>0</v>
      </c>
      <c r="T15" s="1">
        <v>0</v>
      </c>
      <c r="U15" s="1">
        <f t="shared" si="3"/>
        <v>0.53460000000000008</v>
      </c>
      <c r="V15" s="11">
        <f t="shared" ref="V15:W15" si="10">V6</f>
        <v>0.85</v>
      </c>
      <c r="W15" s="11">
        <f t="shared" si="10"/>
        <v>0.55000000000000004</v>
      </c>
    </row>
    <row r="16" spans="1:23" x14ac:dyDescent="0.15">
      <c r="A16" s="1">
        <v>407025</v>
      </c>
      <c r="B16" s="2" t="s">
        <v>62</v>
      </c>
      <c r="C16" s="2">
        <f t="shared" si="6"/>
        <v>5</v>
      </c>
      <c r="D16" s="1" t="s">
        <v>18</v>
      </c>
      <c r="E16" s="1">
        <v>2</v>
      </c>
      <c r="F16" s="1" t="s">
        <v>91</v>
      </c>
      <c r="G16" s="1" t="s">
        <v>127</v>
      </c>
      <c r="H16" s="1">
        <v>415005</v>
      </c>
      <c r="I16" s="3" t="s">
        <v>51</v>
      </c>
      <c r="J16" s="1">
        <v>0</v>
      </c>
      <c r="K16" s="9">
        <f t="shared" si="7"/>
        <v>3.25</v>
      </c>
      <c r="L16" s="1">
        <f t="shared" si="0"/>
        <v>0.83</v>
      </c>
      <c r="M16" s="1">
        <v>5</v>
      </c>
      <c r="N16" s="1">
        <v>0.75</v>
      </c>
      <c r="O16" s="1">
        <f t="shared" si="1"/>
        <v>0.27</v>
      </c>
      <c r="P16" s="1">
        <f t="shared" si="2"/>
        <v>0</v>
      </c>
      <c r="Q16" s="1">
        <v>0.15</v>
      </c>
      <c r="R16" s="1">
        <v>0.03</v>
      </c>
      <c r="S16" s="1">
        <v>0</v>
      </c>
      <c r="T16" s="1">
        <v>0</v>
      </c>
      <c r="U16" s="1">
        <f t="shared" si="3"/>
        <v>0.728325</v>
      </c>
      <c r="V16" s="11">
        <f t="shared" ref="V16:W16" si="11">V7</f>
        <v>0.85</v>
      </c>
      <c r="W16" s="11">
        <f t="shared" si="11"/>
        <v>0.55000000000000004</v>
      </c>
    </row>
    <row r="17" spans="1:23" x14ac:dyDescent="0.15">
      <c r="A17" s="1">
        <v>407026</v>
      </c>
      <c r="B17" s="5" t="s">
        <v>63</v>
      </c>
      <c r="C17" s="2">
        <f t="shared" si="6"/>
        <v>6</v>
      </c>
      <c r="D17" s="6" t="s">
        <v>18</v>
      </c>
      <c r="E17" s="1">
        <v>2</v>
      </c>
      <c r="F17" s="1" t="s">
        <v>92</v>
      </c>
      <c r="G17" s="1" t="s">
        <v>128</v>
      </c>
      <c r="H17" s="6">
        <v>415006</v>
      </c>
      <c r="I17" s="7" t="s">
        <v>52</v>
      </c>
      <c r="J17" s="6">
        <v>0</v>
      </c>
      <c r="K17" s="9">
        <f t="shared" si="7"/>
        <v>3.75</v>
      </c>
      <c r="L17" s="6">
        <f t="shared" si="0"/>
        <v>0.85</v>
      </c>
      <c r="M17" s="4">
        <v>6</v>
      </c>
      <c r="N17" s="6">
        <v>0.75</v>
      </c>
      <c r="O17" s="1">
        <f t="shared" si="1"/>
        <v>0.3</v>
      </c>
      <c r="P17" s="1">
        <f t="shared" si="2"/>
        <v>0</v>
      </c>
      <c r="Q17" s="1">
        <v>0.15</v>
      </c>
      <c r="R17" s="1">
        <v>0.03</v>
      </c>
      <c r="S17" s="1">
        <v>0</v>
      </c>
      <c r="T17" s="1">
        <v>0</v>
      </c>
      <c r="U17" s="1">
        <f t="shared" si="3"/>
        <v>0.95625000000000004</v>
      </c>
      <c r="V17" s="11">
        <f t="shared" ref="V17:W17" si="12">V8</f>
        <v>0.85</v>
      </c>
      <c r="W17" s="11">
        <f t="shared" si="12"/>
        <v>0.55000000000000004</v>
      </c>
    </row>
    <row r="18" spans="1:23" x14ac:dyDescent="0.15">
      <c r="A18" s="1">
        <v>407027</v>
      </c>
      <c r="B18" s="2" t="s">
        <v>64</v>
      </c>
      <c r="C18" s="2">
        <f t="shared" si="6"/>
        <v>7</v>
      </c>
      <c r="D18" s="1" t="s">
        <v>18</v>
      </c>
      <c r="E18" s="1">
        <v>2</v>
      </c>
      <c r="F18" s="1" t="s">
        <v>93</v>
      </c>
      <c r="G18" s="1" t="s">
        <v>129</v>
      </c>
      <c r="H18" s="1">
        <v>415007</v>
      </c>
      <c r="I18" s="3" t="s">
        <v>53</v>
      </c>
      <c r="J18" s="1">
        <v>0</v>
      </c>
      <c r="K18" s="9">
        <f t="shared" si="7"/>
        <v>4.25</v>
      </c>
      <c r="L18" s="1">
        <f t="shared" si="0"/>
        <v>0.87</v>
      </c>
      <c r="M18" s="1">
        <v>7</v>
      </c>
      <c r="N18" s="1">
        <v>0.75</v>
      </c>
      <c r="O18" s="1">
        <f t="shared" si="1"/>
        <v>0.32999999999999996</v>
      </c>
      <c r="P18" s="1">
        <f t="shared" si="2"/>
        <v>0</v>
      </c>
      <c r="Q18" s="1">
        <v>0.15</v>
      </c>
      <c r="R18" s="1">
        <v>0.03</v>
      </c>
      <c r="S18" s="1">
        <v>0</v>
      </c>
      <c r="T18" s="1">
        <v>0</v>
      </c>
      <c r="U18" s="1">
        <f t="shared" si="3"/>
        <v>1.2201749999999998</v>
      </c>
      <c r="V18" s="11">
        <f t="shared" ref="V18:W18" si="13">V9</f>
        <v>0.85</v>
      </c>
      <c r="W18" s="11">
        <f t="shared" si="13"/>
        <v>0.55000000000000004</v>
      </c>
    </row>
    <row r="19" spans="1:23" x14ac:dyDescent="0.15">
      <c r="A19" s="1">
        <v>407028</v>
      </c>
      <c r="B19" s="2" t="s">
        <v>65</v>
      </c>
      <c r="C19" s="2">
        <f t="shared" si="6"/>
        <v>8</v>
      </c>
      <c r="D19" s="1" t="s">
        <v>18</v>
      </c>
      <c r="E19" s="1">
        <v>2</v>
      </c>
      <c r="F19" s="1" t="s">
        <v>94</v>
      </c>
      <c r="G19" s="1" t="s">
        <v>130</v>
      </c>
      <c r="H19" s="1">
        <v>415008</v>
      </c>
      <c r="I19" s="3" t="s">
        <v>54</v>
      </c>
      <c r="J19" s="1">
        <v>0</v>
      </c>
      <c r="K19" s="9">
        <f t="shared" si="7"/>
        <v>4.75</v>
      </c>
      <c r="L19" s="1">
        <f t="shared" si="0"/>
        <v>0.89</v>
      </c>
      <c r="M19" s="1">
        <v>8</v>
      </c>
      <c r="N19" s="1">
        <v>0.75</v>
      </c>
      <c r="O19" s="1">
        <f t="shared" si="1"/>
        <v>0.36</v>
      </c>
      <c r="P19" s="1">
        <f t="shared" si="2"/>
        <v>0</v>
      </c>
      <c r="Q19" s="1">
        <v>0.15</v>
      </c>
      <c r="R19" s="1">
        <v>0.03</v>
      </c>
      <c r="S19" s="1">
        <v>0</v>
      </c>
      <c r="T19" s="1">
        <v>0</v>
      </c>
      <c r="U19" s="1">
        <f t="shared" si="3"/>
        <v>1.5219</v>
      </c>
      <c r="V19" s="11">
        <f t="shared" ref="V19:W19" si="14">V10</f>
        <v>0.85</v>
      </c>
      <c r="W19" s="11">
        <f t="shared" si="14"/>
        <v>0.55000000000000004</v>
      </c>
    </row>
    <row r="20" spans="1:23" x14ac:dyDescent="0.15">
      <c r="A20" s="1">
        <v>407029</v>
      </c>
      <c r="B20" s="2" t="s">
        <v>66</v>
      </c>
      <c r="C20" s="2">
        <f t="shared" si="6"/>
        <v>9</v>
      </c>
      <c r="D20" s="1" t="s">
        <v>18</v>
      </c>
      <c r="E20" s="1">
        <v>2</v>
      </c>
      <c r="F20" s="1" t="s">
        <v>95</v>
      </c>
      <c r="G20" s="1" t="s">
        <v>131</v>
      </c>
      <c r="H20" s="1">
        <v>415009</v>
      </c>
      <c r="I20" s="3" t="s">
        <v>55</v>
      </c>
      <c r="J20" s="1">
        <v>0</v>
      </c>
      <c r="K20" s="9">
        <f t="shared" si="7"/>
        <v>5.25</v>
      </c>
      <c r="L20" s="1">
        <f t="shared" si="0"/>
        <v>0.91</v>
      </c>
      <c r="M20" s="1">
        <v>9</v>
      </c>
      <c r="N20" s="1">
        <v>0.75</v>
      </c>
      <c r="O20" s="1">
        <f t="shared" si="1"/>
        <v>0.39</v>
      </c>
      <c r="P20" s="1">
        <f t="shared" si="2"/>
        <v>0</v>
      </c>
      <c r="Q20" s="1">
        <v>0.15</v>
      </c>
      <c r="R20" s="1">
        <v>0.03</v>
      </c>
      <c r="S20" s="1">
        <v>0</v>
      </c>
      <c r="T20" s="1">
        <v>0</v>
      </c>
      <c r="U20" s="1">
        <f t="shared" si="3"/>
        <v>1.8632250000000004</v>
      </c>
      <c r="V20" s="11">
        <f t="shared" ref="V20:W20" si="15">V11</f>
        <v>0.85</v>
      </c>
      <c r="W20" s="11">
        <f t="shared" si="15"/>
        <v>0.55000000000000004</v>
      </c>
    </row>
    <row r="21" spans="1:23" x14ac:dyDescent="0.15">
      <c r="A21" s="1">
        <v>407031</v>
      </c>
      <c r="B21" s="2" t="s">
        <v>29</v>
      </c>
      <c r="C21" s="2">
        <f t="shared" si="6"/>
        <v>1</v>
      </c>
      <c r="D21" s="1" t="s">
        <v>18</v>
      </c>
      <c r="E21" s="1">
        <v>3</v>
      </c>
      <c r="F21" s="1" t="s">
        <v>96</v>
      </c>
      <c r="G21" s="1"/>
      <c r="H21" s="1">
        <v>415001</v>
      </c>
      <c r="I21" s="3" t="s">
        <v>47</v>
      </c>
      <c r="J21" s="1">
        <v>0</v>
      </c>
      <c r="K21" s="9">
        <f t="shared" si="7"/>
        <v>1.25</v>
      </c>
      <c r="L21" s="1">
        <f t="shared" si="0"/>
        <v>0.7</v>
      </c>
      <c r="M21" s="1">
        <v>1</v>
      </c>
      <c r="N21" s="1">
        <v>0.7</v>
      </c>
      <c r="O21" s="1">
        <f t="shared" si="1"/>
        <v>0.2</v>
      </c>
      <c r="P21" s="1">
        <f t="shared" si="2"/>
        <v>0</v>
      </c>
      <c r="Q21" s="1">
        <v>0.2</v>
      </c>
      <c r="R21" s="1">
        <v>0.03</v>
      </c>
      <c r="S21" s="1">
        <v>0</v>
      </c>
      <c r="T21" s="1">
        <v>0</v>
      </c>
      <c r="U21" s="1">
        <f t="shared" si="3"/>
        <v>0.17499999999999999</v>
      </c>
      <c r="V21" s="11">
        <f t="shared" ref="V21:W21" si="16">V12</f>
        <v>0.85</v>
      </c>
      <c r="W21" s="11">
        <f t="shared" si="16"/>
        <v>0.55000000000000004</v>
      </c>
    </row>
    <row r="22" spans="1:23" x14ac:dyDescent="0.15">
      <c r="A22" s="1">
        <v>407032</v>
      </c>
      <c r="B22" s="2" t="s">
        <v>30</v>
      </c>
      <c r="C22" s="2">
        <f t="shared" si="6"/>
        <v>2</v>
      </c>
      <c r="D22" s="1" t="s">
        <v>18</v>
      </c>
      <c r="E22" s="1">
        <v>3</v>
      </c>
      <c r="F22" s="1" t="s">
        <v>97</v>
      </c>
      <c r="G22" s="1"/>
      <c r="H22" s="1">
        <v>415002</v>
      </c>
      <c r="I22" s="3" t="s">
        <v>48</v>
      </c>
      <c r="J22" s="1">
        <v>0</v>
      </c>
      <c r="K22" s="9">
        <f t="shared" si="7"/>
        <v>1.75</v>
      </c>
      <c r="L22" s="1">
        <f t="shared" si="0"/>
        <v>0.72</v>
      </c>
      <c r="M22" s="1">
        <v>2</v>
      </c>
      <c r="N22" s="1">
        <v>0.7</v>
      </c>
      <c r="O22" s="1">
        <f t="shared" si="1"/>
        <v>0.23</v>
      </c>
      <c r="P22" s="1">
        <f t="shared" si="2"/>
        <v>0</v>
      </c>
      <c r="Q22" s="1">
        <v>0.2</v>
      </c>
      <c r="R22" s="1">
        <v>0.03</v>
      </c>
      <c r="S22" s="1">
        <v>0</v>
      </c>
      <c r="T22" s="1">
        <v>0</v>
      </c>
      <c r="U22" s="1">
        <f t="shared" si="3"/>
        <v>0.2898</v>
      </c>
      <c r="V22" s="11">
        <f t="shared" ref="V22:W22" si="17">V13</f>
        <v>0.85</v>
      </c>
      <c r="W22" s="11">
        <f t="shared" si="17"/>
        <v>0.55000000000000004</v>
      </c>
    </row>
    <row r="23" spans="1:23" x14ac:dyDescent="0.15">
      <c r="A23" s="1">
        <v>407033</v>
      </c>
      <c r="B23" s="2" t="s">
        <v>31</v>
      </c>
      <c r="C23" s="2">
        <f t="shared" si="6"/>
        <v>3</v>
      </c>
      <c r="D23" s="1" t="s">
        <v>18</v>
      </c>
      <c r="E23" s="1">
        <v>3</v>
      </c>
      <c r="F23" s="1" t="s">
        <v>98</v>
      </c>
      <c r="G23" s="1"/>
      <c r="H23" s="1">
        <v>415003</v>
      </c>
      <c r="I23" s="3" t="s">
        <v>49</v>
      </c>
      <c r="J23" s="1">
        <v>0</v>
      </c>
      <c r="K23" s="9">
        <f t="shared" si="7"/>
        <v>2.25</v>
      </c>
      <c r="L23" s="1">
        <f t="shared" si="0"/>
        <v>0.74</v>
      </c>
      <c r="M23" s="1">
        <v>3</v>
      </c>
      <c r="N23" s="1">
        <v>0.7</v>
      </c>
      <c r="O23" s="1">
        <f t="shared" si="1"/>
        <v>0.26</v>
      </c>
      <c r="P23" s="1">
        <f t="shared" si="2"/>
        <v>0</v>
      </c>
      <c r="Q23" s="1">
        <v>0.2</v>
      </c>
      <c r="R23" s="1">
        <v>0.03</v>
      </c>
      <c r="S23" s="1">
        <v>0</v>
      </c>
      <c r="T23" s="1">
        <v>0</v>
      </c>
      <c r="U23" s="1">
        <f t="shared" si="3"/>
        <v>0.43290000000000006</v>
      </c>
      <c r="V23" s="11">
        <f t="shared" ref="V23:W23" si="18">V14</f>
        <v>0.85</v>
      </c>
      <c r="W23" s="11">
        <f t="shared" si="18"/>
        <v>0.55000000000000004</v>
      </c>
    </row>
    <row r="24" spans="1:23" x14ac:dyDescent="0.15">
      <c r="A24" s="1">
        <v>407034</v>
      </c>
      <c r="B24" s="2" t="s">
        <v>32</v>
      </c>
      <c r="C24" s="2">
        <f t="shared" si="6"/>
        <v>4</v>
      </c>
      <c r="D24" s="1" t="s">
        <v>18</v>
      </c>
      <c r="E24" s="1">
        <v>3</v>
      </c>
      <c r="F24" s="1" t="s">
        <v>99</v>
      </c>
      <c r="G24" s="1"/>
      <c r="H24" s="1">
        <v>415004</v>
      </c>
      <c r="I24" s="3" t="s">
        <v>50</v>
      </c>
      <c r="J24" s="1">
        <v>0</v>
      </c>
      <c r="K24" s="9">
        <f t="shared" si="7"/>
        <v>2.75</v>
      </c>
      <c r="L24" s="1">
        <f t="shared" si="0"/>
        <v>0.76</v>
      </c>
      <c r="M24" s="1">
        <v>4</v>
      </c>
      <c r="N24" s="1">
        <v>0.7</v>
      </c>
      <c r="O24" s="1">
        <f t="shared" si="1"/>
        <v>0.29000000000000004</v>
      </c>
      <c r="P24" s="1">
        <f t="shared" si="2"/>
        <v>0</v>
      </c>
      <c r="Q24" s="1">
        <v>0.2</v>
      </c>
      <c r="R24" s="1">
        <v>0.03</v>
      </c>
      <c r="S24" s="1">
        <v>0</v>
      </c>
      <c r="T24" s="1">
        <v>0</v>
      </c>
      <c r="U24" s="1">
        <f t="shared" si="3"/>
        <v>0.60610000000000008</v>
      </c>
      <c r="V24" s="11">
        <f t="shared" ref="V24:W24" si="19">V15</f>
        <v>0.85</v>
      </c>
      <c r="W24" s="11">
        <f t="shared" si="19"/>
        <v>0.55000000000000004</v>
      </c>
    </row>
    <row r="25" spans="1:23" x14ac:dyDescent="0.15">
      <c r="A25" s="1">
        <v>407035</v>
      </c>
      <c r="B25" s="2" t="s">
        <v>33</v>
      </c>
      <c r="C25" s="2">
        <f t="shared" si="6"/>
        <v>5</v>
      </c>
      <c r="D25" s="1" t="s">
        <v>18</v>
      </c>
      <c r="E25" s="1">
        <v>3</v>
      </c>
      <c r="F25" s="1" t="s">
        <v>100</v>
      </c>
      <c r="G25" s="1"/>
      <c r="H25" s="1">
        <v>415005</v>
      </c>
      <c r="I25" s="3" t="s">
        <v>51</v>
      </c>
      <c r="J25" s="1">
        <v>0</v>
      </c>
      <c r="K25" s="9">
        <f t="shared" si="7"/>
        <v>3.25</v>
      </c>
      <c r="L25" s="1">
        <f t="shared" si="0"/>
        <v>0.77999999999999992</v>
      </c>
      <c r="M25" s="1">
        <v>5</v>
      </c>
      <c r="N25" s="1">
        <v>0.7</v>
      </c>
      <c r="O25" s="1">
        <f t="shared" si="1"/>
        <v>0.32</v>
      </c>
      <c r="P25" s="1">
        <f t="shared" si="2"/>
        <v>0</v>
      </c>
      <c r="Q25" s="1">
        <v>0.2</v>
      </c>
      <c r="R25" s="1">
        <v>0.03</v>
      </c>
      <c r="S25" s="1">
        <v>0</v>
      </c>
      <c r="T25" s="1">
        <v>0</v>
      </c>
      <c r="U25" s="1">
        <f t="shared" si="3"/>
        <v>0.81119999999999992</v>
      </c>
      <c r="V25" s="11">
        <f t="shared" ref="V25:W25" si="20">V16</f>
        <v>0.85</v>
      </c>
      <c r="W25" s="11">
        <f t="shared" si="20"/>
        <v>0.55000000000000004</v>
      </c>
    </row>
    <row r="26" spans="1:23" x14ac:dyDescent="0.15">
      <c r="A26" s="1">
        <v>407036</v>
      </c>
      <c r="B26" s="2" t="s">
        <v>34</v>
      </c>
      <c r="C26" s="2">
        <f t="shared" si="6"/>
        <v>6</v>
      </c>
      <c r="D26" s="1" t="s">
        <v>18</v>
      </c>
      <c r="E26" s="1">
        <v>3</v>
      </c>
      <c r="F26" s="1" t="s">
        <v>101</v>
      </c>
      <c r="G26" s="1"/>
      <c r="H26" s="1">
        <v>415006</v>
      </c>
      <c r="I26" s="3" t="s">
        <v>52</v>
      </c>
      <c r="J26" s="1">
        <v>0</v>
      </c>
      <c r="K26" s="9">
        <f t="shared" si="7"/>
        <v>3.75</v>
      </c>
      <c r="L26" s="1">
        <f t="shared" si="0"/>
        <v>0.79999999999999993</v>
      </c>
      <c r="M26" s="1">
        <v>6</v>
      </c>
      <c r="N26" s="1">
        <v>0.7</v>
      </c>
      <c r="O26" s="1">
        <f t="shared" si="1"/>
        <v>0.35</v>
      </c>
      <c r="P26" s="1">
        <f t="shared" si="2"/>
        <v>0</v>
      </c>
      <c r="Q26" s="1">
        <v>0.2</v>
      </c>
      <c r="R26" s="1">
        <v>0.03</v>
      </c>
      <c r="S26" s="1">
        <v>0</v>
      </c>
      <c r="T26" s="1">
        <v>0</v>
      </c>
      <c r="U26" s="1">
        <f t="shared" si="3"/>
        <v>1.0499999999999998</v>
      </c>
      <c r="V26" s="11">
        <f t="shared" ref="V26:W26" si="21">V17</f>
        <v>0.85</v>
      </c>
      <c r="W26" s="11">
        <f t="shared" si="21"/>
        <v>0.55000000000000004</v>
      </c>
    </row>
    <row r="27" spans="1:23" x14ac:dyDescent="0.15">
      <c r="A27" s="1">
        <v>407037</v>
      </c>
      <c r="B27" s="2" t="s">
        <v>35</v>
      </c>
      <c r="C27" s="2">
        <f t="shared" si="6"/>
        <v>7</v>
      </c>
      <c r="D27" s="1" t="s">
        <v>18</v>
      </c>
      <c r="E27" s="1">
        <v>3</v>
      </c>
      <c r="F27" s="1" t="s">
        <v>102</v>
      </c>
      <c r="G27" s="1"/>
      <c r="H27" s="1">
        <v>415007</v>
      </c>
      <c r="I27" s="3" t="s">
        <v>53</v>
      </c>
      <c r="J27" s="1">
        <v>0</v>
      </c>
      <c r="K27" s="9">
        <f t="shared" si="7"/>
        <v>4.25</v>
      </c>
      <c r="L27" s="1">
        <f t="shared" si="0"/>
        <v>0.82</v>
      </c>
      <c r="M27" s="1">
        <v>7</v>
      </c>
      <c r="N27" s="1">
        <v>0.7</v>
      </c>
      <c r="O27" s="1">
        <f t="shared" si="1"/>
        <v>0.38</v>
      </c>
      <c r="P27" s="1">
        <f t="shared" si="2"/>
        <v>0</v>
      </c>
      <c r="Q27" s="1">
        <v>0.2</v>
      </c>
      <c r="R27" s="1">
        <v>0.03</v>
      </c>
      <c r="S27" s="1">
        <v>0</v>
      </c>
      <c r="T27" s="1">
        <v>0</v>
      </c>
      <c r="U27" s="1">
        <f t="shared" si="3"/>
        <v>1.3243</v>
      </c>
      <c r="V27" s="11">
        <f t="shared" ref="V27:W27" si="22">V18</f>
        <v>0.85</v>
      </c>
      <c r="W27" s="11">
        <f t="shared" si="22"/>
        <v>0.55000000000000004</v>
      </c>
    </row>
    <row r="28" spans="1:23" x14ac:dyDescent="0.15">
      <c r="A28" s="1">
        <v>407038</v>
      </c>
      <c r="B28" s="2" t="s">
        <v>36</v>
      </c>
      <c r="C28" s="2">
        <f t="shared" si="6"/>
        <v>8</v>
      </c>
      <c r="D28" s="1" t="s">
        <v>18</v>
      </c>
      <c r="E28" s="1">
        <v>3</v>
      </c>
      <c r="F28" s="1" t="s">
        <v>103</v>
      </c>
      <c r="G28" s="1"/>
      <c r="H28" s="1">
        <v>415008</v>
      </c>
      <c r="I28" s="3" t="s">
        <v>54</v>
      </c>
      <c r="J28" s="1">
        <v>0</v>
      </c>
      <c r="K28" s="9">
        <f t="shared" si="7"/>
        <v>4.75</v>
      </c>
      <c r="L28" s="1">
        <f t="shared" si="0"/>
        <v>0.84</v>
      </c>
      <c r="M28" s="1">
        <v>8</v>
      </c>
      <c r="N28" s="1">
        <v>0.7</v>
      </c>
      <c r="O28" s="1">
        <f t="shared" si="1"/>
        <v>0.41000000000000003</v>
      </c>
      <c r="P28" s="1">
        <f t="shared" si="2"/>
        <v>0</v>
      </c>
      <c r="Q28" s="1">
        <v>0.2</v>
      </c>
      <c r="R28" s="1">
        <v>0.03</v>
      </c>
      <c r="S28" s="1">
        <v>0</v>
      </c>
      <c r="T28" s="1">
        <v>0</v>
      </c>
      <c r="U28" s="1">
        <f t="shared" si="3"/>
        <v>1.6359000000000001</v>
      </c>
      <c r="V28" s="11">
        <f t="shared" ref="V28:W28" si="23">V19</f>
        <v>0.85</v>
      </c>
      <c r="W28" s="11">
        <f t="shared" si="23"/>
        <v>0.55000000000000004</v>
      </c>
    </row>
    <row r="29" spans="1:23" x14ac:dyDescent="0.15">
      <c r="A29" s="1">
        <v>407039</v>
      </c>
      <c r="B29" s="2" t="s">
        <v>37</v>
      </c>
      <c r="C29" s="2">
        <f t="shared" si="6"/>
        <v>9</v>
      </c>
      <c r="D29" s="1" t="s">
        <v>18</v>
      </c>
      <c r="E29" s="1">
        <v>3</v>
      </c>
      <c r="F29" s="1" t="s">
        <v>104</v>
      </c>
      <c r="G29" s="1"/>
      <c r="H29" s="1">
        <v>415009</v>
      </c>
      <c r="I29" s="3" t="s">
        <v>55</v>
      </c>
      <c r="J29" s="1">
        <v>0</v>
      </c>
      <c r="K29" s="9">
        <f t="shared" si="7"/>
        <v>5.25</v>
      </c>
      <c r="L29" s="1">
        <f t="shared" si="0"/>
        <v>0.86</v>
      </c>
      <c r="M29" s="1">
        <v>9</v>
      </c>
      <c r="N29" s="1">
        <v>0.7</v>
      </c>
      <c r="O29" s="1">
        <f t="shared" si="1"/>
        <v>0.44</v>
      </c>
      <c r="P29" s="1">
        <f t="shared" si="2"/>
        <v>0</v>
      </c>
      <c r="Q29" s="1">
        <v>0.2</v>
      </c>
      <c r="R29" s="1">
        <v>0.03</v>
      </c>
      <c r="S29" s="1">
        <v>0</v>
      </c>
      <c r="T29" s="1">
        <v>0</v>
      </c>
      <c r="U29" s="1">
        <f t="shared" si="3"/>
        <v>1.9866000000000001</v>
      </c>
      <c r="V29" s="11">
        <f t="shared" ref="V29:W29" si="24">V20</f>
        <v>0.85</v>
      </c>
      <c r="W29" s="11">
        <f t="shared" si="24"/>
        <v>0.55000000000000004</v>
      </c>
    </row>
    <row r="30" spans="1:23" x14ac:dyDescent="0.15">
      <c r="A30" s="1">
        <v>407041</v>
      </c>
      <c r="B30" s="2" t="s">
        <v>38</v>
      </c>
      <c r="C30" s="2">
        <f t="shared" si="6"/>
        <v>1</v>
      </c>
      <c r="D30" s="1" t="s">
        <v>18</v>
      </c>
      <c r="E30" s="1">
        <v>4</v>
      </c>
      <c r="F30" s="1" t="s">
        <v>105</v>
      </c>
      <c r="G30" s="1"/>
      <c r="H30" s="1">
        <v>415001</v>
      </c>
      <c r="I30" s="3" t="s">
        <v>47</v>
      </c>
      <c r="J30" s="1">
        <v>0</v>
      </c>
      <c r="K30" s="9">
        <f t="shared" si="7"/>
        <v>1.25</v>
      </c>
      <c r="L30" s="1">
        <f t="shared" si="0"/>
        <v>0.65</v>
      </c>
      <c r="M30" s="1">
        <v>1</v>
      </c>
      <c r="N30" s="1">
        <v>0.65</v>
      </c>
      <c r="O30" s="1">
        <f t="shared" si="1"/>
        <v>0.25</v>
      </c>
      <c r="P30" s="1">
        <f t="shared" si="2"/>
        <v>0</v>
      </c>
      <c r="Q30" s="1">
        <v>0.25</v>
      </c>
      <c r="R30" s="1">
        <v>0.03</v>
      </c>
      <c r="S30" s="1">
        <v>0</v>
      </c>
      <c r="T30" s="1">
        <v>0</v>
      </c>
      <c r="U30" s="1">
        <f t="shared" si="3"/>
        <v>0.203125</v>
      </c>
      <c r="V30" s="11">
        <f t="shared" ref="V30:W30" si="25">V21</f>
        <v>0.85</v>
      </c>
      <c r="W30" s="11">
        <f t="shared" si="25"/>
        <v>0.55000000000000004</v>
      </c>
    </row>
    <row r="31" spans="1:23" x14ac:dyDescent="0.15">
      <c r="A31" s="1">
        <v>407042</v>
      </c>
      <c r="B31" s="2" t="s">
        <v>39</v>
      </c>
      <c r="C31" s="2">
        <f t="shared" si="6"/>
        <v>2</v>
      </c>
      <c r="D31" s="1" t="s">
        <v>18</v>
      </c>
      <c r="E31" s="1">
        <v>4</v>
      </c>
      <c r="F31" s="1" t="s">
        <v>106</v>
      </c>
      <c r="G31" s="1"/>
      <c r="H31" s="1">
        <v>415002</v>
      </c>
      <c r="I31" s="3" t="s">
        <v>48</v>
      </c>
      <c r="J31" s="1">
        <v>0</v>
      </c>
      <c r="K31" s="9">
        <f t="shared" si="7"/>
        <v>1.75</v>
      </c>
      <c r="L31" s="1">
        <f t="shared" si="0"/>
        <v>0.67</v>
      </c>
      <c r="M31" s="1">
        <v>2</v>
      </c>
      <c r="N31" s="1">
        <v>0.65</v>
      </c>
      <c r="O31" s="1">
        <f t="shared" si="1"/>
        <v>0.28000000000000003</v>
      </c>
      <c r="P31" s="1">
        <f t="shared" si="2"/>
        <v>0</v>
      </c>
      <c r="Q31" s="1">
        <v>0.25</v>
      </c>
      <c r="R31" s="1">
        <v>0.03</v>
      </c>
      <c r="S31" s="1">
        <v>0</v>
      </c>
      <c r="T31" s="1">
        <v>0</v>
      </c>
      <c r="U31" s="1">
        <f t="shared" si="3"/>
        <v>0.32830000000000004</v>
      </c>
      <c r="V31" s="11">
        <f t="shared" ref="V31:W31" si="26">V22</f>
        <v>0.85</v>
      </c>
      <c r="W31" s="11">
        <f t="shared" si="26"/>
        <v>0.55000000000000004</v>
      </c>
    </row>
    <row r="32" spans="1:23" x14ac:dyDescent="0.15">
      <c r="A32" s="1">
        <v>407043</v>
      </c>
      <c r="B32" s="2" t="s">
        <v>40</v>
      </c>
      <c r="C32" s="2">
        <f t="shared" si="6"/>
        <v>3</v>
      </c>
      <c r="D32" s="1" t="s">
        <v>18</v>
      </c>
      <c r="E32" s="1">
        <v>4</v>
      </c>
      <c r="F32" s="1" t="s">
        <v>107</v>
      </c>
      <c r="G32" s="1"/>
      <c r="H32" s="1">
        <v>415003</v>
      </c>
      <c r="I32" s="3" t="s">
        <v>49</v>
      </c>
      <c r="J32" s="1">
        <v>0</v>
      </c>
      <c r="K32" s="9">
        <f t="shared" si="7"/>
        <v>2.25</v>
      </c>
      <c r="L32" s="1">
        <f t="shared" si="0"/>
        <v>0.69000000000000006</v>
      </c>
      <c r="M32" s="1">
        <v>3</v>
      </c>
      <c r="N32" s="1">
        <v>0.65</v>
      </c>
      <c r="O32" s="1">
        <f t="shared" si="1"/>
        <v>0.31</v>
      </c>
      <c r="P32" s="1">
        <f t="shared" si="2"/>
        <v>0</v>
      </c>
      <c r="Q32" s="1">
        <v>0.25</v>
      </c>
      <c r="R32" s="1">
        <v>0.03</v>
      </c>
      <c r="S32" s="1">
        <v>0</v>
      </c>
      <c r="T32" s="1">
        <v>0</v>
      </c>
      <c r="U32" s="1">
        <f t="shared" si="3"/>
        <v>0.48127500000000001</v>
      </c>
      <c r="V32" s="11">
        <f t="shared" ref="V32:W32" si="27">V23</f>
        <v>0.85</v>
      </c>
      <c r="W32" s="11">
        <f t="shared" si="27"/>
        <v>0.55000000000000004</v>
      </c>
    </row>
    <row r="33" spans="1:23" x14ac:dyDescent="0.15">
      <c r="A33" s="1">
        <v>407044</v>
      </c>
      <c r="B33" s="2" t="s">
        <v>41</v>
      </c>
      <c r="C33" s="2">
        <f t="shared" si="6"/>
        <v>4</v>
      </c>
      <c r="D33" s="1" t="s">
        <v>18</v>
      </c>
      <c r="E33" s="1">
        <v>4</v>
      </c>
      <c r="F33" s="1" t="s">
        <v>108</v>
      </c>
      <c r="G33" s="1"/>
      <c r="H33" s="1">
        <v>415004</v>
      </c>
      <c r="I33" s="3" t="s">
        <v>50</v>
      </c>
      <c r="J33" s="1">
        <v>0</v>
      </c>
      <c r="K33" s="9">
        <f t="shared" si="7"/>
        <v>2.75</v>
      </c>
      <c r="L33" s="1">
        <f t="shared" si="0"/>
        <v>0.71</v>
      </c>
      <c r="M33" s="1">
        <v>4</v>
      </c>
      <c r="N33" s="1">
        <v>0.65</v>
      </c>
      <c r="O33" s="1">
        <f t="shared" si="1"/>
        <v>0.33999999999999997</v>
      </c>
      <c r="P33" s="1">
        <f t="shared" si="2"/>
        <v>0</v>
      </c>
      <c r="Q33" s="1">
        <v>0.25</v>
      </c>
      <c r="R33" s="1">
        <v>0.03</v>
      </c>
      <c r="S33" s="1">
        <v>0</v>
      </c>
      <c r="T33" s="1">
        <v>0</v>
      </c>
      <c r="U33" s="1">
        <f t="shared" si="3"/>
        <v>0.66384999999999994</v>
      </c>
      <c r="V33" s="11">
        <f t="shared" ref="V33:W33" si="28">V24</f>
        <v>0.85</v>
      </c>
      <c r="W33" s="11">
        <f t="shared" si="28"/>
        <v>0.55000000000000004</v>
      </c>
    </row>
    <row r="34" spans="1:23" x14ac:dyDescent="0.15">
      <c r="A34" s="1">
        <v>407045</v>
      </c>
      <c r="B34" s="2" t="s">
        <v>42</v>
      </c>
      <c r="C34" s="2">
        <f t="shared" si="6"/>
        <v>5</v>
      </c>
      <c r="D34" s="1" t="s">
        <v>18</v>
      </c>
      <c r="E34" s="1">
        <v>4</v>
      </c>
      <c r="F34" s="1" t="s">
        <v>109</v>
      </c>
      <c r="G34" s="1"/>
      <c r="H34" s="1">
        <v>415005</v>
      </c>
      <c r="I34" s="3" t="s">
        <v>51</v>
      </c>
      <c r="J34" s="1">
        <v>0</v>
      </c>
      <c r="K34" s="9">
        <f t="shared" si="7"/>
        <v>3.25</v>
      </c>
      <c r="L34" s="1">
        <f t="shared" si="0"/>
        <v>0.73</v>
      </c>
      <c r="M34" s="1">
        <v>5</v>
      </c>
      <c r="N34" s="1">
        <v>0.65</v>
      </c>
      <c r="O34" s="1">
        <f t="shared" si="1"/>
        <v>0.37</v>
      </c>
      <c r="P34" s="1">
        <f t="shared" si="2"/>
        <v>0</v>
      </c>
      <c r="Q34" s="1">
        <v>0.25</v>
      </c>
      <c r="R34" s="1">
        <v>0.03</v>
      </c>
      <c r="S34" s="1">
        <v>0</v>
      </c>
      <c r="T34" s="1">
        <v>0</v>
      </c>
      <c r="U34" s="1">
        <f t="shared" si="3"/>
        <v>0.87782500000000008</v>
      </c>
      <c r="V34" s="11">
        <f t="shared" ref="V34:W34" si="29">V25</f>
        <v>0.85</v>
      </c>
      <c r="W34" s="11">
        <f t="shared" si="29"/>
        <v>0.55000000000000004</v>
      </c>
    </row>
    <row r="35" spans="1:23" x14ac:dyDescent="0.15">
      <c r="A35" s="1">
        <v>407046</v>
      </c>
      <c r="B35" s="2" t="s">
        <v>43</v>
      </c>
      <c r="C35" s="2">
        <f t="shared" si="6"/>
        <v>6</v>
      </c>
      <c r="D35" s="1" t="s">
        <v>18</v>
      </c>
      <c r="E35" s="1">
        <v>4</v>
      </c>
      <c r="F35" s="1" t="s">
        <v>110</v>
      </c>
      <c r="G35" s="1"/>
      <c r="H35" s="1">
        <v>415006</v>
      </c>
      <c r="I35" s="3" t="s">
        <v>52</v>
      </c>
      <c r="J35" s="1">
        <v>0</v>
      </c>
      <c r="K35" s="9">
        <f t="shared" si="7"/>
        <v>3.75</v>
      </c>
      <c r="L35" s="1">
        <f t="shared" ref="L35:L66" si="30">N35+(M35-1)*0.02</f>
        <v>0.75</v>
      </c>
      <c r="M35" s="1">
        <v>6</v>
      </c>
      <c r="N35" s="1">
        <v>0.65</v>
      </c>
      <c r="O35" s="1">
        <f t="shared" ref="O35:O66" si="31">Q35+(C35-1)*R35</f>
        <v>0.4</v>
      </c>
      <c r="P35" s="1">
        <f t="shared" ref="P35:P66" si="32">S35+(M35-1)*T35</f>
        <v>0</v>
      </c>
      <c r="Q35" s="1">
        <v>0.25</v>
      </c>
      <c r="R35" s="1">
        <v>0.03</v>
      </c>
      <c r="S35" s="1">
        <v>0</v>
      </c>
      <c r="T35" s="1">
        <v>0</v>
      </c>
      <c r="U35" s="1">
        <f t="shared" ref="U35:U66" si="33">O35*L35*K35</f>
        <v>1.1250000000000002</v>
      </c>
      <c r="V35" s="11">
        <f t="shared" ref="V35:W35" si="34">V26</f>
        <v>0.85</v>
      </c>
      <c r="W35" s="11">
        <f t="shared" si="34"/>
        <v>0.55000000000000004</v>
      </c>
    </row>
    <row r="36" spans="1:23" x14ac:dyDescent="0.15">
      <c r="A36" s="1">
        <v>407047</v>
      </c>
      <c r="B36" s="2" t="s">
        <v>44</v>
      </c>
      <c r="C36" s="2">
        <f t="shared" si="6"/>
        <v>7</v>
      </c>
      <c r="D36" s="1" t="s">
        <v>18</v>
      </c>
      <c r="E36" s="1">
        <v>4</v>
      </c>
      <c r="F36" s="1" t="s">
        <v>111</v>
      </c>
      <c r="G36" s="1"/>
      <c r="H36" s="1">
        <v>415007</v>
      </c>
      <c r="I36" s="3" t="s">
        <v>53</v>
      </c>
      <c r="J36" s="1">
        <v>0</v>
      </c>
      <c r="K36" s="9">
        <f t="shared" si="7"/>
        <v>4.25</v>
      </c>
      <c r="L36" s="1">
        <f t="shared" si="30"/>
        <v>0.77</v>
      </c>
      <c r="M36" s="1">
        <v>7</v>
      </c>
      <c r="N36" s="1">
        <v>0.65</v>
      </c>
      <c r="O36" s="1">
        <f t="shared" si="31"/>
        <v>0.43</v>
      </c>
      <c r="P36" s="1">
        <f t="shared" si="32"/>
        <v>0</v>
      </c>
      <c r="Q36" s="1">
        <v>0.25</v>
      </c>
      <c r="R36" s="1">
        <v>0.03</v>
      </c>
      <c r="S36" s="1">
        <v>0</v>
      </c>
      <c r="T36" s="1">
        <v>0</v>
      </c>
      <c r="U36" s="1">
        <f t="shared" si="33"/>
        <v>1.4071750000000001</v>
      </c>
      <c r="V36" s="11">
        <f t="shared" ref="V36:W36" si="35">V27</f>
        <v>0.85</v>
      </c>
      <c r="W36" s="11">
        <f t="shared" si="35"/>
        <v>0.55000000000000004</v>
      </c>
    </row>
    <row r="37" spans="1:23" x14ac:dyDescent="0.15">
      <c r="A37" s="1">
        <v>407048</v>
      </c>
      <c r="B37" s="2" t="s">
        <v>45</v>
      </c>
      <c r="C37" s="2">
        <f t="shared" si="6"/>
        <v>8</v>
      </c>
      <c r="D37" s="1" t="s">
        <v>18</v>
      </c>
      <c r="E37" s="1">
        <v>4</v>
      </c>
      <c r="F37" s="1" t="s">
        <v>112</v>
      </c>
      <c r="G37" s="1"/>
      <c r="H37" s="1">
        <v>415008</v>
      </c>
      <c r="I37" s="3" t="s">
        <v>54</v>
      </c>
      <c r="J37" s="1">
        <v>0</v>
      </c>
      <c r="K37" s="9">
        <f t="shared" si="7"/>
        <v>4.75</v>
      </c>
      <c r="L37" s="1">
        <f t="shared" si="30"/>
        <v>0.79</v>
      </c>
      <c r="M37" s="1">
        <v>8</v>
      </c>
      <c r="N37" s="1">
        <v>0.65</v>
      </c>
      <c r="O37" s="1">
        <f t="shared" si="31"/>
        <v>0.45999999999999996</v>
      </c>
      <c r="P37" s="1">
        <f t="shared" si="32"/>
        <v>0</v>
      </c>
      <c r="Q37" s="1">
        <v>0.25</v>
      </c>
      <c r="R37" s="1">
        <v>0.03</v>
      </c>
      <c r="S37" s="1">
        <v>0</v>
      </c>
      <c r="T37" s="1">
        <v>0</v>
      </c>
      <c r="U37" s="1">
        <f t="shared" si="33"/>
        <v>1.7261500000000001</v>
      </c>
      <c r="V37" s="11">
        <f t="shared" ref="V37:W37" si="36">V28</f>
        <v>0.85</v>
      </c>
      <c r="W37" s="11">
        <f t="shared" si="36"/>
        <v>0.55000000000000004</v>
      </c>
    </row>
    <row r="38" spans="1:23" x14ac:dyDescent="0.15">
      <c r="A38" s="1">
        <v>407049</v>
      </c>
      <c r="B38" s="2" t="s">
        <v>46</v>
      </c>
      <c r="C38" s="2">
        <f t="shared" si="6"/>
        <v>9</v>
      </c>
      <c r="D38" s="1" t="s">
        <v>18</v>
      </c>
      <c r="E38" s="1">
        <v>4</v>
      </c>
      <c r="F38" s="1" t="s">
        <v>113</v>
      </c>
      <c r="G38" s="1"/>
      <c r="H38" s="1">
        <v>415009</v>
      </c>
      <c r="I38" s="3" t="s">
        <v>55</v>
      </c>
      <c r="J38" s="1">
        <v>0</v>
      </c>
      <c r="K38" s="9">
        <f t="shared" si="7"/>
        <v>5.25</v>
      </c>
      <c r="L38" s="1">
        <f t="shared" si="30"/>
        <v>0.81</v>
      </c>
      <c r="M38" s="1">
        <v>9</v>
      </c>
      <c r="N38" s="1">
        <v>0.65</v>
      </c>
      <c r="O38" s="1">
        <f t="shared" si="31"/>
        <v>0.49</v>
      </c>
      <c r="P38" s="1">
        <f t="shared" si="32"/>
        <v>0</v>
      </c>
      <c r="Q38" s="1">
        <v>0.25</v>
      </c>
      <c r="R38" s="1">
        <v>0.03</v>
      </c>
      <c r="S38" s="1">
        <v>0</v>
      </c>
      <c r="T38" s="1">
        <v>0</v>
      </c>
      <c r="U38" s="1">
        <f t="shared" si="33"/>
        <v>2.0837250000000003</v>
      </c>
      <c r="V38" s="11">
        <f t="shared" ref="V38:W38" si="37">V29</f>
        <v>0.85</v>
      </c>
      <c r="W38" s="11">
        <f t="shared" si="37"/>
        <v>0.55000000000000004</v>
      </c>
    </row>
    <row r="39" spans="1:23" x14ac:dyDescent="0.15">
      <c r="A39" s="1">
        <v>407051</v>
      </c>
      <c r="B39" s="2" t="s">
        <v>69</v>
      </c>
      <c r="C39" s="2">
        <f t="shared" si="6"/>
        <v>1</v>
      </c>
      <c r="D39" s="1" t="s">
        <v>19</v>
      </c>
      <c r="E39" s="1">
        <v>5</v>
      </c>
      <c r="F39" s="1" t="s">
        <v>132</v>
      </c>
      <c r="G39" s="1" t="s">
        <v>166</v>
      </c>
      <c r="H39" s="1">
        <v>415001</v>
      </c>
      <c r="I39" s="3" t="s">
        <v>47</v>
      </c>
      <c r="J39" s="1">
        <v>0</v>
      </c>
      <c r="K39" s="9">
        <f t="shared" si="7"/>
        <v>1.25</v>
      </c>
      <c r="L39" s="1">
        <f t="shared" si="30"/>
        <v>0.7</v>
      </c>
      <c r="M39" s="1">
        <v>1</v>
      </c>
      <c r="N39" s="1">
        <v>0.7</v>
      </c>
      <c r="O39" s="1">
        <f t="shared" si="31"/>
        <v>0.2</v>
      </c>
      <c r="P39" s="1">
        <f t="shared" si="32"/>
        <v>0</v>
      </c>
      <c r="Q39" s="1">
        <v>0.2</v>
      </c>
      <c r="R39" s="1">
        <v>0.03</v>
      </c>
      <c r="S39" s="1">
        <v>0</v>
      </c>
      <c r="T39" s="1">
        <v>0</v>
      </c>
      <c r="U39" s="1">
        <f t="shared" si="33"/>
        <v>0.17499999999999999</v>
      </c>
      <c r="V39" s="11">
        <f t="shared" ref="V39:W39" si="38">V30</f>
        <v>0.85</v>
      </c>
      <c r="W39" s="11">
        <f t="shared" si="38"/>
        <v>0.55000000000000004</v>
      </c>
    </row>
    <row r="40" spans="1:23" x14ac:dyDescent="0.15">
      <c r="A40" s="1">
        <v>407052</v>
      </c>
      <c r="B40" s="2" t="s">
        <v>70</v>
      </c>
      <c r="C40" s="2">
        <f t="shared" si="6"/>
        <v>2</v>
      </c>
      <c r="D40" s="1" t="s">
        <v>19</v>
      </c>
      <c r="E40" s="1">
        <v>5</v>
      </c>
      <c r="F40" s="1" t="s">
        <v>133</v>
      </c>
      <c r="G40" s="1" t="s">
        <v>150</v>
      </c>
      <c r="H40" s="1">
        <v>415002</v>
      </c>
      <c r="I40" s="3" t="s">
        <v>48</v>
      </c>
      <c r="J40" s="1">
        <v>0</v>
      </c>
      <c r="K40" s="9">
        <f t="shared" si="7"/>
        <v>1.75</v>
      </c>
      <c r="L40" s="1">
        <f t="shared" si="30"/>
        <v>0.72</v>
      </c>
      <c r="M40" s="1">
        <v>2</v>
      </c>
      <c r="N40" s="1">
        <v>0.7</v>
      </c>
      <c r="O40" s="1">
        <f t="shared" si="31"/>
        <v>0.23</v>
      </c>
      <c r="P40" s="1">
        <f t="shared" si="32"/>
        <v>0</v>
      </c>
      <c r="Q40" s="1">
        <v>0.2</v>
      </c>
      <c r="R40" s="1">
        <v>0.03</v>
      </c>
      <c r="S40" s="1">
        <v>0</v>
      </c>
      <c r="T40" s="1">
        <v>0</v>
      </c>
      <c r="U40" s="1">
        <f t="shared" si="33"/>
        <v>0.2898</v>
      </c>
      <c r="V40" s="11">
        <f t="shared" ref="V40:W40" si="39">V31</f>
        <v>0.85</v>
      </c>
      <c r="W40" s="11">
        <f t="shared" si="39"/>
        <v>0.55000000000000004</v>
      </c>
    </row>
    <row r="41" spans="1:23" x14ac:dyDescent="0.15">
      <c r="A41" s="1">
        <v>407053</v>
      </c>
      <c r="B41" s="2" t="s">
        <v>71</v>
      </c>
      <c r="C41" s="2">
        <f t="shared" si="6"/>
        <v>3</v>
      </c>
      <c r="D41" s="1" t="s">
        <v>19</v>
      </c>
      <c r="E41" s="1">
        <v>5</v>
      </c>
      <c r="F41" s="1" t="s">
        <v>134</v>
      </c>
      <c r="G41" s="1" t="s">
        <v>151</v>
      </c>
      <c r="H41" s="1">
        <v>415003</v>
      </c>
      <c r="I41" s="3" t="s">
        <v>49</v>
      </c>
      <c r="J41" s="1">
        <v>0</v>
      </c>
      <c r="K41" s="9">
        <f t="shared" si="7"/>
        <v>2.25</v>
      </c>
      <c r="L41" s="1">
        <f t="shared" si="30"/>
        <v>0.74</v>
      </c>
      <c r="M41" s="1">
        <v>3</v>
      </c>
      <c r="N41" s="1">
        <v>0.7</v>
      </c>
      <c r="O41" s="1">
        <f t="shared" si="31"/>
        <v>0.26</v>
      </c>
      <c r="P41" s="1">
        <f t="shared" si="32"/>
        <v>0</v>
      </c>
      <c r="Q41" s="1">
        <v>0.2</v>
      </c>
      <c r="R41" s="1">
        <v>0.03</v>
      </c>
      <c r="S41" s="1">
        <v>0</v>
      </c>
      <c r="T41" s="1">
        <v>0</v>
      </c>
      <c r="U41" s="1">
        <f t="shared" si="33"/>
        <v>0.43290000000000006</v>
      </c>
      <c r="V41" s="11">
        <f t="shared" ref="V41:W41" si="40">V32</f>
        <v>0.85</v>
      </c>
      <c r="W41" s="11">
        <f t="shared" si="40"/>
        <v>0.55000000000000004</v>
      </c>
    </row>
    <row r="42" spans="1:23" x14ac:dyDescent="0.15">
      <c r="A42" s="1">
        <v>407054</v>
      </c>
      <c r="B42" s="2" t="s">
        <v>72</v>
      </c>
      <c r="C42" s="2">
        <f t="shared" si="6"/>
        <v>4</v>
      </c>
      <c r="D42" s="1" t="s">
        <v>19</v>
      </c>
      <c r="E42" s="1">
        <v>5</v>
      </c>
      <c r="F42" s="1" t="s">
        <v>135</v>
      </c>
      <c r="G42" s="1" t="s">
        <v>152</v>
      </c>
      <c r="H42" s="1">
        <v>415004</v>
      </c>
      <c r="I42" s="3" t="s">
        <v>50</v>
      </c>
      <c r="J42" s="1">
        <v>0</v>
      </c>
      <c r="K42" s="9">
        <f t="shared" si="7"/>
        <v>2.75</v>
      </c>
      <c r="L42" s="1">
        <f t="shared" si="30"/>
        <v>0.76</v>
      </c>
      <c r="M42" s="1">
        <v>4</v>
      </c>
      <c r="N42" s="1">
        <v>0.7</v>
      </c>
      <c r="O42" s="1">
        <f t="shared" si="31"/>
        <v>0.29000000000000004</v>
      </c>
      <c r="P42" s="1">
        <f t="shared" si="32"/>
        <v>0</v>
      </c>
      <c r="Q42" s="1">
        <v>0.2</v>
      </c>
      <c r="R42" s="1">
        <v>0.03</v>
      </c>
      <c r="S42" s="1">
        <v>0</v>
      </c>
      <c r="T42" s="1">
        <v>0</v>
      </c>
      <c r="U42" s="1">
        <f t="shared" si="33"/>
        <v>0.60610000000000008</v>
      </c>
      <c r="V42" s="11">
        <f t="shared" ref="V42:W42" si="41">V33</f>
        <v>0.85</v>
      </c>
      <c r="W42" s="11">
        <f t="shared" si="41"/>
        <v>0.55000000000000004</v>
      </c>
    </row>
    <row r="43" spans="1:23" x14ac:dyDescent="0.15">
      <c r="A43" s="1">
        <v>407055</v>
      </c>
      <c r="B43" s="2" t="s">
        <v>73</v>
      </c>
      <c r="C43" s="2">
        <f t="shared" si="6"/>
        <v>5</v>
      </c>
      <c r="D43" s="1" t="s">
        <v>19</v>
      </c>
      <c r="E43" s="1">
        <v>5</v>
      </c>
      <c r="F43" s="1" t="s">
        <v>136</v>
      </c>
      <c r="G43" s="1" t="s">
        <v>153</v>
      </c>
      <c r="H43" s="1">
        <v>415005</v>
      </c>
      <c r="I43" s="3" t="s">
        <v>51</v>
      </c>
      <c r="J43" s="1">
        <v>0</v>
      </c>
      <c r="K43" s="9">
        <f t="shared" si="7"/>
        <v>3.25</v>
      </c>
      <c r="L43" s="1">
        <f t="shared" si="30"/>
        <v>0.77999999999999992</v>
      </c>
      <c r="M43" s="1">
        <v>5</v>
      </c>
      <c r="N43" s="1">
        <v>0.7</v>
      </c>
      <c r="O43" s="1">
        <f t="shared" si="31"/>
        <v>0.32</v>
      </c>
      <c r="P43" s="1">
        <f t="shared" si="32"/>
        <v>0</v>
      </c>
      <c r="Q43" s="1">
        <v>0.2</v>
      </c>
      <c r="R43" s="1">
        <v>0.03</v>
      </c>
      <c r="S43" s="1">
        <v>0</v>
      </c>
      <c r="T43" s="1">
        <v>0</v>
      </c>
      <c r="U43" s="1">
        <f t="shared" si="33"/>
        <v>0.81119999999999992</v>
      </c>
      <c r="V43" s="11">
        <f t="shared" ref="V43:W43" si="42">V34</f>
        <v>0.85</v>
      </c>
      <c r="W43" s="11">
        <f t="shared" si="42"/>
        <v>0.55000000000000004</v>
      </c>
    </row>
    <row r="44" spans="1:23" x14ac:dyDescent="0.15">
      <c r="A44" s="1">
        <v>407056</v>
      </c>
      <c r="B44" s="2" t="s">
        <v>74</v>
      </c>
      <c r="C44" s="2">
        <f t="shared" si="6"/>
        <v>6</v>
      </c>
      <c r="D44" s="1" t="s">
        <v>19</v>
      </c>
      <c r="E44" s="1">
        <v>5</v>
      </c>
      <c r="F44" s="1" t="s">
        <v>137</v>
      </c>
      <c r="G44" s="1" t="s">
        <v>154</v>
      </c>
      <c r="H44" s="1">
        <v>415006</v>
      </c>
      <c r="I44" s="3" t="s">
        <v>52</v>
      </c>
      <c r="J44" s="1">
        <v>0</v>
      </c>
      <c r="K44" s="9">
        <f t="shared" si="7"/>
        <v>3.75</v>
      </c>
      <c r="L44" s="1">
        <f t="shared" si="30"/>
        <v>0.79999999999999993</v>
      </c>
      <c r="M44" s="1">
        <v>6</v>
      </c>
      <c r="N44" s="1">
        <v>0.7</v>
      </c>
      <c r="O44" s="1">
        <f t="shared" si="31"/>
        <v>0.35</v>
      </c>
      <c r="P44" s="1">
        <f t="shared" si="32"/>
        <v>0</v>
      </c>
      <c r="Q44" s="1">
        <v>0.2</v>
      </c>
      <c r="R44" s="1">
        <v>0.03</v>
      </c>
      <c r="S44" s="1">
        <v>0</v>
      </c>
      <c r="T44" s="1">
        <v>0</v>
      </c>
      <c r="U44" s="1">
        <f t="shared" si="33"/>
        <v>1.0499999999999998</v>
      </c>
      <c r="V44" s="11">
        <f t="shared" ref="V44:W44" si="43">V35</f>
        <v>0.85</v>
      </c>
      <c r="W44" s="11">
        <f t="shared" si="43"/>
        <v>0.55000000000000004</v>
      </c>
    </row>
    <row r="45" spans="1:23" x14ac:dyDescent="0.15">
      <c r="A45" s="1">
        <v>407057</v>
      </c>
      <c r="B45" s="2" t="s">
        <v>75</v>
      </c>
      <c r="C45" s="2">
        <f t="shared" si="6"/>
        <v>7</v>
      </c>
      <c r="D45" s="1" t="s">
        <v>19</v>
      </c>
      <c r="E45" s="1">
        <v>5</v>
      </c>
      <c r="F45" s="1" t="s">
        <v>138</v>
      </c>
      <c r="G45" s="1" t="s">
        <v>155</v>
      </c>
      <c r="H45" s="1">
        <v>415007</v>
      </c>
      <c r="I45" s="3" t="s">
        <v>53</v>
      </c>
      <c r="J45" s="1">
        <v>0</v>
      </c>
      <c r="K45" s="9">
        <f t="shared" si="7"/>
        <v>4.25</v>
      </c>
      <c r="L45" s="1">
        <f t="shared" si="30"/>
        <v>0.82</v>
      </c>
      <c r="M45" s="1">
        <v>7</v>
      </c>
      <c r="N45" s="1">
        <v>0.7</v>
      </c>
      <c r="O45" s="1">
        <f t="shared" si="31"/>
        <v>0.38</v>
      </c>
      <c r="P45" s="1">
        <f t="shared" si="32"/>
        <v>0</v>
      </c>
      <c r="Q45" s="1">
        <v>0.2</v>
      </c>
      <c r="R45" s="1">
        <v>0.03</v>
      </c>
      <c r="S45" s="1">
        <v>0</v>
      </c>
      <c r="T45" s="1">
        <v>0</v>
      </c>
      <c r="U45" s="1">
        <f t="shared" si="33"/>
        <v>1.3243</v>
      </c>
      <c r="V45" s="11">
        <f t="shared" ref="V45:W45" si="44">V36</f>
        <v>0.85</v>
      </c>
      <c r="W45" s="11">
        <f t="shared" si="44"/>
        <v>0.55000000000000004</v>
      </c>
    </row>
    <row r="46" spans="1:23" x14ac:dyDescent="0.15">
      <c r="A46" s="1">
        <v>407058</v>
      </c>
      <c r="B46" s="2" t="s">
        <v>76</v>
      </c>
      <c r="C46" s="2">
        <f t="shared" si="6"/>
        <v>8</v>
      </c>
      <c r="D46" s="1" t="s">
        <v>19</v>
      </c>
      <c r="E46" s="1">
        <v>5</v>
      </c>
      <c r="F46" s="1" t="s">
        <v>139</v>
      </c>
      <c r="G46" s="1" t="s">
        <v>156</v>
      </c>
      <c r="H46" s="1">
        <v>415008</v>
      </c>
      <c r="I46" s="3" t="s">
        <v>54</v>
      </c>
      <c r="J46" s="1">
        <v>0</v>
      </c>
      <c r="K46" s="9">
        <f t="shared" si="7"/>
        <v>4.75</v>
      </c>
      <c r="L46" s="1">
        <f t="shared" si="30"/>
        <v>0.84</v>
      </c>
      <c r="M46" s="1">
        <v>8</v>
      </c>
      <c r="N46" s="1">
        <v>0.7</v>
      </c>
      <c r="O46" s="1">
        <f t="shared" si="31"/>
        <v>0.41000000000000003</v>
      </c>
      <c r="P46" s="1">
        <f t="shared" si="32"/>
        <v>0</v>
      </c>
      <c r="Q46" s="1">
        <v>0.2</v>
      </c>
      <c r="R46" s="1">
        <v>0.03</v>
      </c>
      <c r="S46" s="1">
        <v>0</v>
      </c>
      <c r="T46" s="1">
        <v>0</v>
      </c>
      <c r="U46" s="1">
        <f t="shared" si="33"/>
        <v>1.6359000000000001</v>
      </c>
      <c r="V46" s="11">
        <f t="shared" ref="V46:W46" si="45">V37</f>
        <v>0.85</v>
      </c>
      <c r="W46" s="11">
        <f t="shared" si="45"/>
        <v>0.55000000000000004</v>
      </c>
    </row>
    <row r="47" spans="1:23" x14ac:dyDescent="0.15">
      <c r="A47" s="1">
        <v>407059</v>
      </c>
      <c r="B47" s="2" t="s">
        <v>77</v>
      </c>
      <c r="C47" s="2">
        <f t="shared" si="6"/>
        <v>9</v>
      </c>
      <c r="D47" s="1" t="s">
        <v>19</v>
      </c>
      <c r="E47" s="1">
        <v>5</v>
      </c>
      <c r="F47" s="1" t="s">
        <v>140</v>
      </c>
      <c r="G47" s="1" t="s">
        <v>157</v>
      </c>
      <c r="H47" s="1">
        <v>415009</v>
      </c>
      <c r="I47" s="3" t="s">
        <v>55</v>
      </c>
      <c r="J47" s="1">
        <v>0</v>
      </c>
      <c r="K47" s="9">
        <f t="shared" si="7"/>
        <v>5.25</v>
      </c>
      <c r="L47" s="1">
        <f t="shared" si="30"/>
        <v>0.86</v>
      </c>
      <c r="M47" s="1">
        <v>9</v>
      </c>
      <c r="N47" s="1">
        <v>0.7</v>
      </c>
      <c r="O47" s="1">
        <f t="shared" si="31"/>
        <v>0.44</v>
      </c>
      <c r="P47" s="1">
        <f t="shared" si="32"/>
        <v>0</v>
      </c>
      <c r="Q47" s="1">
        <v>0.2</v>
      </c>
      <c r="R47" s="1">
        <v>0.03</v>
      </c>
      <c r="S47" s="1">
        <v>0</v>
      </c>
      <c r="T47" s="1">
        <v>0</v>
      </c>
      <c r="U47" s="1">
        <f t="shared" si="33"/>
        <v>1.9866000000000001</v>
      </c>
      <c r="V47" s="11">
        <f t="shared" ref="V47:W47" si="46">V38</f>
        <v>0.85</v>
      </c>
      <c r="W47" s="11">
        <f t="shared" si="46"/>
        <v>0.55000000000000004</v>
      </c>
    </row>
    <row r="48" spans="1:23" x14ac:dyDescent="0.15">
      <c r="A48" s="1">
        <v>407061</v>
      </c>
      <c r="B48" s="2" t="s">
        <v>183</v>
      </c>
      <c r="C48" s="2">
        <f t="shared" si="6"/>
        <v>1</v>
      </c>
      <c r="D48" s="1" t="s">
        <v>19</v>
      </c>
      <c r="E48" s="1">
        <v>6</v>
      </c>
      <c r="F48" s="1" t="s">
        <v>141</v>
      </c>
      <c r="G48" s="1" t="s">
        <v>158</v>
      </c>
      <c r="H48" s="1">
        <v>415001</v>
      </c>
      <c r="I48" s="3" t="s">
        <v>47</v>
      </c>
      <c r="J48" s="1">
        <v>1</v>
      </c>
      <c r="K48" s="9">
        <f t="shared" si="7"/>
        <v>1.25</v>
      </c>
      <c r="L48" s="1">
        <f t="shared" si="30"/>
        <v>0.8</v>
      </c>
      <c r="M48" s="1">
        <v>1</v>
      </c>
      <c r="N48" s="1">
        <v>0.8</v>
      </c>
      <c r="O48" s="1">
        <f t="shared" si="31"/>
        <v>0.5</v>
      </c>
      <c r="P48" s="1">
        <f t="shared" si="32"/>
        <v>0</v>
      </c>
      <c r="Q48" s="1">
        <v>0.5</v>
      </c>
      <c r="R48" s="1">
        <v>0.03</v>
      </c>
      <c r="S48" s="1">
        <v>0</v>
      </c>
      <c r="T48" s="1">
        <v>0</v>
      </c>
      <c r="U48" s="1">
        <f t="shared" si="33"/>
        <v>0.5</v>
      </c>
      <c r="V48" s="11">
        <f t="shared" ref="V48:W48" si="47">V39</f>
        <v>0.85</v>
      </c>
      <c r="W48" s="11">
        <f t="shared" si="47"/>
        <v>0.55000000000000004</v>
      </c>
    </row>
    <row r="49" spans="1:23" x14ac:dyDescent="0.15">
      <c r="A49" s="1">
        <v>407062</v>
      </c>
      <c r="B49" s="2" t="s">
        <v>184</v>
      </c>
      <c r="C49" s="2">
        <f t="shared" si="6"/>
        <v>2</v>
      </c>
      <c r="D49" s="1" t="s">
        <v>19</v>
      </c>
      <c r="E49" s="1">
        <v>6</v>
      </c>
      <c r="F49" s="1" t="s">
        <v>142</v>
      </c>
      <c r="G49" s="1" t="s">
        <v>159</v>
      </c>
      <c r="H49" s="1">
        <v>415002</v>
      </c>
      <c r="I49" s="3" t="s">
        <v>48</v>
      </c>
      <c r="J49" s="1">
        <v>1</v>
      </c>
      <c r="K49" s="9">
        <f t="shared" si="7"/>
        <v>1.75</v>
      </c>
      <c r="L49" s="1">
        <f t="shared" si="30"/>
        <v>0.82000000000000006</v>
      </c>
      <c r="M49" s="1">
        <v>2</v>
      </c>
      <c r="N49" s="1">
        <v>0.8</v>
      </c>
      <c r="O49" s="1">
        <f t="shared" si="31"/>
        <v>0.53</v>
      </c>
      <c r="P49" s="1">
        <f t="shared" si="32"/>
        <v>0</v>
      </c>
      <c r="Q49" s="1">
        <v>0.5</v>
      </c>
      <c r="R49" s="1">
        <v>0.03</v>
      </c>
      <c r="S49" s="1">
        <v>0</v>
      </c>
      <c r="T49" s="1">
        <v>0</v>
      </c>
      <c r="U49" s="1">
        <f t="shared" si="33"/>
        <v>0.76055000000000006</v>
      </c>
      <c r="V49" s="11">
        <f t="shared" ref="V49:W49" si="48">V40</f>
        <v>0.85</v>
      </c>
      <c r="W49" s="11">
        <f t="shared" si="48"/>
        <v>0.55000000000000004</v>
      </c>
    </row>
    <row r="50" spans="1:23" x14ac:dyDescent="0.15">
      <c r="A50" s="1">
        <v>407063</v>
      </c>
      <c r="B50" s="2" t="s">
        <v>185</v>
      </c>
      <c r="C50" s="2">
        <f t="shared" si="6"/>
        <v>3</v>
      </c>
      <c r="D50" s="1" t="s">
        <v>19</v>
      </c>
      <c r="E50" s="1">
        <v>6</v>
      </c>
      <c r="F50" s="1" t="s">
        <v>143</v>
      </c>
      <c r="G50" s="1" t="s">
        <v>160</v>
      </c>
      <c r="H50" s="1">
        <v>415003</v>
      </c>
      <c r="I50" s="3" t="s">
        <v>49</v>
      </c>
      <c r="J50" s="1">
        <v>1</v>
      </c>
      <c r="K50" s="9">
        <f t="shared" si="7"/>
        <v>2.25</v>
      </c>
      <c r="L50" s="1">
        <f t="shared" si="30"/>
        <v>0.84000000000000008</v>
      </c>
      <c r="M50" s="1">
        <v>3</v>
      </c>
      <c r="N50" s="1">
        <v>0.8</v>
      </c>
      <c r="O50" s="1">
        <f t="shared" si="31"/>
        <v>0.56000000000000005</v>
      </c>
      <c r="P50" s="1">
        <f t="shared" si="32"/>
        <v>0</v>
      </c>
      <c r="Q50" s="1">
        <v>0.5</v>
      </c>
      <c r="R50" s="1">
        <v>0.03</v>
      </c>
      <c r="S50" s="1">
        <v>0</v>
      </c>
      <c r="T50" s="1">
        <v>0</v>
      </c>
      <c r="U50" s="1">
        <f t="shared" si="33"/>
        <v>1.0584000000000002</v>
      </c>
      <c r="V50" s="11">
        <f t="shared" ref="V50:W50" si="49">V41</f>
        <v>0.85</v>
      </c>
      <c r="W50" s="11">
        <f t="shared" si="49"/>
        <v>0.55000000000000004</v>
      </c>
    </row>
    <row r="51" spans="1:23" x14ac:dyDescent="0.15">
      <c r="A51" s="1">
        <v>407064</v>
      </c>
      <c r="B51" s="2" t="s">
        <v>186</v>
      </c>
      <c r="C51" s="2">
        <f t="shared" si="6"/>
        <v>4</v>
      </c>
      <c r="D51" s="1" t="s">
        <v>19</v>
      </c>
      <c r="E51" s="1">
        <v>6</v>
      </c>
      <c r="F51" s="1" t="s">
        <v>144</v>
      </c>
      <c r="G51" s="1" t="s">
        <v>161</v>
      </c>
      <c r="H51" s="1">
        <v>415004</v>
      </c>
      <c r="I51" s="3" t="s">
        <v>50</v>
      </c>
      <c r="J51" s="1">
        <v>1</v>
      </c>
      <c r="K51" s="9">
        <f t="shared" si="7"/>
        <v>2.75</v>
      </c>
      <c r="L51" s="1">
        <f t="shared" si="30"/>
        <v>0.8600000000000001</v>
      </c>
      <c r="M51" s="1">
        <v>4</v>
      </c>
      <c r="N51" s="1">
        <v>0.8</v>
      </c>
      <c r="O51" s="1">
        <f t="shared" si="31"/>
        <v>0.59</v>
      </c>
      <c r="P51" s="1">
        <f t="shared" si="32"/>
        <v>0</v>
      </c>
      <c r="Q51" s="1">
        <v>0.5</v>
      </c>
      <c r="R51" s="1">
        <v>0.03</v>
      </c>
      <c r="S51" s="1">
        <v>0</v>
      </c>
      <c r="T51" s="1">
        <v>0</v>
      </c>
      <c r="U51" s="1">
        <f t="shared" si="33"/>
        <v>1.3953500000000001</v>
      </c>
      <c r="V51" s="11">
        <f t="shared" ref="V51:W51" si="50">V42</f>
        <v>0.85</v>
      </c>
      <c r="W51" s="11">
        <f t="shared" si="50"/>
        <v>0.55000000000000004</v>
      </c>
    </row>
    <row r="52" spans="1:23" x14ac:dyDescent="0.15">
      <c r="A52" s="1">
        <v>407065</v>
      </c>
      <c r="B52" s="2" t="s">
        <v>187</v>
      </c>
      <c r="C52" s="2">
        <f t="shared" si="6"/>
        <v>5</v>
      </c>
      <c r="D52" s="1" t="s">
        <v>19</v>
      </c>
      <c r="E52" s="1">
        <v>6</v>
      </c>
      <c r="F52" s="1" t="s">
        <v>145</v>
      </c>
      <c r="G52" s="1" t="s">
        <v>162</v>
      </c>
      <c r="H52" s="1">
        <v>415005</v>
      </c>
      <c r="I52" s="3" t="s">
        <v>51</v>
      </c>
      <c r="J52" s="1">
        <v>1</v>
      </c>
      <c r="K52" s="9">
        <f t="shared" si="7"/>
        <v>3.25</v>
      </c>
      <c r="L52" s="1">
        <f t="shared" si="30"/>
        <v>0.88</v>
      </c>
      <c r="M52" s="1">
        <v>5</v>
      </c>
      <c r="N52" s="1">
        <v>0.8</v>
      </c>
      <c r="O52" s="1">
        <f t="shared" si="31"/>
        <v>0.62</v>
      </c>
      <c r="P52" s="1">
        <f t="shared" si="32"/>
        <v>0</v>
      </c>
      <c r="Q52" s="1">
        <v>0.5</v>
      </c>
      <c r="R52" s="1">
        <v>0.03</v>
      </c>
      <c r="S52" s="1">
        <v>0</v>
      </c>
      <c r="T52" s="1">
        <v>0</v>
      </c>
      <c r="U52" s="1">
        <f t="shared" si="33"/>
        <v>1.7731999999999999</v>
      </c>
      <c r="V52" s="11">
        <f t="shared" ref="V52:W52" si="51">V43</f>
        <v>0.85</v>
      </c>
      <c r="W52" s="11">
        <f t="shared" si="51"/>
        <v>0.55000000000000004</v>
      </c>
    </row>
    <row r="53" spans="1:23" x14ac:dyDescent="0.15">
      <c r="A53" s="1">
        <v>407066</v>
      </c>
      <c r="B53" s="2" t="s">
        <v>188</v>
      </c>
      <c r="C53" s="2">
        <f t="shared" si="6"/>
        <v>6</v>
      </c>
      <c r="D53" s="1" t="s">
        <v>19</v>
      </c>
      <c r="E53" s="1">
        <v>6</v>
      </c>
      <c r="F53" s="1" t="s">
        <v>146</v>
      </c>
      <c r="G53" s="1" t="s">
        <v>163</v>
      </c>
      <c r="H53" s="1">
        <v>415006</v>
      </c>
      <c r="I53" s="3" t="s">
        <v>52</v>
      </c>
      <c r="J53" s="1">
        <v>1</v>
      </c>
      <c r="K53" s="9">
        <f t="shared" si="7"/>
        <v>3.75</v>
      </c>
      <c r="L53" s="1">
        <f t="shared" si="30"/>
        <v>0.9</v>
      </c>
      <c r="M53" s="1">
        <v>6</v>
      </c>
      <c r="N53" s="1">
        <v>0.8</v>
      </c>
      <c r="O53" s="1">
        <f t="shared" si="31"/>
        <v>0.65</v>
      </c>
      <c r="P53" s="1">
        <f t="shared" si="32"/>
        <v>0</v>
      </c>
      <c r="Q53" s="1">
        <v>0.5</v>
      </c>
      <c r="R53" s="1">
        <v>0.03</v>
      </c>
      <c r="S53" s="1">
        <v>0</v>
      </c>
      <c r="T53" s="1">
        <v>0</v>
      </c>
      <c r="U53" s="1">
        <f t="shared" si="33"/>
        <v>2.1937500000000001</v>
      </c>
      <c r="V53" s="11">
        <f t="shared" ref="V53:W53" si="52">V44</f>
        <v>0.85</v>
      </c>
      <c r="W53" s="11">
        <f t="shared" si="52"/>
        <v>0.55000000000000004</v>
      </c>
    </row>
    <row r="54" spans="1:23" x14ac:dyDescent="0.15">
      <c r="A54" s="1">
        <v>407067</v>
      </c>
      <c r="B54" s="2" t="s">
        <v>189</v>
      </c>
      <c r="C54" s="2">
        <f t="shared" si="6"/>
        <v>7</v>
      </c>
      <c r="D54" s="1" t="s">
        <v>19</v>
      </c>
      <c r="E54" s="1">
        <v>6</v>
      </c>
      <c r="F54" s="1" t="s">
        <v>147</v>
      </c>
      <c r="G54" s="1" t="s">
        <v>164</v>
      </c>
      <c r="H54" s="1">
        <v>415007</v>
      </c>
      <c r="I54" s="3" t="s">
        <v>53</v>
      </c>
      <c r="J54" s="1">
        <v>1</v>
      </c>
      <c r="K54" s="9">
        <f t="shared" si="7"/>
        <v>4.25</v>
      </c>
      <c r="L54" s="1">
        <f t="shared" si="30"/>
        <v>0.92</v>
      </c>
      <c r="M54" s="1">
        <v>7</v>
      </c>
      <c r="N54" s="1">
        <v>0.8</v>
      </c>
      <c r="O54" s="1">
        <f t="shared" si="31"/>
        <v>0.67999999999999994</v>
      </c>
      <c r="P54" s="1">
        <f t="shared" si="32"/>
        <v>0</v>
      </c>
      <c r="Q54" s="1">
        <v>0.5</v>
      </c>
      <c r="R54" s="1">
        <v>0.03</v>
      </c>
      <c r="S54" s="1">
        <v>0</v>
      </c>
      <c r="T54" s="1">
        <v>0</v>
      </c>
      <c r="U54" s="1">
        <f t="shared" si="33"/>
        <v>2.6587999999999998</v>
      </c>
      <c r="V54" s="11">
        <f t="shared" ref="V54:W54" si="53">V45</f>
        <v>0.85</v>
      </c>
      <c r="W54" s="11">
        <f t="shared" si="53"/>
        <v>0.55000000000000004</v>
      </c>
    </row>
    <row r="55" spans="1:23" x14ac:dyDescent="0.15">
      <c r="A55" s="1">
        <v>407068</v>
      </c>
      <c r="B55" s="2" t="s">
        <v>190</v>
      </c>
      <c r="C55" s="2">
        <f t="shared" si="6"/>
        <v>8</v>
      </c>
      <c r="D55" s="1" t="s">
        <v>19</v>
      </c>
      <c r="E55" s="1">
        <v>6</v>
      </c>
      <c r="F55" s="1" t="s">
        <v>148</v>
      </c>
      <c r="G55" s="1" t="s">
        <v>165</v>
      </c>
      <c r="H55" s="1">
        <v>415008</v>
      </c>
      <c r="I55" s="3" t="s">
        <v>54</v>
      </c>
      <c r="J55" s="1">
        <v>1</v>
      </c>
      <c r="K55" s="9">
        <f t="shared" si="7"/>
        <v>4.75</v>
      </c>
      <c r="L55" s="1">
        <f t="shared" si="30"/>
        <v>0.94000000000000006</v>
      </c>
      <c r="M55" s="1">
        <v>8</v>
      </c>
      <c r="N55" s="1">
        <v>0.8</v>
      </c>
      <c r="O55" s="1">
        <f t="shared" si="31"/>
        <v>0.71</v>
      </c>
      <c r="P55" s="1">
        <f t="shared" si="32"/>
        <v>0</v>
      </c>
      <c r="Q55" s="1">
        <v>0.5</v>
      </c>
      <c r="R55" s="1">
        <v>0.03</v>
      </c>
      <c r="S55" s="1">
        <v>0</v>
      </c>
      <c r="T55" s="1">
        <v>0</v>
      </c>
      <c r="U55" s="1">
        <f t="shared" si="33"/>
        <v>3.17015</v>
      </c>
      <c r="V55" s="11">
        <f t="shared" ref="V55:W55" si="54">V46</f>
        <v>0.85</v>
      </c>
      <c r="W55" s="11">
        <f t="shared" si="54"/>
        <v>0.55000000000000004</v>
      </c>
    </row>
    <row r="56" spans="1:23" x14ac:dyDescent="0.15">
      <c r="A56" s="1">
        <v>407069</v>
      </c>
      <c r="B56" s="2" t="s">
        <v>191</v>
      </c>
      <c r="C56" s="2">
        <f t="shared" si="6"/>
        <v>9</v>
      </c>
      <c r="D56" s="1" t="s">
        <v>19</v>
      </c>
      <c r="E56" s="1">
        <v>6</v>
      </c>
      <c r="F56" s="1" t="s">
        <v>149</v>
      </c>
      <c r="G56" s="1" t="s">
        <v>167</v>
      </c>
      <c r="H56" s="1">
        <v>415009</v>
      </c>
      <c r="I56" s="3" t="s">
        <v>55</v>
      </c>
      <c r="J56" s="1">
        <v>1</v>
      </c>
      <c r="K56" s="9">
        <f t="shared" si="7"/>
        <v>5.25</v>
      </c>
      <c r="L56" s="1">
        <f t="shared" si="30"/>
        <v>0.96000000000000008</v>
      </c>
      <c r="M56" s="1">
        <v>9</v>
      </c>
      <c r="N56" s="1">
        <v>0.8</v>
      </c>
      <c r="O56" s="1">
        <f t="shared" si="31"/>
        <v>0.74</v>
      </c>
      <c r="P56" s="1">
        <f t="shared" si="32"/>
        <v>0</v>
      </c>
      <c r="Q56" s="1">
        <v>0.5</v>
      </c>
      <c r="R56" s="1">
        <v>0.03</v>
      </c>
      <c r="S56" s="1">
        <v>0</v>
      </c>
      <c r="T56" s="1">
        <v>0</v>
      </c>
      <c r="U56" s="1">
        <f t="shared" si="33"/>
        <v>3.7296</v>
      </c>
      <c r="V56" s="11">
        <f t="shared" ref="V56:W56" si="55">V47</f>
        <v>0.85</v>
      </c>
      <c r="W56" s="11">
        <f t="shared" si="55"/>
        <v>0.55000000000000004</v>
      </c>
    </row>
    <row r="57" spans="1:23" x14ac:dyDescent="0.15">
      <c r="A57" s="1">
        <v>407071</v>
      </c>
      <c r="B57" s="2" t="s">
        <v>192</v>
      </c>
      <c r="C57" s="2">
        <f t="shared" si="6"/>
        <v>1</v>
      </c>
      <c r="D57" s="1" t="s">
        <v>19</v>
      </c>
      <c r="E57" s="1">
        <v>7</v>
      </c>
      <c r="F57" s="1" t="s">
        <v>168</v>
      </c>
      <c r="G57" s="1"/>
      <c r="H57" s="1">
        <v>415001</v>
      </c>
      <c r="I57" s="3" t="s">
        <v>47</v>
      </c>
      <c r="J57" s="1">
        <v>1</v>
      </c>
      <c r="K57" s="9">
        <f t="shared" si="7"/>
        <v>1.25</v>
      </c>
      <c r="L57" s="1">
        <f t="shared" si="30"/>
        <v>0.7</v>
      </c>
      <c r="M57" s="1">
        <v>1</v>
      </c>
      <c r="N57" s="1">
        <v>0.7</v>
      </c>
      <c r="O57" s="1">
        <f t="shared" si="31"/>
        <v>0.2</v>
      </c>
      <c r="P57" s="1">
        <f t="shared" si="32"/>
        <v>0</v>
      </c>
      <c r="Q57" s="1">
        <v>0.2</v>
      </c>
      <c r="R57" s="1">
        <v>0.03</v>
      </c>
      <c r="S57" s="1">
        <v>0</v>
      </c>
      <c r="T57" s="1">
        <v>0</v>
      </c>
      <c r="U57" s="1">
        <f t="shared" si="33"/>
        <v>0.17499999999999999</v>
      </c>
      <c r="V57" s="11">
        <f t="shared" ref="V57:W57" si="56">V48</f>
        <v>0.85</v>
      </c>
      <c r="W57" s="11">
        <f t="shared" si="56"/>
        <v>0.55000000000000004</v>
      </c>
    </row>
    <row r="58" spans="1:23" x14ac:dyDescent="0.15">
      <c r="A58" s="1">
        <v>407072</v>
      </c>
      <c r="B58" s="2" t="s">
        <v>193</v>
      </c>
      <c r="C58" s="2">
        <f t="shared" si="6"/>
        <v>2</v>
      </c>
      <c r="D58" s="1" t="s">
        <v>19</v>
      </c>
      <c r="E58" s="1">
        <v>7</v>
      </c>
      <c r="F58" s="1" t="s">
        <v>169</v>
      </c>
      <c r="G58" s="1"/>
      <c r="H58" s="1">
        <v>415002</v>
      </c>
      <c r="I58" s="3" t="s">
        <v>48</v>
      </c>
      <c r="J58" s="1">
        <v>1</v>
      </c>
      <c r="K58" s="9">
        <f t="shared" si="7"/>
        <v>1.75</v>
      </c>
      <c r="L58" s="1">
        <f t="shared" si="30"/>
        <v>0.72</v>
      </c>
      <c r="M58" s="1">
        <v>2</v>
      </c>
      <c r="N58" s="1">
        <v>0.7</v>
      </c>
      <c r="O58" s="1">
        <f t="shared" si="31"/>
        <v>0.23</v>
      </c>
      <c r="P58" s="1">
        <f t="shared" si="32"/>
        <v>0</v>
      </c>
      <c r="Q58" s="1">
        <v>0.2</v>
      </c>
      <c r="R58" s="1">
        <v>0.03</v>
      </c>
      <c r="S58" s="1">
        <v>0</v>
      </c>
      <c r="T58" s="1">
        <v>0</v>
      </c>
      <c r="U58" s="1">
        <f t="shared" si="33"/>
        <v>0.2898</v>
      </c>
      <c r="V58" s="11">
        <f t="shared" ref="V58:W58" si="57">V49</f>
        <v>0.85</v>
      </c>
      <c r="W58" s="11">
        <f t="shared" si="57"/>
        <v>0.55000000000000004</v>
      </c>
    </row>
    <row r="59" spans="1:23" x14ac:dyDescent="0.15">
      <c r="A59" s="1">
        <v>407073</v>
      </c>
      <c r="B59" s="2" t="s">
        <v>194</v>
      </c>
      <c r="C59" s="2">
        <f t="shared" si="6"/>
        <v>3</v>
      </c>
      <c r="D59" s="1" t="s">
        <v>19</v>
      </c>
      <c r="E59" s="1">
        <v>7</v>
      </c>
      <c r="F59" s="1" t="s">
        <v>170</v>
      </c>
      <c r="G59" s="1"/>
      <c r="H59" s="1">
        <v>415003</v>
      </c>
      <c r="I59" s="3" t="s">
        <v>49</v>
      </c>
      <c r="J59" s="1">
        <v>1</v>
      </c>
      <c r="K59" s="9">
        <f t="shared" si="7"/>
        <v>2.25</v>
      </c>
      <c r="L59" s="1">
        <f t="shared" si="30"/>
        <v>0.74</v>
      </c>
      <c r="M59" s="1">
        <v>3</v>
      </c>
      <c r="N59" s="1">
        <v>0.7</v>
      </c>
      <c r="O59" s="1">
        <f t="shared" si="31"/>
        <v>0.26</v>
      </c>
      <c r="P59" s="1">
        <f t="shared" si="32"/>
        <v>0</v>
      </c>
      <c r="Q59" s="1">
        <v>0.2</v>
      </c>
      <c r="R59" s="1">
        <v>0.03</v>
      </c>
      <c r="S59" s="1">
        <v>0</v>
      </c>
      <c r="T59" s="1">
        <v>0</v>
      </c>
      <c r="U59" s="1">
        <f t="shared" si="33"/>
        <v>0.43290000000000006</v>
      </c>
      <c r="V59" s="11">
        <f t="shared" ref="V59:W59" si="58">V50</f>
        <v>0.85</v>
      </c>
      <c r="W59" s="11">
        <f t="shared" si="58"/>
        <v>0.55000000000000004</v>
      </c>
    </row>
    <row r="60" spans="1:23" x14ac:dyDescent="0.15">
      <c r="A60" s="1">
        <v>407074</v>
      </c>
      <c r="B60" s="2" t="s">
        <v>195</v>
      </c>
      <c r="C60" s="2">
        <f t="shared" si="6"/>
        <v>4</v>
      </c>
      <c r="D60" s="1" t="s">
        <v>19</v>
      </c>
      <c r="E60" s="1">
        <v>7</v>
      </c>
      <c r="F60" s="1" t="s">
        <v>171</v>
      </c>
      <c r="G60" s="1"/>
      <c r="H60" s="1">
        <v>415004</v>
      </c>
      <c r="I60" s="3" t="s">
        <v>50</v>
      </c>
      <c r="J60" s="1">
        <v>1</v>
      </c>
      <c r="K60" s="9">
        <f t="shared" si="7"/>
        <v>2.75</v>
      </c>
      <c r="L60" s="1">
        <f t="shared" si="30"/>
        <v>0.76</v>
      </c>
      <c r="M60" s="1">
        <v>4</v>
      </c>
      <c r="N60" s="1">
        <v>0.7</v>
      </c>
      <c r="O60" s="1">
        <f t="shared" si="31"/>
        <v>0.29000000000000004</v>
      </c>
      <c r="P60" s="1">
        <f t="shared" si="32"/>
        <v>0</v>
      </c>
      <c r="Q60" s="1">
        <v>0.2</v>
      </c>
      <c r="R60" s="1">
        <v>0.03</v>
      </c>
      <c r="S60" s="1">
        <v>0</v>
      </c>
      <c r="T60" s="1">
        <v>0</v>
      </c>
      <c r="U60" s="1">
        <f t="shared" si="33"/>
        <v>0.60610000000000008</v>
      </c>
      <c r="V60" s="11">
        <f t="shared" ref="V60:W60" si="59">V51</f>
        <v>0.85</v>
      </c>
      <c r="W60" s="11">
        <f t="shared" si="59"/>
        <v>0.55000000000000004</v>
      </c>
    </row>
    <row r="61" spans="1:23" x14ac:dyDescent="0.15">
      <c r="A61" s="1">
        <v>407075</v>
      </c>
      <c r="B61" s="2" t="s">
        <v>196</v>
      </c>
      <c r="C61" s="2">
        <f t="shared" si="6"/>
        <v>5</v>
      </c>
      <c r="D61" s="1" t="s">
        <v>19</v>
      </c>
      <c r="E61" s="1">
        <v>7</v>
      </c>
      <c r="F61" s="1" t="s">
        <v>172</v>
      </c>
      <c r="G61" s="1"/>
      <c r="H61" s="1">
        <v>415005</v>
      </c>
      <c r="I61" s="3" t="s">
        <v>51</v>
      </c>
      <c r="J61" s="1">
        <v>1</v>
      </c>
      <c r="K61" s="9">
        <f t="shared" si="7"/>
        <v>3.25</v>
      </c>
      <c r="L61" s="1">
        <f t="shared" si="30"/>
        <v>0.77999999999999992</v>
      </c>
      <c r="M61" s="1">
        <v>5</v>
      </c>
      <c r="N61" s="1">
        <v>0.7</v>
      </c>
      <c r="O61" s="1">
        <f t="shared" si="31"/>
        <v>0.32</v>
      </c>
      <c r="P61" s="1">
        <f t="shared" si="32"/>
        <v>0</v>
      </c>
      <c r="Q61" s="1">
        <v>0.2</v>
      </c>
      <c r="R61" s="1">
        <v>0.03</v>
      </c>
      <c r="S61" s="1">
        <v>0</v>
      </c>
      <c r="T61" s="1">
        <v>0</v>
      </c>
      <c r="U61" s="1">
        <f t="shared" si="33"/>
        <v>0.81119999999999992</v>
      </c>
      <c r="V61" s="11">
        <f t="shared" ref="V61:W61" si="60">V52</f>
        <v>0.85</v>
      </c>
      <c r="W61" s="11">
        <f t="shared" si="60"/>
        <v>0.55000000000000004</v>
      </c>
    </row>
    <row r="62" spans="1:23" x14ac:dyDescent="0.15">
      <c r="A62" s="1">
        <v>407076</v>
      </c>
      <c r="B62" s="2" t="s">
        <v>197</v>
      </c>
      <c r="C62" s="2">
        <f t="shared" si="6"/>
        <v>6</v>
      </c>
      <c r="D62" s="1" t="s">
        <v>19</v>
      </c>
      <c r="E62" s="1">
        <v>7</v>
      </c>
      <c r="F62" s="1" t="s">
        <v>173</v>
      </c>
      <c r="G62" s="1"/>
      <c r="H62" s="1">
        <v>415006</v>
      </c>
      <c r="I62" s="3" t="s">
        <v>52</v>
      </c>
      <c r="J62" s="1">
        <v>1</v>
      </c>
      <c r="K62" s="9">
        <f t="shared" si="7"/>
        <v>3.75</v>
      </c>
      <c r="L62" s="1">
        <f t="shared" si="30"/>
        <v>0.79999999999999993</v>
      </c>
      <c r="M62" s="1">
        <v>6</v>
      </c>
      <c r="N62" s="1">
        <v>0.7</v>
      </c>
      <c r="O62" s="1">
        <f t="shared" si="31"/>
        <v>0.35</v>
      </c>
      <c r="P62" s="1">
        <f t="shared" si="32"/>
        <v>0</v>
      </c>
      <c r="Q62" s="1">
        <v>0.2</v>
      </c>
      <c r="R62" s="1">
        <v>0.03</v>
      </c>
      <c r="S62" s="1">
        <v>0</v>
      </c>
      <c r="T62" s="1">
        <v>0</v>
      </c>
      <c r="U62" s="1">
        <f t="shared" si="33"/>
        <v>1.0499999999999998</v>
      </c>
      <c r="V62" s="11">
        <f t="shared" ref="V62:W62" si="61">V53</f>
        <v>0.85</v>
      </c>
      <c r="W62" s="11">
        <f t="shared" si="61"/>
        <v>0.55000000000000004</v>
      </c>
    </row>
    <row r="63" spans="1:23" x14ac:dyDescent="0.15">
      <c r="A63" s="1">
        <v>407077</v>
      </c>
      <c r="B63" s="2" t="s">
        <v>198</v>
      </c>
      <c r="C63" s="2">
        <f t="shared" si="6"/>
        <v>7</v>
      </c>
      <c r="D63" s="1" t="s">
        <v>19</v>
      </c>
      <c r="E63" s="1">
        <v>7</v>
      </c>
      <c r="F63" s="1" t="s">
        <v>174</v>
      </c>
      <c r="G63" s="1"/>
      <c r="H63" s="1">
        <v>415007</v>
      </c>
      <c r="I63" s="3" t="s">
        <v>53</v>
      </c>
      <c r="J63" s="1">
        <v>1</v>
      </c>
      <c r="K63" s="9">
        <f t="shared" si="7"/>
        <v>4.25</v>
      </c>
      <c r="L63" s="1">
        <f t="shared" si="30"/>
        <v>0.82</v>
      </c>
      <c r="M63" s="1">
        <v>7</v>
      </c>
      <c r="N63" s="1">
        <v>0.7</v>
      </c>
      <c r="O63" s="1">
        <f t="shared" si="31"/>
        <v>0.38</v>
      </c>
      <c r="P63" s="1">
        <f t="shared" si="32"/>
        <v>0</v>
      </c>
      <c r="Q63" s="1">
        <v>0.2</v>
      </c>
      <c r="R63" s="1">
        <v>0.03</v>
      </c>
      <c r="S63" s="1">
        <v>0</v>
      </c>
      <c r="T63" s="1">
        <v>0</v>
      </c>
      <c r="U63" s="1">
        <f t="shared" si="33"/>
        <v>1.3243</v>
      </c>
      <c r="V63" s="11">
        <f t="shared" ref="V63:W63" si="62">V54</f>
        <v>0.85</v>
      </c>
      <c r="W63" s="11">
        <f t="shared" si="62"/>
        <v>0.55000000000000004</v>
      </c>
    </row>
    <row r="64" spans="1:23" x14ac:dyDescent="0.15">
      <c r="A64" s="1">
        <v>407078</v>
      </c>
      <c r="B64" s="2" t="s">
        <v>199</v>
      </c>
      <c r="C64" s="2">
        <f t="shared" si="6"/>
        <v>8</v>
      </c>
      <c r="D64" s="1" t="s">
        <v>19</v>
      </c>
      <c r="E64" s="1">
        <v>7</v>
      </c>
      <c r="F64" s="1" t="s">
        <v>175</v>
      </c>
      <c r="G64" s="1"/>
      <c r="H64" s="1">
        <v>415008</v>
      </c>
      <c r="I64" s="3" t="s">
        <v>54</v>
      </c>
      <c r="J64" s="1">
        <v>1</v>
      </c>
      <c r="K64" s="9">
        <f t="shared" si="7"/>
        <v>4.75</v>
      </c>
      <c r="L64" s="1">
        <f t="shared" si="30"/>
        <v>0.84</v>
      </c>
      <c r="M64" s="1">
        <v>8</v>
      </c>
      <c r="N64" s="1">
        <v>0.7</v>
      </c>
      <c r="O64" s="1">
        <f t="shared" si="31"/>
        <v>0.41000000000000003</v>
      </c>
      <c r="P64" s="1">
        <f t="shared" si="32"/>
        <v>0</v>
      </c>
      <c r="Q64" s="1">
        <v>0.2</v>
      </c>
      <c r="R64" s="1">
        <v>0.03</v>
      </c>
      <c r="S64" s="1">
        <v>0</v>
      </c>
      <c r="T64" s="1">
        <v>0</v>
      </c>
      <c r="U64" s="1">
        <f t="shared" si="33"/>
        <v>1.6359000000000001</v>
      </c>
      <c r="V64" s="11">
        <f t="shared" ref="V64:W64" si="63">V55</f>
        <v>0.85</v>
      </c>
      <c r="W64" s="11">
        <f t="shared" si="63"/>
        <v>0.55000000000000004</v>
      </c>
    </row>
    <row r="65" spans="1:23" x14ac:dyDescent="0.15">
      <c r="A65" s="1">
        <v>407079</v>
      </c>
      <c r="B65" s="2" t="s">
        <v>200</v>
      </c>
      <c r="C65" s="2">
        <f t="shared" si="6"/>
        <v>9</v>
      </c>
      <c r="D65" s="1" t="s">
        <v>19</v>
      </c>
      <c r="E65" s="1">
        <v>7</v>
      </c>
      <c r="F65" s="1" t="s">
        <v>176</v>
      </c>
      <c r="G65" s="1"/>
      <c r="H65" s="1">
        <v>415009</v>
      </c>
      <c r="I65" s="3" t="s">
        <v>55</v>
      </c>
      <c r="J65" s="1">
        <v>1</v>
      </c>
      <c r="K65" s="9">
        <f t="shared" si="7"/>
        <v>5.25</v>
      </c>
      <c r="L65" s="1">
        <f t="shared" si="30"/>
        <v>0.86</v>
      </c>
      <c r="M65" s="1">
        <v>9</v>
      </c>
      <c r="N65" s="1">
        <v>0.7</v>
      </c>
      <c r="O65" s="1">
        <f t="shared" si="31"/>
        <v>0.44</v>
      </c>
      <c r="P65" s="1">
        <f t="shared" si="32"/>
        <v>0</v>
      </c>
      <c r="Q65" s="1">
        <v>0.2</v>
      </c>
      <c r="R65" s="1">
        <v>0.03</v>
      </c>
      <c r="S65" s="1">
        <v>0</v>
      </c>
      <c r="T65" s="1">
        <v>0</v>
      </c>
      <c r="U65" s="1">
        <f t="shared" si="33"/>
        <v>1.9866000000000001</v>
      </c>
      <c r="V65" s="11">
        <f t="shared" ref="V65:W65" si="64">V56</f>
        <v>0.85</v>
      </c>
      <c r="W65" s="11">
        <f t="shared" si="64"/>
        <v>0.55000000000000004</v>
      </c>
    </row>
    <row r="66" spans="1:23" x14ac:dyDescent="0.15">
      <c r="A66" s="1">
        <v>407080</v>
      </c>
      <c r="B66" s="2" t="s">
        <v>201</v>
      </c>
      <c r="C66" s="2">
        <f t="shared" si="6"/>
        <v>1</v>
      </c>
      <c r="D66" s="1" t="s">
        <v>18</v>
      </c>
      <c r="E66" s="1">
        <v>8</v>
      </c>
      <c r="F66" s="1" t="s">
        <v>211</v>
      </c>
      <c r="G66" s="1"/>
      <c r="H66" s="1">
        <v>415001</v>
      </c>
      <c r="I66" s="3" t="s">
        <v>47</v>
      </c>
      <c r="J66" s="1">
        <v>0</v>
      </c>
      <c r="K66" s="9">
        <f t="shared" si="7"/>
        <v>1.25</v>
      </c>
      <c r="L66" s="1">
        <f t="shared" si="30"/>
        <v>0.65</v>
      </c>
      <c r="M66" s="1">
        <v>1</v>
      </c>
      <c r="N66" s="1">
        <v>0.65</v>
      </c>
      <c r="O66" s="1">
        <f t="shared" si="31"/>
        <v>0.25</v>
      </c>
      <c r="P66" s="1">
        <f t="shared" si="32"/>
        <v>0</v>
      </c>
      <c r="Q66" s="1">
        <v>0.25</v>
      </c>
      <c r="R66" s="1">
        <v>0.03</v>
      </c>
      <c r="S66" s="1">
        <v>0</v>
      </c>
      <c r="T66" s="1">
        <v>0</v>
      </c>
      <c r="U66" s="1">
        <f t="shared" si="33"/>
        <v>0.203125</v>
      </c>
      <c r="V66" s="11">
        <f t="shared" ref="V66:W66" si="65">V57</f>
        <v>0.85</v>
      </c>
      <c r="W66" s="11">
        <f t="shared" si="65"/>
        <v>0.55000000000000004</v>
      </c>
    </row>
    <row r="67" spans="1:23" x14ac:dyDescent="0.15">
      <c r="A67" s="1">
        <v>407081</v>
      </c>
      <c r="B67" s="2" t="s">
        <v>202</v>
      </c>
      <c r="C67" s="2">
        <f t="shared" si="6"/>
        <v>2</v>
      </c>
      <c r="D67" s="1" t="s">
        <v>18</v>
      </c>
      <c r="E67" s="1">
        <v>8</v>
      </c>
      <c r="F67" s="1" t="s">
        <v>212</v>
      </c>
      <c r="G67" s="1"/>
      <c r="H67" s="1">
        <v>415002</v>
      </c>
      <c r="I67" s="3" t="s">
        <v>48</v>
      </c>
      <c r="J67" s="1">
        <v>0</v>
      </c>
      <c r="K67" s="9">
        <f t="shared" si="7"/>
        <v>1.75</v>
      </c>
      <c r="L67" s="1">
        <f t="shared" ref="L67:L98" si="66">N67+(M67-1)*0.02</f>
        <v>0.67</v>
      </c>
      <c r="M67" s="1">
        <v>2</v>
      </c>
      <c r="N67" s="1">
        <v>0.65</v>
      </c>
      <c r="O67" s="1">
        <f t="shared" ref="O67:O98" si="67">Q67+(C67-1)*R67</f>
        <v>0.28000000000000003</v>
      </c>
      <c r="P67" s="1">
        <f t="shared" ref="P67:P98" si="68">S67+(M67-1)*T67</f>
        <v>0</v>
      </c>
      <c r="Q67" s="1">
        <v>0.25</v>
      </c>
      <c r="R67" s="1">
        <v>0.03</v>
      </c>
      <c r="S67" s="1">
        <v>0</v>
      </c>
      <c r="T67" s="1">
        <v>0</v>
      </c>
      <c r="U67" s="1">
        <f t="shared" ref="U67:U74" si="69">O67*L67*K67</f>
        <v>0.32830000000000004</v>
      </c>
      <c r="V67" s="11">
        <f t="shared" ref="V67:W67" si="70">V58</f>
        <v>0.85</v>
      </c>
      <c r="W67" s="11">
        <f t="shared" si="70"/>
        <v>0.55000000000000004</v>
      </c>
    </row>
    <row r="68" spans="1:23" x14ac:dyDescent="0.15">
      <c r="A68" s="1">
        <v>407082</v>
      </c>
      <c r="B68" s="2" t="s">
        <v>203</v>
      </c>
      <c r="C68" s="2">
        <f t="shared" si="6"/>
        <v>3</v>
      </c>
      <c r="D68" s="1" t="s">
        <v>18</v>
      </c>
      <c r="E68" s="1">
        <v>8</v>
      </c>
      <c r="F68" s="1" t="s">
        <v>213</v>
      </c>
      <c r="G68" s="1"/>
      <c r="H68" s="1">
        <v>415003</v>
      </c>
      <c r="I68" s="3" t="s">
        <v>49</v>
      </c>
      <c r="J68" s="1">
        <v>0</v>
      </c>
      <c r="K68" s="9">
        <f t="shared" si="7"/>
        <v>2.25</v>
      </c>
      <c r="L68" s="1">
        <f t="shared" si="66"/>
        <v>0.69000000000000006</v>
      </c>
      <c r="M68" s="1">
        <v>3</v>
      </c>
      <c r="N68" s="1">
        <v>0.65</v>
      </c>
      <c r="O68" s="1">
        <f t="shared" si="67"/>
        <v>0.31</v>
      </c>
      <c r="P68" s="1">
        <f t="shared" si="68"/>
        <v>0</v>
      </c>
      <c r="Q68" s="1">
        <v>0.25</v>
      </c>
      <c r="R68" s="1">
        <v>0.03</v>
      </c>
      <c r="S68" s="1">
        <v>0</v>
      </c>
      <c r="T68" s="1">
        <v>0</v>
      </c>
      <c r="U68" s="1">
        <f t="shared" si="69"/>
        <v>0.48127500000000001</v>
      </c>
      <c r="V68" s="11">
        <f t="shared" ref="V68:W68" si="71">V59</f>
        <v>0.85</v>
      </c>
      <c r="W68" s="11">
        <f t="shared" si="71"/>
        <v>0.55000000000000004</v>
      </c>
    </row>
    <row r="69" spans="1:23" x14ac:dyDescent="0.15">
      <c r="A69" s="1">
        <v>407083</v>
      </c>
      <c r="B69" s="2" t="s">
        <v>204</v>
      </c>
      <c r="C69" s="2">
        <f t="shared" si="6"/>
        <v>4</v>
      </c>
      <c r="D69" s="1" t="s">
        <v>18</v>
      </c>
      <c r="E69" s="1">
        <v>8</v>
      </c>
      <c r="F69" s="1" t="s">
        <v>214</v>
      </c>
      <c r="G69" s="1"/>
      <c r="H69" s="1">
        <v>415004</v>
      </c>
      <c r="I69" s="3" t="s">
        <v>50</v>
      </c>
      <c r="J69" s="1">
        <v>0</v>
      </c>
      <c r="K69" s="9">
        <f t="shared" si="7"/>
        <v>2.75</v>
      </c>
      <c r="L69" s="1">
        <f t="shared" si="66"/>
        <v>0.71</v>
      </c>
      <c r="M69" s="1">
        <v>4</v>
      </c>
      <c r="N69" s="1">
        <v>0.65</v>
      </c>
      <c r="O69" s="1">
        <f t="shared" si="67"/>
        <v>0.33999999999999997</v>
      </c>
      <c r="P69" s="1">
        <f t="shared" si="68"/>
        <v>0</v>
      </c>
      <c r="Q69" s="1">
        <v>0.25</v>
      </c>
      <c r="R69" s="1">
        <v>0.03</v>
      </c>
      <c r="S69" s="1">
        <v>0</v>
      </c>
      <c r="T69" s="1">
        <v>0</v>
      </c>
      <c r="U69" s="1">
        <f t="shared" si="69"/>
        <v>0.66384999999999994</v>
      </c>
      <c r="V69" s="11">
        <f t="shared" ref="V69:W69" si="72">V60</f>
        <v>0.85</v>
      </c>
      <c r="W69" s="11">
        <f t="shared" si="72"/>
        <v>0.55000000000000004</v>
      </c>
    </row>
    <row r="70" spans="1:23" x14ac:dyDescent="0.15">
      <c r="A70" s="1">
        <v>407084</v>
      </c>
      <c r="B70" s="2" t="s">
        <v>205</v>
      </c>
      <c r="C70" s="2">
        <f t="shared" si="6"/>
        <v>5</v>
      </c>
      <c r="D70" s="1" t="s">
        <v>18</v>
      </c>
      <c r="E70" s="1">
        <v>8</v>
      </c>
      <c r="F70" s="1" t="s">
        <v>215</v>
      </c>
      <c r="G70" s="1"/>
      <c r="H70" s="1">
        <v>415005</v>
      </c>
      <c r="I70" s="3" t="s">
        <v>51</v>
      </c>
      <c r="J70" s="1">
        <v>0</v>
      </c>
      <c r="K70" s="9">
        <f t="shared" si="7"/>
        <v>3.25</v>
      </c>
      <c r="L70" s="1">
        <f t="shared" si="66"/>
        <v>0.73</v>
      </c>
      <c r="M70" s="1">
        <v>5</v>
      </c>
      <c r="N70" s="1">
        <v>0.65</v>
      </c>
      <c r="O70" s="1">
        <f t="shared" si="67"/>
        <v>0.37</v>
      </c>
      <c r="P70" s="1">
        <f t="shared" si="68"/>
        <v>0</v>
      </c>
      <c r="Q70" s="1">
        <v>0.25</v>
      </c>
      <c r="R70" s="1">
        <v>0.03</v>
      </c>
      <c r="S70" s="1">
        <v>0</v>
      </c>
      <c r="T70" s="1">
        <v>0</v>
      </c>
      <c r="U70" s="1">
        <f t="shared" si="69"/>
        <v>0.87782500000000008</v>
      </c>
      <c r="V70" s="11">
        <f t="shared" ref="V70:W70" si="73">V61</f>
        <v>0.85</v>
      </c>
      <c r="W70" s="11">
        <f t="shared" si="73"/>
        <v>0.55000000000000004</v>
      </c>
    </row>
    <row r="71" spans="1:23" x14ac:dyDescent="0.15">
      <c r="A71" s="1">
        <v>407085</v>
      </c>
      <c r="B71" s="2" t="s">
        <v>206</v>
      </c>
      <c r="C71" s="2">
        <f t="shared" si="6"/>
        <v>6</v>
      </c>
      <c r="D71" s="1" t="s">
        <v>18</v>
      </c>
      <c r="E71" s="1">
        <v>8</v>
      </c>
      <c r="F71" s="1" t="s">
        <v>216</v>
      </c>
      <c r="G71" s="1"/>
      <c r="H71" s="1">
        <v>415006</v>
      </c>
      <c r="I71" s="3" t="s">
        <v>52</v>
      </c>
      <c r="J71" s="1">
        <v>0</v>
      </c>
      <c r="K71" s="9">
        <f t="shared" si="7"/>
        <v>3.75</v>
      </c>
      <c r="L71" s="1">
        <f t="shared" si="66"/>
        <v>0.75</v>
      </c>
      <c r="M71" s="1">
        <v>6</v>
      </c>
      <c r="N71" s="1">
        <v>0.65</v>
      </c>
      <c r="O71" s="1">
        <f t="shared" si="67"/>
        <v>0.4</v>
      </c>
      <c r="P71" s="1">
        <f t="shared" si="68"/>
        <v>0</v>
      </c>
      <c r="Q71" s="1">
        <v>0.25</v>
      </c>
      <c r="R71" s="1">
        <v>0.03</v>
      </c>
      <c r="S71" s="1">
        <v>0</v>
      </c>
      <c r="T71" s="1">
        <v>0</v>
      </c>
      <c r="U71" s="1">
        <f t="shared" si="69"/>
        <v>1.1250000000000002</v>
      </c>
      <c r="V71" s="11">
        <f t="shared" ref="V71:W71" si="74">V62</f>
        <v>0.85</v>
      </c>
      <c r="W71" s="11">
        <f t="shared" si="74"/>
        <v>0.55000000000000004</v>
      </c>
    </row>
    <row r="72" spans="1:23" x14ac:dyDescent="0.15">
      <c r="A72" s="1">
        <v>407086</v>
      </c>
      <c r="B72" s="2" t="s">
        <v>207</v>
      </c>
      <c r="C72" s="2">
        <f t="shared" si="6"/>
        <v>7</v>
      </c>
      <c r="D72" s="1" t="s">
        <v>18</v>
      </c>
      <c r="E72" s="1">
        <v>8</v>
      </c>
      <c r="F72" s="1" t="s">
        <v>217</v>
      </c>
      <c r="G72" s="1"/>
      <c r="H72" s="1">
        <v>415007</v>
      </c>
      <c r="I72" s="3" t="s">
        <v>53</v>
      </c>
      <c r="J72" s="1">
        <v>0</v>
      </c>
      <c r="K72" s="9">
        <f t="shared" si="7"/>
        <v>4.25</v>
      </c>
      <c r="L72" s="1">
        <f t="shared" si="66"/>
        <v>0.77</v>
      </c>
      <c r="M72" s="1">
        <v>7</v>
      </c>
      <c r="N72" s="1">
        <v>0.65</v>
      </c>
      <c r="O72" s="1">
        <f t="shared" si="67"/>
        <v>0.43</v>
      </c>
      <c r="P72" s="1">
        <f t="shared" si="68"/>
        <v>0</v>
      </c>
      <c r="Q72" s="1">
        <v>0.25</v>
      </c>
      <c r="R72" s="1">
        <v>0.03</v>
      </c>
      <c r="S72" s="1">
        <v>0</v>
      </c>
      <c r="T72" s="1">
        <v>0</v>
      </c>
      <c r="U72" s="1">
        <f t="shared" si="69"/>
        <v>1.4071750000000001</v>
      </c>
      <c r="V72" s="11">
        <f t="shared" ref="V72:W72" si="75">V63</f>
        <v>0.85</v>
      </c>
      <c r="W72" s="11">
        <f t="shared" si="75"/>
        <v>0.55000000000000004</v>
      </c>
    </row>
    <row r="73" spans="1:23" x14ac:dyDescent="0.15">
      <c r="A73" s="1">
        <v>407087</v>
      </c>
      <c r="B73" s="2" t="s">
        <v>208</v>
      </c>
      <c r="C73" s="2">
        <f t="shared" si="6"/>
        <v>8</v>
      </c>
      <c r="D73" s="1" t="s">
        <v>18</v>
      </c>
      <c r="E73" s="1">
        <v>8</v>
      </c>
      <c r="F73" s="1" t="s">
        <v>218</v>
      </c>
      <c r="G73" s="1"/>
      <c r="H73" s="1">
        <v>415008</v>
      </c>
      <c r="I73" s="3" t="s">
        <v>54</v>
      </c>
      <c r="J73" s="1">
        <v>0</v>
      </c>
      <c r="K73" s="9">
        <f t="shared" si="7"/>
        <v>4.75</v>
      </c>
      <c r="L73" s="1">
        <f t="shared" si="66"/>
        <v>0.79</v>
      </c>
      <c r="M73" s="1">
        <v>8</v>
      </c>
      <c r="N73" s="1">
        <v>0.65</v>
      </c>
      <c r="O73" s="1">
        <f t="shared" si="67"/>
        <v>0.45999999999999996</v>
      </c>
      <c r="P73" s="1">
        <f t="shared" si="68"/>
        <v>0</v>
      </c>
      <c r="Q73" s="1">
        <v>0.25</v>
      </c>
      <c r="R73" s="1">
        <v>0.03</v>
      </c>
      <c r="S73" s="1">
        <v>0</v>
      </c>
      <c r="T73" s="1">
        <v>0</v>
      </c>
      <c r="U73" s="1">
        <f t="shared" si="69"/>
        <v>1.7261500000000001</v>
      </c>
      <c r="V73" s="11">
        <f t="shared" ref="V73:W73" si="76">V64</f>
        <v>0.85</v>
      </c>
      <c r="W73" s="11">
        <f t="shared" si="76"/>
        <v>0.55000000000000004</v>
      </c>
    </row>
    <row r="74" spans="1:23" x14ac:dyDescent="0.15">
      <c r="A74" s="1">
        <v>407088</v>
      </c>
      <c r="B74" s="2" t="s">
        <v>209</v>
      </c>
      <c r="C74" s="2">
        <f t="shared" si="6"/>
        <v>9</v>
      </c>
      <c r="D74" s="1" t="s">
        <v>18</v>
      </c>
      <c r="E74" s="1">
        <v>8</v>
      </c>
      <c r="F74" s="1" t="s">
        <v>210</v>
      </c>
      <c r="G74" s="1"/>
      <c r="H74" s="1">
        <v>415009</v>
      </c>
      <c r="I74" s="3" t="s">
        <v>55</v>
      </c>
      <c r="J74" s="1">
        <v>0</v>
      </c>
      <c r="K74" s="9">
        <f t="shared" si="7"/>
        <v>5.25</v>
      </c>
      <c r="L74" s="1">
        <f t="shared" si="66"/>
        <v>0.81</v>
      </c>
      <c r="M74" s="1">
        <v>9</v>
      </c>
      <c r="N74" s="1">
        <v>0.65</v>
      </c>
      <c r="O74" s="1">
        <f t="shared" si="67"/>
        <v>0.49</v>
      </c>
      <c r="P74" s="1">
        <f t="shared" si="68"/>
        <v>0</v>
      </c>
      <c r="Q74" s="1">
        <v>0.25</v>
      </c>
      <c r="R74" s="1">
        <v>0.03</v>
      </c>
      <c r="S74" s="1">
        <v>0</v>
      </c>
      <c r="T74" s="1">
        <v>0</v>
      </c>
      <c r="U74" s="1">
        <f t="shared" si="69"/>
        <v>2.0837250000000003</v>
      </c>
      <c r="V74" s="11">
        <f t="shared" ref="V74:W74" si="77">V65</f>
        <v>0.85</v>
      </c>
      <c r="W74" s="11">
        <f t="shared" si="77"/>
        <v>0.55000000000000004</v>
      </c>
    </row>
    <row r="75" spans="1:23" x14ac:dyDescent="0.15">
      <c r="A75" s="1">
        <v>407089</v>
      </c>
      <c r="B75" s="2" t="s">
        <v>227</v>
      </c>
      <c r="C75" s="2">
        <f t="shared" si="6"/>
        <v>1</v>
      </c>
      <c r="D75" s="1" t="s">
        <v>19</v>
      </c>
      <c r="E75" s="1">
        <v>9</v>
      </c>
      <c r="F75" s="1" t="s">
        <v>236</v>
      </c>
      <c r="G75" s="1"/>
      <c r="H75" s="1">
        <v>415001</v>
      </c>
      <c r="I75" s="3" t="s">
        <v>47</v>
      </c>
      <c r="J75" s="1">
        <v>1</v>
      </c>
      <c r="K75" s="9">
        <f t="shared" si="7"/>
        <v>1.25</v>
      </c>
      <c r="L75" s="1">
        <f t="shared" si="66"/>
        <v>0.7</v>
      </c>
      <c r="M75" s="1">
        <v>1</v>
      </c>
      <c r="N75" s="1">
        <v>0.7</v>
      </c>
      <c r="O75" s="1">
        <f t="shared" si="67"/>
        <v>0.05</v>
      </c>
      <c r="P75" s="1">
        <f t="shared" si="68"/>
        <v>0.5</v>
      </c>
      <c r="Q75" s="1">
        <v>0.05</v>
      </c>
      <c r="R75" s="1">
        <v>0.01</v>
      </c>
      <c r="S75" s="1">
        <v>0.5</v>
      </c>
      <c r="T75" s="1">
        <v>0.03</v>
      </c>
      <c r="U75" s="1">
        <f t="shared" ref="U75:U110" si="78">P75*L75*K75</f>
        <v>0.4375</v>
      </c>
      <c r="V75" s="11">
        <f t="shared" ref="V75:W75" si="79">V66</f>
        <v>0.85</v>
      </c>
      <c r="W75" s="11">
        <f t="shared" si="79"/>
        <v>0.55000000000000004</v>
      </c>
    </row>
    <row r="76" spans="1:23" x14ac:dyDescent="0.15">
      <c r="A76" s="1">
        <v>407090</v>
      </c>
      <c r="B76" s="2" t="s">
        <v>228</v>
      </c>
      <c r="C76" s="2">
        <f t="shared" si="6"/>
        <v>2</v>
      </c>
      <c r="D76" s="1" t="s">
        <v>19</v>
      </c>
      <c r="E76" s="1">
        <v>9</v>
      </c>
      <c r="F76" s="1" t="s">
        <v>237</v>
      </c>
      <c r="G76" s="1"/>
      <c r="H76" s="1">
        <v>415002</v>
      </c>
      <c r="I76" s="3" t="s">
        <v>48</v>
      </c>
      <c r="J76" s="1">
        <v>1</v>
      </c>
      <c r="K76" s="9">
        <f t="shared" si="7"/>
        <v>1.75</v>
      </c>
      <c r="L76" s="1">
        <f t="shared" si="66"/>
        <v>0.72</v>
      </c>
      <c r="M76" s="1">
        <v>2</v>
      </c>
      <c r="N76" s="1">
        <v>0.7</v>
      </c>
      <c r="O76" s="1">
        <f t="shared" si="67"/>
        <v>6.0000000000000005E-2</v>
      </c>
      <c r="P76" s="1">
        <f t="shared" si="68"/>
        <v>0.53</v>
      </c>
      <c r="Q76" s="1">
        <v>0.05</v>
      </c>
      <c r="R76" s="1">
        <v>0.01</v>
      </c>
      <c r="S76" s="1">
        <v>0.5</v>
      </c>
      <c r="T76" s="1">
        <v>0.03</v>
      </c>
      <c r="U76" s="1">
        <f t="shared" si="78"/>
        <v>0.66779999999999995</v>
      </c>
      <c r="V76" s="11">
        <f t="shared" ref="V76:W76" si="80">V67</f>
        <v>0.85</v>
      </c>
      <c r="W76" s="11">
        <f t="shared" si="80"/>
        <v>0.55000000000000004</v>
      </c>
    </row>
    <row r="77" spans="1:23" x14ac:dyDescent="0.15">
      <c r="A77" s="1">
        <v>407091</v>
      </c>
      <c r="B77" s="2" t="s">
        <v>229</v>
      </c>
      <c r="C77" s="2">
        <f t="shared" ref="C77:C119" si="81">C68</f>
        <v>3</v>
      </c>
      <c r="D77" s="1" t="s">
        <v>19</v>
      </c>
      <c r="E77" s="1">
        <v>9</v>
      </c>
      <c r="F77" s="1" t="s">
        <v>238</v>
      </c>
      <c r="G77" s="1"/>
      <c r="H77" s="1">
        <v>415003</v>
      </c>
      <c r="I77" s="3" t="s">
        <v>49</v>
      </c>
      <c r="J77" s="1">
        <v>1</v>
      </c>
      <c r="K77" s="9">
        <f t="shared" ref="K77:K119" si="82">K68</f>
        <v>2.25</v>
      </c>
      <c r="L77" s="1">
        <f t="shared" si="66"/>
        <v>0.74</v>
      </c>
      <c r="M77" s="1">
        <v>3</v>
      </c>
      <c r="N77" s="1">
        <v>0.7</v>
      </c>
      <c r="O77" s="1">
        <f t="shared" si="67"/>
        <v>7.0000000000000007E-2</v>
      </c>
      <c r="P77" s="1">
        <f t="shared" si="68"/>
        <v>0.56000000000000005</v>
      </c>
      <c r="Q77" s="1">
        <v>0.05</v>
      </c>
      <c r="R77" s="1">
        <v>0.01</v>
      </c>
      <c r="S77" s="1">
        <v>0.5</v>
      </c>
      <c r="T77" s="1">
        <v>0.03</v>
      </c>
      <c r="U77" s="1">
        <f t="shared" si="78"/>
        <v>0.93240000000000012</v>
      </c>
      <c r="V77" s="11">
        <f t="shared" ref="V77:W77" si="83">V68</f>
        <v>0.85</v>
      </c>
      <c r="W77" s="11">
        <f t="shared" si="83"/>
        <v>0.55000000000000004</v>
      </c>
    </row>
    <row r="78" spans="1:23" x14ac:dyDescent="0.15">
      <c r="A78" s="1">
        <v>407092</v>
      </c>
      <c r="B78" s="2" t="s">
        <v>230</v>
      </c>
      <c r="C78" s="2">
        <f t="shared" si="81"/>
        <v>4</v>
      </c>
      <c r="D78" s="1" t="s">
        <v>19</v>
      </c>
      <c r="E78" s="1">
        <v>9</v>
      </c>
      <c r="F78" s="1" t="s">
        <v>239</v>
      </c>
      <c r="G78" s="1"/>
      <c r="H78" s="1">
        <v>415004</v>
      </c>
      <c r="I78" s="3" t="s">
        <v>50</v>
      </c>
      <c r="J78" s="1">
        <v>1</v>
      </c>
      <c r="K78" s="9">
        <f t="shared" si="82"/>
        <v>2.75</v>
      </c>
      <c r="L78" s="1">
        <f t="shared" si="66"/>
        <v>0.76</v>
      </c>
      <c r="M78" s="1">
        <v>4</v>
      </c>
      <c r="N78" s="1">
        <v>0.7</v>
      </c>
      <c r="O78" s="1">
        <f t="shared" si="67"/>
        <v>0.08</v>
      </c>
      <c r="P78" s="1">
        <f t="shared" si="68"/>
        <v>0.59</v>
      </c>
      <c r="Q78" s="1">
        <v>0.05</v>
      </c>
      <c r="R78" s="1">
        <v>0.01</v>
      </c>
      <c r="S78" s="1">
        <v>0.5</v>
      </c>
      <c r="T78" s="1">
        <v>0.03</v>
      </c>
      <c r="U78" s="1">
        <f t="shared" si="78"/>
        <v>1.2330999999999999</v>
      </c>
      <c r="V78" s="11">
        <f t="shared" ref="V78:W78" si="84">V69</f>
        <v>0.85</v>
      </c>
      <c r="W78" s="11">
        <f t="shared" si="84"/>
        <v>0.55000000000000004</v>
      </c>
    </row>
    <row r="79" spans="1:23" x14ac:dyDescent="0.15">
      <c r="A79" s="1">
        <v>407093</v>
      </c>
      <c r="B79" s="2" t="s">
        <v>231</v>
      </c>
      <c r="C79" s="2">
        <f t="shared" si="81"/>
        <v>5</v>
      </c>
      <c r="D79" s="1" t="s">
        <v>19</v>
      </c>
      <c r="E79" s="1">
        <v>9</v>
      </c>
      <c r="F79" s="1" t="s">
        <v>240</v>
      </c>
      <c r="G79" s="1"/>
      <c r="H79" s="1">
        <v>415005</v>
      </c>
      <c r="I79" s="3" t="s">
        <v>51</v>
      </c>
      <c r="J79" s="1">
        <v>1</v>
      </c>
      <c r="K79" s="9">
        <f t="shared" si="82"/>
        <v>3.25</v>
      </c>
      <c r="L79" s="1">
        <f t="shared" si="66"/>
        <v>0.77999999999999992</v>
      </c>
      <c r="M79" s="1">
        <v>5</v>
      </c>
      <c r="N79" s="1">
        <v>0.7</v>
      </c>
      <c r="O79" s="1">
        <f t="shared" si="67"/>
        <v>0.09</v>
      </c>
      <c r="P79" s="1">
        <f t="shared" si="68"/>
        <v>0.62</v>
      </c>
      <c r="Q79" s="1">
        <v>0.05</v>
      </c>
      <c r="R79" s="1">
        <v>0.01</v>
      </c>
      <c r="S79" s="1">
        <v>0.5</v>
      </c>
      <c r="T79" s="1">
        <v>0.03</v>
      </c>
      <c r="U79" s="1">
        <f t="shared" si="78"/>
        <v>1.5716999999999997</v>
      </c>
      <c r="V79" s="11">
        <f t="shared" ref="V79:W79" si="85">V70</f>
        <v>0.85</v>
      </c>
      <c r="W79" s="11">
        <f t="shared" si="85"/>
        <v>0.55000000000000004</v>
      </c>
    </row>
    <row r="80" spans="1:23" x14ac:dyDescent="0.15">
      <c r="A80" s="1">
        <v>407094</v>
      </c>
      <c r="B80" s="2" t="s">
        <v>232</v>
      </c>
      <c r="C80" s="2">
        <f t="shared" si="81"/>
        <v>6</v>
      </c>
      <c r="D80" s="1" t="s">
        <v>19</v>
      </c>
      <c r="E80" s="1">
        <v>9</v>
      </c>
      <c r="F80" s="1" t="s">
        <v>241</v>
      </c>
      <c r="G80" s="1"/>
      <c r="H80" s="1">
        <v>415006</v>
      </c>
      <c r="I80" s="3" t="s">
        <v>52</v>
      </c>
      <c r="J80" s="1">
        <v>1</v>
      </c>
      <c r="K80" s="9">
        <f t="shared" si="82"/>
        <v>3.75</v>
      </c>
      <c r="L80" s="1">
        <f t="shared" si="66"/>
        <v>0.79999999999999993</v>
      </c>
      <c r="M80" s="1">
        <v>6</v>
      </c>
      <c r="N80" s="1">
        <v>0.7</v>
      </c>
      <c r="O80" s="1">
        <f t="shared" si="67"/>
        <v>0.1</v>
      </c>
      <c r="P80" s="1">
        <f t="shared" si="68"/>
        <v>0.65</v>
      </c>
      <c r="Q80" s="1">
        <v>0.05</v>
      </c>
      <c r="R80" s="1">
        <v>0.01</v>
      </c>
      <c r="S80" s="1">
        <v>0.5</v>
      </c>
      <c r="T80" s="1">
        <v>0.03</v>
      </c>
      <c r="U80" s="1">
        <f t="shared" si="78"/>
        <v>1.9500000000000002</v>
      </c>
      <c r="V80" s="11">
        <f t="shared" ref="V80:W80" si="86">V71</f>
        <v>0.85</v>
      </c>
      <c r="W80" s="11">
        <f t="shared" si="86"/>
        <v>0.55000000000000004</v>
      </c>
    </row>
    <row r="81" spans="1:23" x14ac:dyDescent="0.15">
      <c r="A81" s="1">
        <v>407095</v>
      </c>
      <c r="B81" s="2" t="s">
        <v>233</v>
      </c>
      <c r="C81" s="2">
        <f t="shared" si="81"/>
        <v>7</v>
      </c>
      <c r="D81" s="1" t="s">
        <v>19</v>
      </c>
      <c r="E81" s="1">
        <v>9</v>
      </c>
      <c r="F81" s="1" t="s">
        <v>242</v>
      </c>
      <c r="G81" s="1"/>
      <c r="H81" s="1">
        <v>415007</v>
      </c>
      <c r="I81" s="3" t="s">
        <v>53</v>
      </c>
      <c r="J81" s="1">
        <v>1</v>
      </c>
      <c r="K81" s="9">
        <f t="shared" si="82"/>
        <v>4.25</v>
      </c>
      <c r="L81" s="1">
        <f t="shared" si="66"/>
        <v>0.82</v>
      </c>
      <c r="M81" s="1">
        <v>7</v>
      </c>
      <c r="N81" s="1">
        <v>0.7</v>
      </c>
      <c r="O81" s="1">
        <f t="shared" si="67"/>
        <v>0.11</v>
      </c>
      <c r="P81" s="1">
        <f t="shared" si="68"/>
        <v>0.67999999999999994</v>
      </c>
      <c r="Q81" s="1">
        <v>0.05</v>
      </c>
      <c r="R81" s="1">
        <v>0.01</v>
      </c>
      <c r="S81" s="1">
        <v>0.5</v>
      </c>
      <c r="T81" s="1">
        <v>0.03</v>
      </c>
      <c r="U81" s="1">
        <f t="shared" si="78"/>
        <v>2.3697999999999997</v>
      </c>
      <c r="V81" s="11">
        <f t="shared" ref="V81:W81" si="87">V72</f>
        <v>0.85</v>
      </c>
      <c r="W81" s="11">
        <f t="shared" si="87"/>
        <v>0.55000000000000004</v>
      </c>
    </row>
    <row r="82" spans="1:23" x14ac:dyDescent="0.15">
      <c r="A82" s="1">
        <v>407096</v>
      </c>
      <c r="B82" s="2" t="s">
        <v>234</v>
      </c>
      <c r="C82" s="2">
        <f t="shared" si="81"/>
        <v>8</v>
      </c>
      <c r="D82" s="1" t="s">
        <v>19</v>
      </c>
      <c r="E82" s="1">
        <v>9</v>
      </c>
      <c r="F82" s="1" t="s">
        <v>243</v>
      </c>
      <c r="G82" s="1"/>
      <c r="H82" s="1">
        <v>415008</v>
      </c>
      <c r="I82" s="3" t="s">
        <v>54</v>
      </c>
      <c r="J82" s="1">
        <v>1</v>
      </c>
      <c r="K82" s="9">
        <f t="shared" si="82"/>
        <v>4.75</v>
      </c>
      <c r="L82" s="1">
        <f t="shared" si="66"/>
        <v>0.84</v>
      </c>
      <c r="M82" s="1">
        <v>8</v>
      </c>
      <c r="N82" s="1">
        <v>0.7</v>
      </c>
      <c r="O82" s="1">
        <f t="shared" si="67"/>
        <v>0.12000000000000001</v>
      </c>
      <c r="P82" s="1">
        <f t="shared" si="68"/>
        <v>0.71</v>
      </c>
      <c r="Q82" s="1">
        <v>0.05</v>
      </c>
      <c r="R82" s="1">
        <v>0.01</v>
      </c>
      <c r="S82" s="1">
        <v>0.5</v>
      </c>
      <c r="T82" s="1">
        <v>0.03</v>
      </c>
      <c r="U82" s="1">
        <f t="shared" si="78"/>
        <v>2.8328999999999995</v>
      </c>
      <c r="V82" s="11">
        <f t="shared" ref="V82:W82" si="88">V73</f>
        <v>0.85</v>
      </c>
      <c r="W82" s="11">
        <f t="shared" si="88"/>
        <v>0.55000000000000004</v>
      </c>
    </row>
    <row r="83" spans="1:23" x14ac:dyDescent="0.15">
      <c r="A83" s="1">
        <v>407097</v>
      </c>
      <c r="B83" s="2" t="s">
        <v>235</v>
      </c>
      <c r="C83" s="2">
        <f t="shared" si="81"/>
        <v>9</v>
      </c>
      <c r="D83" s="1" t="s">
        <v>19</v>
      </c>
      <c r="E83" s="1">
        <v>9</v>
      </c>
      <c r="F83" s="1" t="s">
        <v>244</v>
      </c>
      <c r="G83" s="1"/>
      <c r="H83" s="1">
        <v>415009</v>
      </c>
      <c r="I83" s="3" t="s">
        <v>55</v>
      </c>
      <c r="J83" s="1">
        <v>1</v>
      </c>
      <c r="K83" s="9">
        <f t="shared" si="82"/>
        <v>5.25</v>
      </c>
      <c r="L83" s="1">
        <f t="shared" si="66"/>
        <v>0.86</v>
      </c>
      <c r="M83" s="1">
        <v>9</v>
      </c>
      <c r="N83" s="1">
        <v>0.7</v>
      </c>
      <c r="O83" s="1">
        <f t="shared" si="67"/>
        <v>0.13</v>
      </c>
      <c r="P83" s="1">
        <f t="shared" si="68"/>
        <v>0.74</v>
      </c>
      <c r="Q83" s="1">
        <v>0.05</v>
      </c>
      <c r="R83" s="1">
        <v>0.01</v>
      </c>
      <c r="S83" s="1">
        <v>0.5</v>
      </c>
      <c r="T83" s="1">
        <v>0.03</v>
      </c>
      <c r="U83" s="1">
        <f t="shared" si="78"/>
        <v>3.3411</v>
      </c>
      <c r="V83" s="11">
        <f t="shared" ref="V83:W83" si="89">V74</f>
        <v>0.85</v>
      </c>
      <c r="W83" s="11">
        <f t="shared" si="89"/>
        <v>0.55000000000000004</v>
      </c>
    </row>
    <row r="84" spans="1:23" x14ac:dyDescent="0.15">
      <c r="A84" s="1">
        <v>407098</v>
      </c>
      <c r="B84" s="2" t="s">
        <v>227</v>
      </c>
      <c r="C84" s="2">
        <f t="shared" si="81"/>
        <v>1</v>
      </c>
      <c r="D84" s="1" t="s">
        <v>19</v>
      </c>
      <c r="E84" s="1">
        <v>10</v>
      </c>
      <c r="F84" s="1" t="s">
        <v>245</v>
      </c>
      <c r="G84" s="1"/>
      <c r="H84" s="1">
        <v>415001</v>
      </c>
      <c r="I84" s="3" t="s">
        <v>47</v>
      </c>
      <c r="J84" s="1">
        <v>1</v>
      </c>
      <c r="K84" s="9">
        <f t="shared" si="82"/>
        <v>1.25</v>
      </c>
      <c r="L84" s="1">
        <f t="shared" si="66"/>
        <v>0.7</v>
      </c>
      <c r="M84" s="1">
        <v>1</v>
      </c>
      <c r="N84" s="1">
        <v>0.7</v>
      </c>
      <c r="O84" s="1">
        <f t="shared" si="67"/>
        <v>0.05</v>
      </c>
      <c r="P84" s="1">
        <f t="shared" si="68"/>
        <v>0.5</v>
      </c>
      <c r="Q84" s="1">
        <v>0.05</v>
      </c>
      <c r="R84" s="1">
        <v>0.01</v>
      </c>
      <c r="S84" s="1">
        <v>0.5</v>
      </c>
      <c r="T84" s="1">
        <v>0.03</v>
      </c>
      <c r="U84" s="1">
        <f t="shared" si="78"/>
        <v>0.4375</v>
      </c>
      <c r="V84" s="11">
        <f t="shared" ref="V84:W84" si="90">V75</f>
        <v>0.85</v>
      </c>
      <c r="W84" s="11">
        <f t="shared" si="90"/>
        <v>0.55000000000000004</v>
      </c>
    </row>
    <row r="85" spans="1:23" x14ac:dyDescent="0.15">
      <c r="A85" s="1">
        <v>407099</v>
      </c>
      <c r="B85" s="2" t="s">
        <v>228</v>
      </c>
      <c r="C85" s="2">
        <f t="shared" si="81"/>
        <v>2</v>
      </c>
      <c r="D85" s="1" t="s">
        <v>19</v>
      </c>
      <c r="E85" s="1">
        <v>10</v>
      </c>
      <c r="F85" s="1" t="s">
        <v>246</v>
      </c>
      <c r="G85" s="1"/>
      <c r="H85" s="1">
        <v>415002</v>
      </c>
      <c r="I85" s="3" t="s">
        <v>48</v>
      </c>
      <c r="J85" s="1">
        <v>1</v>
      </c>
      <c r="K85" s="9">
        <f t="shared" si="82"/>
        <v>1.75</v>
      </c>
      <c r="L85" s="1">
        <f t="shared" si="66"/>
        <v>0.72</v>
      </c>
      <c r="M85" s="1">
        <v>2</v>
      </c>
      <c r="N85" s="1">
        <v>0.7</v>
      </c>
      <c r="O85" s="1">
        <f t="shared" si="67"/>
        <v>6.0000000000000005E-2</v>
      </c>
      <c r="P85" s="1">
        <f t="shared" si="68"/>
        <v>0.53</v>
      </c>
      <c r="Q85" s="1">
        <v>0.05</v>
      </c>
      <c r="R85" s="1">
        <v>0.01</v>
      </c>
      <c r="S85" s="1">
        <v>0.5</v>
      </c>
      <c r="T85" s="1">
        <v>0.03</v>
      </c>
      <c r="U85" s="1">
        <f t="shared" si="78"/>
        <v>0.66779999999999995</v>
      </c>
      <c r="V85" s="11">
        <f t="shared" ref="V85:W85" si="91">V76</f>
        <v>0.85</v>
      </c>
      <c r="W85" s="11">
        <f t="shared" si="91"/>
        <v>0.55000000000000004</v>
      </c>
    </row>
    <row r="86" spans="1:23" x14ac:dyDescent="0.15">
      <c r="A86" s="1">
        <v>407100</v>
      </c>
      <c r="B86" s="2" t="s">
        <v>229</v>
      </c>
      <c r="C86" s="2">
        <f t="shared" si="81"/>
        <v>3</v>
      </c>
      <c r="D86" s="1" t="s">
        <v>19</v>
      </c>
      <c r="E86" s="1">
        <v>10</v>
      </c>
      <c r="F86" s="1" t="s">
        <v>247</v>
      </c>
      <c r="G86" s="1"/>
      <c r="H86" s="1">
        <v>415003</v>
      </c>
      <c r="I86" s="3" t="s">
        <v>49</v>
      </c>
      <c r="J86" s="1">
        <v>1</v>
      </c>
      <c r="K86" s="9">
        <f t="shared" si="82"/>
        <v>2.25</v>
      </c>
      <c r="L86" s="1">
        <f t="shared" si="66"/>
        <v>0.74</v>
      </c>
      <c r="M86" s="1">
        <v>3</v>
      </c>
      <c r="N86" s="1">
        <v>0.7</v>
      </c>
      <c r="O86" s="1">
        <f t="shared" si="67"/>
        <v>7.0000000000000007E-2</v>
      </c>
      <c r="P86" s="1">
        <f t="shared" si="68"/>
        <v>0.56000000000000005</v>
      </c>
      <c r="Q86" s="1">
        <v>0.05</v>
      </c>
      <c r="R86" s="1">
        <v>0.01</v>
      </c>
      <c r="S86" s="1">
        <v>0.5</v>
      </c>
      <c r="T86" s="1">
        <v>0.03</v>
      </c>
      <c r="U86" s="1">
        <f t="shared" si="78"/>
        <v>0.93240000000000012</v>
      </c>
      <c r="V86" s="11">
        <f t="shared" ref="V86:W86" si="92">V77</f>
        <v>0.85</v>
      </c>
      <c r="W86" s="11">
        <f t="shared" si="92"/>
        <v>0.55000000000000004</v>
      </c>
    </row>
    <row r="87" spans="1:23" x14ac:dyDescent="0.15">
      <c r="A87" s="1">
        <v>407101</v>
      </c>
      <c r="B87" s="2" t="s">
        <v>230</v>
      </c>
      <c r="C87" s="2">
        <f t="shared" si="81"/>
        <v>4</v>
      </c>
      <c r="D87" s="1" t="s">
        <v>19</v>
      </c>
      <c r="E87" s="1">
        <v>10</v>
      </c>
      <c r="F87" s="1" t="s">
        <v>248</v>
      </c>
      <c r="G87" s="1"/>
      <c r="H87" s="1">
        <v>415004</v>
      </c>
      <c r="I87" s="3" t="s">
        <v>50</v>
      </c>
      <c r="J87" s="1">
        <v>1</v>
      </c>
      <c r="K87" s="9">
        <f t="shared" si="82"/>
        <v>2.75</v>
      </c>
      <c r="L87" s="1">
        <f t="shared" si="66"/>
        <v>0.76</v>
      </c>
      <c r="M87" s="1">
        <v>4</v>
      </c>
      <c r="N87" s="1">
        <v>0.7</v>
      </c>
      <c r="O87" s="1">
        <f t="shared" si="67"/>
        <v>0.08</v>
      </c>
      <c r="P87" s="1">
        <f t="shared" si="68"/>
        <v>0.59</v>
      </c>
      <c r="Q87" s="1">
        <v>0.05</v>
      </c>
      <c r="R87" s="1">
        <v>0.01</v>
      </c>
      <c r="S87" s="1">
        <v>0.5</v>
      </c>
      <c r="T87" s="1">
        <v>0.03</v>
      </c>
      <c r="U87" s="1">
        <f t="shared" si="78"/>
        <v>1.2330999999999999</v>
      </c>
      <c r="V87" s="11">
        <f t="shared" ref="V87:W87" si="93">V78</f>
        <v>0.85</v>
      </c>
      <c r="W87" s="11">
        <f t="shared" si="93"/>
        <v>0.55000000000000004</v>
      </c>
    </row>
    <row r="88" spans="1:23" x14ac:dyDescent="0.15">
      <c r="A88" s="1">
        <v>407102</v>
      </c>
      <c r="B88" s="2" t="s">
        <v>231</v>
      </c>
      <c r="C88" s="2">
        <f t="shared" si="81"/>
        <v>5</v>
      </c>
      <c r="D88" s="1" t="s">
        <v>19</v>
      </c>
      <c r="E88" s="1">
        <v>10</v>
      </c>
      <c r="F88" s="1" t="s">
        <v>249</v>
      </c>
      <c r="G88" s="1"/>
      <c r="H88" s="1">
        <v>415005</v>
      </c>
      <c r="I88" s="3" t="s">
        <v>51</v>
      </c>
      <c r="J88" s="1">
        <v>1</v>
      </c>
      <c r="K88" s="9">
        <f t="shared" si="82"/>
        <v>3.25</v>
      </c>
      <c r="L88" s="1">
        <f t="shared" si="66"/>
        <v>0.77999999999999992</v>
      </c>
      <c r="M88" s="1">
        <v>5</v>
      </c>
      <c r="N88" s="1">
        <v>0.7</v>
      </c>
      <c r="O88" s="1">
        <f t="shared" si="67"/>
        <v>0.09</v>
      </c>
      <c r="P88" s="1">
        <f t="shared" si="68"/>
        <v>0.62</v>
      </c>
      <c r="Q88" s="1">
        <v>0.05</v>
      </c>
      <c r="R88" s="1">
        <v>0.01</v>
      </c>
      <c r="S88" s="1">
        <v>0.5</v>
      </c>
      <c r="T88" s="1">
        <v>0.03</v>
      </c>
      <c r="U88" s="1">
        <f t="shared" si="78"/>
        <v>1.5716999999999997</v>
      </c>
      <c r="V88" s="11">
        <f t="shared" ref="V88:W88" si="94">V79</f>
        <v>0.85</v>
      </c>
      <c r="W88" s="11">
        <f t="shared" si="94"/>
        <v>0.55000000000000004</v>
      </c>
    </row>
    <row r="89" spans="1:23" x14ac:dyDescent="0.15">
      <c r="A89" s="1">
        <v>407103</v>
      </c>
      <c r="B89" s="2" t="s">
        <v>232</v>
      </c>
      <c r="C89" s="2">
        <f t="shared" si="81"/>
        <v>6</v>
      </c>
      <c r="D89" s="1" t="s">
        <v>19</v>
      </c>
      <c r="E89" s="1">
        <v>10</v>
      </c>
      <c r="F89" s="1" t="s">
        <v>250</v>
      </c>
      <c r="G89" s="1"/>
      <c r="H89" s="1">
        <v>415006</v>
      </c>
      <c r="I89" s="3" t="s">
        <v>52</v>
      </c>
      <c r="J89" s="1">
        <v>1</v>
      </c>
      <c r="K89" s="9">
        <f t="shared" si="82"/>
        <v>3.75</v>
      </c>
      <c r="L89" s="1">
        <f t="shared" si="66"/>
        <v>0.79999999999999993</v>
      </c>
      <c r="M89" s="1">
        <v>6</v>
      </c>
      <c r="N89" s="1">
        <v>0.7</v>
      </c>
      <c r="O89" s="1">
        <f t="shared" si="67"/>
        <v>0.1</v>
      </c>
      <c r="P89" s="1">
        <f t="shared" si="68"/>
        <v>0.65</v>
      </c>
      <c r="Q89" s="1">
        <v>0.05</v>
      </c>
      <c r="R89" s="1">
        <v>0.01</v>
      </c>
      <c r="S89" s="1">
        <v>0.5</v>
      </c>
      <c r="T89" s="1">
        <v>0.03</v>
      </c>
      <c r="U89" s="1">
        <f t="shared" si="78"/>
        <v>1.9500000000000002</v>
      </c>
      <c r="V89" s="11">
        <f t="shared" ref="V89:W89" si="95">V80</f>
        <v>0.85</v>
      </c>
      <c r="W89" s="11">
        <f t="shared" si="95"/>
        <v>0.55000000000000004</v>
      </c>
    </row>
    <row r="90" spans="1:23" x14ac:dyDescent="0.15">
      <c r="A90" s="1">
        <v>407104</v>
      </c>
      <c r="B90" s="2" t="s">
        <v>233</v>
      </c>
      <c r="C90" s="2">
        <f t="shared" si="81"/>
        <v>7</v>
      </c>
      <c r="D90" s="1" t="s">
        <v>19</v>
      </c>
      <c r="E90" s="1">
        <v>10</v>
      </c>
      <c r="F90" s="1" t="s">
        <v>251</v>
      </c>
      <c r="G90" s="1"/>
      <c r="H90" s="1">
        <v>415007</v>
      </c>
      <c r="I90" s="3" t="s">
        <v>53</v>
      </c>
      <c r="J90" s="1">
        <v>1</v>
      </c>
      <c r="K90" s="9">
        <f t="shared" si="82"/>
        <v>4.25</v>
      </c>
      <c r="L90" s="1">
        <f t="shared" si="66"/>
        <v>0.82</v>
      </c>
      <c r="M90" s="1">
        <v>7</v>
      </c>
      <c r="N90" s="1">
        <v>0.7</v>
      </c>
      <c r="O90" s="1">
        <f t="shared" si="67"/>
        <v>0.11</v>
      </c>
      <c r="P90" s="1">
        <f t="shared" si="68"/>
        <v>0.67999999999999994</v>
      </c>
      <c r="Q90" s="1">
        <v>0.05</v>
      </c>
      <c r="R90" s="1">
        <v>0.01</v>
      </c>
      <c r="S90" s="1">
        <v>0.5</v>
      </c>
      <c r="T90" s="1">
        <v>0.03</v>
      </c>
      <c r="U90" s="1">
        <f t="shared" si="78"/>
        <v>2.3697999999999997</v>
      </c>
      <c r="V90" s="11">
        <f t="shared" ref="V90:W90" si="96">V81</f>
        <v>0.85</v>
      </c>
      <c r="W90" s="11">
        <f t="shared" si="96"/>
        <v>0.55000000000000004</v>
      </c>
    </row>
    <row r="91" spans="1:23" x14ac:dyDescent="0.15">
      <c r="A91" s="1">
        <v>407105</v>
      </c>
      <c r="B91" s="2" t="s">
        <v>234</v>
      </c>
      <c r="C91" s="2">
        <f t="shared" si="81"/>
        <v>8</v>
      </c>
      <c r="D91" s="1" t="s">
        <v>19</v>
      </c>
      <c r="E91" s="1">
        <v>10</v>
      </c>
      <c r="F91" s="1" t="s">
        <v>252</v>
      </c>
      <c r="G91" s="1"/>
      <c r="H91" s="1">
        <v>415008</v>
      </c>
      <c r="I91" s="3" t="s">
        <v>54</v>
      </c>
      <c r="J91" s="1">
        <v>1</v>
      </c>
      <c r="K91" s="9">
        <f t="shared" si="82"/>
        <v>4.75</v>
      </c>
      <c r="L91" s="1">
        <f t="shared" si="66"/>
        <v>0.84</v>
      </c>
      <c r="M91" s="1">
        <v>8</v>
      </c>
      <c r="N91" s="1">
        <v>0.7</v>
      </c>
      <c r="O91" s="1">
        <f t="shared" si="67"/>
        <v>0.12000000000000001</v>
      </c>
      <c r="P91" s="1">
        <f t="shared" si="68"/>
        <v>0.71</v>
      </c>
      <c r="Q91" s="1">
        <v>0.05</v>
      </c>
      <c r="R91" s="1">
        <v>0.01</v>
      </c>
      <c r="S91" s="1">
        <v>0.5</v>
      </c>
      <c r="T91" s="1">
        <v>0.03</v>
      </c>
      <c r="U91" s="1">
        <f t="shared" si="78"/>
        <v>2.8328999999999995</v>
      </c>
      <c r="V91" s="11">
        <f t="shared" ref="V91:W91" si="97">V82</f>
        <v>0.85</v>
      </c>
      <c r="W91" s="11">
        <f t="shared" si="97"/>
        <v>0.55000000000000004</v>
      </c>
    </row>
    <row r="92" spans="1:23" x14ac:dyDescent="0.15">
      <c r="A92" s="1">
        <v>407106</v>
      </c>
      <c r="B92" s="2" t="s">
        <v>235</v>
      </c>
      <c r="C92" s="2">
        <f t="shared" si="81"/>
        <v>9</v>
      </c>
      <c r="D92" s="1" t="s">
        <v>19</v>
      </c>
      <c r="E92" s="1">
        <v>10</v>
      </c>
      <c r="F92" s="1" t="s">
        <v>253</v>
      </c>
      <c r="G92" s="1"/>
      <c r="H92" s="1">
        <v>415009</v>
      </c>
      <c r="I92" s="3" t="s">
        <v>55</v>
      </c>
      <c r="J92" s="1">
        <v>1</v>
      </c>
      <c r="K92" s="9">
        <f t="shared" si="82"/>
        <v>5.25</v>
      </c>
      <c r="L92" s="1">
        <f t="shared" si="66"/>
        <v>0.86</v>
      </c>
      <c r="M92" s="1">
        <v>9</v>
      </c>
      <c r="N92" s="1">
        <v>0.7</v>
      </c>
      <c r="O92" s="1">
        <f t="shared" si="67"/>
        <v>0.13</v>
      </c>
      <c r="P92" s="1">
        <f t="shared" si="68"/>
        <v>0.74</v>
      </c>
      <c r="Q92" s="1">
        <v>0.05</v>
      </c>
      <c r="R92" s="1">
        <v>0.01</v>
      </c>
      <c r="S92" s="1">
        <v>0.5</v>
      </c>
      <c r="T92" s="1">
        <v>0.03</v>
      </c>
      <c r="U92" s="1">
        <f t="shared" si="78"/>
        <v>3.3411</v>
      </c>
      <c r="V92" s="11">
        <f t="shared" ref="V92:W92" si="98">V83</f>
        <v>0.85</v>
      </c>
      <c r="W92" s="11">
        <f t="shared" si="98"/>
        <v>0.55000000000000004</v>
      </c>
    </row>
    <row r="93" spans="1:23" x14ac:dyDescent="0.15">
      <c r="A93" s="1">
        <v>407107</v>
      </c>
      <c r="B93" s="2" t="s">
        <v>227</v>
      </c>
      <c r="C93" s="2">
        <f t="shared" si="81"/>
        <v>1</v>
      </c>
      <c r="D93" s="1" t="s">
        <v>19</v>
      </c>
      <c r="E93" s="1">
        <v>11</v>
      </c>
      <c r="F93" s="1" t="s">
        <v>254</v>
      </c>
      <c r="G93" s="1"/>
      <c r="H93" s="1">
        <v>415001</v>
      </c>
      <c r="I93" s="3" t="s">
        <v>47</v>
      </c>
      <c r="J93" s="1">
        <v>1</v>
      </c>
      <c r="K93" s="9">
        <f t="shared" si="82"/>
        <v>1.25</v>
      </c>
      <c r="L93" s="1">
        <f t="shared" si="66"/>
        <v>0.7</v>
      </c>
      <c r="M93" s="1">
        <v>1</v>
      </c>
      <c r="N93" s="1">
        <v>0.7</v>
      </c>
      <c r="O93" s="1">
        <f t="shared" si="67"/>
        <v>0.05</v>
      </c>
      <c r="P93" s="1">
        <f t="shared" si="68"/>
        <v>0.5</v>
      </c>
      <c r="Q93" s="1">
        <v>0.05</v>
      </c>
      <c r="R93" s="1">
        <v>0.01</v>
      </c>
      <c r="S93" s="1">
        <v>0.5</v>
      </c>
      <c r="T93" s="1">
        <v>0.03</v>
      </c>
      <c r="U93" s="1">
        <f t="shared" si="78"/>
        <v>0.4375</v>
      </c>
      <c r="V93" s="11">
        <f t="shared" ref="V93:W93" si="99">V84</f>
        <v>0.85</v>
      </c>
      <c r="W93" s="11">
        <f t="shared" si="99"/>
        <v>0.55000000000000004</v>
      </c>
    </row>
    <row r="94" spans="1:23" x14ac:dyDescent="0.15">
      <c r="A94" s="1">
        <v>407108</v>
      </c>
      <c r="B94" s="2" t="s">
        <v>228</v>
      </c>
      <c r="C94" s="2">
        <f t="shared" si="81"/>
        <v>2</v>
      </c>
      <c r="D94" s="1" t="s">
        <v>19</v>
      </c>
      <c r="E94" s="1">
        <v>11</v>
      </c>
      <c r="F94" s="1" t="s">
        <v>255</v>
      </c>
      <c r="G94" s="1"/>
      <c r="H94" s="1">
        <v>415002</v>
      </c>
      <c r="I94" s="3" t="s">
        <v>48</v>
      </c>
      <c r="J94" s="1">
        <v>1</v>
      </c>
      <c r="K94" s="9">
        <f t="shared" si="82"/>
        <v>1.75</v>
      </c>
      <c r="L94" s="1">
        <f t="shared" si="66"/>
        <v>0.72</v>
      </c>
      <c r="M94" s="1">
        <v>2</v>
      </c>
      <c r="N94" s="1">
        <v>0.7</v>
      </c>
      <c r="O94" s="1">
        <f t="shared" si="67"/>
        <v>6.0000000000000005E-2</v>
      </c>
      <c r="P94" s="1">
        <f t="shared" si="68"/>
        <v>0.53</v>
      </c>
      <c r="Q94" s="1">
        <v>0.05</v>
      </c>
      <c r="R94" s="1">
        <v>0.01</v>
      </c>
      <c r="S94" s="1">
        <v>0.5</v>
      </c>
      <c r="T94" s="1">
        <v>0.03</v>
      </c>
      <c r="U94" s="1">
        <f t="shared" si="78"/>
        <v>0.66779999999999995</v>
      </c>
      <c r="V94" s="11">
        <f t="shared" ref="V94:W94" si="100">V85</f>
        <v>0.85</v>
      </c>
      <c r="W94" s="11">
        <f t="shared" si="100"/>
        <v>0.55000000000000004</v>
      </c>
    </row>
    <row r="95" spans="1:23" x14ac:dyDescent="0.15">
      <c r="A95" s="1">
        <v>407109</v>
      </c>
      <c r="B95" s="2" t="s">
        <v>229</v>
      </c>
      <c r="C95" s="2">
        <f t="shared" si="81"/>
        <v>3</v>
      </c>
      <c r="D95" s="1" t="s">
        <v>19</v>
      </c>
      <c r="E95" s="1">
        <v>11</v>
      </c>
      <c r="F95" s="1" t="s">
        <v>256</v>
      </c>
      <c r="G95" s="1"/>
      <c r="H95" s="1">
        <v>415003</v>
      </c>
      <c r="I95" s="3" t="s">
        <v>49</v>
      </c>
      <c r="J95" s="1">
        <v>1</v>
      </c>
      <c r="K95" s="9">
        <f t="shared" si="82"/>
        <v>2.25</v>
      </c>
      <c r="L95" s="1">
        <f t="shared" si="66"/>
        <v>0.74</v>
      </c>
      <c r="M95" s="1">
        <v>3</v>
      </c>
      <c r="N95" s="1">
        <v>0.7</v>
      </c>
      <c r="O95" s="1">
        <f t="shared" si="67"/>
        <v>7.0000000000000007E-2</v>
      </c>
      <c r="P95" s="1">
        <f t="shared" si="68"/>
        <v>0.56000000000000005</v>
      </c>
      <c r="Q95" s="1">
        <v>0.05</v>
      </c>
      <c r="R95" s="1">
        <v>0.01</v>
      </c>
      <c r="S95" s="1">
        <v>0.5</v>
      </c>
      <c r="T95" s="1">
        <v>0.03</v>
      </c>
      <c r="U95" s="1">
        <f t="shared" si="78"/>
        <v>0.93240000000000012</v>
      </c>
      <c r="V95" s="11">
        <f t="shared" ref="V95:W95" si="101">V86</f>
        <v>0.85</v>
      </c>
      <c r="W95" s="11">
        <f t="shared" si="101"/>
        <v>0.55000000000000004</v>
      </c>
    </row>
    <row r="96" spans="1:23" x14ac:dyDescent="0.15">
      <c r="A96" s="1">
        <v>407110</v>
      </c>
      <c r="B96" s="2" t="s">
        <v>230</v>
      </c>
      <c r="C96" s="2">
        <f t="shared" si="81"/>
        <v>4</v>
      </c>
      <c r="D96" s="1" t="s">
        <v>19</v>
      </c>
      <c r="E96" s="1">
        <v>11</v>
      </c>
      <c r="F96" s="1" t="s">
        <v>257</v>
      </c>
      <c r="G96" s="1"/>
      <c r="H96" s="1">
        <v>415004</v>
      </c>
      <c r="I96" s="3" t="s">
        <v>50</v>
      </c>
      <c r="J96" s="1">
        <v>1</v>
      </c>
      <c r="K96" s="9">
        <f t="shared" si="82"/>
        <v>2.75</v>
      </c>
      <c r="L96" s="1">
        <f t="shared" si="66"/>
        <v>0.76</v>
      </c>
      <c r="M96" s="1">
        <v>4</v>
      </c>
      <c r="N96" s="1">
        <v>0.7</v>
      </c>
      <c r="O96" s="1">
        <f t="shared" si="67"/>
        <v>0.08</v>
      </c>
      <c r="P96" s="1">
        <f t="shared" si="68"/>
        <v>0.59</v>
      </c>
      <c r="Q96" s="1">
        <v>0.05</v>
      </c>
      <c r="R96" s="1">
        <v>0.01</v>
      </c>
      <c r="S96" s="1">
        <v>0.5</v>
      </c>
      <c r="T96" s="1">
        <v>0.03</v>
      </c>
      <c r="U96" s="1">
        <f t="shared" si="78"/>
        <v>1.2330999999999999</v>
      </c>
      <c r="V96" s="11">
        <f t="shared" ref="V96:W96" si="102">V87</f>
        <v>0.85</v>
      </c>
      <c r="W96" s="11">
        <f t="shared" si="102"/>
        <v>0.55000000000000004</v>
      </c>
    </row>
    <row r="97" spans="1:23" x14ac:dyDescent="0.15">
      <c r="A97" s="1">
        <v>407111</v>
      </c>
      <c r="B97" s="2" t="s">
        <v>231</v>
      </c>
      <c r="C97" s="2">
        <f t="shared" si="81"/>
        <v>5</v>
      </c>
      <c r="D97" s="1" t="s">
        <v>19</v>
      </c>
      <c r="E97" s="1">
        <v>11</v>
      </c>
      <c r="F97" s="1" t="s">
        <v>258</v>
      </c>
      <c r="G97" s="1"/>
      <c r="H97" s="1">
        <v>415005</v>
      </c>
      <c r="I97" s="3" t="s">
        <v>51</v>
      </c>
      <c r="J97" s="1">
        <v>1</v>
      </c>
      <c r="K97" s="9">
        <f t="shared" si="82"/>
        <v>3.25</v>
      </c>
      <c r="L97" s="1">
        <f t="shared" si="66"/>
        <v>0.77999999999999992</v>
      </c>
      <c r="M97" s="1">
        <v>5</v>
      </c>
      <c r="N97" s="1">
        <v>0.7</v>
      </c>
      <c r="O97" s="1">
        <f t="shared" si="67"/>
        <v>0.09</v>
      </c>
      <c r="P97" s="1">
        <f t="shared" si="68"/>
        <v>0.62</v>
      </c>
      <c r="Q97" s="1">
        <v>0.05</v>
      </c>
      <c r="R97" s="1">
        <v>0.01</v>
      </c>
      <c r="S97" s="1">
        <v>0.5</v>
      </c>
      <c r="T97" s="1">
        <v>0.03</v>
      </c>
      <c r="U97" s="1">
        <f t="shared" si="78"/>
        <v>1.5716999999999997</v>
      </c>
      <c r="V97" s="11">
        <f t="shared" ref="V97:W97" si="103">V88</f>
        <v>0.85</v>
      </c>
      <c r="W97" s="11">
        <f t="shared" si="103"/>
        <v>0.55000000000000004</v>
      </c>
    </row>
    <row r="98" spans="1:23" x14ac:dyDescent="0.15">
      <c r="A98" s="1">
        <v>407112</v>
      </c>
      <c r="B98" s="2" t="s">
        <v>232</v>
      </c>
      <c r="C98" s="2">
        <f t="shared" si="81"/>
        <v>6</v>
      </c>
      <c r="D98" s="1" t="s">
        <v>19</v>
      </c>
      <c r="E98" s="1">
        <v>11</v>
      </c>
      <c r="F98" s="1" t="s">
        <v>259</v>
      </c>
      <c r="G98" s="1"/>
      <c r="H98" s="1">
        <v>415006</v>
      </c>
      <c r="I98" s="3" t="s">
        <v>52</v>
      </c>
      <c r="J98" s="1">
        <v>1</v>
      </c>
      <c r="K98" s="9">
        <f t="shared" si="82"/>
        <v>3.75</v>
      </c>
      <c r="L98" s="1">
        <f t="shared" si="66"/>
        <v>0.79999999999999993</v>
      </c>
      <c r="M98" s="1">
        <v>6</v>
      </c>
      <c r="N98" s="1">
        <v>0.7</v>
      </c>
      <c r="O98" s="1">
        <f t="shared" si="67"/>
        <v>0.1</v>
      </c>
      <c r="P98" s="1">
        <f t="shared" si="68"/>
        <v>0.65</v>
      </c>
      <c r="Q98" s="1">
        <v>0.05</v>
      </c>
      <c r="R98" s="1">
        <v>0.01</v>
      </c>
      <c r="S98" s="1">
        <v>0.5</v>
      </c>
      <c r="T98" s="1">
        <v>0.03</v>
      </c>
      <c r="U98" s="1">
        <f t="shared" si="78"/>
        <v>1.9500000000000002</v>
      </c>
      <c r="V98" s="11">
        <f t="shared" ref="V98:W98" si="104">V89</f>
        <v>0.85</v>
      </c>
      <c r="W98" s="11">
        <f t="shared" si="104"/>
        <v>0.55000000000000004</v>
      </c>
    </row>
    <row r="99" spans="1:23" x14ac:dyDescent="0.15">
      <c r="A99" s="1">
        <v>407113</v>
      </c>
      <c r="B99" s="2" t="s">
        <v>233</v>
      </c>
      <c r="C99" s="2">
        <f t="shared" si="81"/>
        <v>7</v>
      </c>
      <c r="D99" s="1" t="s">
        <v>19</v>
      </c>
      <c r="E99" s="1">
        <v>11</v>
      </c>
      <c r="F99" s="1" t="s">
        <v>260</v>
      </c>
      <c r="G99" s="1"/>
      <c r="H99" s="1">
        <v>415007</v>
      </c>
      <c r="I99" s="3" t="s">
        <v>53</v>
      </c>
      <c r="J99" s="1">
        <v>1</v>
      </c>
      <c r="K99" s="9">
        <f t="shared" si="82"/>
        <v>4.25</v>
      </c>
      <c r="L99" s="1">
        <f t="shared" ref="L99:L130" si="105">N99+(M99-1)*0.02</f>
        <v>0.82</v>
      </c>
      <c r="M99" s="1">
        <v>7</v>
      </c>
      <c r="N99" s="1">
        <v>0.7</v>
      </c>
      <c r="O99" s="1">
        <f t="shared" ref="O99:O119" si="106">Q99+(C99-1)*R99</f>
        <v>0.11</v>
      </c>
      <c r="P99" s="1">
        <f t="shared" ref="P99:P119" si="107">S99+(M99-1)*T99</f>
        <v>0.67999999999999994</v>
      </c>
      <c r="Q99" s="1">
        <v>0.05</v>
      </c>
      <c r="R99" s="1">
        <v>0.01</v>
      </c>
      <c r="S99" s="1">
        <v>0.5</v>
      </c>
      <c r="T99" s="1">
        <v>0.03</v>
      </c>
      <c r="U99" s="1">
        <f t="shared" si="78"/>
        <v>2.3697999999999997</v>
      </c>
      <c r="V99" s="11">
        <f t="shared" ref="V99:W99" si="108">V90</f>
        <v>0.85</v>
      </c>
      <c r="W99" s="11">
        <f t="shared" si="108"/>
        <v>0.55000000000000004</v>
      </c>
    </row>
    <row r="100" spans="1:23" x14ac:dyDescent="0.15">
      <c r="A100" s="1">
        <v>407114</v>
      </c>
      <c r="B100" s="2" t="s">
        <v>234</v>
      </c>
      <c r="C100" s="2">
        <f t="shared" si="81"/>
        <v>8</v>
      </c>
      <c r="D100" s="1" t="s">
        <v>19</v>
      </c>
      <c r="E100" s="1">
        <v>11</v>
      </c>
      <c r="F100" s="1" t="s">
        <v>261</v>
      </c>
      <c r="G100" s="1"/>
      <c r="H100" s="1">
        <v>415008</v>
      </c>
      <c r="I100" s="3" t="s">
        <v>54</v>
      </c>
      <c r="J100" s="1">
        <v>1</v>
      </c>
      <c r="K100" s="9">
        <f t="shared" si="82"/>
        <v>4.75</v>
      </c>
      <c r="L100" s="1">
        <f t="shared" si="105"/>
        <v>0.84</v>
      </c>
      <c r="M100" s="1">
        <v>8</v>
      </c>
      <c r="N100" s="1">
        <v>0.7</v>
      </c>
      <c r="O100" s="1">
        <f t="shared" si="106"/>
        <v>0.12000000000000001</v>
      </c>
      <c r="P100" s="1">
        <f t="shared" si="107"/>
        <v>0.71</v>
      </c>
      <c r="Q100" s="1">
        <v>0.05</v>
      </c>
      <c r="R100" s="1">
        <v>0.01</v>
      </c>
      <c r="S100" s="1">
        <v>0.5</v>
      </c>
      <c r="T100" s="1">
        <v>0.03</v>
      </c>
      <c r="U100" s="1">
        <f t="shared" si="78"/>
        <v>2.8328999999999995</v>
      </c>
      <c r="V100" s="11">
        <f t="shared" ref="V100:W100" si="109">V91</f>
        <v>0.85</v>
      </c>
      <c r="W100" s="11">
        <f t="shared" si="109"/>
        <v>0.55000000000000004</v>
      </c>
    </row>
    <row r="101" spans="1:23" x14ac:dyDescent="0.15">
      <c r="A101" s="1">
        <v>407115</v>
      </c>
      <c r="B101" s="2" t="s">
        <v>235</v>
      </c>
      <c r="C101" s="2">
        <f t="shared" si="81"/>
        <v>9</v>
      </c>
      <c r="D101" s="1" t="s">
        <v>19</v>
      </c>
      <c r="E101" s="1">
        <v>11</v>
      </c>
      <c r="F101" s="1" t="s">
        <v>262</v>
      </c>
      <c r="G101" s="1"/>
      <c r="H101" s="1">
        <v>415009</v>
      </c>
      <c r="I101" s="3" t="s">
        <v>55</v>
      </c>
      <c r="J101" s="1">
        <v>1</v>
      </c>
      <c r="K101" s="9">
        <f t="shared" si="82"/>
        <v>5.25</v>
      </c>
      <c r="L101" s="1">
        <f t="shared" si="105"/>
        <v>0.86</v>
      </c>
      <c r="M101" s="1">
        <v>9</v>
      </c>
      <c r="N101" s="1">
        <v>0.7</v>
      </c>
      <c r="O101" s="1">
        <f t="shared" si="106"/>
        <v>0.13</v>
      </c>
      <c r="P101" s="1">
        <f t="shared" si="107"/>
        <v>0.74</v>
      </c>
      <c r="Q101" s="1">
        <v>0.05</v>
      </c>
      <c r="R101" s="1">
        <v>0.01</v>
      </c>
      <c r="S101" s="1">
        <v>0.5</v>
      </c>
      <c r="T101" s="1">
        <v>0.03</v>
      </c>
      <c r="U101" s="1">
        <f t="shared" si="78"/>
        <v>3.3411</v>
      </c>
      <c r="V101" s="11">
        <f t="shared" ref="V101:W101" si="110">V92</f>
        <v>0.85</v>
      </c>
      <c r="W101" s="11">
        <f t="shared" si="110"/>
        <v>0.55000000000000004</v>
      </c>
    </row>
    <row r="102" spans="1:23" x14ac:dyDescent="0.15">
      <c r="A102" s="1">
        <v>407116</v>
      </c>
      <c r="B102" s="2" t="s">
        <v>227</v>
      </c>
      <c r="C102" s="2">
        <f t="shared" si="81"/>
        <v>1</v>
      </c>
      <c r="D102" s="1" t="s">
        <v>19</v>
      </c>
      <c r="E102" s="1">
        <v>12</v>
      </c>
      <c r="F102" s="1" t="s">
        <v>263</v>
      </c>
      <c r="G102" s="1"/>
      <c r="H102" s="1">
        <v>415001</v>
      </c>
      <c r="I102" s="3" t="s">
        <v>47</v>
      </c>
      <c r="J102" s="1">
        <v>1</v>
      </c>
      <c r="K102" s="9">
        <f t="shared" si="82"/>
        <v>1.25</v>
      </c>
      <c r="L102" s="1">
        <f t="shared" si="105"/>
        <v>0.7</v>
      </c>
      <c r="M102" s="1">
        <v>1</v>
      </c>
      <c r="N102" s="1">
        <v>0.7</v>
      </c>
      <c r="O102" s="1">
        <f t="shared" si="106"/>
        <v>0.05</v>
      </c>
      <c r="P102" s="1">
        <f t="shared" si="107"/>
        <v>0.5</v>
      </c>
      <c r="Q102" s="1">
        <v>0.05</v>
      </c>
      <c r="R102" s="1">
        <v>0.01</v>
      </c>
      <c r="S102" s="1">
        <v>0.5</v>
      </c>
      <c r="T102" s="1">
        <v>0.03</v>
      </c>
      <c r="U102" s="1">
        <f t="shared" si="78"/>
        <v>0.4375</v>
      </c>
      <c r="V102" s="11">
        <f t="shared" ref="V102:W102" si="111">V93</f>
        <v>0.85</v>
      </c>
      <c r="W102" s="11">
        <f t="shared" si="111"/>
        <v>0.55000000000000004</v>
      </c>
    </row>
    <row r="103" spans="1:23" x14ac:dyDescent="0.15">
      <c r="A103" s="1">
        <v>407117</v>
      </c>
      <c r="B103" s="2" t="s">
        <v>228</v>
      </c>
      <c r="C103" s="2">
        <f t="shared" si="81"/>
        <v>2</v>
      </c>
      <c r="D103" s="1" t="s">
        <v>19</v>
      </c>
      <c r="E103" s="1">
        <v>12</v>
      </c>
      <c r="F103" s="1" t="s">
        <v>264</v>
      </c>
      <c r="G103" s="1"/>
      <c r="H103" s="1">
        <v>415002</v>
      </c>
      <c r="I103" s="3" t="s">
        <v>48</v>
      </c>
      <c r="J103" s="1">
        <v>1</v>
      </c>
      <c r="K103" s="9">
        <f t="shared" si="82"/>
        <v>1.75</v>
      </c>
      <c r="L103" s="1">
        <f t="shared" si="105"/>
        <v>0.72</v>
      </c>
      <c r="M103" s="1">
        <v>2</v>
      </c>
      <c r="N103" s="1">
        <v>0.7</v>
      </c>
      <c r="O103" s="1">
        <f t="shared" si="106"/>
        <v>6.0000000000000005E-2</v>
      </c>
      <c r="P103" s="1">
        <f t="shared" si="107"/>
        <v>0.53</v>
      </c>
      <c r="Q103" s="1">
        <v>0.05</v>
      </c>
      <c r="R103" s="1">
        <v>0.01</v>
      </c>
      <c r="S103" s="1">
        <v>0.5</v>
      </c>
      <c r="T103" s="1">
        <v>0.03</v>
      </c>
      <c r="U103" s="1">
        <f t="shared" si="78"/>
        <v>0.66779999999999995</v>
      </c>
      <c r="V103" s="11">
        <f t="shared" ref="V103:W103" si="112">V94</f>
        <v>0.85</v>
      </c>
      <c r="W103" s="11">
        <f t="shared" si="112"/>
        <v>0.55000000000000004</v>
      </c>
    </row>
    <row r="104" spans="1:23" x14ac:dyDescent="0.15">
      <c r="A104" s="1">
        <v>407118</v>
      </c>
      <c r="B104" s="2" t="s">
        <v>229</v>
      </c>
      <c r="C104" s="2">
        <f t="shared" si="81"/>
        <v>3</v>
      </c>
      <c r="D104" s="1" t="s">
        <v>19</v>
      </c>
      <c r="E104" s="1">
        <v>12</v>
      </c>
      <c r="F104" s="1" t="s">
        <v>265</v>
      </c>
      <c r="G104" s="1"/>
      <c r="H104" s="1">
        <v>415003</v>
      </c>
      <c r="I104" s="3" t="s">
        <v>49</v>
      </c>
      <c r="J104" s="1">
        <v>1</v>
      </c>
      <c r="K104" s="9">
        <f t="shared" si="82"/>
        <v>2.25</v>
      </c>
      <c r="L104" s="1">
        <f t="shared" si="105"/>
        <v>0.74</v>
      </c>
      <c r="M104" s="1">
        <v>3</v>
      </c>
      <c r="N104" s="1">
        <v>0.7</v>
      </c>
      <c r="O104" s="1">
        <f t="shared" si="106"/>
        <v>7.0000000000000007E-2</v>
      </c>
      <c r="P104" s="1">
        <f t="shared" si="107"/>
        <v>0.56000000000000005</v>
      </c>
      <c r="Q104" s="1">
        <v>0.05</v>
      </c>
      <c r="R104" s="1">
        <v>0.01</v>
      </c>
      <c r="S104" s="1">
        <v>0.5</v>
      </c>
      <c r="T104" s="1">
        <v>0.03</v>
      </c>
      <c r="U104" s="1">
        <f t="shared" si="78"/>
        <v>0.93240000000000012</v>
      </c>
      <c r="V104" s="11">
        <f t="shared" ref="V104:W104" si="113">V95</f>
        <v>0.85</v>
      </c>
      <c r="W104" s="11">
        <f t="shared" si="113"/>
        <v>0.55000000000000004</v>
      </c>
    </row>
    <row r="105" spans="1:23" x14ac:dyDescent="0.15">
      <c r="A105" s="1">
        <v>407119</v>
      </c>
      <c r="B105" s="2" t="s">
        <v>230</v>
      </c>
      <c r="C105" s="2">
        <f t="shared" si="81"/>
        <v>4</v>
      </c>
      <c r="D105" s="1" t="s">
        <v>19</v>
      </c>
      <c r="E105" s="1">
        <v>12</v>
      </c>
      <c r="F105" s="1" t="s">
        <v>266</v>
      </c>
      <c r="G105" s="1"/>
      <c r="H105" s="1">
        <v>415004</v>
      </c>
      <c r="I105" s="3" t="s">
        <v>50</v>
      </c>
      <c r="J105" s="1">
        <v>1</v>
      </c>
      <c r="K105" s="9">
        <f t="shared" si="82"/>
        <v>2.75</v>
      </c>
      <c r="L105" s="1">
        <f t="shared" si="105"/>
        <v>0.76</v>
      </c>
      <c r="M105" s="1">
        <v>4</v>
      </c>
      <c r="N105" s="1">
        <v>0.7</v>
      </c>
      <c r="O105" s="1">
        <f t="shared" si="106"/>
        <v>0.08</v>
      </c>
      <c r="P105" s="1">
        <f t="shared" si="107"/>
        <v>0.59</v>
      </c>
      <c r="Q105" s="1">
        <v>0.05</v>
      </c>
      <c r="R105" s="1">
        <v>0.01</v>
      </c>
      <c r="S105" s="1">
        <v>0.5</v>
      </c>
      <c r="T105" s="1">
        <v>0.03</v>
      </c>
      <c r="U105" s="1">
        <f t="shared" si="78"/>
        <v>1.2330999999999999</v>
      </c>
      <c r="V105" s="11">
        <f t="shared" ref="V105:W105" si="114">V96</f>
        <v>0.85</v>
      </c>
      <c r="W105" s="11">
        <f t="shared" si="114"/>
        <v>0.55000000000000004</v>
      </c>
    </row>
    <row r="106" spans="1:23" x14ac:dyDescent="0.15">
      <c r="A106" s="1">
        <v>407120</v>
      </c>
      <c r="B106" s="2" t="s">
        <v>231</v>
      </c>
      <c r="C106" s="2">
        <f t="shared" si="81"/>
        <v>5</v>
      </c>
      <c r="D106" s="1" t="s">
        <v>19</v>
      </c>
      <c r="E106" s="1">
        <v>12</v>
      </c>
      <c r="F106" s="1" t="s">
        <v>267</v>
      </c>
      <c r="G106" s="1"/>
      <c r="H106" s="1">
        <v>415005</v>
      </c>
      <c r="I106" s="3" t="s">
        <v>51</v>
      </c>
      <c r="J106" s="1">
        <v>1</v>
      </c>
      <c r="K106" s="9">
        <f t="shared" si="82"/>
        <v>3.25</v>
      </c>
      <c r="L106" s="1">
        <f t="shared" si="105"/>
        <v>0.77999999999999992</v>
      </c>
      <c r="M106" s="1">
        <v>5</v>
      </c>
      <c r="N106" s="1">
        <v>0.7</v>
      </c>
      <c r="O106" s="1">
        <f t="shared" si="106"/>
        <v>0.09</v>
      </c>
      <c r="P106" s="1">
        <f t="shared" si="107"/>
        <v>0.62</v>
      </c>
      <c r="Q106" s="1">
        <v>0.05</v>
      </c>
      <c r="R106" s="1">
        <v>0.01</v>
      </c>
      <c r="S106" s="1">
        <v>0.5</v>
      </c>
      <c r="T106" s="1">
        <v>0.03</v>
      </c>
      <c r="U106" s="1">
        <f t="shared" si="78"/>
        <v>1.5716999999999997</v>
      </c>
      <c r="V106" s="11">
        <f t="shared" ref="V106:W106" si="115">V97</f>
        <v>0.85</v>
      </c>
      <c r="W106" s="11">
        <f t="shared" si="115"/>
        <v>0.55000000000000004</v>
      </c>
    </row>
    <row r="107" spans="1:23" x14ac:dyDescent="0.15">
      <c r="A107" s="1">
        <v>407121</v>
      </c>
      <c r="B107" s="2" t="s">
        <v>232</v>
      </c>
      <c r="C107" s="2">
        <f t="shared" si="81"/>
        <v>6</v>
      </c>
      <c r="D107" s="1" t="s">
        <v>19</v>
      </c>
      <c r="E107" s="1">
        <v>12</v>
      </c>
      <c r="F107" s="1" t="s">
        <v>268</v>
      </c>
      <c r="G107" s="1"/>
      <c r="H107" s="1">
        <v>415006</v>
      </c>
      <c r="I107" s="3" t="s">
        <v>52</v>
      </c>
      <c r="J107" s="1">
        <v>1</v>
      </c>
      <c r="K107" s="9">
        <f t="shared" si="82"/>
        <v>3.75</v>
      </c>
      <c r="L107" s="1">
        <f t="shared" si="105"/>
        <v>0.79999999999999993</v>
      </c>
      <c r="M107" s="1">
        <v>6</v>
      </c>
      <c r="N107" s="1">
        <v>0.7</v>
      </c>
      <c r="O107" s="1">
        <f t="shared" si="106"/>
        <v>0.1</v>
      </c>
      <c r="P107" s="1">
        <f t="shared" si="107"/>
        <v>0.65</v>
      </c>
      <c r="Q107" s="1">
        <v>0.05</v>
      </c>
      <c r="R107" s="1">
        <v>0.01</v>
      </c>
      <c r="S107" s="1">
        <v>0.5</v>
      </c>
      <c r="T107" s="1">
        <v>0.03</v>
      </c>
      <c r="U107" s="1">
        <f t="shared" si="78"/>
        <v>1.9500000000000002</v>
      </c>
      <c r="V107" s="11">
        <f t="shared" ref="V107:W107" si="116">V98</f>
        <v>0.85</v>
      </c>
      <c r="W107" s="11">
        <f t="shared" si="116"/>
        <v>0.55000000000000004</v>
      </c>
    </row>
    <row r="108" spans="1:23" x14ac:dyDescent="0.15">
      <c r="A108" s="1">
        <v>407122</v>
      </c>
      <c r="B108" s="2" t="s">
        <v>233</v>
      </c>
      <c r="C108" s="2">
        <f t="shared" si="81"/>
        <v>7</v>
      </c>
      <c r="D108" s="1" t="s">
        <v>19</v>
      </c>
      <c r="E108" s="1">
        <v>12</v>
      </c>
      <c r="F108" s="1" t="s">
        <v>269</v>
      </c>
      <c r="G108" s="1"/>
      <c r="H108" s="1">
        <v>415007</v>
      </c>
      <c r="I108" s="3" t="s">
        <v>53</v>
      </c>
      <c r="J108" s="1">
        <v>1</v>
      </c>
      <c r="K108" s="9">
        <f t="shared" si="82"/>
        <v>4.25</v>
      </c>
      <c r="L108" s="1">
        <f t="shared" si="105"/>
        <v>0.82</v>
      </c>
      <c r="M108" s="1">
        <v>7</v>
      </c>
      <c r="N108" s="1">
        <v>0.7</v>
      </c>
      <c r="O108" s="1">
        <f t="shared" si="106"/>
        <v>0.11</v>
      </c>
      <c r="P108" s="1">
        <f t="shared" si="107"/>
        <v>0.67999999999999994</v>
      </c>
      <c r="Q108" s="1">
        <v>0.05</v>
      </c>
      <c r="R108" s="1">
        <v>0.01</v>
      </c>
      <c r="S108" s="1">
        <v>0.5</v>
      </c>
      <c r="T108" s="1">
        <v>0.03</v>
      </c>
      <c r="U108" s="1">
        <f t="shared" si="78"/>
        <v>2.3697999999999997</v>
      </c>
      <c r="V108" s="11">
        <f t="shared" ref="V108:W108" si="117">V99</f>
        <v>0.85</v>
      </c>
      <c r="W108" s="11">
        <f t="shared" si="117"/>
        <v>0.55000000000000004</v>
      </c>
    </row>
    <row r="109" spans="1:23" x14ac:dyDescent="0.15">
      <c r="A109" s="1">
        <v>407123</v>
      </c>
      <c r="B109" s="2" t="s">
        <v>234</v>
      </c>
      <c r="C109" s="2">
        <f t="shared" si="81"/>
        <v>8</v>
      </c>
      <c r="D109" s="1" t="s">
        <v>19</v>
      </c>
      <c r="E109" s="1">
        <v>12</v>
      </c>
      <c r="F109" s="1" t="s">
        <v>270</v>
      </c>
      <c r="G109" s="1"/>
      <c r="H109" s="1">
        <v>415008</v>
      </c>
      <c r="I109" s="3" t="s">
        <v>54</v>
      </c>
      <c r="J109" s="1">
        <v>1</v>
      </c>
      <c r="K109" s="9">
        <f t="shared" si="82"/>
        <v>4.75</v>
      </c>
      <c r="L109" s="1">
        <f t="shared" si="105"/>
        <v>0.84</v>
      </c>
      <c r="M109" s="1">
        <v>8</v>
      </c>
      <c r="N109" s="1">
        <v>0.7</v>
      </c>
      <c r="O109" s="1">
        <f t="shared" si="106"/>
        <v>0.12000000000000001</v>
      </c>
      <c r="P109" s="1">
        <f t="shared" si="107"/>
        <v>0.71</v>
      </c>
      <c r="Q109" s="1">
        <v>0.05</v>
      </c>
      <c r="R109" s="1">
        <v>0.01</v>
      </c>
      <c r="S109" s="1">
        <v>0.5</v>
      </c>
      <c r="T109" s="1">
        <v>0.03</v>
      </c>
      <c r="U109" s="1">
        <f t="shared" si="78"/>
        <v>2.8328999999999995</v>
      </c>
      <c r="V109" s="11">
        <f t="shared" ref="V109:W109" si="118">V100</f>
        <v>0.85</v>
      </c>
      <c r="W109" s="11">
        <f t="shared" si="118"/>
        <v>0.55000000000000004</v>
      </c>
    </row>
    <row r="110" spans="1:23" x14ac:dyDescent="0.15">
      <c r="A110" s="1">
        <v>407124</v>
      </c>
      <c r="B110" s="2" t="s">
        <v>235</v>
      </c>
      <c r="C110" s="2">
        <f t="shared" si="81"/>
        <v>9</v>
      </c>
      <c r="D110" s="1" t="s">
        <v>19</v>
      </c>
      <c r="E110" s="1">
        <v>12</v>
      </c>
      <c r="F110" s="1" t="s">
        <v>271</v>
      </c>
      <c r="G110" s="1"/>
      <c r="H110" s="1">
        <v>415009</v>
      </c>
      <c r="I110" s="3" t="s">
        <v>55</v>
      </c>
      <c r="J110" s="1">
        <v>1</v>
      </c>
      <c r="K110" s="9">
        <f t="shared" si="82"/>
        <v>5.25</v>
      </c>
      <c r="L110" s="1">
        <f t="shared" si="105"/>
        <v>0.86</v>
      </c>
      <c r="M110" s="1">
        <v>9</v>
      </c>
      <c r="N110" s="1">
        <v>0.7</v>
      </c>
      <c r="O110" s="1">
        <f t="shared" si="106"/>
        <v>0.13</v>
      </c>
      <c r="P110" s="1">
        <f t="shared" si="107"/>
        <v>0.74</v>
      </c>
      <c r="Q110" s="1">
        <v>0.05</v>
      </c>
      <c r="R110" s="1">
        <v>0.01</v>
      </c>
      <c r="S110" s="1">
        <v>0.5</v>
      </c>
      <c r="T110" s="1">
        <v>0.03</v>
      </c>
      <c r="U110" s="1">
        <f t="shared" si="78"/>
        <v>3.3411</v>
      </c>
      <c r="V110" s="11">
        <f t="shared" ref="V110:W110" si="119">V101</f>
        <v>0.85</v>
      </c>
      <c r="W110" s="11">
        <f t="shared" si="119"/>
        <v>0.55000000000000004</v>
      </c>
    </row>
    <row r="111" spans="1:23" x14ac:dyDescent="0.15">
      <c r="A111" s="1">
        <v>407125</v>
      </c>
      <c r="B111" s="2" t="s">
        <v>272</v>
      </c>
      <c r="C111" s="2">
        <f t="shared" si="81"/>
        <v>1</v>
      </c>
      <c r="D111" s="1" t="s">
        <v>19</v>
      </c>
      <c r="E111" s="1">
        <v>13</v>
      </c>
      <c r="F111" s="1" t="s">
        <v>281</v>
      </c>
      <c r="G111" s="1"/>
      <c r="H111" s="1">
        <v>415001</v>
      </c>
      <c r="I111" s="3" t="s">
        <v>47</v>
      </c>
      <c r="J111" s="1">
        <v>1</v>
      </c>
      <c r="K111" s="9">
        <f t="shared" si="82"/>
        <v>1.25</v>
      </c>
      <c r="L111" s="1">
        <f t="shared" si="105"/>
        <v>0.7</v>
      </c>
      <c r="M111" s="1">
        <v>1</v>
      </c>
      <c r="N111" s="1">
        <v>0.7</v>
      </c>
      <c r="O111" s="1">
        <f t="shared" si="106"/>
        <v>0.5</v>
      </c>
      <c r="P111" s="1">
        <f t="shared" si="107"/>
        <v>0</v>
      </c>
      <c r="Q111" s="1">
        <v>0.5</v>
      </c>
      <c r="R111" s="1">
        <v>0.03</v>
      </c>
      <c r="S111" s="1">
        <v>0</v>
      </c>
      <c r="T111" s="1">
        <v>0</v>
      </c>
      <c r="U111" s="1">
        <f t="shared" ref="U111:U119" si="120">O111*L111*K111</f>
        <v>0.4375</v>
      </c>
      <c r="V111" s="11">
        <f t="shared" ref="V111:W111" si="121">V102</f>
        <v>0.85</v>
      </c>
      <c r="W111" s="11">
        <f t="shared" si="121"/>
        <v>0.55000000000000004</v>
      </c>
    </row>
    <row r="112" spans="1:23" x14ac:dyDescent="0.15">
      <c r="A112" s="1">
        <v>407126</v>
      </c>
      <c r="B112" s="2" t="s">
        <v>273</v>
      </c>
      <c r="C112" s="2">
        <f t="shared" si="81"/>
        <v>2</v>
      </c>
      <c r="D112" s="1" t="s">
        <v>19</v>
      </c>
      <c r="E112" s="1">
        <v>13</v>
      </c>
      <c r="F112" s="1" t="s">
        <v>282</v>
      </c>
      <c r="G112" s="1"/>
      <c r="H112" s="1">
        <v>415002</v>
      </c>
      <c r="I112" s="3" t="s">
        <v>48</v>
      </c>
      <c r="J112" s="1">
        <v>1</v>
      </c>
      <c r="K112" s="9">
        <f t="shared" si="82"/>
        <v>1.75</v>
      </c>
      <c r="L112" s="1">
        <f t="shared" si="105"/>
        <v>0.72</v>
      </c>
      <c r="M112" s="1">
        <v>2</v>
      </c>
      <c r="N112" s="1">
        <v>0.7</v>
      </c>
      <c r="O112" s="1">
        <f t="shared" si="106"/>
        <v>0.53</v>
      </c>
      <c r="P112" s="1">
        <f t="shared" si="107"/>
        <v>0</v>
      </c>
      <c r="Q112" s="1">
        <v>0.5</v>
      </c>
      <c r="R112" s="1">
        <v>0.03</v>
      </c>
      <c r="S112" s="1">
        <v>0</v>
      </c>
      <c r="T112" s="1">
        <v>0</v>
      </c>
      <c r="U112" s="1">
        <f t="shared" si="120"/>
        <v>0.66779999999999995</v>
      </c>
      <c r="V112" s="11">
        <f t="shared" ref="V112:W112" si="122">V103</f>
        <v>0.85</v>
      </c>
      <c r="W112" s="11">
        <f t="shared" si="122"/>
        <v>0.55000000000000004</v>
      </c>
    </row>
    <row r="113" spans="1:23" x14ac:dyDescent="0.15">
      <c r="A113" s="1">
        <v>407127</v>
      </c>
      <c r="B113" s="2" t="s">
        <v>274</v>
      </c>
      <c r="C113" s="2">
        <f t="shared" si="81"/>
        <v>3</v>
      </c>
      <c r="D113" s="1" t="s">
        <v>19</v>
      </c>
      <c r="E113" s="1">
        <v>13</v>
      </c>
      <c r="F113" s="1" t="s">
        <v>283</v>
      </c>
      <c r="G113" s="1"/>
      <c r="H113" s="1">
        <v>415003</v>
      </c>
      <c r="I113" s="3" t="s">
        <v>49</v>
      </c>
      <c r="J113" s="1">
        <v>1</v>
      </c>
      <c r="K113" s="9">
        <f t="shared" si="82"/>
        <v>2.25</v>
      </c>
      <c r="L113" s="1">
        <f t="shared" si="105"/>
        <v>0.74</v>
      </c>
      <c r="M113" s="1">
        <v>3</v>
      </c>
      <c r="N113" s="1">
        <v>0.7</v>
      </c>
      <c r="O113" s="1">
        <f t="shared" si="106"/>
        <v>0.56000000000000005</v>
      </c>
      <c r="P113" s="1">
        <f t="shared" si="107"/>
        <v>0</v>
      </c>
      <c r="Q113" s="1">
        <v>0.5</v>
      </c>
      <c r="R113" s="1">
        <v>0.03</v>
      </c>
      <c r="S113" s="1">
        <v>0</v>
      </c>
      <c r="T113" s="1">
        <v>0</v>
      </c>
      <c r="U113" s="1">
        <f t="shared" si="120"/>
        <v>0.93240000000000012</v>
      </c>
      <c r="V113" s="11">
        <f t="shared" ref="V113:W113" si="123">V104</f>
        <v>0.85</v>
      </c>
      <c r="W113" s="11">
        <f t="shared" si="123"/>
        <v>0.55000000000000004</v>
      </c>
    </row>
    <row r="114" spans="1:23" x14ac:dyDescent="0.15">
      <c r="A114" s="1">
        <v>407128</v>
      </c>
      <c r="B114" s="2" t="s">
        <v>275</v>
      </c>
      <c r="C114" s="2">
        <f t="shared" si="81"/>
        <v>4</v>
      </c>
      <c r="D114" s="1" t="s">
        <v>19</v>
      </c>
      <c r="E114" s="1">
        <v>13</v>
      </c>
      <c r="F114" s="1" t="s">
        <v>284</v>
      </c>
      <c r="G114" s="1"/>
      <c r="H114" s="1">
        <v>415004</v>
      </c>
      <c r="I114" s="3" t="s">
        <v>50</v>
      </c>
      <c r="J114" s="1">
        <v>1</v>
      </c>
      <c r="K114" s="9">
        <f t="shared" si="82"/>
        <v>2.75</v>
      </c>
      <c r="L114" s="1">
        <f t="shared" si="105"/>
        <v>0.76</v>
      </c>
      <c r="M114" s="1">
        <v>4</v>
      </c>
      <c r="N114" s="1">
        <v>0.7</v>
      </c>
      <c r="O114" s="1">
        <f t="shared" si="106"/>
        <v>0.59</v>
      </c>
      <c r="P114" s="1">
        <f t="shared" si="107"/>
        <v>0</v>
      </c>
      <c r="Q114" s="1">
        <v>0.5</v>
      </c>
      <c r="R114" s="1">
        <v>0.03</v>
      </c>
      <c r="S114" s="1">
        <v>0</v>
      </c>
      <c r="T114" s="1">
        <v>0</v>
      </c>
      <c r="U114" s="1">
        <f t="shared" si="120"/>
        <v>1.2330999999999999</v>
      </c>
      <c r="V114" s="11">
        <f t="shared" ref="V114:W114" si="124">V105</f>
        <v>0.85</v>
      </c>
      <c r="W114" s="11">
        <f t="shared" si="124"/>
        <v>0.55000000000000004</v>
      </c>
    </row>
    <row r="115" spans="1:23" x14ac:dyDescent="0.15">
      <c r="A115" s="1">
        <v>407129</v>
      </c>
      <c r="B115" s="2" t="s">
        <v>276</v>
      </c>
      <c r="C115" s="2">
        <f t="shared" si="81"/>
        <v>5</v>
      </c>
      <c r="D115" s="1" t="s">
        <v>19</v>
      </c>
      <c r="E115" s="1">
        <v>13</v>
      </c>
      <c r="F115" s="1" t="s">
        <v>285</v>
      </c>
      <c r="G115" s="1"/>
      <c r="H115" s="1">
        <v>415005</v>
      </c>
      <c r="I115" s="3" t="s">
        <v>51</v>
      </c>
      <c r="J115" s="1">
        <v>1</v>
      </c>
      <c r="K115" s="9">
        <f t="shared" si="82"/>
        <v>3.25</v>
      </c>
      <c r="L115" s="1">
        <f t="shared" si="105"/>
        <v>0.77999999999999992</v>
      </c>
      <c r="M115" s="1">
        <v>5</v>
      </c>
      <c r="N115" s="1">
        <v>0.7</v>
      </c>
      <c r="O115" s="1">
        <f t="shared" si="106"/>
        <v>0.62</v>
      </c>
      <c r="P115" s="1">
        <f t="shared" si="107"/>
        <v>0</v>
      </c>
      <c r="Q115" s="1">
        <v>0.5</v>
      </c>
      <c r="R115" s="1">
        <v>0.03</v>
      </c>
      <c r="S115" s="1">
        <v>0</v>
      </c>
      <c r="T115" s="1">
        <v>0</v>
      </c>
      <c r="U115" s="1">
        <f t="shared" si="120"/>
        <v>1.5716999999999997</v>
      </c>
      <c r="V115" s="11">
        <f t="shared" ref="V115:W115" si="125">V106</f>
        <v>0.85</v>
      </c>
      <c r="W115" s="11">
        <f t="shared" si="125"/>
        <v>0.55000000000000004</v>
      </c>
    </row>
    <row r="116" spans="1:23" x14ac:dyDescent="0.15">
      <c r="A116" s="1">
        <v>407130</v>
      </c>
      <c r="B116" s="2" t="s">
        <v>277</v>
      </c>
      <c r="C116" s="2">
        <f t="shared" si="81"/>
        <v>6</v>
      </c>
      <c r="D116" s="1" t="s">
        <v>19</v>
      </c>
      <c r="E116" s="1">
        <v>13</v>
      </c>
      <c r="F116" s="1" t="s">
        <v>286</v>
      </c>
      <c r="G116" s="1"/>
      <c r="H116" s="1">
        <v>415006</v>
      </c>
      <c r="I116" s="3" t="s">
        <v>52</v>
      </c>
      <c r="J116" s="1">
        <v>1</v>
      </c>
      <c r="K116" s="9">
        <f t="shared" si="82"/>
        <v>3.75</v>
      </c>
      <c r="L116" s="1">
        <f t="shared" si="105"/>
        <v>0.79999999999999993</v>
      </c>
      <c r="M116" s="1">
        <v>6</v>
      </c>
      <c r="N116" s="1">
        <v>0.7</v>
      </c>
      <c r="O116" s="1">
        <f t="shared" si="106"/>
        <v>0.65</v>
      </c>
      <c r="P116" s="1">
        <f t="shared" si="107"/>
        <v>0</v>
      </c>
      <c r="Q116" s="1">
        <v>0.5</v>
      </c>
      <c r="R116" s="1">
        <v>0.03</v>
      </c>
      <c r="S116" s="1">
        <v>0</v>
      </c>
      <c r="T116" s="1">
        <v>0</v>
      </c>
      <c r="U116" s="1">
        <f t="shared" si="120"/>
        <v>1.9500000000000002</v>
      </c>
      <c r="V116" s="11">
        <f t="shared" ref="V116:W116" si="126">V107</f>
        <v>0.85</v>
      </c>
      <c r="W116" s="11">
        <f t="shared" si="126"/>
        <v>0.55000000000000004</v>
      </c>
    </row>
    <row r="117" spans="1:23" x14ac:dyDescent="0.15">
      <c r="A117" s="1">
        <v>407131</v>
      </c>
      <c r="B117" s="2" t="s">
        <v>278</v>
      </c>
      <c r="C117" s="2">
        <f t="shared" si="81"/>
        <v>7</v>
      </c>
      <c r="D117" s="1" t="s">
        <v>19</v>
      </c>
      <c r="E117" s="1">
        <v>13</v>
      </c>
      <c r="F117" s="1" t="s">
        <v>287</v>
      </c>
      <c r="G117" s="1"/>
      <c r="H117" s="1">
        <v>415007</v>
      </c>
      <c r="I117" s="3" t="s">
        <v>53</v>
      </c>
      <c r="J117" s="1">
        <v>1</v>
      </c>
      <c r="K117" s="9">
        <f t="shared" si="82"/>
        <v>4.25</v>
      </c>
      <c r="L117" s="1">
        <f t="shared" si="105"/>
        <v>0.82</v>
      </c>
      <c r="M117" s="1">
        <v>7</v>
      </c>
      <c r="N117" s="1">
        <v>0.7</v>
      </c>
      <c r="O117" s="1">
        <f t="shared" si="106"/>
        <v>0.67999999999999994</v>
      </c>
      <c r="P117" s="1">
        <f t="shared" si="107"/>
        <v>0</v>
      </c>
      <c r="Q117" s="1">
        <v>0.5</v>
      </c>
      <c r="R117" s="1">
        <v>0.03</v>
      </c>
      <c r="S117" s="1">
        <v>0</v>
      </c>
      <c r="T117" s="1">
        <v>0</v>
      </c>
      <c r="U117" s="1">
        <f t="shared" si="120"/>
        <v>2.3697999999999997</v>
      </c>
      <c r="V117" s="11">
        <f t="shared" ref="V117:W117" si="127">V108</f>
        <v>0.85</v>
      </c>
      <c r="W117" s="11">
        <f t="shared" si="127"/>
        <v>0.55000000000000004</v>
      </c>
    </row>
    <row r="118" spans="1:23" x14ac:dyDescent="0.15">
      <c r="A118" s="1">
        <v>407132</v>
      </c>
      <c r="B118" s="2" t="s">
        <v>279</v>
      </c>
      <c r="C118" s="2">
        <f t="shared" si="81"/>
        <v>8</v>
      </c>
      <c r="D118" s="1" t="s">
        <v>19</v>
      </c>
      <c r="E118" s="1">
        <v>13</v>
      </c>
      <c r="F118" s="1" t="s">
        <v>288</v>
      </c>
      <c r="G118" s="1"/>
      <c r="H118" s="1">
        <v>415008</v>
      </c>
      <c r="I118" s="3" t="s">
        <v>54</v>
      </c>
      <c r="J118" s="1">
        <v>1</v>
      </c>
      <c r="K118" s="9">
        <f t="shared" si="82"/>
        <v>4.75</v>
      </c>
      <c r="L118" s="1">
        <f t="shared" si="105"/>
        <v>0.84</v>
      </c>
      <c r="M118" s="1">
        <v>8</v>
      </c>
      <c r="N118" s="1">
        <v>0.7</v>
      </c>
      <c r="O118" s="1">
        <f t="shared" si="106"/>
        <v>0.71</v>
      </c>
      <c r="P118" s="1">
        <f t="shared" si="107"/>
        <v>0</v>
      </c>
      <c r="Q118" s="1">
        <v>0.5</v>
      </c>
      <c r="R118" s="1">
        <v>0.03</v>
      </c>
      <c r="S118" s="1">
        <v>0</v>
      </c>
      <c r="T118" s="1">
        <v>0</v>
      </c>
      <c r="U118" s="1">
        <f t="shared" si="120"/>
        <v>2.8328999999999995</v>
      </c>
      <c r="V118" s="11">
        <f t="shared" ref="V118:W118" si="128">V109</f>
        <v>0.85</v>
      </c>
      <c r="W118" s="11">
        <f t="shared" si="128"/>
        <v>0.55000000000000004</v>
      </c>
    </row>
    <row r="119" spans="1:23" x14ac:dyDescent="0.15">
      <c r="A119" s="1">
        <v>407133</v>
      </c>
      <c r="B119" s="2" t="s">
        <v>280</v>
      </c>
      <c r="C119" s="2">
        <f t="shared" si="81"/>
        <v>9</v>
      </c>
      <c r="D119" s="1" t="s">
        <v>19</v>
      </c>
      <c r="E119" s="1">
        <v>13</v>
      </c>
      <c r="F119" s="1" t="s">
        <v>289</v>
      </c>
      <c r="G119" s="1"/>
      <c r="H119" s="1">
        <v>415009</v>
      </c>
      <c r="I119" s="3" t="s">
        <v>55</v>
      </c>
      <c r="J119" s="1">
        <v>1</v>
      </c>
      <c r="K119" s="9">
        <f t="shared" si="82"/>
        <v>5.25</v>
      </c>
      <c r="L119" s="1">
        <f t="shared" si="105"/>
        <v>0.86</v>
      </c>
      <c r="M119" s="1">
        <v>9</v>
      </c>
      <c r="N119" s="1">
        <v>0.7</v>
      </c>
      <c r="O119" s="1">
        <f t="shared" si="106"/>
        <v>0.74</v>
      </c>
      <c r="P119" s="1">
        <f t="shared" si="107"/>
        <v>0</v>
      </c>
      <c r="Q119" s="1">
        <v>0.5</v>
      </c>
      <c r="R119" s="1">
        <v>0.03</v>
      </c>
      <c r="S119" s="1">
        <v>0</v>
      </c>
      <c r="T119" s="1">
        <v>0</v>
      </c>
      <c r="U119" s="1">
        <f t="shared" si="120"/>
        <v>3.3411</v>
      </c>
      <c r="V119" s="11">
        <f t="shared" ref="V119:W119" si="129">V110</f>
        <v>0.85</v>
      </c>
      <c r="W119" s="11">
        <f t="shared" si="129"/>
        <v>0.55000000000000004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armor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2025-05-07T03:00:24Z</dcterms:modified>
</cp:coreProperties>
</file>