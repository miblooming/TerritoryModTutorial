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B9FA5F0-BE4C-4AF0-84A0-9ED5FCD04CA5}" xr6:coauthVersionLast="47" xr6:coauthVersionMax="47" xr10:uidLastSave="{00000000-0000-0000-0000-000000000000}"/>
  <bookViews>
    <workbookView xWindow="1455" yWindow="585" windowWidth="26835" windowHeight="13830" xr2:uid="{00000000-000D-0000-FFFF-FFFF00000000}"/>
  </bookViews>
  <sheets>
    <sheet name="monster_facility_spawn" sheetId="1" r:id="rId1"/>
  </sheets>
  <calcPr calcId="181029"/>
</workbook>
</file>

<file path=xl/calcChain.xml><?xml version="1.0" encoding="utf-8"?>
<calcChain xmlns="http://schemas.openxmlformats.org/spreadsheetml/2006/main">
  <c r="O2" i="1" l="1"/>
  <c r="P2" i="1"/>
  <c r="Q2" i="1"/>
  <c r="R2" i="1"/>
  <c r="S2" i="1"/>
  <c r="T2" i="1"/>
  <c r="U2" i="1"/>
  <c r="V2" i="1"/>
  <c r="N2" i="1"/>
  <c r="H4" i="1"/>
  <c r="H5" i="1"/>
  <c r="H3" i="1"/>
</calcChain>
</file>

<file path=xl/sharedStrings.xml><?xml version="1.0" encoding="utf-8"?>
<sst xmlns="http://schemas.openxmlformats.org/spreadsheetml/2006/main" count="61" uniqueCount="59">
  <si>
    <t>设施</t>
    <phoneticPr fontId="1" type="noConversion"/>
  </si>
  <si>
    <t>facility_stuff_id#int</t>
    <phoneticPr fontId="1" type="noConversion"/>
  </si>
  <si>
    <t>设施名称</t>
    <phoneticPr fontId="1" type="noConversion"/>
  </si>
  <si>
    <t>!facility_name</t>
    <phoneticPr fontId="1" type="noConversion"/>
  </si>
  <si>
    <t>巨树</t>
    <phoneticPr fontId="1" type="noConversion"/>
  </si>
  <si>
    <t>枯萎寿命</t>
    <phoneticPr fontId="1" type="noConversion"/>
  </si>
  <si>
    <t>最大寿命</t>
    <phoneticPr fontId="1" type="noConversion"/>
  </si>
  <si>
    <t>mid_age#int</t>
    <phoneticPr fontId="1" type="noConversion"/>
  </si>
  <si>
    <t>max_age#int</t>
    <phoneticPr fontId="1" type="noConversion"/>
  </si>
  <si>
    <t>min_count#int</t>
    <phoneticPr fontId="1" type="noConversion"/>
  </si>
  <si>
    <t>max_gather_time#int</t>
    <phoneticPr fontId="1" type="noConversion"/>
  </si>
  <si>
    <t>刷新月份</t>
    <phoneticPr fontId="1" type="noConversion"/>
  </si>
  <si>
    <t>出现提示信息</t>
    <phoneticPr fontId="1" type="noConversion"/>
  </si>
  <si>
    <t>巨型蜂巢</t>
    <phoneticPr fontId="1" type="noConversion"/>
  </si>
  <si>
    <t>巨型蘑菇</t>
    <phoneticPr fontId="1" type="noConversion"/>
  </si>
  <si>
    <t>空地上长出了，一个巨型蘑菇</t>
    <phoneticPr fontId="1" type="noConversion"/>
  </si>
  <si>
    <t>有棵树，成长为巨树</t>
    <phoneticPr fontId="1" type="noConversion"/>
  </si>
  <si>
    <t>出现一个巨型蜂巢</t>
    <phoneticPr fontId="1" type="noConversion"/>
  </si>
  <si>
    <t>死亡份</t>
    <phoneticPr fontId="1" type="noConversion"/>
  </si>
  <si>
    <t>month_dead#int</t>
    <phoneticPr fontId="1" type="noConversion"/>
  </si>
  <si>
    <t>month_spawn#int</t>
    <phoneticPr fontId="1" type="noConversion"/>
  </si>
  <si>
    <t>最大采集次数</t>
    <phoneticPr fontId="1" type="noConversion"/>
  </si>
  <si>
    <t>最小保有数量</t>
    <phoneticPr fontId="1" type="noConversion"/>
  </si>
  <si>
    <t>是否可出现在室内</t>
    <phoneticPr fontId="1" type="noConversion"/>
  </si>
  <si>
    <t>create_in_indoor_area#int</t>
    <phoneticPr fontId="1" type="noConversion"/>
  </si>
  <si>
    <t>zh-CN</t>
  </si>
  <si>
    <t>en</t>
    <phoneticPr fontId="1" type="noConversion"/>
  </si>
  <si>
    <t>zh-TW</t>
  </si>
  <si>
    <t>ru</t>
  </si>
  <si>
    <t>es</t>
  </si>
  <si>
    <t>de</t>
  </si>
  <si>
    <t>pt</t>
  </si>
  <si>
    <t>fr</t>
  </si>
  <si>
    <t>pl</t>
  </si>
  <si>
    <t>!appear_msg#str</t>
    <phoneticPr fontId="1" type="noConversion"/>
  </si>
  <si>
    <t>森林中，有一棵树成长为巨树</t>
    <phoneticPr fontId="1" type="noConversion"/>
  </si>
  <si>
    <t>野花从中，毒蜂建造了一个巨型蜂巢</t>
    <phoneticPr fontId="1" type="noConversion"/>
  </si>
  <si>
    <t>森林中，一个小蘑菇，成长得无比巨大</t>
    <phoneticPr fontId="1" type="noConversion"/>
  </si>
  <si>
    <t>野花從中，毒蜂建造了一個巨型蜂巢</t>
  </si>
  <si>
    <t>森林中，一個小蘑菇，成長得無比巨大</t>
  </si>
  <si>
    <t>森林中，有一棵樹成長為巨樹</t>
  </si>
  <si>
    <t>Among wildflowers, poisonous bees build a giant hive</t>
  </si>
  <si>
    <t>In the forest, a small mushroom grows enormously</t>
  </si>
  <si>
    <t>In the forest, there is a tree that grows into a giant tree</t>
  </si>
  <si>
    <t>刷新间隔</t>
    <phoneticPr fontId="1" type="noConversion"/>
  </si>
  <si>
    <t>cooldown_days#int</t>
    <phoneticPr fontId="1" type="noConversion"/>
  </si>
  <si>
    <t>蚁穴</t>
    <phoneticPr fontId="1" type="noConversion"/>
  </si>
  <si>
    <t>一群工蚁，建造一个巨大的蚁穴</t>
    <phoneticPr fontId="1" type="noConversion"/>
  </si>
  <si>
    <t>A group of worker ants build a huge ant nest</t>
    <phoneticPr fontId="1" type="noConversion"/>
  </si>
  <si>
    <t>一群工蟻，建造一個巨大的蟻穴</t>
    <phoneticPr fontId="1" type="noConversion"/>
  </si>
  <si>
    <t>红蚁穴</t>
    <phoneticPr fontId="1" type="noConversion"/>
  </si>
  <si>
    <t>一群红色的工蚁，建造一个巨大的蚁穴</t>
    <phoneticPr fontId="1" type="noConversion"/>
  </si>
  <si>
    <t>Группа красных рабочих муравьев строит огромный муравейник</t>
    <phoneticPr fontId="1" type="noConversion"/>
  </si>
  <si>
    <t>一群紅色的工蟻，建造一座巨大的蟻穴</t>
  </si>
  <si>
    <t>A group of red worker ants building a huge anthill</t>
    <phoneticPr fontId="1" type="noConversion"/>
  </si>
  <si>
    <t>cooldown_increase_type#int</t>
    <phoneticPr fontId="1" type="noConversion"/>
  </si>
  <si>
    <t>刷新间隔增加
0:不增加
1：随次数增加间隔</t>
    <phoneticPr fontId="1" type="noConversion"/>
  </si>
  <si>
    <t>cooldown_days_increase#int</t>
    <phoneticPr fontId="1" type="noConversion"/>
  </si>
  <si>
    <t>刷新间隔增长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</si>
</sst>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workbookViewId="0">
      <selection activeCell="J12" sqref="J12"/>
    </sheetView>
  </sheetViews>
  <sheetFormatPr defaultRowHeight="16.5" x14ac:dyDescent="0.3"/>
  <cols>
    <col min="2" max="2" width="10.375" customWidth="1"/>
    <col min="11" max="12" width="10.25" customWidth="1"/>
    <col min="13" max="13" width="40.5" customWidth="1"/>
    <col min="17" max="17" width="9" style="5"/>
  </cols>
  <sheetData>
    <row r="1" spans="1:22" s="11" customFormat="1" ht="67.5" x14ac:dyDescent="0.15">
      <c r="A1" s="7" t="s">
        <v>0</v>
      </c>
      <c r="B1" s="7" t="s">
        <v>2</v>
      </c>
      <c r="C1" s="7" t="s">
        <v>5</v>
      </c>
      <c r="D1" s="7" t="s">
        <v>6</v>
      </c>
      <c r="E1" s="7" t="s">
        <v>21</v>
      </c>
      <c r="F1" s="7" t="s">
        <v>22</v>
      </c>
      <c r="G1" s="7" t="s">
        <v>11</v>
      </c>
      <c r="H1" s="7" t="s">
        <v>18</v>
      </c>
      <c r="I1" s="7" t="s">
        <v>23</v>
      </c>
      <c r="J1" s="7" t="s">
        <v>44</v>
      </c>
      <c r="K1" s="7" t="s">
        <v>56</v>
      </c>
      <c r="L1" s="7" t="s">
        <v>58</v>
      </c>
      <c r="M1" s="7" t="s">
        <v>12</v>
      </c>
      <c r="N1" s="8" t="s">
        <v>25</v>
      </c>
      <c r="O1" s="9" t="s">
        <v>26</v>
      </c>
      <c r="P1" s="9" t="s">
        <v>27</v>
      </c>
      <c r="Q1" s="10" t="s">
        <v>28</v>
      </c>
      <c r="R1" s="9" t="s">
        <v>29</v>
      </c>
      <c r="S1" s="9" t="s">
        <v>30</v>
      </c>
      <c r="T1" s="9" t="s">
        <v>31</v>
      </c>
      <c r="U1" s="9" t="s">
        <v>32</v>
      </c>
      <c r="V1" s="9" t="s">
        <v>33</v>
      </c>
    </row>
    <row r="2" spans="1:22" x14ac:dyDescent="0.3">
      <c r="A2" s="1" t="s">
        <v>1</v>
      </c>
      <c r="B2" s="1" t="s">
        <v>3</v>
      </c>
      <c r="C2" s="1" t="s">
        <v>7</v>
      </c>
      <c r="D2" s="1" t="s">
        <v>8</v>
      </c>
      <c r="E2" s="1" t="s">
        <v>10</v>
      </c>
      <c r="F2" s="1" t="s">
        <v>9</v>
      </c>
      <c r="G2" s="1" t="s">
        <v>20</v>
      </c>
      <c r="H2" s="1" t="s">
        <v>19</v>
      </c>
      <c r="I2" s="1" t="s">
        <v>24</v>
      </c>
      <c r="J2" s="1" t="s">
        <v>45</v>
      </c>
      <c r="K2" s="1" t="s">
        <v>55</v>
      </c>
      <c r="L2" s="1" t="s">
        <v>57</v>
      </c>
      <c r="M2" s="1" t="s">
        <v>34</v>
      </c>
      <c r="N2" s="1" t="str">
        <f>CONCATENATE("appear_msg_",N1,"#str")</f>
        <v>appear_msg_zh-CN#str</v>
      </c>
      <c r="O2" s="1" t="str">
        <f t="shared" ref="O2:V2" si="0">CONCATENATE("appear_msg_",O1,"#str")</f>
        <v>appear_msg_en#str</v>
      </c>
      <c r="P2" s="1" t="str">
        <f t="shared" si="0"/>
        <v>appear_msg_zh-TW#str</v>
      </c>
      <c r="Q2" s="4" t="str">
        <f t="shared" si="0"/>
        <v>appear_msg_ru#str</v>
      </c>
      <c r="R2" s="1" t="str">
        <f t="shared" si="0"/>
        <v>appear_msg_es#str</v>
      </c>
      <c r="S2" s="1" t="str">
        <f t="shared" si="0"/>
        <v>appear_msg_de#str</v>
      </c>
      <c r="T2" s="1" t="str">
        <f t="shared" si="0"/>
        <v>appear_msg_pt#str</v>
      </c>
      <c r="U2" s="1" t="str">
        <f t="shared" si="0"/>
        <v>appear_msg_fr#str</v>
      </c>
      <c r="V2" s="1" t="str">
        <f t="shared" si="0"/>
        <v>appear_msg_pl#str</v>
      </c>
    </row>
    <row r="3" spans="1:22" x14ac:dyDescent="0.3">
      <c r="A3" s="1">
        <v>108002</v>
      </c>
      <c r="B3" s="2" t="s">
        <v>13</v>
      </c>
      <c r="C3" s="1">
        <v>0</v>
      </c>
      <c r="D3" s="1">
        <v>0</v>
      </c>
      <c r="E3" s="1">
        <v>2</v>
      </c>
      <c r="F3" s="1">
        <v>1</v>
      </c>
      <c r="G3" s="1">
        <v>6</v>
      </c>
      <c r="H3" s="1">
        <f>G3+2</f>
        <v>8</v>
      </c>
      <c r="I3" s="1">
        <v>1</v>
      </c>
      <c r="J3" s="1">
        <v>1440</v>
      </c>
      <c r="K3" s="1">
        <v>0</v>
      </c>
      <c r="L3" s="1">
        <v>0</v>
      </c>
      <c r="M3" s="1" t="s">
        <v>17</v>
      </c>
      <c r="N3" s="1" t="s">
        <v>36</v>
      </c>
      <c r="O3" s="1" t="s">
        <v>41</v>
      </c>
      <c r="P3" s="1" t="s">
        <v>38</v>
      </c>
    </row>
    <row r="4" spans="1:22" x14ac:dyDescent="0.3">
      <c r="A4" s="1">
        <v>108004</v>
      </c>
      <c r="B4" s="2" t="s">
        <v>14</v>
      </c>
      <c r="C4" s="1">
        <v>0</v>
      </c>
      <c r="D4" s="3">
        <v>10</v>
      </c>
      <c r="E4" s="1">
        <v>1</v>
      </c>
      <c r="F4" s="1">
        <v>1</v>
      </c>
      <c r="G4" s="1">
        <v>3</v>
      </c>
      <c r="H4" s="1">
        <f>G4+2</f>
        <v>5</v>
      </c>
      <c r="I4" s="1">
        <v>1</v>
      </c>
      <c r="J4" s="1">
        <v>720</v>
      </c>
      <c r="K4" s="1">
        <v>0</v>
      </c>
      <c r="L4" s="1">
        <v>0</v>
      </c>
      <c r="M4" s="1" t="s">
        <v>15</v>
      </c>
      <c r="N4" s="1" t="s">
        <v>37</v>
      </c>
      <c r="O4" s="1" t="s">
        <v>42</v>
      </c>
      <c r="P4" s="1" t="s">
        <v>39</v>
      </c>
    </row>
    <row r="5" spans="1:22" x14ac:dyDescent="0.3">
      <c r="A5" s="1">
        <v>108005</v>
      </c>
      <c r="B5" s="2" t="s">
        <v>4</v>
      </c>
      <c r="C5" s="3">
        <v>13</v>
      </c>
      <c r="D5" s="3">
        <v>15</v>
      </c>
      <c r="E5" s="1">
        <v>0</v>
      </c>
      <c r="F5" s="1">
        <v>1</v>
      </c>
      <c r="G5" s="1">
        <v>9</v>
      </c>
      <c r="H5" s="1">
        <f>G5+2</f>
        <v>11</v>
      </c>
      <c r="I5" s="1">
        <v>0</v>
      </c>
      <c r="J5" s="1">
        <v>720</v>
      </c>
      <c r="K5" s="1">
        <v>0</v>
      </c>
      <c r="L5" s="1">
        <v>0</v>
      </c>
      <c r="M5" s="1" t="s">
        <v>16</v>
      </c>
      <c r="N5" s="1" t="s">
        <v>35</v>
      </c>
      <c r="O5" s="1" t="s">
        <v>43</v>
      </c>
      <c r="P5" s="1" t="s">
        <v>40</v>
      </c>
    </row>
    <row r="6" spans="1:22" x14ac:dyDescent="0.3">
      <c r="A6" s="1">
        <v>108008</v>
      </c>
      <c r="B6" s="2" t="s">
        <v>46</v>
      </c>
      <c r="C6" s="1">
        <v>0</v>
      </c>
      <c r="D6" s="1">
        <v>0</v>
      </c>
      <c r="E6" s="1">
        <v>0</v>
      </c>
      <c r="F6" s="1">
        <v>1</v>
      </c>
      <c r="G6" s="1">
        <v>2</v>
      </c>
      <c r="H6" s="1">
        <v>11</v>
      </c>
      <c r="I6" s="1">
        <v>1</v>
      </c>
      <c r="J6" s="1">
        <v>3600</v>
      </c>
      <c r="K6" s="1">
        <v>1</v>
      </c>
      <c r="L6" s="1">
        <v>360</v>
      </c>
      <c r="M6" s="1" t="s">
        <v>47</v>
      </c>
      <c r="N6" s="1" t="s">
        <v>47</v>
      </c>
      <c r="O6" s="1" t="s">
        <v>48</v>
      </c>
      <c r="P6" s="1" t="s">
        <v>49</v>
      </c>
    </row>
    <row r="7" spans="1:22" x14ac:dyDescent="0.3">
      <c r="A7" s="1">
        <v>108011</v>
      </c>
      <c r="B7" s="2" t="s">
        <v>50</v>
      </c>
      <c r="C7" s="1">
        <v>0</v>
      </c>
      <c r="D7" s="1">
        <v>0</v>
      </c>
      <c r="E7" s="1">
        <v>0</v>
      </c>
      <c r="F7" s="1">
        <v>1</v>
      </c>
      <c r="G7" s="1">
        <v>5</v>
      </c>
      <c r="H7" s="1">
        <v>11</v>
      </c>
      <c r="I7" s="1">
        <v>1</v>
      </c>
      <c r="J7" s="1">
        <v>5400</v>
      </c>
      <c r="K7" s="1">
        <v>1</v>
      </c>
      <c r="L7" s="1">
        <v>360</v>
      </c>
      <c r="M7" s="1" t="s">
        <v>51</v>
      </c>
      <c r="N7" s="1" t="s">
        <v>51</v>
      </c>
      <c r="O7" s="1" t="s">
        <v>54</v>
      </c>
      <c r="P7" s="1" t="s">
        <v>53</v>
      </c>
      <c r="Q7" s="6" t="s">
        <v>52</v>
      </c>
    </row>
  </sheetData>
  <phoneticPr fontId="1" type="noConversion"/>
  <conditionalFormatting sqref="B3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B5">
    <cfRule type="iconSet" priority="8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monster_facility_spawn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2025-09-12T04:56:26Z</dcterms:modified>
</cp:coreProperties>
</file>