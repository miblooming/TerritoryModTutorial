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D1290F-AF06-4A78-B9A6-60B90E2CE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son_event" sheetId="1" r:id="rId1"/>
  </sheets>
  <calcPr calcId="181029"/>
</workbook>
</file>

<file path=xl/calcChain.xml><?xml version="1.0" encoding="utf-8"?>
<calcChain xmlns="http://schemas.openxmlformats.org/spreadsheetml/2006/main">
  <c r="L2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</calcChain>
</file>

<file path=xl/sharedStrings.xml><?xml version="1.0" encoding="utf-8"?>
<sst xmlns="http://schemas.openxmlformats.org/spreadsheetml/2006/main" count="37" uniqueCount="37">
  <si>
    <t>编号</t>
    <phoneticPr fontId="1" type="noConversion"/>
  </si>
  <si>
    <t>审问应答</t>
    <phoneticPr fontId="1" type="noConversion"/>
  </si>
  <si>
    <t>NPC属性
0为随机</t>
    <phoneticPr fontId="1" type="noConversion"/>
  </si>
  <si>
    <t>释放事件</t>
    <phoneticPr fontId="1" type="noConversion"/>
  </si>
  <si>
    <t>execute_event#int</t>
    <phoneticPr fontId="1" type="noConversion"/>
  </si>
  <si>
    <t>release_event#int</t>
    <phoneticPr fontId="1" type="noConversion"/>
  </si>
  <si>
    <t>prison_event_id#int</t>
    <phoneticPr fontId="1" type="noConversion"/>
  </si>
  <si>
    <t>关押时长事件</t>
    <phoneticPr fontId="1" type="noConversion"/>
  </si>
  <si>
    <t>关押时长</t>
    <phoneticPr fontId="1" type="noConversion"/>
  </si>
  <si>
    <t>lock_up_duration_days#int</t>
    <phoneticPr fontId="1" type="noConversion"/>
  </si>
  <si>
    <t>lock_up_event#int</t>
    <phoneticPr fontId="1" type="noConversion"/>
  </si>
  <si>
    <t>归属
0不限
1强盗
2蛮族</t>
    <phoneticPr fontId="1" type="noConversion"/>
  </si>
  <si>
    <t>是否是特殊用途，而不随机发生</t>
    <phoneticPr fontId="1" type="noConversion"/>
  </si>
  <si>
    <t>special_use#int</t>
    <phoneticPr fontId="1" type="noConversion"/>
  </si>
  <si>
    <t>处决事件
关押至死，算处决</t>
    <phoneticPr fontId="1" type="noConversion"/>
  </si>
  <si>
    <t>territory_type_limit#int</t>
    <phoneticPr fontId="1" type="noConversion"/>
  </si>
  <si>
    <t>想不想知道，有关宝藏的线索。放了我，我全告诉你！</t>
    <phoneticPr fontId="1" type="noConversion"/>
  </si>
  <si>
    <t>强盗正在寻找一批宝藏，放我一条生路，我可以告诉你一些线索。</t>
    <phoneticPr fontId="1" type="noConversion"/>
  </si>
  <si>
    <t>我也不想当强盗，原本我只是一个老实本份的农民，别杀我呀。</t>
    <phoneticPr fontId="1" type="noConversion"/>
  </si>
  <si>
    <t>你们这儿一片祥和，我相信你不会滥杀无辜的。</t>
    <phoneticPr fontId="1" type="noConversion"/>
  </si>
  <si>
    <t>nature2#int</t>
    <phoneticPr fontId="1" type="noConversion"/>
  </si>
  <si>
    <t>附加属性</t>
    <phoneticPr fontId="1" type="noConversion"/>
  </si>
  <si>
    <t>跑得快有什么用，最后还是落在你手上，我就是个倒霉蛋。</t>
    <phoneticPr fontId="1" type="noConversion"/>
  </si>
  <si>
    <t>落在你上，要杀要剐随你，只求给我一点酒喝。</t>
    <phoneticPr fontId="1" type="noConversion"/>
  </si>
  <si>
    <t>无美食，毋宁死。</t>
    <phoneticPr fontId="1" type="noConversion"/>
  </si>
  <si>
    <t>100黄金换我小命，如何？藏在一个只有我知道的地方！放我回去取。</t>
    <phoneticPr fontId="1" type="noConversion"/>
  </si>
  <si>
    <t>抵抗度</t>
    <phoneticPr fontId="1" type="noConversion"/>
  </si>
  <si>
    <t>resistance#int</t>
    <phoneticPr fontId="1" type="noConversion"/>
  </si>
  <si>
    <t>nature1#int</t>
    <phoneticPr fontId="1" type="noConversion"/>
  </si>
  <si>
    <t>快放了我，我要是有个三长两短，你必会遭受灭顶之灾。</t>
    <phoneticPr fontId="1" type="noConversion"/>
  </si>
  <si>
    <t>我承诺，如果我能获释，并安全回去，我让我爸送你100头牛。</t>
    <phoneticPr fontId="1" type="noConversion"/>
  </si>
  <si>
    <t>我只是随大流，出来谋生活，家里还有个一岁的小孩等我回去照顾，求求放了我吧，呜呜！</t>
    <phoneticPr fontId="1" type="noConversion"/>
  </si>
  <si>
    <t>我是上帝的信使，无上的先知，谁也杀不死我。</t>
    <phoneticPr fontId="1" type="noConversion"/>
  </si>
  <si>
    <t>病痛并不能阻止我追求幸福，提前到来的死亡，或许只是上天的怜悯。</t>
    <phoneticPr fontId="1" type="noConversion"/>
  </si>
  <si>
    <t>别杀我。你们这儿还缺人手吗？我什么都可以做，做牛做马我都愿意！</t>
    <phoneticPr fontId="1" type="noConversion"/>
  </si>
  <si>
    <t>zh-CN</t>
  </si>
  <si>
    <t>!answer#str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</si>
</sst>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常规 2" xfId="1" xr:uid="{EC65DB21-2FF0-480E-9FC6-4BA27D610A7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C1" workbookViewId="0">
      <selection activeCell="R9" sqref="R9"/>
    </sheetView>
  </sheetViews>
  <sheetFormatPr defaultRowHeight="13.5" x14ac:dyDescent="0.15"/>
  <cols>
    <col min="1" max="5" width="13" customWidth="1"/>
    <col min="6" max="6" width="10.25" customWidth="1"/>
    <col min="7" max="7" width="57.125" style="4" customWidth="1"/>
    <col min="8" max="8" width="8.75" customWidth="1"/>
    <col min="9" max="9" width="8.25" customWidth="1"/>
    <col min="10" max="10" width="9" customWidth="1"/>
    <col min="11" max="11" width="8.125" customWidth="1"/>
    <col min="12" max="12" width="10" style="8" customWidth="1"/>
  </cols>
  <sheetData>
    <row r="1" spans="1:12" ht="54" x14ac:dyDescent="0.15">
      <c r="A1" s="1" t="s">
        <v>0</v>
      </c>
      <c r="B1" s="1" t="s">
        <v>12</v>
      </c>
      <c r="C1" s="2" t="s">
        <v>11</v>
      </c>
      <c r="D1" s="2" t="s">
        <v>26</v>
      </c>
      <c r="E1" s="2" t="s">
        <v>2</v>
      </c>
      <c r="F1" s="2" t="s">
        <v>21</v>
      </c>
      <c r="G1" s="2" t="s">
        <v>1</v>
      </c>
      <c r="H1" s="2" t="s">
        <v>14</v>
      </c>
      <c r="I1" s="1" t="s">
        <v>3</v>
      </c>
      <c r="J1" s="1" t="s">
        <v>8</v>
      </c>
      <c r="K1" s="1" t="s">
        <v>7</v>
      </c>
      <c r="L1" s="6" t="s">
        <v>35</v>
      </c>
    </row>
    <row r="2" spans="1:12" x14ac:dyDescent="0.15">
      <c r="A2" s="1" t="s">
        <v>6</v>
      </c>
      <c r="B2" s="1" t="s">
        <v>13</v>
      </c>
      <c r="C2" s="1" t="s">
        <v>15</v>
      </c>
      <c r="D2" s="1" t="s">
        <v>27</v>
      </c>
      <c r="E2" s="1" t="s">
        <v>28</v>
      </c>
      <c r="F2" s="1" t="s">
        <v>20</v>
      </c>
      <c r="G2" s="2" t="s">
        <v>36</v>
      </c>
      <c r="H2" s="1" t="s">
        <v>4</v>
      </c>
      <c r="I2" s="1" t="s">
        <v>5</v>
      </c>
      <c r="J2" s="1" t="s">
        <v>9</v>
      </c>
      <c r="K2" s="1" t="s">
        <v>10</v>
      </c>
      <c r="L2" s="1" t="str">
        <f>CONCATENATE("answer_",L1,"#str")</f>
        <v>answer_zh-CN#str</v>
      </c>
    </row>
    <row r="3" spans="1:12" x14ac:dyDescent="0.15">
      <c r="A3" s="1">
        <v>1</v>
      </c>
      <c r="B3" s="1">
        <v>0</v>
      </c>
      <c r="C3" s="1">
        <v>1</v>
      </c>
      <c r="D3" s="1">
        <v>100</v>
      </c>
      <c r="E3" s="1">
        <v>102</v>
      </c>
      <c r="F3" s="1">
        <v>0</v>
      </c>
      <c r="G3" s="2" t="s">
        <v>16</v>
      </c>
      <c r="H3" s="1">
        <v>0</v>
      </c>
      <c r="I3" s="5">
        <v>2001</v>
      </c>
      <c r="J3" s="1">
        <v>0</v>
      </c>
      <c r="K3" s="1">
        <v>0</v>
      </c>
      <c r="L3" s="7" t="str">
        <f>G3</f>
        <v>想不想知道，有关宝藏的线索。放了我，我全告诉你！</v>
      </c>
    </row>
    <row r="4" spans="1:12" x14ac:dyDescent="0.15">
      <c r="A4" s="1">
        <v>2</v>
      </c>
      <c r="B4" s="1">
        <v>0</v>
      </c>
      <c r="C4" s="1">
        <v>1</v>
      </c>
      <c r="D4" s="1">
        <v>100</v>
      </c>
      <c r="E4" s="1">
        <v>104</v>
      </c>
      <c r="F4" s="1">
        <v>0</v>
      </c>
      <c r="G4" s="2" t="s">
        <v>17</v>
      </c>
      <c r="H4" s="1">
        <v>0</v>
      </c>
      <c r="I4" s="5">
        <v>2002</v>
      </c>
      <c r="J4" s="1">
        <v>0</v>
      </c>
      <c r="K4" s="1">
        <v>0</v>
      </c>
      <c r="L4" s="7" t="str">
        <f t="shared" ref="L4:L16" si="0">G4</f>
        <v>强盗正在寻找一批宝藏，放我一条生路，我可以告诉你一些线索。</v>
      </c>
    </row>
    <row r="5" spans="1:12" x14ac:dyDescent="0.15">
      <c r="A5" s="1">
        <v>3</v>
      </c>
      <c r="B5" s="1">
        <v>0</v>
      </c>
      <c r="C5" s="1">
        <v>2</v>
      </c>
      <c r="D5" s="1">
        <v>100</v>
      </c>
      <c r="E5" s="1">
        <v>108</v>
      </c>
      <c r="F5" s="1">
        <v>0</v>
      </c>
      <c r="G5" s="2" t="s">
        <v>29</v>
      </c>
      <c r="H5" s="5">
        <v>2003</v>
      </c>
      <c r="I5" s="1">
        <v>0</v>
      </c>
      <c r="J5" s="1">
        <v>0</v>
      </c>
      <c r="K5" s="1">
        <v>0</v>
      </c>
      <c r="L5" s="7" t="str">
        <f t="shared" si="0"/>
        <v>快放了我，我要是有个三长两短，你必会遭受灭顶之灾。</v>
      </c>
    </row>
    <row r="6" spans="1:12" x14ac:dyDescent="0.15">
      <c r="A6" s="1">
        <v>4</v>
      </c>
      <c r="B6" s="1"/>
      <c r="C6" s="1"/>
      <c r="D6" s="1">
        <v>300</v>
      </c>
      <c r="E6" s="1">
        <v>109</v>
      </c>
      <c r="F6" s="1">
        <v>0</v>
      </c>
      <c r="G6" s="2" t="s">
        <v>32</v>
      </c>
      <c r="H6" s="5">
        <v>2004</v>
      </c>
      <c r="I6" s="1">
        <v>0</v>
      </c>
      <c r="J6" s="1">
        <v>0</v>
      </c>
      <c r="K6" s="1">
        <v>0</v>
      </c>
      <c r="L6" s="7" t="str">
        <f t="shared" si="0"/>
        <v>我是上帝的信使，无上的先知，谁也杀不死我。</v>
      </c>
    </row>
    <row r="7" spans="1:12" ht="27" x14ac:dyDescent="0.15">
      <c r="A7" s="1">
        <v>5</v>
      </c>
      <c r="B7" s="1">
        <v>0</v>
      </c>
      <c r="C7" s="1">
        <v>0</v>
      </c>
      <c r="D7" s="1">
        <v>100</v>
      </c>
      <c r="E7" s="1">
        <v>113</v>
      </c>
      <c r="F7" s="1">
        <v>0</v>
      </c>
      <c r="G7" s="2" t="s">
        <v>25</v>
      </c>
      <c r="H7" s="1">
        <v>0</v>
      </c>
      <c r="I7" s="5">
        <v>2005</v>
      </c>
      <c r="J7" s="1">
        <v>0</v>
      </c>
      <c r="K7" s="1">
        <v>0</v>
      </c>
      <c r="L7" s="7" t="str">
        <f t="shared" si="0"/>
        <v>100黄金换我小命，如何？藏在一个只有我知道的地方！放我回去取。</v>
      </c>
    </row>
    <row r="8" spans="1:12" x14ac:dyDescent="0.15">
      <c r="A8" s="1">
        <v>6</v>
      </c>
      <c r="B8" s="1">
        <v>0</v>
      </c>
      <c r="C8" s="1">
        <v>2</v>
      </c>
      <c r="D8" s="1">
        <v>100</v>
      </c>
      <c r="E8" s="1">
        <v>102</v>
      </c>
      <c r="F8" s="1">
        <v>105</v>
      </c>
      <c r="G8" s="2" t="s">
        <v>30</v>
      </c>
      <c r="H8" s="5"/>
      <c r="I8" s="5">
        <v>2006</v>
      </c>
      <c r="J8" s="1">
        <v>0</v>
      </c>
      <c r="K8" s="1">
        <v>0</v>
      </c>
      <c r="L8" s="7" t="str">
        <f t="shared" si="0"/>
        <v>我承诺，如果我能获释，并安全回去，我让我爸送你100头牛。</v>
      </c>
    </row>
    <row r="9" spans="1:12" ht="27" x14ac:dyDescent="0.15">
      <c r="A9" s="1">
        <v>7</v>
      </c>
      <c r="B9" s="1">
        <v>0</v>
      </c>
      <c r="C9" s="1">
        <v>0</v>
      </c>
      <c r="D9" s="1">
        <v>100</v>
      </c>
      <c r="E9" s="1">
        <v>106</v>
      </c>
      <c r="F9" s="1">
        <v>0</v>
      </c>
      <c r="G9" s="2" t="s">
        <v>31</v>
      </c>
      <c r="H9" s="1">
        <v>0</v>
      </c>
      <c r="I9" s="1">
        <v>0</v>
      </c>
      <c r="J9" s="1">
        <v>0</v>
      </c>
      <c r="K9" s="1">
        <v>0</v>
      </c>
      <c r="L9" s="7" t="str">
        <f t="shared" si="0"/>
        <v>我只是随大流，出来谋生活，家里还有个一岁的小孩等我回去照顾，求求放了我吧，呜呜！</v>
      </c>
    </row>
    <row r="10" spans="1:12" x14ac:dyDescent="0.15">
      <c r="A10" s="1">
        <v>8</v>
      </c>
      <c r="B10" s="1">
        <v>0</v>
      </c>
      <c r="C10" s="1">
        <v>0</v>
      </c>
      <c r="D10" s="1">
        <v>50</v>
      </c>
      <c r="E10" s="1">
        <v>104</v>
      </c>
      <c r="F10" s="1">
        <v>108</v>
      </c>
      <c r="G10" s="3" t="s">
        <v>18</v>
      </c>
      <c r="H10" s="1">
        <v>0</v>
      </c>
      <c r="I10" s="1">
        <v>0</v>
      </c>
      <c r="J10" s="1">
        <v>0</v>
      </c>
      <c r="K10" s="1">
        <v>0</v>
      </c>
      <c r="L10" s="7" t="str">
        <f t="shared" si="0"/>
        <v>我也不想当强盗，原本我只是一个老实本份的农民，别杀我呀。</v>
      </c>
    </row>
    <row r="11" spans="1:12" x14ac:dyDescent="0.15">
      <c r="A11" s="1">
        <v>9</v>
      </c>
      <c r="B11" s="1">
        <v>0</v>
      </c>
      <c r="C11" s="1">
        <v>0</v>
      </c>
      <c r="D11" s="1">
        <v>100</v>
      </c>
      <c r="E11" s="1">
        <v>106</v>
      </c>
      <c r="F11" s="1">
        <v>110</v>
      </c>
      <c r="G11" s="3" t="s">
        <v>19</v>
      </c>
      <c r="H11" s="1">
        <v>0</v>
      </c>
      <c r="I11" s="1">
        <v>0</v>
      </c>
      <c r="J11" s="1">
        <v>0</v>
      </c>
      <c r="K11" s="1">
        <v>0</v>
      </c>
      <c r="L11" s="7" t="str">
        <f t="shared" si="0"/>
        <v>你们这儿一片祥和，我相信你不会滥杀无辜的。</v>
      </c>
    </row>
    <row r="12" spans="1:12" x14ac:dyDescent="0.15">
      <c r="A12" s="1">
        <v>10</v>
      </c>
      <c r="B12" s="1">
        <v>0</v>
      </c>
      <c r="C12" s="1">
        <v>0</v>
      </c>
      <c r="D12" s="1">
        <v>100</v>
      </c>
      <c r="E12" s="1">
        <v>112</v>
      </c>
      <c r="F12" s="1">
        <v>102</v>
      </c>
      <c r="G12" s="3" t="s">
        <v>22</v>
      </c>
      <c r="H12" s="1">
        <v>0</v>
      </c>
      <c r="I12" s="1">
        <v>0</v>
      </c>
      <c r="J12" s="1">
        <v>0</v>
      </c>
      <c r="K12" s="1">
        <v>0</v>
      </c>
      <c r="L12" s="7" t="str">
        <f t="shared" si="0"/>
        <v>跑得快有什么用，最后还是落在你手上，我就是个倒霉蛋。</v>
      </c>
    </row>
    <row r="13" spans="1:12" x14ac:dyDescent="0.15">
      <c r="A13" s="1">
        <v>11</v>
      </c>
      <c r="B13" s="1">
        <v>0</v>
      </c>
      <c r="C13" s="1">
        <v>0</v>
      </c>
      <c r="D13" s="1">
        <v>100</v>
      </c>
      <c r="E13" s="1">
        <v>102</v>
      </c>
      <c r="F13" s="1">
        <v>108</v>
      </c>
      <c r="G13" s="3" t="s">
        <v>23</v>
      </c>
      <c r="H13" s="1">
        <v>0</v>
      </c>
      <c r="I13" s="1">
        <v>0</v>
      </c>
      <c r="J13" s="1">
        <v>0</v>
      </c>
      <c r="K13" s="1">
        <v>0</v>
      </c>
      <c r="L13" s="7" t="str">
        <f t="shared" si="0"/>
        <v>落在你上，要杀要剐随你，只求给我一点酒喝。</v>
      </c>
    </row>
    <row r="14" spans="1:12" ht="27" x14ac:dyDescent="0.15">
      <c r="A14" s="1">
        <v>12</v>
      </c>
      <c r="B14" s="1">
        <v>0</v>
      </c>
      <c r="C14" s="1">
        <v>0</v>
      </c>
      <c r="D14" s="1">
        <v>100</v>
      </c>
      <c r="E14" s="1">
        <v>111</v>
      </c>
      <c r="F14" s="1">
        <v>106</v>
      </c>
      <c r="G14" s="3" t="s">
        <v>33</v>
      </c>
      <c r="H14" s="1">
        <v>0</v>
      </c>
      <c r="I14" s="1">
        <v>0</v>
      </c>
      <c r="J14" s="1">
        <v>0</v>
      </c>
      <c r="K14" s="1">
        <v>0</v>
      </c>
      <c r="L14" s="7" t="str">
        <f t="shared" si="0"/>
        <v>病痛并不能阻止我追求幸福，提前到来的死亡，或许只是上天的怜悯。</v>
      </c>
    </row>
    <row r="15" spans="1:12" x14ac:dyDescent="0.15">
      <c r="A15" s="1">
        <v>13</v>
      </c>
      <c r="B15" s="1">
        <v>0</v>
      </c>
      <c r="C15" s="1">
        <v>0</v>
      </c>
      <c r="D15" s="1">
        <v>100</v>
      </c>
      <c r="E15" s="1">
        <v>105</v>
      </c>
      <c r="F15" s="1">
        <v>109</v>
      </c>
      <c r="G15" s="3" t="s">
        <v>24</v>
      </c>
      <c r="H15" s="1">
        <v>0</v>
      </c>
      <c r="I15" s="1">
        <v>0</v>
      </c>
      <c r="J15" s="1">
        <v>0</v>
      </c>
      <c r="K15" s="1">
        <v>0</v>
      </c>
      <c r="L15" s="7" t="str">
        <f t="shared" si="0"/>
        <v>无美食，毋宁死。</v>
      </c>
    </row>
    <row r="16" spans="1:12" ht="27" x14ac:dyDescent="0.15">
      <c r="A16" s="1">
        <v>14</v>
      </c>
      <c r="B16" s="1">
        <v>0</v>
      </c>
      <c r="C16" s="1">
        <v>0</v>
      </c>
      <c r="D16" s="1">
        <v>100</v>
      </c>
      <c r="E16" s="1">
        <v>104</v>
      </c>
      <c r="F16" s="1">
        <v>0</v>
      </c>
      <c r="G16" s="3" t="s">
        <v>34</v>
      </c>
      <c r="H16" s="1">
        <v>0</v>
      </c>
      <c r="I16" s="5">
        <v>2009</v>
      </c>
      <c r="J16" s="1">
        <v>0</v>
      </c>
      <c r="K16" s="1">
        <v>0</v>
      </c>
      <c r="L16" s="7" t="str">
        <f t="shared" si="0"/>
        <v>别杀我。你们这儿还缺人手吗？我什么都可以做，做牛做马我都愿意！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prison_event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2026-01-04T13:56:51Z</dcterms:modified>
</cp:coreProperties>
</file>