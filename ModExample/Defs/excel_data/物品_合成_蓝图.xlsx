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3A8C500B-397B-4FE7-A5C7-D14754FF67B1}" xr6:coauthVersionLast="47" xr6:coauthVersionMax="47" xr10:uidLastSave="{00000000-0000-0000-0000-000000000000}"/>
  <bookViews>
    <workbookView xWindow="0" yWindow="690" windowWidth="28830" windowHeight="15510" xr2:uid="{00000000-000D-0000-FFFF-FFFF00000000}"/>
  </bookViews>
  <sheets>
    <sheet name="blueprint" sheetId="1" r:id="rId1"/>
  </sheets>
  <externalReferences>
    <externalReference r:id="rId2"/>
  </externalReferences>
  <definedNames>
    <definedName name="_xlnm._FilterDatabase" localSheetId="0" hidden="1">blueprint!$C$1:$Z$2</definedName>
  </definedNames>
  <calcPr calcId="181029"/>
</workbook>
</file>

<file path=xl/calcChain.xml><?xml version="1.0" encoding="utf-8"?>
<calcChain xmlns="http://schemas.openxmlformats.org/spreadsheetml/2006/main">
  <c r="S91" i="1" l="1"/>
  <c r="AB91" i="1" s="1"/>
  <c r="S92" i="1"/>
  <c r="AB92" i="1" s="1"/>
  <c r="AD92" i="1"/>
  <c r="H92" i="1"/>
  <c r="AC92" i="1" s="1"/>
  <c r="AD91" i="1"/>
  <c r="H91" i="1"/>
  <c r="AC91" i="1" s="1"/>
  <c r="AD84" i="1"/>
  <c r="AB84" i="1"/>
  <c r="H84" i="1"/>
  <c r="AC84" i="1" s="1"/>
  <c r="W83" i="1"/>
  <c r="AB83" i="1" s="1"/>
  <c r="AD83" i="1"/>
  <c r="H83" i="1"/>
  <c r="AC83" i="1" s="1"/>
  <c r="H100" i="1"/>
  <c r="AC100" i="1" s="1"/>
  <c r="AB100" i="1"/>
  <c r="AD100" i="1"/>
  <c r="S73" i="1"/>
  <c r="H68" i="1"/>
  <c r="AC68" i="1" s="1"/>
  <c r="S68" i="1"/>
  <c r="AA68" i="1"/>
  <c r="AD68" i="1"/>
  <c r="AD66" i="1"/>
  <c r="AA66" i="1"/>
  <c r="S66" i="1"/>
  <c r="H66" i="1"/>
  <c r="AC66" i="1" s="1"/>
  <c r="AD64" i="1"/>
  <c r="AA64" i="1"/>
  <c r="S64" i="1"/>
  <c r="H64" i="1"/>
  <c r="AC64" i="1" s="1"/>
  <c r="AA67" i="1"/>
  <c r="AA65" i="1"/>
  <c r="AA63" i="1"/>
  <c r="AD63" i="1"/>
  <c r="AD65" i="1"/>
  <c r="AD67" i="1"/>
  <c r="S67" i="1"/>
  <c r="S65" i="1"/>
  <c r="S63" i="1"/>
  <c r="H63" i="1"/>
  <c r="AC63" i="1" s="1"/>
  <c r="H65" i="1"/>
  <c r="AC65" i="1" s="1"/>
  <c r="H67" i="1"/>
  <c r="AC67" i="1" s="1"/>
  <c r="AA82" i="1"/>
  <c r="AB82" i="1" s="1"/>
  <c r="AD82" i="1"/>
  <c r="H82" i="1"/>
  <c r="AC82" i="1" s="1"/>
  <c r="S55" i="1"/>
  <c r="AB55" i="1" s="1"/>
  <c r="AD55" i="1"/>
  <c r="H55" i="1"/>
  <c r="AC55" i="1" s="1"/>
  <c r="AB120" i="1"/>
  <c r="AD120" i="1"/>
  <c r="AB121" i="1"/>
  <c r="AD121" i="1"/>
  <c r="H121" i="1"/>
  <c r="AC121" i="1" s="1"/>
  <c r="H120" i="1"/>
  <c r="AC120" i="1" s="1"/>
  <c r="K92" i="1" l="1"/>
  <c r="L92" i="1"/>
  <c r="L91" i="1"/>
  <c r="K91" i="1"/>
  <c r="L84" i="1"/>
  <c r="K84" i="1"/>
  <c r="L83" i="1"/>
  <c r="K83" i="1"/>
  <c r="AB68" i="1"/>
  <c r="K68" i="1" s="1"/>
  <c r="AB66" i="1"/>
  <c r="K66" i="1" s="1"/>
  <c r="AB64" i="1"/>
  <c r="K64" i="1" s="1"/>
  <c r="AB67" i="1"/>
  <c r="L67" i="1" s="1"/>
  <c r="AB65" i="1"/>
  <c r="L65" i="1" s="1"/>
  <c r="AB63" i="1"/>
  <c r="L63" i="1" s="1"/>
  <c r="K82" i="1"/>
  <c r="L82" i="1"/>
  <c r="L55" i="1"/>
  <c r="K55" i="1"/>
  <c r="AD119" i="1"/>
  <c r="AB119" i="1"/>
  <c r="H119" i="1"/>
  <c r="AC119" i="1" s="1"/>
  <c r="AA57" i="1"/>
  <c r="AA56" i="1"/>
  <c r="AD57" i="1"/>
  <c r="S57" i="1"/>
  <c r="H57" i="1"/>
  <c r="AC57" i="1" s="1"/>
  <c r="AD59" i="1"/>
  <c r="S59" i="1"/>
  <c r="AB59" i="1" s="1"/>
  <c r="H59" i="1"/>
  <c r="AC59" i="1" s="1"/>
  <c r="A181" i="1"/>
  <c r="H181" i="1"/>
  <c r="AC181" i="1" s="1"/>
  <c r="S181" i="1"/>
  <c r="AB181" i="1" s="1"/>
  <c r="AD181" i="1"/>
  <c r="H180" i="1"/>
  <c r="AC180" i="1" s="1"/>
  <c r="S180" i="1"/>
  <c r="AB180" i="1" s="1"/>
  <c r="AD180" i="1"/>
  <c r="L68" i="1" l="1"/>
  <c r="L66" i="1"/>
  <c r="L64" i="1"/>
  <c r="K67" i="1"/>
  <c r="K65" i="1"/>
  <c r="K63" i="1"/>
  <c r="AB57" i="1"/>
  <c r="K57" i="1" s="1"/>
  <c r="L59" i="1"/>
  <c r="K59" i="1"/>
  <c r="K181" i="1"/>
  <c r="L181" i="1"/>
  <c r="K180" i="1"/>
  <c r="L180" i="1"/>
  <c r="L57" i="1" l="1"/>
  <c r="V145" i="1"/>
  <c r="V155" i="1" s="1"/>
  <c r="V165" i="1" s="1"/>
  <c r="V146" i="1"/>
  <c r="V156" i="1" s="1"/>
  <c r="V166" i="1" s="1"/>
  <c r="V147" i="1"/>
  <c r="V157" i="1" s="1"/>
  <c r="V167" i="1" s="1"/>
  <c r="V148" i="1"/>
  <c r="V158" i="1" s="1"/>
  <c r="V168" i="1" s="1"/>
  <c r="V149" i="1"/>
  <c r="V159" i="1" s="1"/>
  <c r="V169" i="1" s="1"/>
  <c r="V150" i="1"/>
  <c r="V160" i="1" s="1"/>
  <c r="V170" i="1" s="1"/>
  <c r="V151" i="1"/>
  <c r="V161" i="1" s="1"/>
  <c r="V171" i="1" s="1"/>
  <c r="V152" i="1"/>
  <c r="V162" i="1" s="1"/>
  <c r="V172" i="1" s="1"/>
  <c r="V153" i="1"/>
  <c r="V163" i="1" s="1"/>
  <c r="V173" i="1" s="1"/>
  <c r="V144" i="1"/>
  <c r="V154" i="1" s="1"/>
  <c r="V164" i="1" s="1"/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8" i="1"/>
  <c r="AD60" i="1"/>
  <c r="AD61" i="1"/>
  <c r="AD62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5" i="1"/>
  <c r="AD86" i="1"/>
  <c r="AD87" i="1"/>
  <c r="AD88" i="1"/>
  <c r="AD89" i="1"/>
  <c r="AD90" i="1"/>
  <c r="AD94" i="1"/>
  <c r="AD95" i="1"/>
  <c r="AD96" i="1"/>
  <c r="AD97" i="1"/>
  <c r="AD98" i="1"/>
  <c r="AD93" i="1"/>
  <c r="AD99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3" i="1"/>
  <c r="S81" i="1" l="1"/>
  <c r="S72" i="1"/>
  <c r="AB72" i="1" s="1"/>
  <c r="H72" i="1"/>
  <c r="AC72" i="1" s="1"/>
  <c r="S71" i="1"/>
  <c r="AB71" i="1" s="1"/>
  <c r="H71" i="1"/>
  <c r="AC71" i="1" s="1"/>
  <c r="H182" i="1"/>
  <c r="AC182" i="1" s="1"/>
  <c r="H183" i="1"/>
  <c r="AC183" i="1" s="1"/>
  <c r="H184" i="1"/>
  <c r="AC184" i="1" s="1"/>
  <c r="H185" i="1"/>
  <c r="AC185" i="1" s="1"/>
  <c r="H186" i="1"/>
  <c r="AC186" i="1" s="1"/>
  <c r="H187" i="1"/>
  <c r="AC187" i="1" s="1"/>
  <c r="H188" i="1"/>
  <c r="AC188" i="1" s="1"/>
  <c r="H189" i="1"/>
  <c r="AC189" i="1" s="1"/>
  <c r="H190" i="1"/>
  <c r="AC190" i="1" s="1"/>
  <c r="H191" i="1"/>
  <c r="AC191" i="1" s="1"/>
  <c r="H192" i="1"/>
  <c r="AC192" i="1" s="1"/>
  <c r="H193" i="1"/>
  <c r="AC193" i="1" s="1"/>
  <c r="H194" i="1"/>
  <c r="AC194" i="1" s="1"/>
  <c r="H195" i="1"/>
  <c r="AC195" i="1" s="1"/>
  <c r="H196" i="1"/>
  <c r="AC196" i="1" s="1"/>
  <c r="H197" i="1"/>
  <c r="AC197" i="1" s="1"/>
  <c r="H198" i="1"/>
  <c r="AC198" i="1" s="1"/>
  <c r="H199" i="1"/>
  <c r="AC199" i="1" s="1"/>
  <c r="H200" i="1"/>
  <c r="AC200" i="1" s="1"/>
  <c r="H201" i="1"/>
  <c r="AC201" i="1" s="1"/>
  <c r="H202" i="1"/>
  <c r="AC202" i="1" s="1"/>
  <c r="H203" i="1"/>
  <c r="AC203" i="1" s="1"/>
  <c r="H204" i="1"/>
  <c r="AC204" i="1" s="1"/>
  <c r="H205" i="1"/>
  <c r="AC205" i="1" s="1"/>
  <c r="H206" i="1"/>
  <c r="AC206" i="1" s="1"/>
  <c r="H207" i="1"/>
  <c r="AC207" i="1" s="1"/>
  <c r="H208" i="1"/>
  <c r="AC208" i="1" s="1"/>
  <c r="AA187" i="1"/>
  <c r="AA188" i="1"/>
  <c r="AA189" i="1"/>
  <c r="AA190" i="1"/>
  <c r="AA195" i="1"/>
  <c r="AA196" i="1"/>
  <c r="AA197" i="1"/>
  <c r="AA198" i="1"/>
  <c r="AA199" i="1"/>
  <c r="AA204" i="1"/>
  <c r="AA205" i="1"/>
  <c r="AA206" i="1"/>
  <c r="AA207" i="1"/>
  <c r="AA208" i="1"/>
  <c r="AA186" i="1"/>
  <c r="W191" i="1"/>
  <c r="W192" i="1"/>
  <c r="AB192" i="1" s="1"/>
  <c r="W193" i="1"/>
  <c r="AB193" i="1" s="1"/>
  <c r="W194" i="1"/>
  <c r="AB194" i="1" s="1"/>
  <c r="W195" i="1"/>
  <c r="W196" i="1"/>
  <c r="W197" i="1"/>
  <c r="W198" i="1"/>
  <c r="W199" i="1"/>
  <c r="W200" i="1"/>
  <c r="W201" i="1"/>
  <c r="W202" i="1"/>
  <c r="W203" i="1"/>
  <c r="W204" i="1"/>
  <c r="W182" i="1"/>
  <c r="AB182" i="1" s="1"/>
  <c r="W183" i="1"/>
  <c r="AB183" i="1" s="1"/>
  <c r="W184" i="1"/>
  <c r="AB184" i="1" s="1"/>
  <c r="W185" i="1"/>
  <c r="AB185" i="1" s="1"/>
  <c r="L71" i="1" l="1"/>
  <c r="L72" i="1"/>
  <c r="L192" i="1"/>
  <c r="L193" i="1"/>
  <c r="L184" i="1"/>
  <c r="L185" i="1"/>
  <c r="L183" i="1"/>
  <c r="L182" i="1"/>
  <c r="L194" i="1"/>
  <c r="K72" i="1"/>
  <c r="K71" i="1"/>
  <c r="AB195" i="1"/>
  <c r="K195" i="1" s="1"/>
  <c r="AB199" i="1"/>
  <c r="K199" i="1" s="1"/>
  <c r="AB196" i="1"/>
  <c r="K196" i="1" s="1"/>
  <c r="K193" i="1"/>
  <c r="K184" i="1"/>
  <c r="AB198" i="1"/>
  <c r="K198" i="1" s="1"/>
  <c r="K194" i="1"/>
  <c r="K185" i="1"/>
  <c r="K192" i="1"/>
  <c r="K183" i="1"/>
  <c r="K182" i="1"/>
  <c r="AB191" i="1"/>
  <c r="K191" i="1" s="1"/>
  <c r="AB200" i="1"/>
  <c r="K200" i="1" s="1"/>
  <c r="AB201" i="1"/>
  <c r="K201" i="1" s="1"/>
  <c r="AB204" i="1"/>
  <c r="K204" i="1" s="1"/>
  <c r="AB197" i="1"/>
  <c r="K197" i="1" s="1"/>
  <c r="AB203" i="1"/>
  <c r="K203" i="1" s="1"/>
  <c r="AB202" i="1"/>
  <c r="K202" i="1" s="1"/>
  <c r="L196" i="1" l="1"/>
  <c r="L204" i="1"/>
  <c r="L198" i="1"/>
  <c r="L202" i="1"/>
  <c r="L197" i="1"/>
  <c r="L199" i="1"/>
  <c r="L203" i="1"/>
  <c r="L200" i="1"/>
  <c r="L201" i="1"/>
  <c r="L191" i="1"/>
  <c r="L195" i="1"/>
  <c r="W21" i="1"/>
  <c r="S21" i="1"/>
  <c r="H21" i="1"/>
  <c r="AC21" i="1" s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34" i="1"/>
  <c r="AB21" i="1" l="1"/>
  <c r="K21" i="1" s="1"/>
  <c r="AB81" i="1"/>
  <c r="H81" i="1"/>
  <c r="AC81" i="1" s="1"/>
  <c r="AA73" i="1"/>
  <c r="L81" i="1" l="1"/>
  <c r="L21" i="1"/>
  <c r="K81" i="1"/>
  <c r="AB73" i="1"/>
  <c r="H73" i="1"/>
  <c r="AC73" i="1" s="1"/>
  <c r="W133" i="1"/>
  <c r="S133" i="1"/>
  <c r="H133" i="1"/>
  <c r="AC133" i="1" s="1"/>
  <c r="A133" i="1"/>
  <c r="AA98" i="1"/>
  <c r="W98" i="1"/>
  <c r="S98" i="1"/>
  <c r="H98" i="1"/>
  <c r="AC98" i="1" s="1"/>
  <c r="L73" i="1" l="1"/>
  <c r="AB133" i="1"/>
  <c r="K133" i="1" s="1"/>
  <c r="K73" i="1"/>
  <c r="AB98" i="1"/>
  <c r="K98" i="1" s="1"/>
  <c r="H94" i="1"/>
  <c r="AC94" i="1" s="1"/>
  <c r="H95" i="1"/>
  <c r="AC95" i="1" s="1"/>
  <c r="H96" i="1"/>
  <c r="AC96" i="1" s="1"/>
  <c r="H97" i="1"/>
  <c r="AC97" i="1" s="1"/>
  <c r="H93" i="1"/>
  <c r="AC93" i="1" s="1"/>
  <c r="AA93" i="1"/>
  <c r="AA97" i="1"/>
  <c r="AA96" i="1"/>
  <c r="W95" i="1"/>
  <c r="W96" i="1"/>
  <c r="W97" i="1"/>
  <c r="W93" i="1"/>
  <c r="W94" i="1"/>
  <c r="S94" i="1"/>
  <c r="S95" i="1"/>
  <c r="S96" i="1"/>
  <c r="S97" i="1"/>
  <c r="S93" i="1"/>
  <c r="S69" i="1"/>
  <c r="AB69" i="1" s="1"/>
  <c r="H69" i="1"/>
  <c r="AC69" i="1" s="1"/>
  <c r="S70" i="1"/>
  <c r="AB70" i="1" s="1"/>
  <c r="H70" i="1"/>
  <c r="AC70" i="1" s="1"/>
  <c r="L69" i="1" l="1"/>
  <c r="L70" i="1"/>
  <c r="L133" i="1"/>
  <c r="L98" i="1"/>
  <c r="AB97" i="1"/>
  <c r="K97" i="1" s="1"/>
  <c r="AB94" i="1"/>
  <c r="K94" i="1" s="1"/>
  <c r="AB96" i="1"/>
  <c r="K96" i="1" s="1"/>
  <c r="AB93" i="1"/>
  <c r="K93" i="1" s="1"/>
  <c r="AB95" i="1"/>
  <c r="K95" i="1" s="1"/>
  <c r="K69" i="1"/>
  <c r="K70" i="1"/>
  <c r="L97" i="1" l="1"/>
  <c r="L93" i="1"/>
  <c r="L95" i="1"/>
  <c r="L94" i="1"/>
  <c r="L96" i="1"/>
  <c r="AB104" i="1"/>
  <c r="H104" i="1"/>
  <c r="AC104" i="1" s="1"/>
  <c r="AB105" i="1"/>
  <c r="H105" i="1"/>
  <c r="AC105" i="1" s="1"/>
  <c r="AB106" i="1"/>
  <c r="H106" i="1"/>
  <c r="AC106" i="1" s="1"/>
  <c r="W132" i="1"/>
  <c r="S132" i="1"/>
  <c r="H132" i="1"/>
  <c r="AC132" i="1" s="1"/>
  <c r="A132" i="1"/>
  <c r="S62" i="1"/>
  <c r="H62" i="1"/>
  <c r="W5" i="1"/>
  <c r="AB132" i="1" l="1"/>
  <c r="K132" i="1" s="1"/>
  <c r="H5" i="1"/>
  <c r="AC5" i="1" s="1"/>
  <c r="AA17" i="1"/>
  <c r="S178" i="1"/>
  <c r="AB178" i="1" s="1"/>
  <c r="S179" i="1"/>
  <c r="AB179" i="1" s="1"/>
  <c r="H107" i="1"/>
  <c r="H108" i="1"/>
  <c r="S177" i="1"/>
  <c r="AB177" i="1" s="1"/>
  <c r="H178" i="1"/>
  <c r="AC178" i="1" s="1"/>
  <c r="H179" i="1"/>
  <c r="AC179" i="1" s="1"/>
  <c r="H16" i="1"/>
  <c r="AC16" i="1" s="1"/>
  <c r="H17" i="1"/>
  <c r="AC17" i="1" s="1"/>
  <c r="W16" i="1"/>
  <c r="W17" i="1"/>
  <c r="S16" i="1"/>
  <c r="S17" i="1"/>
  <c r="AB62" i="1"/>
  <c r="AC62" i="1"/>
  <c r="W208" i="1"/>
  <c r="AB208" i="1" s="1"/>
  <c r="W207" i="1"/>
  <c r="AB207" i="1" s="1"/>
  <c r="W206" i="1"/>
  <c r="AB206" i="1" s="1"/>
  <c r="W205" i="1"/>
  <c r="AB205" i="1" s="1"/>
  <c r="W190" i="1"/>
  <c r="AB190" i="1" s="1"/>
  <c r="W189" i="1"/>
  <c r="AB189" i="1" s="1"/>
  <c r="W188" i="1"/>
  <c r="AB188" i="1" s="1"/>
  <c r="W187" i="1"/>
  <c r="AB187" i="1" s="1"/>
  <c r="W186" i="1"/>
  <c r="AB186" i="1" s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182" i="1"/>
  <c r="AB125" i="1"/>
  <c r="H125" i="1"/>
  <c r="AC125" i="1" s="1"/>
  <c r="S175" i="1"/>
  <c r="AB175" i="1" s="1"/>
  <c r="S176" i="1"/>
  <c r="AB176" i="1" s="1"/>
  <c r="S174" i="1"/>
  <c r="AB174" i="1" s="1"/>
  <c r="H175" i="1"/>
  <c r="AC175" i="1" s="1"/>
  <c r="H176" i="1"/>
  <c r="AC176" i="1" s="1"/>
  <c r="H177" i="1"/>
  <c r="AC177" i="1" s="1"/>
  <c r="H174" i="1"/>
  <c r="AC174" i="1" s="1"/>
  <c r="W173" i="1"/>
  <c r="AB173" i="1" s="1"/>
  <c r="AC173" i="1"/>
  <c r="A173" i="1"/>
  <c r="W172" i="1"/>
  <c r="AB172" i="1" s="1"/>
  <c r="AC172" i="1"/>
  <c r="A172" i="1"/>
  <c r="W171" i="1"/>
  <c r="AB171" i="1" s="1"/>
  <c r="AC171" i="1"/>
  <c r="A171" i="1"/>
  <c r="W170" i="1"/>
  <c r="AB170" i="1" s="1"/>
  <c r="AC170" i="1"/>
  <c r="A170" i="1"/>
  <c r="W169" i="1"/>
  <c r="AB169" i="1" s="1"/>
  <c r="AC169" i="1"/>
  <c r="A169" i="1"/>
  <c r="W168" i="1"/>
  <c r="AB168" i="1" s="1"/>
  <c r="AC168" i="1"/>
  <c r="A168" i="1"/>
  <c r="W167" i="1"/>
  <c r="AB167" i="1" s="1"/>
  <c r="AC167" i="1"/>
  <c r="A167" i="1"/>
  <c r="W166" i="1"/>
  <c r="AB166" i="1" s="1"/>
  <c r="AC166" i="1"/>
  <c r="A166" i="1"/>
  <c r="W165" i="1"/>
  <c r="AB165" i="1" s="1"/>
  <c r="AC165" i="1"/>
  <c r="A165" i="1"/>
  <c r="W164" i="1"/>
  <c r="AB164" i="1" s="1"/>
  <c r="AC164" i="1"/>
  <c r="A164" i="1"/>
  <c r="W163" i="1"/>
  <c r="AB163" i="1" s="1"/>
  <c r="AC163" i="1"/>
  <c r="A163" i="1"/>
  <c r="W162" i="1"/>
  <c r="AB162" i="1" s="1"/>
  <c r="AC162" i="1"/>
  <c r="A162" i="1"/>
  <c r="W161" i="1"/>
  <c r="AB161" i="1" s="1"/>
  <c r="AC161" i="1"/>
  <c r="A161" i="1"/>
  <c r="W160" i="1"/>
  <c r="AB160" i="1" s="1"/>
  <c r="AC160" i="1"/>
  <c r="A160" i="1"/>
  <c r="W159" i="1"/>
  <c r="AB159" i="1" s="1"/>
  <c r="AC159" i="1"/>
  <c r="A159" i="1"/>
  <c r="W158" i="1"/>
  <c r="AB158" i="1" s="1"/>
  <c r="AC158" i="1"/>
  <c r="A158" i="1"/>
  <c r="W157" i="1"/>
  <c r="AB157" i="1" s="1"/>
  <c r="AC157" i="1"/>
  <c r="A157" i="1"/>
  <c r="W156" i="1"/>
  <c r="AB156" i="1" s="1"/>
  <c r="AC156" i="1"/>
  <c r="A156" i="1"/>
  <c r="W155" i="1"/>
  <c r="AB155" i="1" s="1"/>
  <c r="AC155" i="1"/>
  <c r="A155" i="1"/>
  <c r="W154" i="1"/>
  <c r="AB154" i="1" s="1"/>
  <c r="AC154" i="1"/>
  <c r="A154" i="1"/>
  <c r="W153" i="1"/>
  <c r="AB153" i="1" s="1"/>
  <c r="AC153" i="1"/>
  <c r="A153" i="1"/>
  <c r="W152" i="1"/>
  <c r="AB152" i="1" s="1"/>
  <c r="AC152" i="1"/>
  <c r="A152" i="1"/>
  <c r="W151" i="1"/>
  <c r="AB151" i="1" s="1"/>
  <c r="AC151" i="1"/>
  <c r="A151" i="1"/>
  <c r="W150" i="1"/>
  <c r="AB150" i="1" s="1"/>
  <c r="AC150" i="1"/>
  <c r="A150" i="1"/>
  <c r="W149" i="1"/>
  <c r="AB149" i="1" s="1"/>
  <c r="AC149" i="1"/>
  <c r="A149" i="1"/>
  <c r="W148" i="1"/>
  <c r="AB148" i="1" s="1"/>
  <c r="AC148" i="1"/>
  <c r="A148" i="1"/>
  <c r="W147" i="1"/>
  <c r="AB147" i="1" s="1"/>
  <c r="AC147" i="1"/>
  <c r="A147" i="1"/>
  <c r="W146" i="1"/>
  <c r="AB146" i="1" s="1"/>
  <c r="AC146" i="1"/>
  <c r="A146" i="1"/>
  <c r="W145" i="1"/>
  <c r="AB145" i="1" s="1"/>
  <c r="AC145" i="1"/>
  <c r="A145" i="1"/>
  <c r="W144" i="1"/>
  <c r="AB144" i="1" s="1"/>
  <c r="AC144" i="1"/>
  <c r="A144" i="1"/>
  <c r="W143" i="1"/>
  <c r="AB143" i="1" s="1"/>
  <c r="AC143" i="1"/>
  <c r="A143" i="1"/>
  <c r="W142" i="1"/>
  <c r="AB142" i="1" s="1"/>
  <c r="AC142" i="1"/>
  <c r="A142" i="1"/>
  <c r="W141" i="1"/>
  <c r="AB141" i="1" s="1"/>
  <c r="AC141" i="1"/>
  <c r="A141" i="1"/>
  <c r="W140" i="1"/>
  <c r="AB140" i="1" s="1"/>
  <c r="AC140" i="1"/>
  <c r="A140" i="1"/>
  <c r="W139" i="1"/>
  <c r="AB139" i="1" s="1"/>
  <c r="AC139" i="1"/>
  <c r="A139" i="1"/>
  <c r="W138" i="1"/>
  <c r="AB138" i="1" s="1"/>
  <c r="AC138" i="1"/>
  <c r="A138" i="1"/>
  <c r="W137" i="1"/>
  <c r="AB137" i="1" s="1"/>
  <c r="AC137" i="1"/>
  <c r="A137" i="1"/>
  <c r="W136" i="1"/>
  <c r="AB136" i="1" s="1"/>
  <c r="AC136" i="1"/>
  <c r="A136" i="1"/>
  <c r="W135" i="1"/>
  <c r="AB135" i="1" s="1"/>
  <c r="AC135" i="1"/>
  <c r="A135" i="1"/>
  <c r="W134" i="1"/>
  <c r="AB134" i="1" s="1"/>
  <c r="AC134" i="1"/>
  <c r="A134" i="1"/>
  <c r="W131" i="1"/>
  <c r="S131" i="1"/>
  <c r="H131" i="1"/>
  <c r="AC131" i="1" s="1"/>
  <c r="A131" i="1"/>
  <c r="W130" i="1"/>
  <c r="S130" i="1"/>
  <c r="H130" i="1"/>
  <c r="AC130" i="1" s="1"/>
  <c r="A130" i="1"/>
  <c r="W129" i="1"/>
  <c r="S129" i="1"/>
  <c r="H129" i="1"/>
  <c r="AC129" i="1" s="1"/>
  <c r="A129" i="1"/>
  <c r="W128" i="1"/>
  <c r="S128" i="1"/>
  <c r="H128" i="1"/>
  <c r="AC128" i="1" s="1"/>
  <c r="A128" i="1"/>
  <c r="W127" i="1"/>
  <c r="S127" i="1"/>
  <c r="H127" i="1"/>
  <c r="AC127" i="1" s="1"/>
  <c r="A127" i="1"/>
  <c r="W126" i="1"/>
  <c r="S126" i="1"/>
  <c r="H126" i="1"/>
  <c r="AC126" i="1" s="1"/>
  <c r="A126" i="1"/>
  <c r="AB124" i="1"/>
  <c r="H124" i="1"/>
  <c r="AC124" i="1" s="1"/>
  <c r="AB123" i="1"/>
  <c r="H123" i="1"/>
  <c r="AC123" i="1" s="1"/>
  <c r="AB122" i="1"/>
  <c r="H122" i="1"/>
  <c r="AC122" i="1" s="1"/>
  <c r="AB118" i="1"/>
  <c r="H118" i="1"/>
  <c r="AC118" i="1" s="1"/>
  <c r="AB117" i="1"/>
  <c r="H117" i="1"/>
  <c r="AC117" i="1" s="1"/>
  <c r="AB116" i="1"/>
  <c r="H116" i="1"/>
  <c r="AC116" i="1" s="1"/>
  <c r="AB115" i="1"/>
  <c r="H115" i="1"/>
  <c r="AC115" i="1" s="1"/>
  <c r="AB114" i="1"/>
  <c r="H114" i="1"/>
  <c r="AC114" i="1" s="1"/>
  <c r="AB113" i="1"/>
  <c r="H113" i="1"/>
  <c r="AC113" i="1" s="1"/>
  <c r="AB112" i="1"/>
  <c r="H112" i="1"/>
  <c r="AC112" i="1" s="1"/>
  <c r="AB111" i="1"/>
  <c r="H111" i="1"/>
  <c r="AC111" i="1" s="1"/>
  <c r="AB110" i="1"/>
  <c r="H110" i="1"/>
  <c r="AC110" i="1" s="1"/>
  <c r="AB109" i="1"/>
  <c r="H109" i="1"/>
  <c r="AC109" i="1" s="1"/>
  <c r="AB103" i="1"/>
  <c r="H103" i="1"/>
  <c r="AC103" i="1" s="1"/>
  <c r="AB102" i="1"/>
  <c r="H102" i="1"/>
  <c r="AC102" i="1" s="1"/>
  <c r="AB101" i="1"/>
  <c r="H101" i="1"/>
  <c r="AC101" i="1" s="1"/>
  <c r="AB99" i="1"/>
  <c r="H99" i="1"/>
  <c r="AC99" i="1" s="1"/>
  <c r="S90" i="1"/>
  <c r="AB90" i="1" s="1"/>
  <c r="H90" i="1"/>
  <c r="AC90" i="1" s="1"/>
  <c r="S89" i="1"/>
  <c r="AB89" i="1" s="1"/>
  <c r="H89" i="1"/>
  <c r="AC89" i="1" s="1"/>
  <c r="W88" i="1"/>
  <c r="AB88" i="1" s="1"/>
  <c r="H88" i="1"/>
  <c r="AC88" i="1" s="1"/>
  <c r="W87" i="1"/>
  <c r="S87" i="1"/>
  <c r="H87" i="1"/>
  <c r="AC87" i="1" s="1"/>
  <c r="AB86" i="1"/>
  <c r="H86" i="1"/>
  <c r="AC86" i="1" s="1"/>
  <c r="AB85" i="1"/>
  <c r="H85" i="1"/>
  <c r="AC85" i="1" s="1"/>
  <c r="AB80" i="1"/>
  <c r="H80" i="1"/>
  <c r="AC80" i="1" s="1"/>
  <c r="AB79" i="1"/>
  <c r="H79" i="1"/>
  <c r="AC79" i="1" s="1"/>
  <c r="AB78" i="1"/>
  <c r="H78" i="1"/>
  <c r="AC78" i="1" s="1"/>
  <c r="AB77" i="1"/>
  <c r="H77" i="1"/>
  <c r="AC77" i="1" s="1"/>
  <c r="AB76" i="1"/>
  <c r="H76" i="1"/>
  <c r="AC76" i="1" s="1"/>
  <c r="AB75" i="1"/>
  <c r="H75" i="1"/>
  <c r="AC75" i="1" s="1"/>
  <c r="AB74" i="1"/>
  <c r="H74" i="1"/>
  <c r="AC74" i="1" s="1"/>
  <c r="AA61" i="1"/>
  <c r="S61" i="1"/>
  <c r="H61" i="1"/>
  <c r="AC61" i="1" s="1"/>
  <c r="AA60" i="1"/>
  <c r="S60" i="1"/>
  <c r="H60" i="1"/>
  <c r="AC60" i="1" s="1"/>
  <c r="S58" i="1"/>
  <c r="AB58" i="1" s="1"/>
  <c r="H58" i="1"/>
  <c r="AC58" i="1" s="1"/>
  <c r="S56" i="1"/>
  <c r="AB56" i="1" s="1"/>
  <c r="H56" i="1"/>
  <c r="AC56" i="1" s="1"/>
  <c r="S54" i="1"/>
  <c r="AB54" i="1" s="1"/>
  <c r="H54" i="1"/>
  <c r="AC54" i="1" s="1"/>
  <c r="S53" i="1"/>
  <c r="AB53" i="1" s="1"/>
  <c r="H53" i="1"/>
  <c r="AC53" i="1" s="1"/>
  <c r="S52" i="1"/>
  <c r="AB52" i="1" s="1"/>
  <c r="H52" i="1"/>
  <c r="AC52" i="1" s="1"/>
  <c r="S51" i="1"/>
  <c r="AB51" i="1" s="1"/>
  <c r="H51" i="1"/>
  <c r="AC51" i="1" s="1"/>
  <c r="S50" i="1"/>
  <c r="AB50" i="1" s="1"/>
  <c r="H50" i="1"/>
  <c r="AC50" i="1" s="1"/>
  <c r="S49" i="1"/>
  <c r="AB49" i="1" s="1"/>
  <c r="H49" i="1"/>
  <c r="AC49" i="1" s="1"/>
  <c r="AA48" i="1"/>
  <c r="W48" i="1"/>
  <c r="S48" i="1"/>
  <c r="H48" i="1"/>
  <c r="AC48" i="1" s="1"/>
  <c r="A48" i="1"/>
  <c r="AA47" i="1"/>
  <c r="W47" i="1"/>
  <c r="S47" i="1"/>
  <c r="H47" i="1"/>
  <c r="AC47" i="1" s="1"/>
  <c r="A47" i="1"/>
  <c r="AA46" i="1"/>
  <c r="W46" i="1"/>
  <c r="S46" i="1"/>
  <c r="H46" i="1"/>
  <c r="AC46" i="1" s="1"/>
  <c r="A46" i="1"/>
  <c r="AA45" i="1"/>
  <c r="W45" i="1"/>
  <c r="S45" i="1"/>
  <c r="H45" i="1"/>
  <c r="AC45" i="1" s="1"/>
  <c r="A45" i="1"/>
  <c r="AA44" i="1"/>
  <c r="W44" i="1"/>
  <c r="S44" i="1"/>
  <c r="H44" i="1"/>
  <c r="AC44" i="1" s="1"/>
  <c r="A44" i="1"/>
  <c r="AA43" i="1"/>
  <c r="W43" i="1"/>
  <c r="S43" i="1"/>
  <c r="H43" i="1"/>
  <c r="AC43" i="1" s="1"/>
  <c r="A43" i="1"/>
  <c r="AA42" i="1"/>
  <c r="W42" i="1"/>
  <c r="S42" i="1"/>
  <c r="H42" i="1"/>
  <c r="AC42" i="1" s="1"/>
  <c r="A42" i="1"/>
  <c r="AA41" i="1"/>
  <c r="W41" i="1"/>
  <c r="S41" i="1"/>
  <c r="H41" i="1"/>
  <c r="AC41" i="1" s="1"/>
  <c r="A41" i="1"/>
  <c r="W40" i="1"/>
  <c r="AB40" i="1" s="1"/>
  <c r="H40" i="1"/>
  <c r="AC40" i="1" s="1"/>
  <c r="A40" i="1"/>
  <c r="AA39" i="1"/>
  <c r="W39" i="1"/>
  <c r="S39" i="1"/>
  <c r="H39" i="1"/>
  <c r="AC39" i="1" s="1"/>
  <c r="A39" i="1"/>
  <c r="AA38" i="1"/>
  <c r="W38" i="1"/>
  <c r="S38" i="1"/>
  <c r="H38" i="1"/>
  <c r="AC38" i="1" s="1"/>
  <c r="A38" i="1"/>
  <c r="AA37" i="1"/>
  <c r="W37" i="1"/>
  <c r="S37" i="1"/>
  <c r="H37" i="1"/>
  <c r="AC37" i="1" s="1"/>
  <c r="A37" i="1"/>
  <c r="AA36" i="1"/>
  <c r="W36" i="1"/>
  <c r="S36" i="1"/>
  <c r="H36" i="1"/>
  <c r="AC36" i="1" s="1"/>
  <c r="A36" i="1"/>
  <c r="AA35" i="1"/>
  <c r="W35" i="1"/>
  <c r="S35" i="1"/>
  <c r="H35" i="1"/>
  <c r="AC35" i="1" s="1"/>
  <c r="A35" i="1"/>
  <c r="AA34" i="1"/>
  <c r="W34" i="1"/>
  <c r="S34" i="1"/>
  <c r="H34" i="1"/>
  <c r="AC34" i="1" s="1"/>
  <c r="A34" i="1"/>
  <c r="AA33" i="1"/>
  <c r="W33" i="1"/>
  <c r="S33" i="1"/>
  <c r="H33" i="1"/>
  <c r="AC33" i="1" s="1"/>
  <c r="A33" i="1"/>
  <c r="AA32" i="1"/>
  <c r="W32" i="1"/>
  <c r="S32" i="1"/>
  <c r="H32" i="1"/>
  <c r="AC32" i="1" s="1"/>
  <c r="A32" i="1"/>
  <c r="W31" i="1"/>
  <c r="AB31" i="1" s="1"/>
  <c r="H31" i="1"/>
  <c r="AC31" i="1" s="1"/>
  <c r="A31" i="1"/>
  <c r="AA30" i="1"/>
  <c r="W30" i="1"/>
  <c r="S30" i="1"/>
  <c r="H30" i="1"/>
  <c r="AC30" i="1" s="1"/>
  <c r="A30" i="1"/>
  <c r="AA29" i="1"/>
  <c r="W29" i="1"/>
  <c r="S29" i="1"/>
  <c r="H29" i="1"/>
  <c r="AC29" i="1" s="1"/>
  <c r="A29" i="1"/>
  <c r="AA28" i="1"/>
  <c r="W28" i="1"/>
  <c r="S28" i="1"/>
  <c r="H28" i="1"/>
  <c r="AC28" i="1" s="1"/>
  <c r="A28" i="1"/>
  <c r="AA27" i="1"/>
  <c r="W27" i="1"/>
  <c r="S27" i="1"/>
  <c r="H27" i="1"/>
  <c r="AC27" i="1" s="1"/>
  <c r="A27" i="1"/>
  <c r="AA26" i="1"/>
  <c r="W26" i="1"/>
  <c r="S26" i="1"/>
  <c r="H26" i="1"/>
  <c r="AC26" i="1" s="1"/>
  <c r="A26" i="1"/>
  <c r="AA25" i="1"/>
  <c r="W25" i="1"/>
  <c r="S25" i="1"/>
  <c r="H25" i="1"/>
  <c r="AC25" i="1" s="1"/>
  <c r="A25" i="1"/>
  <c r="AA24" i="1"/>
  <c r="W24" i="1"/>
  <c r="S24" i="1"/>
  <c r="H24" i="1"/>
  <c r="AC24" i="1" s="1"/>
  <c r="A24" i="1"/>
  <c r="AA23" i="1"/>
  <c r="W23" i="1"/>
  <c r="S23" i="1"/>
  <c r="H23" i="1"/>
  <c r="AC23" i="1" s="1"/>
  <c r="A23" i="1"/>
  <c r="W22" i="1"/>
  <c r="S22" i="1"/>
  <c r="H22" i="1"/>
  <c r="AC22" i="1" s="1"/>
  <c r="A22" i="1"/>
  <c r="W20" i="1"/>
  <c r="S20" i="1"/>
  <c r="H20" i="1"/>
  <c r="AC20" i="1" s="1"/>
  <c r="W19" i="1"/>
  <c r="S19" i="1"/>
  <c r="H19" i="1"/>
  <c r="AC19" i="1" s="1"/>
  <c r="W18" i="1"/>
  <c r="S18" i="1"/>
  <c r="H18" i="1"/>
  <c r="AC18" i="1" s="1"/>
  <c r="AA15" i="1"/>
  <c r="W15" i="1"/>
  <c r="S15" i="1"/>
  <c r="H15" i="1"/>
  <c r="AC15" i="1" s="1"/>
  <c r="AA14" i="1"/>
  <c r="W14" i="1"/>
  <c r="S14" i="1"/>
  <c r="H14" i="1"/>
  <c r="AC14" i="1" s="1"/>
  <c r="S13" i="1"/>
  <c r="AB13" i="1" s="1"/>
  <c r="H13" i="1"/>
  <c r="AC13" i="1" s="1"/>
  <c r="A13" i="1"/>
  <c r="S12" i="1"/>
  <c r="AB12" i="1" s="1"/>
  <c r="H12" i="1"/>
  <c r="AC12" i="1" s="1"/>
  <c r="A12" i="1"/>
  <c r="S11" i="1"/>
  <c r="AB11" i="1" s="1"/>
  <c r="H11" i="1"/>
  <c r="AC11" i="1" s="1"/>
  <c r="A11" i="1"/>
  <c r="S10" i="1"/>
  <c r="AB10" i="1" s="1"/>
  <c r="H10" i="1"/>
  <c r="AC10" i="1" s="1"/>
  <c r="W9" i="1"/>
  <c r="S9" i="1"/>
  <c r="H9" i="1"/>
  <c r="AC9" i="1" s="1"/>
  <c r="W8" i="1"/>
  <c r="S8" i="1"/>
  <c r="H8" i="1"/>
  <c r="AC8" i="1" s="1"/>
  <c r="S7" i="1"/>
  <c r="AB7" i="1" s="1"/>
  <c r="H7" i="1"/>
  <c r="AC7" i="1" s="1"/>
  <c r="S6" i="1"/>
  <c r="AB6" i="1" s="1"/>
  <c r="H6" i="1"/>
  <c r="AC6" i="1" s="1"/>
  <c r="W3" i="1"/>
  <c r="S3" i="1"/>
  <c r="H3" i="1"/>
  <c r="AC3" i="1" s="1"/>
  <c r="AA5" i="1"/>
  <c r="S5" i="1"/>
  <c r="W4" i="1"/>
  <c r="S4" i="1"/>
  <c r="H4" i="1"/>
  <c r="AC4" i="1" s="1"/>
  <c r="L85" i="1" l="1"/>
  <c r="L80" i="1"/>
  <c r="L79" i="1"/>
  <c r="L77" i="1"/>
  <c r="L53" i="1"/>
  <c r="L157" i="1"/>
  <c r="L86" i="1"/>
  <c r="L150" i="1"/>
  <c r="L7" i="1"/>
  <c r="L90" i="1"/>
  <c r="L156" i="1"/>
  <c r="L162" i="1"/>
  <c r="L58" i="1"/>
  <c r="L62" i="1"/>
  <c r="L155" i="1"/>
  <c r="L31" i="1"/>
  <c r="L149" i="1"/>
  <c r="L12" i="1"/>
  <c r="L169" i="1"/>
  <c r="L40" i="1"/>
  <c r="L142" i="1"/>
  <c r="L163" i="1"/>
  <c r="L170" i="1"/>
  <c r="L144" i="1"/>
  <c r="L164" i="1"/>
  <c r="L134" i="1"/>
  <c r="L75" i="1"/>
  <c r="L159" i="1"/>
  <c r="L143" i="1"/>
  <c r="L139" i="1"/>
  <c r="L137" i="1"/>
  <c r="L135" i="1"/>
  <c r="L11" i="1"/>
  <c r="L74" i="1"/>
  <c r="L50" i="1"/>
  <c r="L138" i="1"/>
  <c r="L158" i="1"/>
  <c r="L89" i="1"/>
  <c r="L136" i="1"/>
  <c r="L10" i="1"/>
  <c r="L179" i="1"/>
  <c r="L88" i="1"/>
  <c r="L145" i="1"/>
  <c r="L165" i="1"/>
  <c r="L178" i="1"/>
  <c r="L52" i="1"/>
  <c r="L76" i="1"/>
  <c r="L146" i="1"/>
  <c r="L166" i="1"/>
  <c r="L54" i="1"/>
  <c r="L78" i="1"/>
  <c r="L154" i="1"/>
  <c r="L13" i="1"/>
  <c r="L151" i="1"/>
  <c r="L171" i="1"/>
  <c r="L51" i="1"/>
  <c r="L152" i="1"/>
  <c r="L172" i="1"/>
  <c r="L153" i="1"/>
  <c r="L173" i="1"/>
  <c r="K188" i="1"/>
  <c r="L188" i="1"/>
  <c r="L140" i="1"/>
  <c r="L160" i="1"/>
  <c r="K189" i="1"/>
  <c r="L189" i="1"/>
  <c r="K186" i="1"/>
  <c r="L186" i="1"/>
  <c r="L147" i="1"/>
  <c r="L167" i="1"/>
  <c r="L174" i="1"/>
  <c r="K190" i="1"/>
  <c r="L190" i="1"/>
  <c r="L177" i="1"/>
  <c r="K205" i="1"/>
  <c r="L205" i="1"/>
  <c r="K187" i="1"/>
  <c r="L187" i="1"/>
  <c r="L141" i="1"/>
  <c r="L161" i="1"/>
  <c r="L176" i="1"/>
  <c r="K206" i="1"/>
  <c r="L206" i="1"/>
  <c r="K208" i="1"/>
  <c r="L208" i="1"/>
  <c r="L6" i="1"/>
  <c r="L56" i="1"/>
  <c r="L148" i="1"/>
  <c r="L168" i="1"/>
  <c r="L175" i="1"/>
  <c r="K207" i="1"/>
  <c r="L207" i="1"/>
  <c r="L132" i="1"/>
  <c r="L49" i="1"/>
  <c r="K179" i="1"/>
  <c r="K178" i="1"/>
  <c r="K176" i="1"/>
  <c r="K177" i="1"/>
  <c r="K175" i="1"/>
  <c r="K174" i="1"/>
  <c r="AB16" i="1"/>
  <c r="K16" i="1" s="1"/>
  <c r="AB17" i="1"/>
  <c r="K17" i="1" s="1"/>
  <c r="K62" i="1"/>
  <c r="K78" i="1"/>
  <c r="K76" i="1"/>
  <c r="K85" i="1"/>
  <c r="K74" i="1"/>
  <c r="K79" i="1"/>
  <c r="K75" i="1"/>
  <c r="K80" i="1"/>
  <c r="K77" i="1"/>
  <c r="K86" i="1"/>
  <c r="K50" i="1"/>
  <c r="AB131" i="1"/>
  <c r="K131" i="1" s="1"/>
  <c r="AB87" i="1"/>
  <c r="K87" i="1" s="1"/>
  <c r="AB43" i="1"/>
  <c r="K43" i="1" s="1"/>
  <c r="AB19" i="1"/>
  <c r="K19" i="1" s="1"/>
  <c r="AB34" i="1"/>
  <c r="K34" i="1" s="1"/>
  <c r="K31" i="1"/>
  <c r="AB35" i="1"/>
  <c r="K35" i="1" s="1"/>
  <c r="AB18" i="1"/>
  <c r="K18" i="1" s="1"/>
  <c r="AB23" i="1"/>
  <c r="K23" i="1" s="1"/>
  <c r="K13" i="1"/>
  <c r="AB36" i="1"/>
  <c r="K36" i="1" s="1"/>
  <c r="AB39" i="1"/>
  <c r="K39" i="1" s="1"/>
  <c r="K56" i="1"/>
  <c r="K90" i="1"/>
  <c r="AB25" i="1"/>
  <c r="K25" i="1" s="1"/>
  <c r="AB5" i="1"/>
  <c r="K5" i="1" s="1"/>
  <c r="AB20" i="1"/>
  <c r="K20" i="1" s="1"/>
  <c r="AB126" i="1"/>
  <c r="K126" i="1" s="1"/>
  <c r="AB130" i="1"/>
  <c r="K130" i="1" s="1"/>
  <c r="K10" i="1"/>
  <c r="K53" i="1"/>
  <c r="AB41" i="1"/>
  <c r="K41" i="1" s="1"/>
  <c r="AB15" i="1"/>
  <c r="K15" i="1" s="1"/>
  <c r="AB27" i="1"/>
  <c r="K27" i="1" s="1"/>
  <c r="AB38" i="1"/>
  <c r="K38" i="1" s="1"/>
  <c r="AB47" i="1"/>
  <c r="K47" i="1" s="1"/>
  <c r="AB33" i="1"/>
  <c r="K33" i="1" s="1"/>
  <c r="K58" i="1"/>
  <c r="K7" i="1"/>
  <c r="AB32" i="1"/>
  <c r="K32" i="1" s="1"/>
  <c r="AB37" i="1"/>
  <c r="K37" i="1" s="1"/>
  <c r="AB60" i="1"/>
  <c r="K60" i="1" s="1"/>
  <c r="K11" i="1"/>
  <c r="AB29" i="1"/>
  <c r="K29" i="1" s="1"/>
  <c r="K12" i="1"/>
  <c r="AB127" i="1"/>
  <c r="K127" i="1" s="1"/>
  <c r="AB45" i="1"/>
  <c r="K45" i="1" s="1"/>
  <c r="AB26" i="1"/>
  <c r="K26" i="1" s="1"/>
  <c r="AB42" i="1"/>
  <c r="K42" i="1" s="1"/>
  <c r="AB28" i="1"/>
  <c r="K28" i="1" s="1"/>
  <c r="AB44" i="1"/>
  <c r="K44" i="1" s="1"/>
  <c r="AB22" i="1"/>
  <c r="K22" i="1" s="1"/>
  <c r="AB30" i="1"/>
  <c r="K30" i="1" s="1"/>
  <c r="AB14" i="1"/>
  <c r="K14" i="1" s="1"/>
  <c r="K52" i="1"/>
  <c r="K88" i="1"/>
  <c r="AB3" i="1"/>
  <c r="K3" i="1" s="1"/>
  <c r="AB129" i="1"/>
  <c r="K129" i="1" s="1"/>
  <c r="AB8" i="1"/>
  <c r="K8" i="1" s="1"/>
  <c r="AB128" i="1"/>
  <c r="K128" i="1" s="1"/>
  <c r="AB61" i="1"/>
  <c r="K61" i="1" s="1"/>
  <c r="K40" i="1"/>
  <c r="AB48" i="1"/>
  <c r="K48" i="1" s="1"/>
  <c r="AB9" i="1"/>
  <c r="K9" i="1" s="1"/>
  <c r="AB46" i="1"/>
  <c r="K46" i="1" s="1"/>
  <c r="K54" i="1"/>
  <c r="AB4" i="1"/>
  <c r="K4" i="1" s="1"/>
  <c r="AB24" i="1"/>
  <c r="K24" i="1" s="1"/>
  <c r="K6" i="1"/>
  <c r="K51" i="1"/>
  <c r="K49" i="1"/>
  <c r="K89" i="1"/>
  <c r="L33" i="1" l="1"/>
  <c r="L3" i="1"/>
  <c r="L25" i="1"/>
  <c r="L45" i="1"/>
  <c r="L35" i="1"/>
  <c r="L4" i="1"/>
  <c r="L8" i="1"/>
  <c r="L19" i="1"/>
  <c r="L5" i="1"/>
  <c r="L28" i="1"/>
  <c r="L15" i="1"/>
  <c r="L14" i="1"/>
  <c r="L126" i="1"/>
  <c r="L26" i="1"/>
  <c r="L27" i="1"/>
  <c r="L131" i="1"/>
  <c r="L42" i="1"/>
  <c r="L127" i="1"/>
  <c r="L30" i="1"/>
  <c r="L130" i="1"/>
  <c r="L20" i="1"/>
  <c r="L46" i="1"/>
  <c r="L37" i="1"/>
  <c r="L128" i="1"/>
  <c r="L60" i="1"/>
  <c r="L38" i="1"/>
  <c r="L61" i="1"/>
  <c r="L48" i="1"/>
  <c r="L41" i="1"/>
  <c r="L16" i="1"/>
  <c r="L36" i="1"/>
  <c r="L39" i="1"/>
  <c r="L18" i="1"/>
  <c r="L47" i="1"/>
  <c r="L17" i="1"/>
  <c r="L29" i="1"/>
  <c r="L43" i="1"/>
  <c r="L87" i="1"/>
  <c r="L9" i="1"/>
  <c r="L23" i="1"/>
  <c r="L32" i="1"/>
  <c r="L34" i="1"/>
  <c r="L129" i="1"/>
  <c r="L22" i="1"/>
  <c r="L24" i="1"/>
  <c r="L44" i="1"/>
</calcChain>
</file>

<file path=xl/sharedStrings.xml><?xml version="1.0" encoding="utf-8"?>
<sst xmlns="http://schemas.openxmlformats.org/spreadsheetml/2006/main" count="847" uniqueCount="267">
  <si>
    <r>
      <rPr>
        <sz val="11"/>
        <color theme="1"/>
        <rFont val="宋体"/>
        <family val="3"/>
        <charset val="134"/>
        <scheme val="minor"/>
      </rPr>
      <t>配方i</t>
    </r>
    <r>
      <rPr>
        <sz val="11"/>
        <color theme="1"/>
        <rFont val="宋体"/>
        <family val="3"/>
        <charset val="134"/>
        <scheme val="minor"/>
      </rPr>
      <t>d</t>
    </r>
  </si>
  <si>
    <t>所需设备</t>
  </si>
  <si>
    <t>需研究解锁</t>
  </si>
  <si>
    <t>时间(天）</t>
  </si>
  <si>
    <t>产品价格</t>
  </si>
  <si>
    <t>产品ID</t>
  </si>
  <si>
    <t>产品名称</t>
  </si>
  <si>
    <t>利润率</t>
  </si>
  <si>
    <t>产量</t>
  </si>
  <si>
    <t>教育增产</t>
  </si>
  <si>
    <t>材料1</t>
  </si>
  <si>
    <t>数量1</t>
  </si>
  <si>
    <t>价格1</t>
  </si>
  <si>
    <t>材料2</t>
  </si>
  <si>
    <t>数量2</t>
  </si>
  <si>
    <t>价格2</t>
  </si>
  <si>
    <t>材料3</t>
  </si>
  <si>
    <t>数量3</t>
  </si>
  <si>
    <t>价格3</t>
  </si>
  <si>
    <t>成本</t>
  </si>
  <si>
    <t>售价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</si>
  <si>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ormula_id#int</t>
    </r>
  </si>
  <si>
    <t>facility_id#int</t>
  </si>
  <si>
    <t>!facility_name#str</t>
  </si>
  <si>
    <t>need_research#int</t>
  </si>
  <si>
    <t>days#float</t>
  </si>
  <si>
    <r>
      <rPr>
        <sz val="11"/>
        <color theme="1"/>
        <rFont val="宋体"/>
        <family val="3"/>
        <charset val="134"/>
        <scheme val="minor"/>
      </rPr>
      <t>!</t>
    </r>
    <r>
      <rPr>
        <sz val="11"/>
        <color theme="1"/>
        <rFont val="宋体"/>
        <family val="3"/>
        <charset val="134"/>
        <scheme val="minor"/>
      </rPr>
      <t>tmp</t>
    </r>
  </si>
  <si>
    <t>product_id#int</t>
  </si>
  <si>
    <t>!name#str</t>
  </si>
  <si>
    <t>output_count#int</t>
  </si>
  <si>
    <r>
      <rPr>
        <sz val="11"/>
        <color theme="1"/>
        <rFont val="宋体"/>
        <family val="3"/>
        <charset val="134"/>
        <scheme val="minor"/>
      </rPr>
      <t>education</t>
    </r>
    <r>
      <rPr>
        <sz val="11"/>
        <color theme="1"/>
        <rFont val="宋体"/>
        <family val="3"/>
        <charset val="134"/>
        <scheme val="minor"/>
      </rPr>
      <t>_effect#int</t>
    </r>
  </si>
  <si>
    <t>_material_1#int</t>
  </si>
  <si>
    <t>!tmp</t>
  </si>
  <si>
    <t>_n1#int</t>
  </si>
  <si>
    <t>_material_2#int</t>
  </si>
  <si>
    <t>_n2#int</t>
  </si>
  <si>
    <t>_material_3#int</t>
  </si>
  <si>
    <t>_n3#int</t>
  </si>
  <si>
    <t>手工台</t>
  </si>
  <si>
    <t>普通工具</t>
  </si>
  <si>
    <t>原木</t>
  </si>
  <si>
    <t>优质工具</t>
  </si>
  <si>
    <t>煤</t>
  </si>
  <si>
    <t>简单工具</t>
  </si>
  <si>
    <t>石料</t>
  </si>
  <si>
    <t>裁缝店</t>
  </si>
  <si>
    <t>皮夹克</t>
  </si>
  <si>
    <t>皮革</t>
  </si>
  <si>
    <t>羊毛衫</t>
  </si>
  <si>
    <t>羊毛</t>
  </si>
  <si>
    <t>保暖衣</t>
  </si>
  <si>
    <t>雨伞</t>
  </si>
  <si>
    <t>皮包</t>
  </si>
  <si>
    <t>红宝石</t>
  </si>
  <si>
    <t>红宝石碎片</t>
  </si>
  <si>
    <t>蓝宝石</t>
  </si>
  <si>
    <t>蓝宝石碎片</t>
  </si>
  <si>
    <t>绿宝石</t>
  </si>
  <si>
    <t>绿宝石碎片</t>
  </si>
  <si>
    <t>四轮马车</t>
  </si>
  <si>
    <t>榴弹</t>
  </si>
  <si>
    <t>火药</t>
  </si>
  <si>
    <t>巨型炸弹</t>
  </si>
  <si>
    <t>简单武器</t>
  </si>
  <si>
    <t>普通武器</t>
  </si>
  <si>
    <t>优良武器</t>
  </si>
  <si>
    <t>高级武器</t>
  </si>
  <si>
    <t>稀有武器</t>
  </si>
  <si>
    <t>金锭</t>
  </si>
  <si>
    <t>特殊武器</t>
  </si>
  <si>
    <t>极品武器</t>
  </si>
  <si>
    <t>传说武器</t>
  </si>
  <si>
    <t>史诗武器</t>
  </si>
  <si>
    <t>简单盾牌</t>
  </si>
  <si>
    <t>普通盾牌</t>
  </si>
  <si>
    <t>优良盾牌</t>
  </si>
  <si>
    <t>高级盾牌</t>
  </si>
  <si>
    <t>稀有盾牌</t>
  </si>
  <si>
    <t>特殊盾牌</t>
  </si>
  <si>
    <t>极品盾牌</t>
  </si>
  <si>
    <t>传说盾牌</t>
  </si>
  <si>
    <t>史诗盾牌</t>
  </si>
  <si>
    <t>简单盔甲</t>
  </si>
  <si>
    <t>普通盔甲</t>
  </si>
  <si>
    <t>优良盔甲</t>
  </si>
  <si>
    <t>高级盔甲</t>
  </si>
  <si>
    <t>特殊盔甲</t>
  </si>
  <si>
    <t>极品盔甲</t>
  </si>
  <si>
    <t>传说盔甲</t>
  </si>
  <si>
    <t>史诗盔甲</t>
  </si>
  <si>
    <t>劈材房</t>
  </si>
  <si>
    <t>柴火</t>
  </si>
  <si>
    <t>酿酒桶</t>
  </si>
  <si>
    <t>烈酒</t>
  </si>
  <si>
    <t>小麦</t>
  </si>
  <si>
    <t>水</t>
  </si>
  <si>
    <t>梅子</t>
  </si>
  <si>
    <t>果酒</t>
  </si>
  <si>
    <t>浆果</t>
  </si>
  <si>
    <t>樱桃</t>
  </si>
  <si>
    <t>药茶</t>
  </si>
  <si>
    <t>蜂蜜</t>
  </si>
  <si>
    <t>草药</t>
  </si>
  <si>
    <t>炼药锅</t>
  </si>
  <si>
    <t>生命药水</t>
  </si>
  <si>
    <t>蘑菇精华</t>
  </si>
  <si>
    <t>蘑菇</t>
  </si>
  <si>
    <t>养颜丹</t>
  </si>
  <si>
    <t>龙涎香</t>
  </si>
  <si>
    <t>烹饪台</t>
  </si>
  <si>
    <t>粗糙食物</t>
  </si>
  <si>
    <t>粮食</t>
  </si>
  <si>
    <t>蔬菜</t>
  </si>
  <si>
    <t>水果</t>
  </si>
  <si>
    <t>简单食物</t>
  </si>
  <si>
    <t>肉类</t>
  </si>
  <si>
    <t>精致食物</t>
  </si>
  <si>
    <t>黑暗料理</t>
  </si>
  <si>
    <t>腐败食物</t>
  </si>
  <si>
    <t>咖啡</t>
  </si>
  <si>
    <t>咖啡豆</t>
  </si>
  <si>
    <t>巧克力</t>
  </si>
  <si>
    <t>可可豆</t>
  </si>
  <si>
    <t>蟹笼</t>
  </si>
  <si>
    <t>螃蟹</t>
  </si>
  <si>
    <t>龙虾</t>
  </si>
  <si>
    <t>蜂房</t>
  </si>
  <si>
    <t>百分比</t>
  </si>
  <si>
    <t>矿井</t>
  </si>
  <si>
    <t>采石场</t>
  </si>
  <si>
    <t>采石点</t>
  </si>
  <si>
    <t>草药园</t>
  </si>
  <si>
    <t>渔业码头</t>
  </si>
  <si>
    <t>鱼</t>
  </si>
  <si>
    <t>猎人小屋</t>
  </si>
  <si>
    <t>肉</t>
  </si>
  <si>
    <t>采集小屋</t>
  </si>
  <si>
    <t>洋葱</t>
  </si>
  <si>
    <t>木薯</t>
  </si>
  <si>
    <t>护林小屋</t>
  </si>
  <si>
    <t>产量值对普通树无效，只对果树有用</t>
  </si>
  <si>
    <t>堆肥桶</t>
  </si>
  <si>
    <t>肥料</t>
  </si>
  <si>
    <t>动物粪便</t>
  </si>
  <si>
    <t>研究台</t>
  </si>
  <si>
    <t>1级熔岩泰坦</t>
  </si>
  <si>
    <t>熔岩之心</t>
  </si>
  <si>
    <t>2级熔岩泰坦</t>
  </si>
  <si>
    <t>3级熔岩泰坦</t>
  </si>
  <si>
    <t>4级熔岩泰坦</t>
  </si>
  <si>
    <t>5级熔岩泰坦</t>
  </si>
  <si>
    <t>6级熔岩泰坦</t>
  </si>
  <si>
    <t>7级熔岩泰坦</t>
  </si>
  <si>
    <t>8级熔岩泰坦</t>
  </si>
  <si>
    <t>9级熔岩泰坦</t>
  </si>
  <si>
    <t>10级熔岩泰坦</t>
  </si>
  <si>
    <t>1级寒冰泰坦</t>
  </si>
  <si>
    <t>寒冰之心</t>
  </si>
  <si>
    <t>2级寒冰泰坦</t>
  </si>
  <si>
    <t>3级寒冰泰坦</t>
  </si>
  <si>
    <t>4级寒冰泰坦</t>
  </si>
  <si>
    <t>5级寒冰泰坦</t>
  </si>
  <si>
    <t>6级寒冰泰坦</t>
  </si>
  <si>
    <t>7级寒冰泰坦</t>
  </si>
  <si>
    <t>8级寒冰泰坦</t>
  </si>
  <si>
    <t>9级寒冰泰坦</t>
  </si>
  <si>
    <t>10级寒冰泰坦</t>
  </si>
  <si>
    <t>1级森林泰坦</t>
  </si>
  <si>
    <t>森林之心</t>
  </si>
  <si>
    <t>2级森林泰坦</t>
  </si>
  <si>
    <t>3级森林泰坦</t>
  </si>
  <si>
    <t>4级森林泰坦</t>
  </si>
  <si>
    <t>5级森林泰坦</t>
  </si>
  <si>
    <t>6级森林泰坦</t>
  </si>
  <si>
    <t>7级森林泰坦</t>
  </si>
  <si>
    <t>8级森林泰坦</t>
  </si>
  <si>
    <t>9级森林泰坦</t>
  </si>
  <si>
    <t>10级森林泰坦</t>
  </si>
  <si>
    <t>熔炉</t>
    <phoneticPr fontId="4" type="noConversion"/>
  </si>
  <si>
    <t>铁锭</t>
  </si>
  <si>
    <t>秘银锭</t>
  </si>
  <si>
    <t>精金锭</t>
  </si>
  <si>
    <t>山铜锭</t>
  </si>
  <si>
    <t>秘银矿</t>
  </si>
  <si>
    <t>精金矿</t>
  </si>
  <si>
    <t>山铜矿</t>
  </si>
  <si>
    <t>灰烬</t>
  </si>
  <si>
    <t>不能主动合成</t>
    <phoneticPr fontId="4" type="noConversion"/>
  </si>
  <si>
    <t>损坏的高级武器</t>
  </si>
  <si>
    <t>损坏的高级盾牌</t>
  </si>
  <si>
    <t>损坏的高级盔甲</t>
  </si>
  <si>
    <t>泰坦祭坛</t>
    <phoneticPr fontId="4" type="noConversion"/>
  </si>
  <si>
    <t>皮革</t>
    <phoneticPr fontId="4" type="noConversion"/>
  </si>
  <si>
    <t>精金锭</t>
    <phoneticPr fontId="4" type="noConversion"/>
  </si>
  <si>
    <t>甘蔗</t>
  </si>
  <si>
    <t>黄金</t>
  </si>
  <si>
    <t>金矿</t>
  </si>
  <si>
    <t>银矿</t>
  </si>
  <si>
    <t>白银</t>
  </si>
  <si>
    <t>魔法戒指</t>
    <phoneticPr fontId="4" type="noConversion"/>
  </si>
  <si>
    <t>魔法项链</t>
    <phoneticPr fontId="4" type="noConversion"/>
  </si>
  <si>
    <t>两轮马车</t>
    <phoneticPr fontId="4" type="noConversion"/>
  </si>
  <si>
    <t>铁锭矿</t>
  </si>
  <si>
    <t>1级钢铁锭泰坦</t>
  </si>
  <si>
    <t>钢铁锭之心</t>
  </si>
  <si>
    <t>2级钢铁锭泰坦</t>
  </si>
  <si>
    <t>3级钢铁锭泰坦</t>
  </si>
  <si>
    <t>4级钢铁锭泰坦</t>
  </si>
  <si>
    <t>5级钢铁锭泰坦</t>
  </si>
  <si>
    <t>6级钢铁锭泰坦</t>
  </si>
  <si>
    <t>7级钢铁锭泰坦</t>
  </si>
  <si>
    <t>8级钢铁锭泰坦</t>
  </si>
  <si>
    <t>9级钢铁锭泰坦</t>
  </si>
  <si>
    <t>10级钢铁锭泰坦</t>
  </si>
  <si>
    <t>铁弹</t>
    <phoneticPr fontId="4" type="noConversion"/>
  </si>
  <si>
    <t>铁矿</t>
    <phoneticPr fontId="4" type="noConversion"/>
  </si>
  <si>
    <t>启蒙书</t>
    <phoneticPr fontId="4" type="noConversion"/>
  </si>
  <si>
    <t>临时禁用</t>
    <phoneticPr fontId="4" type="noConversion"/>
  </si>
  <si>
    <t>disable#int</t>
    <phoneticPr fontId="4" type="noConversion"/>
  </si>
  <si>
    <t>磨坊</t>
    <phoneticPr fontId="4" type="noConversion"/>
  </si>
  <si>
    <t>糖</t>
    <phoneticPr fontId="4" type="noConversion"/>
  </si>
  <si>
    <t>面粉</t>
    <phoneticPr fontId="4" type="noConversion"/>
  </si>
  <si>
    <t>玉米</t>
  </si>
  <si>
    <t>饼干</t>
    <phoneticPr fontId="4" type="noConversion"/>
  </si>
  <si>
    <t>蛋糕</t>
    <phoneticPr fontId="4" type="noConversion"/>
  </si>
  <si>
    <t>牛奶</t>
    <phoneticPr fontId="4" type="noConversion"/>
  </si>
  <si>
    <t>鸡蛋</t>
  </si>
  <si>
    <t>烹饪台</t>
    <phoneticPr fontId="4" type="noConversion"/>
  </si>
  <si>
    <t>心灵书</t>
    <phoneticPr fontId="4" type="noConversion"/>
  </si>
  <si>
    <t>蘑菇箱</t>
    <phoneticPr fontId="4" type="noConversion"/>
  </si>
  <si>
    <t>人伦书</t>
    <phoneticPr fontId="4" type="noConversion"/>
  </si>
  <si>
    <t>轮回书</t>
    <phoneticPr fontId="4" type="noConversion"/>
  </si>
  <si>
    <t>天职书</t>
    <phoneticPr fontId="4" type="noConversion"/>
  </si>
  <si>
    <t>类型
2召唤
1合成
0采集</t>
    <phoneticPr fontId="4" type="noConversion"/>
  </si>
  <si>
    <t>type#int</t>
    <phoneticPr fontId="4" type="noConversion"/>
  </si>
  <si>
    <t>兵法书</t>
    <phoneticPr fontId="4" type="noConversion"/>
  </si>
  <si>
    <t>忠义书</t>
    <phoneticPr fontId="4" type="noConversion"/>
  </si>
  <si>
    <t>管理书</t>
    <phoneticPr fontId="4" type="noConversion"/>
  </si>
  <si>
    <t>子弹</t>
    <phoneticPr fontId="4" type="noConversion"/>
  </si>
  <si>
    <t>稀有盔甲</t>
    <phoneticPr fontId="4" type="noConversion"/>
  </si>
  <si>
    <t>工时费</t>
    <phoneticPr fontId="4" type="noConversion"/>
  </si>
  <si>
    <t>!tmp</t>
    <phoneticPr fontId="4" type="noConversion"/>
  </si>
  <si>
    <t>利润率
扣工时费</t>
    <phoneticPr fontId="4" type="noConversion"/>
  </si>
  <si>
    <t>银币</t>
    <phoneticPr fontId="4" type="noConversion"/>
  </si>
  <si>
    <t>白银</t>
    <phoneticPr fontId="4" type="noConversion"/>
  </si>
  <si>
    <t>生命果实</t>
    <phoneticPr fontId="4" type="noConversion"/>
  </si>
  <si>
    <t>忘忧果</t>
    <phoneticPr fontId="4" type="noConversion"/>
  </si>
  <si>
    <t>灌木花盆</t>
    <phoneticPr fontId="4" type="noConversion"/>
  </si>
  <si>
    <t>花盆</t>
    <phoneticPr fontId="4" type="noConversion"/>
  </si>
  <si>
    <t>蜂蜜酒</t>
    <phoneticPr fontId="4" type="noConversion"/>
  </si>
  <si>
    <t>蜂蜜</t>
    <phoneticPr fontId="4" type="noConversion"/>
  </si>
  <si>
    <t>苹果</t>
    <phoneticPr fontId="4" type="noConversion"/>
  </si>
  <si>
    <t>蜂蜜</t>
    <phoneticPr fontId="4" type="noConversion"/>
  </si>
  <si>
    <t>动物生长素</t>
    <phoneticPr fontId="4" type="noConversion"/>
  </si>
  <si>
    <t xml:space="preserve">动物促产素 </t>
    <phoneticPr fontId="4" type="noConversion"/>
  </si>
  <si>
    <t>动物催肥素</t>
    <phoneticPr fontId="4" type="noConversion"/>
  </si>
  <si>
    <t>史莱姆凝液</t>
    <phoneticPr fontId="4" type="noConversion"/>
  </si>
  <si>
    <t>龙涎香</t>
    <phoneticPr fontId="4" type="noConversion"/>
  </si>
  <si>
    <t>蚁胶</t>
    <phoneticPr fontId="4" type="noConversion"/>
  </si>
  <si>
    <t>蟹笼</t>
    <phoneticPr fontId="4" type="noConversion"/>
  </si>
  <si>
    <t>简单食物</t>
    <phoneticPr fontId="4" type="noConversion"/>
  </si>
  <si>
    <t>粗糙食物</t>
    <phoneticPr fontId="4" type="noConversion"/>
  </si>
  <si>
    <t>核桃</t>
  </si>
  <si>
    <t>简单食物</t>
    <phoneticPr fontId="4" type="noConversion"/>
  </si>
  <si>
    <t>熏鱼</t>
    <phoneticPr fontId="4" type="noConversion"/>
  </si>
  <si>
    <t>熏肉</t>
    <phoneticPr fontId="4" type="noConversion"/>
  </si>
  <si>
    <t>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</si>
</sst>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3" fillId="10" borderId="5" applyNumberFormat="0" applyAlignment="0" applyProtection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0" fontId="0" fillId="0" borderId="1" xfId="0" applyBorder="1"/>
    <xf numFmtId="0" fontId="0" fillId="5" borderId="1" xfId="0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3" borderId="1" xfId="0" applyFont="1" applyFill="1" applyBorder="1"/>
    <xf numFmtId="0" fontId="1" fillId="4" borderId="1" xfId="0" applyFont="1" applyFill="1" applyBorder="1"/>
    <xf numFmtId="49" fontId="1" fillId="0" borderId="1" xfId="0" applyNumberFormat="1" applyFont="1" applyBorder="1"/>
    <xf numFmtId="0" fontId="0" fillId="3" borderId="1" xfId="0" applyFill="1" applyBorder="1"/>
    <xf numFmtId="0" fontId="0" fillId="4" borderId="1" xfId="0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2" borderId="1" xfId="0" applyFill="1" applyBorder="1"/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4" xfId="0" applyFont="1" applyBorder="1"/>
    <xf numFmtId="0" fontId="0" fillId="3" borderId="4" xfId="0" applyFill="1" applyBorder="1"/>
    <xf numFmtId="0" fontId="0" fillId="4" borderId="4" xfId="0" applyFill="1" applyBorder="1"/>
    <xf numFmtId="0" fontId="3" fillId="10" borderId="1" xfId="1" applyBorder="1" applyAlignment="1"/>
    <xf numFmtId="0" fontId="1" fillId="2" borderId="4" xfId="0" applyFont="1" applyFill="1" applyBorder="1"/>
    <xf numFmtId="0" fontId="0" fillId="2" borderId="4" xfId="0" applyFill="1" applyBorder="1"/>
    <xf numFmtId="0" fontId="0" fillId="7" borderId="1" xfId="0" applyFill="1" applyBorder="1"/>
    <xf numFmtId="0" fontId="0" fillId="11" borderId="1" xfId="0" applyFill="1" applyBorder="1"/>
    <xf numFmtId="0" fontId="1" fillId="11" borderId="1" xfId="0" applyFont="1" applyFill="1" applyBorder="1"/>
    <xf numFmtId="0" fontId="0" fillId="0" borderId="6" xfId="0" applyBorder="1"/>
    <xf numFmtId="0" fontId="0" fillId="11" borderId="6" xfId="0" applyFill="1" applyBorder="1"/>
    <xf numFmtId="0" fontId="0" fillId="0" borderId="2" xfId="0" applyBorder="1"/>
    <xf numFmtId="0" fontId="0" fillId="6" borderId="2" xfId="0" applyFill="1" applyBorder="1"/>
    <xf numFmtId="0" fontId="0" fillId="11" borderId="2" xfId="0" applyFill="1" applyBorder="1"/>
  </cellXfs>
  <cellStyles count="21">
    <cellStyle name="常规" xfId="0" builtinId="0"/>
    <cellStyle name="常规 2" xfId="2" xr:uid="{00000000-0005-0000-0000-000001000000}"/>
    <cellStyle name="常规 2 10" xfId="12" xr:uid="{00000000-0005-0000-0000-000002000000}"/>
    <cellStyle name="常规 2 11" xfId="13" xr:uid="{00000000-0005-0000-0000-000003000000}"/>
    <cellStyle name="常规 2 12" xfId="14" xr:uid="{00000000-0005-0000-0000-000004000000}"/>
    <cellStyle name="常规 2 13" xfId="15" xr:uid="{00000000-0005-0000-0000-000005000000}"/>
    <cellStyle name="常规 2 14" xfId="17" xr:uid="{00000000-0005-0000-0000-000006000000}"/>
    <cellStyle name="常规 2 15" xfId="19" xr:uid="{00000000-0005-0000-0000-000007000000}"/>
    <cellStyle name="常规 2 16" xfId="16" xr:uid="{00000000-0005-0000-0000-000008000000}"/>
    <cellStyle name="常规 2 2" xfId="4" xr:uid="{00000000-0005-0000-0000-000009000000}"/>
    <cellStyle name="常规 2 3" xfId="6" xr:uid="{00000000-0005-0000-0000-00000A000000}"/>
    <cellStyle name="常规 2 4" xfId="3" xr:uid="{00000000-0005-0000-0000-00000B000000}"/>
    <cellStyle name="常规 2 5" xfId="8" xr:uid="{00000000-0005-0000-0000-00000C000000}"/>
    <cellStyle name="常规 2 6" xfId="7" xr:uid="{00000000-0005-0000-0000-00000D000000}"/>
    <cellStyle name="常规 2 7" xfId="10" xr:uid="{00000000-0005-0000-0000-00000E000000}"/>
    <cellStyle name="常规 2 8" xfId="9" xr:uid="{00000000-0005-0000-0000-00000F000000}"/>
    <cellStyle name="常规 2 9" xfId="11" xr:uid="{00000000-0005-0000-0000-000010000000}"/>
    <cellStyle name="常规 3" xfId="5" xr:uid="{00000000-0005-0000-0000-000011000000}"/>
    <cellStyle name="常规 4" xfId="18" xr:uid="{00000000-0005-0000-0000-000012000000}"/>
    <cellStyle name="常规 6" xfId="20" xr:uid="{00000000-0005-0000-0000-000013000000}"/>
    <cellStyle name="计算" xfId="1" builtinId="2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1&#29289;&#21697;&#34920;.xlsx" TargetMode="External"/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ff"/>
      <sheetName val="stuff2"/>
      <sheetName val="stuff_type_name"/>
    </sheetNames>
    <sheetDataSet>
      <sheetData sheetId="0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初始马车</v>
          </cell>
          <cell r="C3">
            <v>0</v>
          </cell>
        </row>
        <row r="4">
          <cell r="A4">
            <v>100002</v>
          </cell>
          <cell r="B4" t="str">
            <v>帝国村庄</v>
          </cell>
          <cell r="C4">
            <v>0</v>
          </cell>
        </row>
        <row r="5">
          <cell r="A5">
            <v>101001</v>
          </cell>
          <cell r="B5" t="str">
            <v>小床</v>
          </cell>
          <cell r="C5">
            <v>0</v>
          </cell>
        </row>
        <row r="6">
          <cell r="A6">
            <v>101002</v>
          </cell>
          <cell r="B6" t="str">
            <v>大床</v>
          </cell>
          <cell r="C6">
            <v>0</v>
          </cell>
        </row>
        <row r="7">
          <cell r="A7">
            <v>101003</v>
          </cell>
          <cell r="B7" t="str">
            <v>精致大床</v>
          </cell>
          <cell r="C7">
            <v>0</v>
          </cell>
        </row>
        <row r="8">
          <cell r="A8">
            <v>101004</v>
          </cell>
          <cell r="B8" t="str">
            <v>洞穴</v>
          </cell>
          <cell r="C8">
            <v>0</v>
          </cell>
        </row>
        <row r="9">
          <cell r="A9">
            <v>101005</v>
          </cell>
          <cell r="B9" t="str">
            <v>双层床</v>
          </cell>
          <cell r="C9">
            <v>0</v>
          </cell>
        </row>
        <row r="10">
          <cell r="A10">
            <v>101006</v>
          </cell>
          <cell r="B10" t="str">
            <v>精致小床</v>
          </cell>
          <cell r="C10">
            <v>0</v>
          </cell>
        </row>
        <row r="11">
          <cell r="A11">
            <v>102001</v>
          </cell>
          <cell r="B11" t="str">
            <v>土路</v>
          </cell>
          <cell r="C11">
            <v>0</v>
          </cell>
        </row>
        <row r="12">
          <cell r="A12">
            <v>102002</v>
          </cell>
          <cell r="B12" t="str">
            <v>石板路</v>
          </cell>
          <cell r="C12">
            <v>0</v>
          </cell>
        </row>
        <row r="13">
          <cell r="A13">
            <v>102003</v>
          </cell>
          <cell r="B13" t="str">
            <v>木桥</v>
          </cell>
          <cell r="C13">
            <v>0</v>
          </cell>
        </row>
        <row r="14">
          <cell r="A14">
            <v>102004</v>
          </cell>
          <cell r="B14" t="str">
            <v>山路</v>
          </cell>
          <cell r="C14">
            <v>0</v>
          </cell>
        </row>
        <row r="15">
          <cell r="A15">
            <v>102005</v>
          </cell>
          <cell r="B15" t="str">
            <v>木墙</v>
          </cell>
          <cell r="C15">
            <v>0</v>
          </cell>
        </row>
        <row r="16">
          <cell r="A16">
            <v>102006</v>
          </cell>
          <cell r="B16" t="str">
            <v>石墙</v>
          </cell>
          <cell r="C16">
            <v>0</v>
          </cell>
        </row>
        <row r="17">
          <cell r="A17">
            <v>102007</v>
          </cell>
          <cell r="B17" t="str">
            <v>门</v>
          </cell>
          <cell r="C17">
            <v>0</v>
          </cell>
        </row>
        <row r="18">
          <cell r="A18">
            <v>102008</v>
          </cell>
          <cell r="B18" t="str">
            <v>城墙</v>
          </cell>
          <cell r="C18">
            <v>0</v>
          </cell>
        </row>
        <row r="19">
          <cell r="A19">
            <v>102009</v>
          </cell>
          <cell r="B19" t="str">
            <v>城门</v>
          </cell>
          <cell r="C19">
            <v>0</v>
          </cell>
        </row>
        <row r="20">
          <cell r="A20">
            <v>102010</v>
          </cell>
          <cell r="B20" t="str">
            <v>传送门</v>
          </cell>
          <cell r="C20">
            <v>0</v>
          </cell>
        </row>
        <row r="21">
          <cell r="A21">
            <v>102011</v>
          </cell>
          <cell r="B21" t="str">
            <v>铁墙</v>
          </cell>
          <cell r="C21">
            <v>0</v>
          </cell>
        </row>
        <row r="22">
          <cell r="A22">
            <v>102012</v>
          </cell>
          <cell r="B22" t="str">
            <v>铁门</v>
          </cell>
          <cell r="C22">
            <v>0</v>
          </cell>
        </row>
        <row r="23">
          <cell r="A23">
            <v>102013</v>
          </cell>
          <cell r="B23" t="str">
            <v>石桥</v>
          </cell>
          <cell r="C23">
            <v>0</v>
          </cell>
        </row>
        <row r="24">
          <cell r="A24">
            <v>103001</v>
          </cell>
          <cell r="B24" t="str">
            <v>大箱子</v>
          </cell>
          <cell r="C24">
            <v>0</v>
          </cell>
        </row>
        <row r="25">
          <cell r="A25">
            <v>103002</v>
          </cell>
          <cell r="B25" t="str">
            <v>料堆</v>
          </cell>
          <cell r="C25">
            <v>0</v>
          </cell>
        </row>
        <row r="26">
          <cell r="A26">
            <v>103003</v>
          </cell>
          <cell r="B26" t="str">
            <v>货架</v>
          </cell>
          <cell r="C26">
            <v>0</v>
          </cell>
        </row>
        <row r="27">
          <cell r="A27">
            <v>103004</v>
          </cell>
          <cell r="B27" t="str">
            <v>交易台</v>
          </cell>
          <cell r="C27">
            <v>0</v>
          </cell>
        </row>
        <row r="28">
          <cell r="A28">
            <v>103005</v>
          </cell>
          <cell r="B28" t="str">
            <v>边贸口岸</v>
          </cell>
          <cell r="C28">
            <v>0</v>
          </cell>
        </row>
        <row r="29">
          <cell r="A29">
            <v>103006</v>
          </cell>
          <cell r="B29" t="str">
            <v>路标</v>
          </cell>
          <cell r="C29">
            <v>0</v>
          </cell>
        </row>
        <row r="30">
          <cell r="A30">
            <v>103007</v>
          </cell>
          <cell r="B30" t="str">
            <v>冰窖</v>
          </cell>
          <cell r="C30">
            <v>0</v>
          </cell>
        </row>
        <row r="31">
          <cell r="A31">
            <v>103008</v>
          </cell>
          <cell r="B31" t="str">
            <v>周转箱</v>
          </cell>
          <cell r="C31">
            <v>0</v>
          </cell>
        </row>
        <row r="32">
          <cell r="A32">
            <v>103009</v>
          </cell>
          <cell r="B32" t="str">
            <v>冰窖</v>
          </cell>
          <cell r="C32">
            <v>0</v>
          </cell>
        </row>
        <row r="33">
          <cell r="A33">
            <v>103012</v>
          </cell>
          <cell r="B33" t="str">
            <v>马车站</v>
          </cell>
          <cell r="C33">
            <v>0</v>
          </cell>
        </row>
        <row r="34">
          <cell r="A34">
            <v>103013</v>
          </cell>
          <cell r="B34" t="str">
            <v>喂食器</v>
          </cell>
          <cell r="C34">
            <v>0</v>
          </cell>
        </row>
        <row r="35">
          <cell r="A35">
            <v>104001</v>
          </cell>
          <cell r="B35" t="str">
            <v>水井</v>
          </cell>
          <cell r="C35">
            <v>0</v>
          </cell>
        </row>
        <row r="36">
          <cell r="A36">
            <v>104002</v>
          </cell>
          <cell r="B36" t="str">
            <v>讲台</v>
          </cell>
          <cell r="C36">
            <v>0</v>
          </cell>
        </row>
        <row r="37">
          <cell r="A37">
            <v>104004</v>
          </cell>
          <cell r="B37" t="str">
            <v>布道台</v>
          </cell>
          <cell r="C37">
            <v>0</v>
          </cell>
        </row>
        <row r="38">
          <cell r="A38">
            <v>104005</v>
          </cell>
          <cell r="B38" t="str">
            <v>墓地</v>
          </cell>
          <cell r="C38">
            <v>0</v>
          </cell>
        </row>
        <row r="39">
          <cell r="A39">
            <v>104007</v>
          </cell>
          <cell r="B39" t="str">
            <v>诊断台</v>
          </cell>
          <cell r="C39">
            <v>0</v>
          </cell>
        </row>
        <row r="40">
          <cell r="A40">
            <v>104008</v>
          </cell>
          <cell r="B40" t="str">
            <v>医疗床</v>
          </cell>
          <cell r="C40">
            <v>0</v>
          </cell>
        </row>
        <row r="41">
          <cell r="A41">
            <v>104011</v>
          </cell>
          <cell r="B41" t="str">
            <v>篝火堆</v>
          </cell>
          <cell r="C41">
            <v>0</v>
          </cell>
        </row>
        <row r="42">
          <cell r="A42">
            <v>104012</v>
          </cell>
          <cell r="B42" t="str">
            <v>火把</v>
          </cell>
          <cell r="C42">
            <v>0</v>
          </cell>
        </row>
        <row r="43">
          <cell r="A43">
            <v>104013</v>
          </cell>
          <cell r="B43" t="str">
            <v>火盆</v>
          </cell>
          <cell r="C43">
            <v>0</v>
          </cell>
        </row>
        <row r="44">
          <cell r="A44">
            <v>104014</v>
          </cell>
          <cell r="B44" t="str">
            <v>壁炉</v>
          </cell>
          <cell r="C44">
            <v>0</v>
          </cell>
        </row>
        <row r="45">
          <cell r="A45">
            <v>104015</v>
          </cell>
          <cell r="B45" t="str">
            <v>椅子</v>
          </cell>
          <cell r="C45">
            <v>0</v>
          </cell>
        </row>
        <row r="46">
          <cell r="A46">
            <v>104016</v>
          </cell>
          <cell r="B46" t="str">
            <v>餐桌</v>
          </cell>
          <cell r="C46">
            <v>0</v>
          </cell>
        </row>
        <row r="47">
          <cell r="A47">
            <v>104017</v>
          </cell>
          <cell r="B47" t="str">
            <v>研究台</v>
          </cell>
          <cell r="C47">
            <v>0</v>
          </cell>
        </row>
        <row r="48">
          <cell r="A48">
            <v>104018</v>
          </cell>
          <cell r="B48" t="str">
            <v>小花盆</v>
          </cell>
          <cell r="C48">
            <v>0</v>
          </cell>
        </row>
        <row r="49">
          <cell r="A49">
            <v>104019</v>
          </cell>
          <cell r="B49" t="str">
            <v>接待台</v>
          </cell>
          <cell r="C49">
            <v>0</v>
          </cell>
        </row>
        <row r="50">
          <cell r="A50">
            <v>104020</v>
          </cell>
          <cell r="B50" t="str">
            <v>宴会桌</v>
          </cell>
          <cell r="C50">
            <v>0</v>
          </cell>
        </row>
        <row r="51">
          <cell r="A51">
            <v>104021</v>
          </cell>
          <cell r="B51" t="str">
            <v>厕所</v>
          </cell>
          <cell r="C51">
            <v>0</v>
          </cell>
        </row>
        <row r="52">
          <cell r="A52">
            <v>104022</v>
          </cell>
          <cell r="B52" t="str">
            <v>英雄纪念碑</v>
          </cell>
          <cell r="C52">
            <v>0</v>
          </cell>
        </row>
        <row r="53">
          <cell r="A53">
            <v>104023</v>
          </cell>
          <cell r="B53" t="str">
            <v>扑克桌</v>
          </cell>
          <cell r="C53">
            <v>0</v>
          </cell>
        </row>
        <row r="54">
          <cell r="A54">
            <v>104024</v>
          </cell>
          <cell r="B54" t="str">
            <v>高级扑克桌</v>
          </cell>
          <cell r="C54">
            <v>0</v>
          </cell>
        </row>
        <row r="55">
          <cell r="A55">
            <v>104025</v>
          </cell>
          <cell r="B55" t="str">
            <v>豪华扑克桌</v>
          </cell>
          <cell r="C55">
            <v>0</v>
          </cell>
        </row>
        <row r="56">
          <cell r="A56">
            <v>104026</v>
          </cell>
          <cell r="B56" t="str">
            <v>幸运轮盘</v>
          </cell>
          <cell r="C56">
            <v>0</v>
          </cell>
        </row>
        <row r="57">
          <cell r="A57">
            <v>104027</v>
          </cell>
          <cell r="B57" t="str">
            <v>公共浴场</v>
          </cell>
          <cell r="C57">
            <v>0</v>
          </cell>
        </row>
        <row r="58">
          <cell r="A58">
            <v>104028</v>
          </cell>
          <cell r="B58" t="str">
            <v>花盆</v>
          </cell>
          <cell r="C58">
            <v>0</v>
          </cell>
        </row>
        <row r="59">
          <cell r="A59">
            <v>104029</v>
          </cell>
          <cell r="B59" t="str">
            <v>灌木花盆</v>
          </cell>
          <cell r="C59">
            <v>0</v>
          </cell>
        </row>
        <row r="60">
          <cell r="A60">
            <v>104030</v>
          </cell>
          <cell r="B60" t="str">
            <v>种树花盆</v>
          </cell>
          <cell r="C60">
            <v>0</v>
          </cell>
        </row>
        <row r="61">
          <cell r="A61">
            <v>104031</v>
          </cell>
          <cell r="B61" t="str">
            <v>木牌</v>
          </cell>
          <cell r="C61">
            <v>0</v>
          </cell>
        </row>
        <row r="62">
          <cell r="A62">
            <v>105001</v>
          </cell>
          <cell r="B62" t="str">
            <v>农田</v>
          </cell>
          <cell r="C62">
            <v>0</v>
          </cell>
        </row>
        <row r="63">
          <cell r="A63">
            <v>105002</v>
          </cell>
          <cell r="B63" t="str">
            <v>果园</v>
          </cell>
          <cell r="C63">
            <v>0</v>
          </cell>
        </row>
        <row r="64">
          <cell r="A64">
            <v>105003</v>
          </cell>
          <cell r="B64" t="str">
            <v>牧场</v>
          </cell>
          <cell r="C64">
            <v>0</v>
          </cell>
        </row>
        <row r="65">
          <cell r="A65">
            <v>105004</v>
          </cell>
          <cell r="B65" t="str">
            <v>渔人码头</v>
          </cell>
          <cell r="C65">
            <v>0</v>
          </cell>
        </row>
        <row r="66">
          <cell r="A66">
            <v>105005</v>
          </cell>
          <cell r="B66" t="str">
            <v>猎人营地</v>
          </cell>
          <cell r="C66">
            <v>0</v>
          </cell>
        </row>
        <row r="67">
          <cell r="A67">
            <v>105006</v>
          </cell>
          <cell r="B67" t="str">
            <v>采集营地</v>
          </cell>
          <cell r="C67">
            <v>0</v>
          </cell>
        </row>
        <row r="68">
          <cell r="A68">
            <v>105007</v>
          </cell>
          <cell r="B68" t="str">
            <v>劈材桩</v>
          </cell>
          <cell r="C68">
            <v>0</v>
          </cell>
        </row>
        <row r="69">
          <cell r="A69">
            <v>105008</v>
          </cell>
          <cell r="B69" t="str">
            <v>护林营地</v>
          </cell>
          <cell r="C69">
            <v>0</v>
          </cell>
        </row>
        <row r="70">
          <cell r="A70">
            <v>105009</v>
          </cell>
          <cell r="B70" t="str">
            <v>采药营地</v>
          </cell>
          <cell r="C70">
            <v>0</v>
          </cell>
        </row>
        <row r="71">
          <cell r="A71">
            <v>105010</v>
          </cell>
          <cell r="B71" t="str">
            <v>制造台</v>
          </cell>
          <cell r="C71">
            <v>0</v>
          </cell>
        </row>
        <row r="72">
          <cell r="A72">
            <v>105011</v>
          </cell>
          <cell r="B72" t="str">
            <v>缝纫台</v>
          </cell>
          <cell r="C72">
            <v>0</v>
          </cell>
        </row>
        <row r="73">
          <cell r="A73">
            <v>105012</v>
          </cell>
          <cell r="B73" t="str">
            <v>酿酒桶</v>
          </cell>
          <cell r="C73">
            <v>0</v>
          </cell>
        </row>
        <row r="74">
          <cell r="A74">
            <v>105013</v>
          </cell>
          <cell r="B74" t="str">
            <v>矿井</v>
          </cell>
          <cell r="C74">
            <v>0</v>
          </cell>
        </row>
        <row r="75">
          <cell r="A75">
            <v>105014</v>
          </cell>
          <cell r="B75" t="str">
            <v>采石场</v>
          </cell>
          <cell r="C75">
            <v>0</v>
          </cell>
        </row>
        <row r="76">
          <cell r="A76">
            <v>105015</v>
          </cell>
          <cell r="B76" t="str">
            <v>堆肥桶</v>
          </cell>
          <cell r="C76">
            <v>0</v>
          </cell>
        </row>
        <row r="77">
          <cell r="A77">
            <v>105016</v>
          </cell>
          <cell r="B77" t="str">
            <v>烹饪台</v>
          </cell>
          <cell r="C77">
            <v>0</v>
          </cell>
        </row>
        <row r="78">
          <cell r="A78">
            <v>105017</v>
          </cell>
          <cell r="B78" t="str">
            <v>捕兽夹</v>
          </cell>
          <cell r="C78">
            <v>0</v>
          </cell>
        </row>
        <row r="79">
          <cell r="A79">
            <v>105018</v>
          </cell>
          <cell r="B79" t="str">
            <v>蟹笼</v>
          </cell>
          <cell r="C79">
            <v>0</v>
          </cell>
        </row>
        <row r="80">
          <cell r="A80">
            <v>105019</v>
          </cell>
          <cell r="B80" t="str">
            <v>取水点</v>
          </cell>
          <cell r="C80">
            <v>0</v>
          </cell>
        </row>
        <row r="81">
          <cell r="A81">
            <v>105020</v>
          </cell>
          <cell r="B81" t="str">
            <v>采石点</v>
          </cell>
          <cell r="C81">
            <v>0</v>
          </cell>
        </row>
        <row r="82">
          <cell r="A82">
            <v>105021</v>
          </cell>
          <cell r="B82" t="str">
            <v>挖掘点</v>
          </cell>
          <cell r="C82">
            <v>0</v>
          </cell>
        </row>
        <row r="83">
          <cell r="A83">
            <v>105022</v>
          </cell>
          <cell r="B83" t="str">
            <v>造陆点</v>
          </cell>
          <cell r="C83">
            <v>0</v>
          </cell>
        </row>
        <row r="84">
          <cell r="A84">
            <v>105023</v>
          </cell>
          <cell r="B84" t="str">
            <v>蜂房</v>
          </cell>
          <cell r="C84">
            <v>0</v>
          </cell>
        </row>
        <row r="85">
          <cell r="A85">
            <v>105024</v>
          </cell>
          <cell r="B85" t="str">
            <v>雕像座</v>
          </cell>
          <cell r="C85">
            <v>0</v>
          </cell>
        </row>
        <row r="86">
          <cell r="A86">
            <v>105025</v>
          </cell>
          <cell r="B86" t="str">
            <v>炼药锅</v>
          </cell>
          <cell r="C86">
            <v>0</v>
          </cell>
        </row>
        <row r="87">
          <cell r="A87">
            <v>105026</v>
          </cell>
          <cell r="B87" t="str">
            <v>码头</v>
          </cell>
          <cell r="C87">
            <v>0</v>
          </cell>
        </row>
        <row r="88">
          <cell r="A88">
            <v>105027</v>
          </cell>
          <cell r="B88" t="str">
            <v>出海口</v>
          </cell>
          <cell r="C88">
            <v>0</v>
          </cell>
        </row>
        <row r="89">
          <cell r="A89">
            <v>105028</v>
          </cell>
          <cell r="B89" t="str">
            <v>熔炉</v>
          </cell>
          <cell r="C89">
            <v>0</v>
          </cell>
        </row>
        <row r="90">
          <cell r="A90">
            <v>105029</v>
          </cell>
          <cell r="B90" t="str">
            <v>磨坊</v>
          </cell>
          <cell r="C90">
            <v>0</v>
          </cell>
        </row>
        <row r="91">
          <cell r="A91">
            <v>105030</v>
          </cell>
          <cell r="B91" t="str">
            <v>蘑菇箱</v>
          </cell>
          <cell r="C91">
            <v>0</v>
          </cell>
        </row>
        <row r="92">
          <cell r="A92">
            <v>105031</v>
          </cell>
          <cell r="B92" t="str">
            <v>资源搜集点</v>
          </cell>
          <cell r="C92">
            <v>0</v>
          </cell>
        </row>
        <row r="93">
          <cell r="A93">
            <v>105032</v>
          </cell>
          <cell r="B93" t="str">
            <v>磨坊</v>
          </cell>
          <cell r="C93">
            <v>0</v>
          </cell>
        </row>
        <row r="94">
          <cell r="A94">
            <v>106001</v>
          </cell>
          <cell r="B94" t="str">
            <v>军营</v>
          </cell>
          <cell r="C94">
            <v>0</v>
          </cell>
        </row>
        <row r="95">
          <cell r="A95">
            <v>106002</v>
          </cell>
          <cell r="B95" t="str">
            <v>牢房</v>
          </cell>
          <cell r="C95">
            <v>0</v>
          </cell>
        </row>
        <row r="96">
          <cell r="A96">
            <v>106003</v>
          </cell>
          <cell r="B96" t="str">
            <v>大炮</v>
          </cell>
          <cell r="C96">
            <v>0</v>
          </cell>
        </row>
        <row r="97">
          <cell r="A97">
            <v>106004</v>
          </cell>
          <cell r="B97" t="str">
            <v>野营</v>
          </cell>
          <cell r="C97">
            <v>0</v>
          </cell>
        </row>
        <row r="98">
          <cell r="A98">
            <v>106005</v>
          </cell>
          <cell r="B98" t="str">
            <v>王座</v>
          </cell>
          <cell r="C98">
            <v>0</v>
          </cell>
        </row>
        <row r="99">
          <cell r="A99">
            <v>106006</v>
          </cell>
          <cell r="B99" t="str">
            <v>地雷</v>
          </cell>
          <cell r="C99">
            <v>0</v>
          </cell>
        </row>
        <row r="100">
          <cell r="A100">
            <v>106007</v>
          </cell>
          <cell r="B100" t="str">
            <v>水晶球</v>
          </cell>
          <cell r="C100">
            <v>0</v>
          </cell>
        </row>
        <row r="101">
          <cell r="A101">
            <v>106008</v>
          </cell>
          <cell r="B101" t="str">
            <v>训练场</v>
          </cell>
          <cell r="C101">
            <v>0</v>
          </cell>
        </row>
        <row r="102">
          <cell r="A102">
            <v>107001</v>
          </cell>
          <cell r="B102" t="str">
            <v>废弃矿井</v>
          </cell>
          <cell r="C102">
            <v>0</v>
          </cell>
        </row>
        <row r="103">
          <cell r="A103">
            <v>107003</v>
          </cell>
          <cell r="B103" t="str">
            <v>墓碑</v>
          </cell>
          <cell r="C103">
            <v>0</v>
          </cell>
        </row>
        <row r="104">
          <cell r="A104">
            <v>107004</v>
          </cell>
          <cell r="B104" t="str">
            <v>强盗营地</v>
          </cell>
          <cell r="C104">
            <v>0</v>
          </cell>
        </row>
        <row r="105">
          <cell r="A105">
            <v>107005</v>
          </cell>
          <cell r="B105" t="str">
            <v>军营</v>
          </cell>
          <cell r="C105">
            <v>0</v>
          </cell>
        </row>
        <row r="106">
          <cell r="A106">
            <v>108001</v>
          </cell>
          <cell r="B106" t="str">
            <v>古墓</v>
          </cell>
          <cell r="C106">
            <v>0</v>
          </cell>
        </row>
        <row r="107">
          <cell r="A107">
            <v>108002</v>
          </cell>
          <cell r="B107" t="str">
            <v>巨型蜂巢</v>
          </cell>
          <cell r="C107">
            <v>0</v>
          </cell>
        </row>
        <row r="108">
          <cell r="A108">
            <v>108003</v>
          </cell>
          <cell r="B108" t="str">
            <v>金字塔</v>
          </cell>
          <cell r="C108">
            <v>0</v>
          </cell>
        </row>
        <row r="109">
          <cell r="A109">
            <v>108004</v>
          </cell>
          <cell r="B109" t="str">
            <v>巨型蘑菇</v>
          </cell>
          <cell r="C109">
            <v>0</v>
          </cell>
        </row>
        <row r="110">
          <cell r="A110">
            <v>108005</v>
          </cell>
          <cell r="B110" t="str">
            <v>巨树</v>
          </cell>
          <cell r="C110">
            <v>0</v>
          </cell>
        </row>
        <row r="111">
          <cell r="A111">
            <v>108006</v>
          </cell>
          <cell r="B111" t="str">
            <v>巨型蛋</v>
          </cell>
          <cell r="C111">
            <v>0</v>
          </cell>
        </row>
        <row r="112">
          <cell r="A112">
            <v>108007</v>
          </cell>
          <cell r="B112" t="str">
            <v>沉船遗迹</v>
          </cell>
          <cell r="C112">
            <v>0</v>
          </cell>
        </row>
        <row r="113">
          <cell r="A113">
            <v>108008</v>
          </cell>
          <cell r="B113" t="str">
            <v>蚁穴</v>
          </cell>
          <cell r="C113">
            <v>0</v>
          </cell>
        </row>
        <row r="114">
          <cell r="A114">
            <v>108009</v>
          </cell>
          <cell r="B114" t="str">
            <v>图腾之柱</v>
          </cell>
          <cell r="C114">
            <v>0</v>
          </cell>
        </row>
        <row r="115">
          <cell r="A115">
            <v>108010</v>
          </cell>
          <cell r="B115" t="str">
            <v>布道台</v>
          </cell>
          <cell r="C115">
            <v>0</v>
          </cell>
        </row>
        <row r="116">
          <cell r="A116">
            <v>108011</v>
          </cell>
          <cell r="B116" t="str">
            <v>红蚁穴</v>
          </cell>
          <cell r="C116">
            <v>0</v>
          </cell>
        </row>
        <row r="117">
          <cell r="A117">
            <v>108012</v>
          </cell>
          <cell r="B117" t="str">
            <v>国王的永恒圣殿</v>
          </cell>
          <cell r="C117">
            <v>0</v>
          </cell>
        </row>
        <row r="118">
          <cell r="A118">
            <v>109005</v>
          </cell>
          <cell r="B118" t="str">
            <v>国库</v>
          </cell>
          <cell r="C118">
            <v>0</v>
          </cell>
        </row>
        <row r="119">
          <cell r="A119">
            <v>110001</v>
          </cell>
          <cell r="B119" t="str">
            <v>小城堡</v>
          </cell>
          <cell r="C119">
            <v>0</v>
          </cell>
        </row>
        <row r="120">
          <cell r="A120">
            <v>110002</v>
          </cell>
          <cell r="B120" t="str">
            <v>大城堡</v>
          </cell>
          <cell r="C120">
            <v>0</v>
          </cell>
        </row>
        <row r="121">
          <cell r="A121">
            <v>110003</v>
          </cell>
          <cell r="B121" t="str">
            <v>小村庄</v>
          </cell>
          <cell r="C121">
            <v>0</v>
          </cell>
        </row>
        <row r="122">
          <cell r="A122">
            <v>110004</v>
          </cell>
          <cell r="B122" t="str">
            <v>大村庄</v>
          </cell>
          <cell r="C122">
            <v>0</v>
          </cell>
        </row>
        <row r="123">
          <cell r="A123">
            <v>110005</v>
          </cell>
          <cell r="B123" t="str">
            <v>渔村</v>
          </cell>
          <cell r="C123">
            <v>0</v>
          </cell>
        </row>
        <row r="124">
          <cell r="A124">
            <v>110006</v>
          </cell>
          <cell r="B124" t="str">
            <v>小部落</v>
          </cell>
          <cell r="C124">
            <v>0</v>
          </cell>
        </row>
        <row r="125">
          <cell r="A125">
            <v>110007</v>
          </cell>
          <cell r="B125" t="str">
            <v>大部落</v>
          </cell>
          <cell r="C125">
            <v>0</v>
          </cell>
        </row>
        <row r="126">
          <cell r="A126">
            <v>110008</v>
          </cell>
          <cell r="B126" t="str">
            <v>龙之试炼柱</v>
          </cell>
          <cell r="C126">
            <v>0</v>
          </cell>
        </row>
        <row r="127">
          <cell r="A127">
            <v>110009</v>
          </cell>
          <cell r="B127" t="str">
            <v>要塞</v>
          </cell>
          <cell r="C127">
            <v>0</v>
          </cell>
        </row>
        <row r="128">
          <cell r="A128">
            <v>110010</v>
          </cell>
          <cell r="B128" t="str">
            <v>战场据点</v>
          </cell>
          <cell r="C128">
            <v>0</v>
          </cell>
        </row>
        <row r="129">
          <cell r="A129">
            <v>110011</v>
          </cell>
          <cell r="B129" t="str">
            <v>远征营地</v>
          </cell>
          <cell r="C129">
            <v>0</v>
          </cell>
        </row>
        <row r="130">
          <cell r="A130">
            <v>110012</v>
          </cell>
          <cell r="B130" t="str">
            <v>被敌人占领的战场据点</v>
          </cell>
          <cell r="C130">
            <v>0</v>
          </cell>
        </row>
        <row r="131">
          <cell r="A131">
            <v>111001</v>
          </cell>
          <cell r="B131" t="str">
            <v>方尖碑</v>
          </cell>
          <cell r="C131">
            <v>0</v>
          </cell>
        </row>
        <row r="132">
          <cell r="A132">
            <v>111002</v>
          </cell>
          <cell r="B132" t="str">
            <v>泰坦祭坛</v>
          </cell>
          <cell r="C132">
            <v>0</v>
          </cell>
        </row>
        <row r="133">
          <cell r="A133">
            <v>111003</v>
          </cell>
          <cell r="B133" t="str">
            <v>光明祭坛</v>
          </cell>
          <cell r="C133">
            <v>0</v>
          </cell>
        </row>
        <row r="134">
          <cell r="A134">
            <v>111004</v>
          </cell>
          <cell r="B134" t="str">
            <v>黑暗祭坛</v>
          </cell>
          <cell r="C134">
            <v>0</v>
          </cell>
        </row>
        <row r="135">
          <cell r="A135">
            <v>111005</v>
          </cell>
          <cell r="B135" t="str">
            <v>永恒圣殿</v>
          </cell>
          <cell r="C135">
            <v>0</v>
          </cell>
        </row>
        <row r="136">
          <cell r="A136">
            <v>112001</v>
          </cell>
          <cell r="B136" t="str">
            <v>旗帜</v>
          </cell>
          <cell r="C136">
            <v>0</v>
          </cell>
        </row>
        <row r="137">
          <cell r="A137">
            <v>113001</v>
          </cell>
          <cell r="B137" t="str">
            <v>地板</v>
          </cell>
          <cell r="C137">
            <v>0</v>
          </cell>
        </row>
        <row r="138">
          <cell r="A138">
            <v>113002</v>
          </cell>
          <cell r="B138" t="str">
            <v>石质地板</v>
          </cell>
          <cell r="C138">
            <v>0</v>
          </cell>
        </row>
        <row r="139">
          <cell r="A139">
            <v>113003</v>
          </cell>
          <cell r="B139" t="str">
            <v>铁质地板</v>
          </cell>
          <cell r="C139">
            <v>0</v>
          </cell>
        </row>
        <row r="140">
          <cell r="A140">
            <v>113004</v>
          </cell>
          <cell r="B140" t="str">
            <v>银质地板</v>
          </cell>
          <cell r="C140">
            <v>0</v>
          </cell>
        </row>
        <row r="141">
          <cell r="A141">
            <v>113005</v>
          </cell>
          <cell r="B141" t="str">
            <v>金质地板</v>
          </cell>
          <cell r="C141">
            <v>0</v>
          </cell>
        </row>
        <row r="142">
          <cell r="A142">
            <v>301001</v>
          </cell>
          <cell r="B142" t="str">
            <v>菜豆</v>
          </cell>
          <cell r="C142">
            <v>1</v>
          </cell>
        </row>
        <row r="143">
          <cell r="A143">
            <v>301002</v>
          </cell>
          <cell r="B143" t="str">
            <v>卷心菜</v>
          </cell>
          <cell r="C143">
            <v>1</v>
          </cell>
        </row>
        <row r="144">
          <cell r="A144">
            <v>301003</v>
          </cell>
          <cell r="B144" t="str">
            <v>辣椒</v>
          </cell>
          <cell r="C144">
            <v>1</v>
          </cell>
        </row>
        <row r="145">
          <cell r="A145">
            <v>301004</v>
          </cell>
          <cell r="B145" t="str">
            <v>南瓜</v>
          </cell>
          <cell r="C145">
            <v>1</v>
          </cell>
        </row>
        <row r="146">
          <cell r="A146">
            <v>301005</v>
          </cell>
          <cell r="B146" t="str">
            <v>笋瓜</v>
          </cell>
          <cell r="C146">
            <v>1</v>
          </cell>
        </row>
        <row r="147">
          <cell r="A147">
            <v>301006</v>
          </cell>
          <cell r="B147" t="str">
            <v>蘑菇</v>
          </cell>
          <cell r="C147">
            <v>1</v>
          </cell>
        </row>
        <row r="148">
          <cell r="A148">
            <v>301007</v>
          </cell>
          <cell r="B148" t="str">
            <v>洋葱</v>
          </cell>
          <cell r="C148">
            <v>1</v>
          </cell>
        </row>
        <row r="149">
          <cell r="A149">
            <v>302001</v>
          </cell>
          <cell r="B149" t="str">
            <v>玉米</v>
          </cell>
          <cell r="C149">
            <v>1</v>
          </cell>
        </row>
        <row r="150">
          <cell r="A150">
            <v>302002</v>
          </cell>
          <cell r="B150" t="str">
            <v>土豆</v>
          </cell>
          <cell r="C150">
            <v>1</v>
          </cell>
        </row>
        <row r="151">
          <cell r="A151">
            <v>302003</v>
          </cell>
          <cell r="B151" t="str">
            <v>小麦</v>
          </cell>
          <cell r="C151">
            <v>1</v>
          </cell>
        </row>
        <row r="152">
          <cell r="A152">
            <v>302004</v>
          </cell>
          <cell r="B152" t="str">
            <v>木薯</v>
          </cell>
          <cell r="C152">
            <v>1</v>
          </cell>
        </row>
        <row r="153">
          <cell r="A153">
            <v>303001</v>
          </cell>
          <cell r="B153" t="str">
            <v>苹果</v>
          </cell>
          <cell r="C153">
            <v>1</v>
          </cell>
        </row>
        <row r="154">
          <cell r="A154">
            <v>303002</v>
          </cell>
          <cell r="B154" t="str">
            <v>樱桃</v>
          </cell>
          <cell r="C154">
            <v>1</v>
          </cell>
        </row>
        <row r="155">
          <cell r="A155">
            <v>303004</v>
          </cell>
          <cell r="B155" t="str">
            <v>梨</v>
          </cell>
          <cell r="C155">
            <v>1</v>
          </cell>
        </row>
        <row r="156">
          <cell r="A156">
            <v>303006</v>
          </cell>
          <cell r="B156" t="str">
            <v>梅子</v>
          </cell>
          <cell r="C156">
            <v>1</v>
          </cell>
        </row>
        <row r="157">
          <cell r="A157">
            <v>303007</v>
          </cell>
          <cell r="B157" t="str">
            <v>核桃</v>
          </cell>
          <cell r="C157">
            <v>1</v>
          </cell>
        </row>
        <row r="158">
          <cell r="A158">
            <v>303009</v>
          </cell>
          <cell r="B158" t="str">
            <v>浆果</v>
          </cell>
          <cell r="C158">
            <v>1</v>
          </cell>
        </row>
        <row r="159">
          <cell r="A159">
            <v>304001</v>
          </cell>
          <cell r="B159" t="str">
            <v>鱼</v>
          </cell>
          <cell r="C159">
            <v>2</v>
          </cell>
        </row>
        <row r="160">
          <cell r="A160">
            <v>304002</v>
          </cell>
          <cell r="B160" t="str">
            <v>肉</v>
          </cell>
          <cell r="C160">
            <v>2</v>
          </cell>
        </row>
        <row r="161">
          <cell r="A161">
            <v>304005</v>
          </cell>
          <cell r="B161" t="str">
            <v>鸡蛋</v>
          </cell>
          <cell r="C161">
            <v>2</v>
          </cell>
        </row>
        <row r="162">
          <cell r="A162">
            <v>304007</v>
          </cell>
          <cell r="B162" t="str">
            <v>螃蟹</v>
          </cell>
          <cell r="C162">
            <v>2</v>
          </cell>
        </row>
        <row r="163">
          <cell r="A163">
            <v>304008</v>
          </cell>
          <cell r="B163" t="str">
            <v>龙虾</v>
          </cell>
          <cell r="C163">
            <v>2</v>
          </cell>
        </row>
        <row r="164">
          <cell r="A164">
            <v>304009</v>
          </cell>
          <cell r="B164" t="str">
            <v>熏鱼</v>
          </cell>
          <cell r="C164">
            <v>2</v>
          </cell>
        </row>
        <row r="165">
          <cell r="A165">
            <v>304010</v>
          </cell>
          <cell r="B165" t="str">
            <v>熏肉</v>
          </cell>
          <cell r="C165">
            <v>2</v>
          </cell>
        </row>
        <row r="166">
          <cell r="A166">
            <v>305001</v>
          </cell>
          <cell r="B166" t="str">
            <v>简单食物</v>
          </cell>
          <cell r="C166">
            <v>2</v>
          </cell>
        </row>
        <row r="167">
          <cell r="A167">
            <v>305002</v>
          </cell>
          <cell r="B167" t="str">
            <v>精致食物</v>
          </cell>
          <cell r="C167">
            <v>4</v>
          </cell>
        </row>
        <row r="168">
          <cell r="A168">
            <v>305003</v>
          </cell>
          <cell r="B168" t="str">
            <v>黑暗料理</v>
          </cell>
          <cell r="C168">
            <v>2</v>
          </cell>
        </row>
        <row r="169">
          <cell r="A169">
            <v>305004</v>
          </cell>
          <cell r="B169" t="str">
            <v>粗糙食物</v>
          </cell>
          <cell r="C169">
            <v>1</v>
          </cell>
        </row>
        <row r="170">
          <cell r="A170">
            <v>305005</v>
          </cell>
          <cell r="B170" t="str">
            <v>饼干</v>
          </cell>
          <cell r="C170">
            <v>5</v>
          </cell>
        </row>
        <row r="171">
          <cell r="A171">
            <v>305006</v>
          </cell>
          <cell r="B171" t="str">
            <v>蛋糕</v>
          </cell>
          <cell r="C171">
            <v>10</v>
          </cell>
        </row>
        <row r="172">
          <cell r="A172">
            <v>306001</v>
          </cell>
          <cell r="B172" t="str">
            <v>蜂蜜</v>
          </cell>
          <cell r="C172">
            <v>3</v>
          </cell>
        </row>
        <row r="173">
          <cell r="A173">
            <v>401001</v>
          </cell>
          <cell r="B173" t="str">
            <v>烈酒</v>
          </cell>
          <cell r="C173">
            <v>5</v>
          </cell>
        </row>
        <row r="174">
          <cell r="A174">
            <v>401002</v>
          </cell>
          <cell r="B174" t="str">
            <v>果酒</v>
          </cell>
          <cell r="C174">
            <v>5</v>
          </cell>
        </row>
        <row r="175">
          <cell r="A175">
            <v>401003</v>
          </cell>
          <cell r="B175" t="str">
            <v>蜂蜜酒</v>
          </cell>
          <cell r="C175">
            <v>6</v>
          </cell>
        </row>
        <row r="176">
          <cell r="A176">
            <v>402001</v>
          </cell>
          <cell r="B176" t="str">
            <v>柴火</v>
          </cell>
          <cell r="C176">
            <v>1</v>
          </cell>
        </row>
        <row r="177">
          <cell r="A177">
            <v>403001</v>
          </cell>
          <cell r="B177" t="str">
            <v>普通工具</v>
          </cell>
          <cell r="C177">
            <v>12</v>
          </cell>
        </row>
        <row r="178">
          <cell r="A178">
            <v>403002</v>
          </cell>
          <cell r="B178" t="str">
            <v>优质工具</v>
          </cell>
          <cell r="C178">
            <v>25</v>
          </cell>
        </row>
        <row r="179">
          <cell r="A179">
            <v>403003</v>
          </cell>
          <cell r="B179" t="str">
            <v>简单工具</v>
          </cell>
          <cell r="C179">
            <v>6</v>
          </cell>
        </row>
        <row r="180">
          <cell r="A180">
            <v>404001</v>
          </cell>
          <cell r="B180" t="str">
            <v>皮夹克</v>
          </cell>
          <cell r="C180">
            <v>5</v>
          </cell>
        </row>
        <row r="181">
          <cell r="A181">
            <v>404002</v>
          </cell>
          <cell r="B181" t="str">
            <v>羊毛衫</v>
          </cell>
          <cell r="C181">
            <v>5</v>
          </cell>
        </row>
        <row r="182">
          <cell r="A182">
            <v>404003</v>
          </cell>
          <cell r="B182" t="str">
            <v>保暖衣</v>
          </cell>
          <cell r="C182">
            <v>10</v>
          </cell>
        </row>
        <row r="183">
          <cell r="A183">
            <v>409003</v>
          </cell>
          <cell r="B183" t="str">
            <v>战车</v>
          </cell>
          <cell r="C183">
            <v>180</v>
          </cell>
        </row>
        <row r="184">
          <cell r="A184">
            <v>410001</v>
          </cell>
          <cell r="B184" t="str">
            <v>钢铁之心</v>
          </cell>
          <cell r="C184">
            <v>99999999</v>
          </cell>
        </row>
        <row r="185">
          <cell r="A185">
            <v>410002</v>
          </cell>
          <cell r="B185" t="str">
            <v>熔岩之心</v>
          </cell>
          <cell r="C185">
            <v>99999999</v>
          </cell>
        </row>
        <row r="186">
          <cell r="A186">
            <v>410003</v>
          </cell>
          <cell r="B186" t="str">
            <v>寒冰之心</v>
          </cell>
          <cell r="C186">
            <v>99999999</v>
          </cell>
        </row>
        <row r="187">
          <cell r="A187">
            <v>410004</v>
          </cell>
          <cell r="B187" t="str">
            <v>森林之心</v>
          </cell>
          <cell r="C187">
            <v>99999999</v>
          </cell>
        </row>
        <row r="188">
          <cell r="A188">
            <v>412001</v>
          </cell>
          <cell r="B188" t="str">
            <v>咖啡</v>
          </cell>
          <cell r="C188">
            <v>10</v>
          </cell>
        </row>
        <row r="189">
          <cell r="A189">
            <v>412002</v>
          </cell>
          <cell r="B189" t="str">
            <v>巧克力</v>
          </cell>
          <cell r="C189">
            <v>10</v>
          </cell>
        </row>
        <row r="190">
          <cell r="A190">
            <v>412003</v>
          </cell>
          <cell r="B190" t="str">
            <v>糖</v>
          </cell>
          <cell r="C190">
            <v>10</v>
          </cell>
        </row>
        <row r="191">
          <cell r="A191">
            <v>413001</v>
          </cell>
          <cell r="B191" t="str">
            <v>简单武器</v>
          </cell>
          <cell r="C191">
            <v>10</v>
          </cell>
        </row>
        <row r="192">
          <cell r="A192">
            <v>413002</v>
          </cell>
          <cell r="B192" t="str">
            <v>普通武器</v>
          </cell>
          <cell r="C192">
            <v>50</v>
          </cell>
        </row>
        <row r="193">
          <cell r="A193">
            <v>413003</v>
          </cell>
          <cell r="B193" t="str">
            <v>优良武器</v>
          </cell>
          <cell r="C193">
            <v>150</v>
          </cell>
        </row>
        <row r="194">
          <cell r="A194">
            <v>413004</v>
          </cell>
          <cell r="B194" t="str">
            <v>高级武器</v>
          </cell>
          <cell r="C194">
            <v>400</v>
          </cell>
        </row>
        <row r="195">
          <cell r="A195">
            <v>413005</v>
          </cell>
          <cell r="B195" t="str">
            <v>稀有武器</v>
          </cell>
          <cell r="C195">
            <v>2000</v>
          </cell>
        </row>
        <row r="196">
          <cell r="A196">
            <v>413006</v>
          </cell>
          <cell r="B196" t="str">
            <v>特殊武器</v>
          </cell>
          <cell r="C196">
            <v>4500</v>
          </cell>
        </row>
        <row r="197">
          <cell r="A197">
            <v>413007</v>
          </cell>
          <cell r="B197" t="str">
            <v>极品武器</v>
          </cell>
          <cell r="C197">
            <v>15000</v>
          </cell>
        </row>
        <row r="198">
          <cell r="A198">
            <v>413008</v>
          </cell>
          <cell r="B198" t="str">
            <v>传说武器</v>
          </cell>
          <cell r="C198">
            <v>40000</v>
          </cell>
        </row>
        <row r="199">
          <cell r="A199">
            <v>413009</v>
          </cell>
          <cell r="B199" t="str">
            <v>史诗武器</v>
          </cell>
          <cell r="C199">
            <v>88888</v>
          </cell>
        </row>
        <row r="200">
          <cell r="A200">
            <v>414001</v>
          </cell>
          <cell r="B200" t="str">
            <v>简单盾牌</v>
          </cell>
          <cell r="C200">
            <v>10</v>
          </cell>
        </row>
        <row r="201">
          <cell r="A201">
            <v>414002</v>
          </cell>
          <cell r="B201" t="str">
            <v>普通盾牌</v>
          </cell>
          <cell r="C201">
            <v>50</v>
          </cell>
        </row>
        <row r="202">
          <cell r="A202">
            <v>414003</v>
          </cell>
          <cell r="B202" t="str">
            <v>优良盾牌</v>
          </cell>
          <cell r="C202">
            <v>150</v>
          </cell>
        </row>
        <row r="203">
          <cell r="A203">
            <v>414004</v>
          </cell>
          <cell r="B203" t="str">
            <v>高级盾牌</v>
          </cell>
          <cell r="C203">
            <v>400</v>
          </cell>
        </row>
        <row r="204">
          <cell r="A204">
            <v>414005</v>
          </cell>
          <cell r="B204" t="str">
            <v>稀有盾牌</v>
          </cell>
          <cell r="C204">
            <v>2000</v>
          </cell>
        </row>
        <row r="205">
          <cell r="A205">
            <v>414006</v>
          </cell>
          <cell r="B205" t="str">
            <v>特殊盾牌</v>
          </cell>
          <cell r="C205">
            <v>4500</v>
          </cell>
        </row>
        <row r="206">
          <cell r="A206">
            <v>414007</v>
          </cell>
          <cell r="B206" t="str">
            <v>极品盾牌</v>
          </cell>
          <cell r="C206">
            <v>15000</v>
          </cell>
        </row>
        <row r="207">
          <cell r="A207">
            <v>414008</v>
          </cell>
          <cell r="B207" t="str">
            <v>传说盾牌</v>
          </cell>
          <cell r="C207">
            <v>40000</v>
          </cell>
        </row>
        <row r="208">
          <cell r="A208">
            <v>414009</v>
          </cell>
          <cell r="B208" t="str">
            <v>史诗盾牌</v>
          </cell>
          <cell r="C208">
            <v>88888</v>
          </cell>
        </row>
        <row r="209">
          <cell r="A209">
            <v>415001</v>
          </cell>
          <cell r="B209" t="str">
            <v>简单盔甲</v>
          </cell>
          <cell r="C209">
            <v>10</v>
          </cell>
        </row>
        <row r="210">
          <cell r="A210">
            <v>415002</v>
          </cell>
          <cell r="B210" t="str">
            <v>普通盔甲</v>
          </cell>
          <cell r="C210">
            <v>50</v>
          </cell>
        </row>
        <row r="211">
          <cell r="A211">
            <v>415003</v>
          </cell>
          <cell r="B211" t="str">
            <v>优良盔甲</v>
          </cell>
          <cell r="C211">
            <v>150</v>
          </cell>
        </row>
        <row r="212">
          <cell r="A212">
            <v>415004</v>
          </cell>
          <cell r="B212" t="str">
            <v>高级盔甲</v>
          </cell>
          <cell r="C212">
            <v>400</v>
          </cell>
        </row>
        <row r="213">
          <cell r="A213">
            <v>415005</v>
          </cell>
          <cell r="B213" t="str">
            <v>稀有盔甲</v>
          </cell>
          <cell r="C213">
            <v>2000</v>
          </cell>
        </row>
        <row r="214">
          <cell r="A214">
            <v>415006</v>
          </cell>
          <cell r="B214" t="str">
            <v>特殊盔甲</v>
          </cell>
          <cell r="C214">
            <v>4500</v>
          </cell>
        </row>
        <row r="215">
          <cell r="A215">
            <v>415007</v>
          </cell>
          <cell r="B215" t="str">
            <v>极品盔甲</v>
          </cell>
          <cell r="C215">
            <v>15000</v>
          </cell>
        </row>
        <row r="216">
          <cell r="A216">
            <v>415008</v>
          </cell>
          <cell r="B216" t="str">
            <v>传说盔甲</v>
          </cell>
          <cell r="C216">
            <v>40000</v>
          </cell>
        </row>
        <row r="217">
          <cell r="A217">
            <v>415009</v>
          </cell>
          <cell r="B217" t="str">
            <v>史诗盔甲</v>
          </cell>
          <cell r="C217">
            <v>88888</v>
          </cell>
        </row>
        <row r="218">
          <cell r="A218">
            <v>416001</v>
          </cell>
          <cell r="B218" t="str">
            <v>两轮马车</v>
          </cell>
          <cell r="C218">
            <v>1000</v>
          </cell>
        </row>
        <row r="219">
          <cell r="A219">
            <v>416002</v>
          </cell>
          <cell r="B219" t="str">
            <v>四轮马车</v>
          </cell>
          <cell r="C219">
            <v>2000</v>
          </cell>
        </row>
        <row r="220">
          <cell r="A220">
            <v>417001</v>
          </cell>
          <cell r="B220" t="str">
            <v>损坏的简单武器</v>
          </cell>
          <cell r="C220">
            <v>5</v>
          </cell>
        </row>
        <row r="221">
          <cell r="A221">
            <v>417002</v>
          </cell>
          <cell r="B221" t="str">
            <v>损坏的普通武器</v>
          </cell>
          <cell r="C221">
            <v>10</v>
          </cell>
        </row>
        <row r="222">
          <cell r="A222">
            <v>417003</v>
          </cell>
          <cell r="B222" t="str">
            <v>损坏的优良武器</v>
          </cell>
          <cell r="C222">
            <v>15</v>
          </cell>
        </row>
        <row r="223">
          <cell r="A223">
            <v>417004</v>
          </cell>
          <cell r="B223" t="str">
            <v>损坏的高级武器</v>
          </cell>
          <cell r="C223">
            <v>20</v>
          </cell>
        </row>
        <row r="224">
          <cell r="A224">
            <v>417005</v>
          </cell>
          <cell r="B224" t="str">
            <v>损坏的稀有武器</v>
          </cell>
          <cell r="C224">
            <v>600</v>
          </cell>
        </row>
        <row r="225">
          <cell r="A225">
            <v>417006</v>
          </cell>
          <cell r="B225" t="str">
            <v>损坏的特殊武器</v>
          </cell>
          <cell r="C225">
            <v>1800</v>
          </cell>
        </row>
        <row r="226">
          <cell r="A226">
            <v>417007</v>
          </cell>
          <cell r="B226" t="str">
            <v>损坏的极品武器</v>
          </cell>
          <cell r="C226">
            <v>6000</v>
          </cell>
        </row>
        <row r="227">
          <cell r="A227">
            <v>417008</v>
          </cell>
          <cell r="B227" t="str">
            <v>损坏的传说武器</v>
          </cell>
          <cell r="C227">
            <v>15000</v>
          </cell>
        </row>
        <row r="228">
          <cell r="A228">
            <v>417009</v>
          </cell>
          <cell r="B228" t="str">
            <v>损坏的史诗武器</v>
          </cell>
          <cell r="C228">
            <v>30000</v>
          </cell>
        </row>
        <row r="229">
          <cell r="A229">
            <v>417010</v>
          </cell>
          <cell r="B229" t="str">
            <v>损坏的简单盾牌</v>
          </cell>
          <cell r="C229">
            <v>5</v>
          </cell>
        </row>
        <row r="230">
          <cell r="A230">
            <v>417011</v>
          </cell>
          <cell r="B230" t="str">
            <v>损坏的普通盾牌</v>
          </cell>
          <cell r="C230">
            <v>10</v>
          </cell>
        </row>
        <row r="231">
          <cell r="A231">
            <v>417012</v>
          </cell>
          <cell r="B231" t="str">
            <v>损坏的优良盾牌</v>
          </cell>
          <cell r="C231">
            <v>15</v>
          </cell>
        </row>
        <row r="232">
          <cell r="A232">
            <v>417013</v>
          </cell>
          <cell r="B232" t="str">
            <v>损坏的高级盾牌</v>
          </cell>
          <cell r="C232">
            <v>20</v>
          </cell>
        </row>
        <row r="233">
          <cell r="A233">
            <v>417014</v>
          </cell>
          <cell r="B233" t="str">
            <v>损坏的稀有盾牌</v>
          </cell>
          <cell r="C233">
            <v>600</v>
          </cell>
        </row>
        <row r="234">
          <cell r="A234">
            <v>417015</v>
          </cell>
          <cell r="B234" t="str">
            <v>损坏的特殊盾牌</v>
          </cell>
          <cell r="C234">
            <v>1800</v>
          </cell>
        </row>
        <row r="235">
          <cell r="A235">
            <v>417016</v>
          </cell>
          <cell r="B235" t="str">
            <v>损坏的极品盾牌</v>
          </cell>
          <cell r="C235">
            <v>6000</v>
          </cell>
        </row>
        <row r="236">
          <cell r="A236">
            <v>417017</v>
          </cell>
          <cell r="B236" t="str">
            <v>损坏的传说盾牌</v>
          </cell>
          <cell r="C236">
            <v>15000</v>
          </cell>
        </row>
        <row r="237">
          <cell r="A237">
            <v>417018</v>
          </cell>
          <cell r="B237" t="str">
            <v>损坏的史诗盾牌</v>
          </cell>
          <cell r="C237">
            <v>30000</v>
          </cell>
        </row>
        <row r="238">
          <cell r="A238">
            <v>417019</v>
          </cell>
          <cell r="B238" t="str">
            <v>损坏的简单盔甲</v>
          </cell>
          <cell r="C238">
            <v>5</v>
          </cell>
        </row>
        <row r="239">
          <cell r="A239">
            <v>417020</v>
          </cell>
          <cell r="B239" t="str">
            <v>损坏的普通盔甲</v>
          </cell>
          <cell r="C239">
            <v>10</v>
          </cell>
        </row>
        <row r="240">
          <cell r="A240">
            <v>417021</v>
          </cell>
          <cell r="B240" t="str">
            <v>损坏的优良盔甲</v>
          </cell>
          <cell r="C240">
            <v>15</v>
          </cell>
        </row>
        <row r="241">
          <cell r="A241">
            <v>417022</v>
          </cell>
          <cell r="B241" t="str">
            <v>损坏的高级盔甲</v>
          </cell>
          <cell r="C241">
            <v>20</v>
          </cell>
        </row>
        <row r="242">
          <cell r="A242">
            <v>417023</v>
          </cell>
          <cell r="B242" t="str">
            <v>损坏的稀有盔甲</v>
          </cell>
          <cell r="C242">
            <v>600</v>
          </cell>
        </row>
        <row r="243">
          <cell r="A243">
            <v>417024</v>
          </cell>
          <cell r="B243" t="str">
            <v>损坏的特殊盔甲</v>
          </cell>
          <cell r="C243">
            <v>1800</v>
          </cell>
        </row>
        <row r="244">
          <cell r="A244">
            <v>417025</v>
          </cell>
          <cell r="B244" t="str">
            <v>损坏的极品盔甲</v>
          </cell>
          <cell r="C244">
            <v>6000</v>
          </cell>
        </row>
        <row r="245">
          <cell r="A245">
            <v>417026</v>
          </cell>
          <cell r="B245" t="str">
            <v>损坏的传说盔甲</v>
          </cell>
          <cell r="C245">
            <v>15000</v>
          </cell>
        </row>
        <row r="246">
          <cell r="A246">
            <v>417027</v>
          </cell>
          <cell r="B246" t="str">
            <v>损坏的史诗盔甲</v>
          </cell>
          <cell r="C246">
            <v>30000</v>
          </cell>
        </row>
        <row r="247">
          <cell r="A247">
            <v>418001</v>
          </cell>
          <cell r="B247" t="str">
            <v>蘑菇精华</v>
          </cell>
          <cell r="C247">
            <v>500</v>
          </cell>
        </row>
        <row r="248">
          <cell r="A248">
            <v>418002</v>
          </cell>
          <cell r="B248" t="str">
            <v>养颜丹</v>
          </cell>
          <cell r="C248">
            <v>1000</v>
          </cell>
        </row>
        <row r="249">
          <cell r="A249">
            <v>419001</v>
          </cell>
          <cell r="B249" t="str">
            <v>雨伞</v>
          </cell>
          <cell r="C249">
            <v>5</v>
          </cell>
        </row>
        <row r="250">
          <cell r="A250">
            <v>420001</v>
          </cell>
          <cell r="B250" t="str">
            <v>皮包</v>
          </cell>
          <cell r="C250">
            <v>5</v>
          </cell>
        </row>
        <row r="251">
          <cell r="A251">
            <v>421001</v>
          </cell>
          <cell r="B251" t="str">
            <v>药茶</v>
          </cell>
          <cell r="C251">
            <v>10</v>
          </cell>
        </row>
        <row r="252">
          <cell r="A252">
            <v>422001</v>
          </cell>
          <cell r="B252" t="str">
            <v>火药</v>
          </cell>
          <cell r="C252">
            <v>100</v>
          </cell>
        </row>
        <row r="253">
          <cell r="A253">
            <v>423001</v>
          </cell>
          <cell r="B253" t="str">
            <v>榴弹</v>
          </cell>
          <cell r="C253">
            <v>500</v>
          </cell>
        </row>
        <row r="254">
          <cell r="A254">
            <v>423002</v>
          </cell>
          <cell r="B254" t="str">
            <v>铁弹</v>
          </cell>
          <cell r="C254">
            <v>500</v>
          </cell>
        </row>
        <row r="255">
          <cell r="A255">
            <v>423003</v>
          </cell>
          <cell r="B255" t="str">
            <v>巨型炸弹</v>
          </cell>
          <cell r="C255">
            <v>5000</v>
          </cell>
        </row>
        <row r="256">
          <cell r="A256">
            <v>424001</v>
          </cell>
          <cell r="B256" t="str">
            <v>人伦书</v>
          </cell>
          <cell r="C256">
            <v>1000</v>
          </cell>
        </row>
        <row r="257">
          <cell r="A257">
            <v>424002</v>
          </cell>
          <cell r="B257" t="str">
            <v>轮回书</v>
          </cell>
          <cell r="C257">
            <v>1000</v>
          </cell>
        </row>
        <row r="258">
          <cell r="A258">
            <v>424003</v>
          </cell>
          <cell r="B258" t="str">
            <v>天职书</v>
          </cell>
          <cell r="C258">
            <v>1000</v>
          </cell>
        </row>
        <row r="259">
          <cell r="A259">
            <v>424004</v>
          </cell>
          <cell r="B259" t="str">
            <v>兵法书</v>
          </cell>
          <cell r="C259">
            <v>1000</v>
          </cell>
        </row>
        <row r="260">
          <cell r="A260">
            <v>424005</v>
          </cell>
          <cell r="B260" t="str">
            <v>管理书</v>
          </cell>
          <cell r="C260">
            <v>1000</v>
          </cell>
        </row>
        <row r="261">
          <cell r="A261">
            <v>424006</v>
          </cell>
          <cell r="B261" t="str">
            <v>忠义书</v>
          </cell>
          <cell r="C261">
            <v>1000</v>
          </cell>
        </row>
        <row r="262">
          <cell r="A262">
            <v>424007</v>
          </cell>
          <cell r="B262" t="str">
            <v>启蒙书</v>
          </cell>
          <cell r="C262">
            <v>150</v>
          </cell>
        </row>
        <row r="263">
          <cell r="A263">
            <v>424008</v>
          </cell>
          <cell r="B263" t="str">
            <v>心灵书</v>
          </cell>
          <cell r="C263">
            <v>50</v>
          </cell>
        </row>
        <row r="264">
          <cell r="A264">
            <v>425001</v>
          </cell>
          <cell r="B264" t="str">
            <v>炸弹果</v>
          </cell>
          <cell r="C264">
            <v>0</v>
          </cell>
        </row>
        <row r="265">
          <cell r="A265">
            <v>425002</v>
          </cell>
          <cell r="B265" t="str">
            <v>精英炸弹果</v>
          </cell>
          <cell r="C265">
            <v>0</v>
          </cell>
        </row>
        <row r="266">
          <cell r="A266">
            <v>426001</v>
          </cell>
          <cell r="B266" t="str">
            <v>魔法戒指</v>
          </cell>
          <cell r="C266">
            <v>2000</v>
          </cell>
        </row>
        <row r="267">
          <cell r="A267">
            <v>427001</v>
          </cell>
          <cell r="B267" t="str">
            <v>魔法项链</v>
          </cell>
          <cell r="C267">
            <v>2500</v>
          </cell>
        </row>
        <row r="268">
          <cell r="A268">
            <v>428001</v>
          </cell>
          <cell r="B268" t="str">
            <v>子弹</v>
          </cell>
          <cell r="C268">
            <v>70</v>
          </cell>
        </row>
        <row r="269">
          <cell r="A269">
            <v>429001</v>
          </cell>
          <cell r="B269" t="str">
            <v>动物生长素</v>
          </cell>
          <cell r="C269">
            <v>10</v>
          </cell>
        </row>
        <row r="270">
          <cell r="A270">
            <v>429002</v>
          </cell>
          <cell r="B270" t="str">
            <v xml:space="preserve">动物促产素 </v>
          </cell>
          <cell r="C270">
            <v>10</v>
          </cell>
        </row>
        <row r="271">
          <cell r="A271">
            <v>429003</v>
          </cell>
          <cell r="B271" t="str">
            <v>动物催肥素</v>
          </cell>
          <cell r="C271">
            <v>10</v>
          </cell>
        </row>
        <row r="272">
          <cell r="A272">
            <v>430001</v>
          </cell>
          <cell r="B272" t="str">
            <v>国王之冠</v>
          </cell>
          <cell r="C272">
            <v>999999</v>
          </cell>
        </row>
        <row r="273">
          <cell r="A273">
            <v>430002</v>
          </cell>
          <cell r="B273" t="str">
            <v>驭龙瓶</v>
          </cell>
          <cell r="C273">
            <v>999999</v>
          </cell>
        </row>
        <row r="274">
          <cell r="A274">
            <v>501001</v>
          </cell>
          <cell r="B274" t="str">
            <v>鸡</v>
          </cell>
          <cell r="C274">
            <v>500</v>
          </cell>
        </row>
        <row r="275">
          <cell r="A275">
            <v>501002</v>
          </cell>
          <cell r="B275" t="str">
            <v>羊</v>
          </cell>
          <cell r="C275">
            <v>800</v>
          </cell>
        </row>
        <row r="276">
          <cell r="A276">
            <v>501003</v>
          </cell>
          <cell r="B276" t="str">
            <v>牛</v>
          </cell>
          <cell r="C276">
            <v>1000</v>
          </cell>
        </row>
        <row r="277">
          <cell r="A277">
            <v>501004</v>
          </cell>
          <cell r="B277" t="str">
            <v>马</v>
          </cell>
          <cell r="C277">
            <v>1000</v>
          </cell>
        </row>
        <row r="278">
          <cell r="A278">
            <v>501005</v>
          </cell>
          <cell r="B278" t="str">
            <v>猪</v>
          </cell>
          <cell r="C278">
            <v>800</v>
          </cell>
        </row>
        <row r="279">
          <cell r="A279">
            <v>501006</v>
          </cell>
          <cell r="B279" t="str">
            <v>驯狼</v>
          </cell>
          <cell r="C279">
            <v>800</v>
          </cell>
        </row>
        <row r="280">
          <cell r="A280">
            <v>502001</v>
          </cell>
          <cell r="B280" t="str">
            <v>鹿</v>
          </cell>
          <cell r="C280">
            <v>1000</v>
          </cell>
        </row>
        <row r="281">
          <cell r="A281">
            <v>502002</v>
          </cell>
          <cell r="B281" t="str">
            <v>野马</v>
          </cell>
          <cell r="C281">
            <v>1000</v>
          </cell>
        </row>
        <row r="282">
          <cell r="A282">
            <v>502003</v>
          </cell>
          <cell r="B282" t="str">
            <v>野猪</v>
          </cell>
          <cell r="C282">
            <v>1000</v>
          </cell>
        </row>
        <row r="283">
          <cell r="A283">
            <v>502004</v>
          </cell>
          <cell r="B283" t="str">
            <v>野狼</v>
          </cell>
          <cell r="C283">
            <v>1000</v>
          </cell>
        </row>
        <row r="284">
          <cell r="A284">
            <v>502005</v>
          </cell>
          <cell r="B284" t="str">
            <v>白鹿</v>
          </cell>
          <cell r="C284">
            <v>1000</v>
          </cell>
        </row>
        <row r="285">
          <cell r="A285">
            <v>502006</v>
          </cell>
          <cell r="B285" t="str">
            <v>梅花鹿</v>
          </cell>
          <cell r="C285">
            <v>1000</v>
          </cell>
        </row>
        <row r="286">
          <cell r="A286">
            <v>503001</v>
          </cell>
          <cell r="B286" t="str">
            <v>猫</v>
          </cell>
          <cell r="C286">
            <v>1000</v>
          </cell>
        </row>
        <row r="287">
          <cell r="A287">
            <v>504001</v>
          </cell>
          <cell r="B287" t="str">
            <v>战马</v>
          </cell>
          <cell r="C287">
            <v>1000</v>
          </cell>
        </row>
        <row r="288">
          <cell r="A288">
            <v>504002</v>
          </cell>
          <cell r="B288" t="str">
            <v>战猪</v>
          </cell>
          <cell r="C288">
            <v>1000</v>
          </cell>
        </row>
        <row r="289">
          <cell r="A289">
            <v>504003</v>
          </cell>
          <cell r="B289" t="str">
            <v>战狼</v>
          </cell>
          <cell r="C289">
            <v>1000</v>
          </cell>
        </row>
        <row r="290">
          <cell r="A290">
            <v>504004</v>
          </cell>
          <cell r="B290" t="str">
            <v>马坐骑</v>
          </cell>
          <cell r="C290">
            <v>1000</v>
          </cell>
        </row>
        <row r="291">
          <cell r="A291">
            <v>504005</v>
          </cell>
          <cell r="B291" t="str">
            <v>猪坐骑</v>
          </cell>
          <cell r="C291">
            <v>1000</v>
          </cell>
        </row>
        <row r="292">
          <cell r="A292">
            <v>504006</v>
          </cell>
          <cell r="B292" t="str">
            <v>狼坐骑</v>
          </cell>
          <cell r="C292">
            <v>1000</v>
          </cell>
        </row>
        <row r="293">
          <cell r="A293">
            <v>504007</v>
          </cell>
          <cell r="B293" t="str">
            <v>骑士马坐骑</v>
          </cell>
          <cell r="C293">
            <v>1000</v>
          </cell>
        </row>
        <row r="294">
          <cell r="A294">
            <v>504008</v>
          </cell>
          <cell r="B294" t="str">
            <v>领主马坐骑</v>
          </cell>
          <cell r="C294">
            <v>1000</v>
          </cell>
        </row>
        <row r="295">
          <cell r="A295">
            <v>504009</v>
          </cell>
          <cell r="B295" t="str">
            <v>皇家骑士坐骑</v>
          </cell>
          <cell r="C295">
            <v>1000</v>
          </cell>
        </row>
        <row r="296">
          <cell r="A296">
            <v>601001</v>
          </cell>
          <cell r="B296" t="str">
            <v>煤</v>
          </cell>
          <cell r="C296">
            <v>5</v>
          </cell>
        </row>
        <row r="297">
          <cell r="A297">
            <v>602001</v>
          </cell>
          <cell r="B297" t="str">
            <v>草药</v>
          </cell>
          <cell r="C297">
            <v>5</v>
          </cell>
        </row>
        <row r="298">
          <cell r="A298">
            <v>602002</v>
          </cell>
          <cell r="B298" t="str">
            <v>生命药水</v>
          </cell>
          <cell r="C298">
            <v>15</v>
          </cell>
        </row>
        <row r="299">
          <cell r="A299">
            <v>602003</v>
          </cell>
          <cell r="B299" t="str">
            <v>生命果实</v>
          </cell>
          <cell r="C299">
            <v>50</v>
          </cell>
        </row>
        <row r="300">
          <cell r="A300">
            <v>602004</v>
          </cell>
          <cell r="B300" t="str">
            <v>忘忧果</v>
          </cell>
          <cell r="C300">
            <v>50</v>
          </cell>
        </row>
        <row r="301">
          <cell r="A301">
            <v>603001</v>
          </cell>
          <cell r="B301" t="str">
            <v>铁锭</v>
          </cell>
          <cell r="C301">
            <v>5</v>
          </cell>
        </row>
        <row r="302">
          <cell r="A302">
            <v>603002</v>
          </cell>
          <cell r="B302" t="str">
            <v>秘银锭</v>
          </cell>
          <cell r="C302">
            <v>100</v>
          </cell>
        </row>
        <row r="303">
          <cell r="A303">
            <v>603003</v>
          </cell>
          <cell r="B303" t="str">
            <v>精金锭</v>
          </cell>
          <cell r="C303">
            <v>100</v>
          </cell>
        </row>
        <row r="304">
          <cell r="A304">
            <v>603004</v>
          </cell>
          <cell r="B304" t="str">
            <v>山铜锭</v>
          </cell>
          <cell r="C304">
            <v>100</v>
          </cell>
        </row>
        <row r="305">
          <cell r="A305">
            <v>604001</v>
          </cell>
          <cell r="B305" t="str">
            <v>原木</v>
          </cell>
          <cell r="C305">
            <v>2</v>
          </cell>
        </row>
        <row r="306">
          <cell r="A306">
            <v>605001</v>
          </cell>
          <cell r="B306" t="str">
            <v>石料</v>
          </cell>
          <cell r="C306">
            <v>4</v>
          </cell>
        </row>
        <row r="307">
          <cell r="A307">
            <v>606001</v>
          </cell>
          <cell r="B307" t="str">
            <v>皮革</v>
          </cell>
          <cell r="C307">
            <v>3</v>
          </cell>
        </row>
        <row r="308">
          <cell r="A308">
            <v>606002</v>
          </cell>
          <cell r="B308" t="str">
            <v>羊毛</v>
          </cell>
          <cell r="C308">
            <v>3</v>
          </cell>
        </row>
        <row r="309">
          <cell r="A309">
            <v>607001</v>
          </cell>
          <cell r="B309" t="str">
            <v>白银</v>
          </cell>
          <cell r="C309">
            <v>100</v>
          </cell>
        </row>
        <row r="310">
          <cell r="A310">
            <v>608001</v>
          </cell>
          <cell r="B310" t="str">
            <v>黄金</v>
          </cell>
          <cell r="C310">
            <v>1000</v>
          </cell>
        </row>
        <row r="311">
          <cell r="A311">
            <v>609001</v>
          </cell>
          <cell r="B311" t="str">
            <v>肥料</v>
          </cell>
          <cell r="C311">
            <v>1</v>
          </cell>
        </row>
        <row r="312">
          <cell r="A312">
            <v>610001</v>
          </cell>
          <cell r="B312" t="str">
            <v>粪便</v>
          </cell>
          <cell r="C312">
            <v>0</v>
          </cell>
        </row>
        <row r="313">
          <cell r="A313">
            <v>610002</v>
          </cell>
          <cell r="B313" t="str">
            <v>腐败食物</v>
          </cell>
          <cell r="C313">
            <v>0</v>
          </cell>
        </row>
        <row r="314">
          <cell r="A314">
            <v>610003</v>
          </cell>
          <cell r="B314" t="str">
            <v>灰烬</v>
          </cell>
          <cell r="C314">
            <v>0</v>
          </cell>
        </row>
        <row r="315">
          <cell r="A315">
            <v>611001</v>
          </cell>
          <cell r="B315" t="str">
            <v>咖啡豆</v>
          </cell>
          <cell r="C315">
            <v>5</v>
          </cell>
        </row>
        <row r="316">
          <cell r="A316">
            <v>611002</v>
          </cell>
          <cell r="B316" t="str">
            <v>可可豆</v>
          </cell>
          <cell r="C316">
            <v>5</v>
          </cell>
        </row>
        <row r="317">
          <cell r="A317">
            <v>611003</v>
          </cell>
          <cell r="B317" t="str">
            <v>甘蔗</v>
          </cell>
          <cell r="C317">
            <v>1</v>
          </cell>
        </row>
        <row r="318">
          <cell r="A318">
            <v>611004</v>
          </cell>
          <cell r="B318" t="str">
            <v>牛奶</v>
          </cell>
          <cell r="C318">
            <v>2</v>
          </cell>
        </row>
        <row r="319">
          <cell r="A319">
            <v>611005</v>
          </cell>
          <cell r="B319" t="str">
            <v>面粉</v>
          </cell>
          <cell r="C319">
            <v>2</v>
          </cell>
        </row>
        <row r="320">
          <cell r="A320">
            <v>612001</v>
          </cell>
          <cell r="B320" t="str">
            <v>红宝石</v>
          </cell>
          <cell r="C320">
            <v>500</v>
          </cell>
        </row>
        <row r="321">
          <cell r="A321">
            <v>612002</v>
          </cell>
          <cell r="B321" t="str">
            <v>蓝宝石</v>
          </cell>
          <cell r="C321">
            <v>500</v>
          </cell>
        </row>
        <row r="322">
          <cell r="A322">
            <v>612003</v>
          </cell>
          <cell r="B322" t="str">
            <v>绿宝石</v>
          </cell>
          <cell r="C322">
            <v>500</v>
          </cell>
        </row>
        <row r="323">
          <cell r="A323">
            <v>613001</v>
          </cell>
          <cell r="B323" t="str">
            <v>金蛋</v>
          </cell>
          <cell r="C323">
            <v>1000</v>
          </cell>
        </row>
        <row r="324">
          <cell r="A324">
            <v>614001</v>
          </cell>
          <cell r="B324" t="str">
            <v>龙涎香</v>
          </cell>
          <cell r="C324">
            <v>800</v>
          </cell>
        </row>
        <row r="325">
          <cell r="A325">
            <v>615001</v>
          </cell>
          <cell r="B325" t="str">
            <v>红宝石碎片</v>
          </cell>
          <cell r="C325">
            <v>50</v>
          </cell>
        </row>
        <row r="326">
          <cell r="A326">
            <v>615002</v>
          </cell>
          <cell r="B326" t="str">
            <v>蓝宝石碎片</v>
          </cell>
          <cell r="C326">
            <v>50</v>
          </cell>
        </row>
        <row r="327">
          <cell r="A327">
            <v>615003</v>
          </cell>
          <cell r="B327" t="str">
            <v>绿宝石碎片</v>
          </cell>
          <cell r="C327">
            <v>50</v>
          </cell>
        </row>
        <row r="328">
          <cell r="A328">
            <v>616001</v>
          </cell>
          <cell r="B328" t="str">
            <v>铁矿</v>
          </cell>
          <cell r="C328">
            <v>2</v>
          </cell>
        </row>
        <row r="329">
          <cell r="A329">
            <v>616002</v>
          </cell>
          <cell r="B329" t="str">
            <v>秘银矿</v>
          </cell>
          <cell r="C329">
            <v>2</v>
          </cell>
        </row>
        <row r="330">
          <cell r="A330">
            <v>616003</v>
          </cell>
          <cell r="B330" t="str">
            <v>精金矿</v>
          </cell>
          <cell r="C330">
            <v>2</v>
          </cell>
        </row>
        <row r="331">
          <cell r="A331">
            <v>616004</v>
          </cell>
          <cell r="B331" t="str">
            <v>山铜矿</v>
          </cell>
          <cell r="C331">
            <v>2</v>
          </cell>
        </row>
        <row r="332">
          <cell r="A332">
            <v>616005</v>
          </cell>
          <cell r="B332" t="str">
            <v>金矿</v>
          </cell>
          <cell r="C332">
            <v>2</v>
          </cell>
        </row>
        <row r="333">
          <cell r="A333">
            <v>616006</v>
          </cell>
          <cell r="B333" t="str">
            <v>银矿</v>
          </cell>
          <cell r="C333">
            <v>2</v>
          </cell>
        </row>
        <row r="334">
          <cell r="A334">
            <v>617001</v>
          </cell>
          <cell r="B334" t="str">
            <v>牧草</v>
          </cell>
          <cell r="C334">
            <v>1</v>
          </cell>
        </row>
        <row r="335">
          <cell r="A335">
            <v>618001</v>
          </cell>
          <cell r="B335" t="str">
            <v>银币</v>
          </cell>
          <cell r="C335">
            <v>1</v>
          </cell>
        </row>
        <row r="336">
          <cell r="A336">
            <v>619001</v>
          </cell>
          <cell r="B336" t="str">
            <v>智慧宝石</v>
          </cell>
          <cell r="C336">
            <v>1000000</v>
          </cell>
        </row>
        <row r="337">
          <cell r="A337">
            <v>620001</v>
          </cell>
          <cell r="B337" t="str">
            <v>史莱姆凝液</v>
          </cell>
          <cell r="C337">
            <v>50</v>
          </cell>
        </row>
        <row r="338">
          <cell r="A338">
            <v>620002</v>
          </cell>
          <cell r="B338" t="str">
            <v>蚁胶</v>
          </cell>
          <cell r="C338">
            <v>25</v>
          </cell>
        </row>
        <row r="339">
          <cell r="A339">
            <v>621001</v>
          </cell>
          <cell r="B339" t="str">
            <v>白玫瑰</v>
          </cell>
          <cell r="C339">
            <v>1</v>
          </cell>
        </row>
        <row r="340">
          <cell r="A340">
            <v>621002</v>
          </cell>
          <cell r="B340" t="str">
            <v>红玫瑰</v>
          </cell>
          <cell r="C340">
            <v>1</v>
          </cell>
        </row>
        <row r="341">
          <cell r="A341">
            <v>621003</v>
          </cell>
          <cell r="B341" t="str">
            <v>蓝玫瑰</v>
          </cell>
          <cell r="C341">
            <v>1</v>
          </cell>
        </row>
        <row r="342">
          <cell r="A342">
            <v>621004</v>
          </cell>
          <cell r="B342" t="str">
            <v>黄色郁金香</v>
          </cell>
          <cell r="C342">
            <v>40</v>
          </cell>
        </row>
        <row r="343">
          <cell r="A343">
            <v>621005</v>
          </cell>
          <cell r="B343" t="str">
            <v>红色郁金香</v>
          </cell>
          <cell r="C343">
            <v>300</v>
          </cell>
        </row>
        <row r="344">
          <cell r="A344">
            <v>621006</v>
          </cell>
          <cell r="B344" t="str">
            <v>紫色郁金香</v>
          </cell>
          <cell r="C344">
            <v>800</v>
          </cell>
        </row>
        <row r="345">
          <cell r="A345">
            <v>701001</v>
          </cell>
          <cell r="B345" t="str">
            <v>菜豆种子</v>
          </cell>
          <cell r="C345">
            <v>2000</v>
          </cell>
        </row>
        <row r="346">
          <cell r="A346">
            <v>701002</v>
          </cell>
          <cell r="B346" t="str">
            <v>卷心菜种子</v>
          </cell>
          <cell r="C346">
            <v>10000</v>
          </cell>
        </row>
        <row r="347">
          <cell r="A347">
            <v>701003</v>
          </cell>
          <cell r="B347" t="str">
            <v>辣椒种子</v>
          </cell>
          <cell r="C347">
            <v>6000</v>
          </cell>
        </row>
        <row r="348">
          <cell r="A348">
            <v>701004</v>
          </cell>
          <cell r="B348" t="str">
            <v>南瓜种子</v>
          </cell>
          <cell r="C348">
            <v>20000</v>
          </cell>
        </row>
        <row r="349">
          <cell r="A349">
            <v>701005</v>
          </cell>
          <cell r="B349" t="str">
            <v>笋瓜种子</v>
          </cell>
          <cell r="C349">
            <v>4000</v>
          </cell>
        </row>
        <row r="350">
          <cell r="A350">
            <v>702001</v>
          </cell>
          <cell r="B350" t="str">
            <v>玉米种子</v>
          </cell>
          <cell r="C350">
            <v>10000</v>
          </cell>
        </row>
        <row r="351">
          <cell r="A351">
            <v>702002</v>
          </cell>
          <cell r="B351" t="str">
            <v>土豆种子</v>
          </cell>
          <cell r="C351">
            <v>4000</v>
          </cell>
        </row>
        <row r="352">
          <cell r="A352">
            <v>702003</v>
          </cell>
          <cell r="B352" t="str">
            <v>小麦种子</v>
          </cell>
          <cell r="C352">
            <v>2000</v>
          </cell>
        </row>
        <row r="353">
          <cell r="A353">
            <v>702004</v>
          </cell>
          <cell r="B353" t="str">
            <v>牧草种子</v>
          </cell>
          <cell r="C353">
            <v>2000</v>
          </cell>
        </row>
        <row r="354">
          <cell r="A354">
            <v>703001</v>
          </cell>
          <cell r="B354" t="str">
            <v>苹果树种子</v>
          </cell>
          <cell r="C354">
            <v>2500</v>
          </cell>
        </row>
        <row r="355">
          <cell r="A355">
            <v>703002</v>
          </cell>
          <cell r="B355" t="str">
            <v>樱桃树种子</v>
          </cell>
          <cell r="C355">
            <v>2500</v>
          </cell>
        </row>
        <row r="356">
          <cell r="A356">
            <v>703004</v>
          </cell>
          <cell r="B356" t="str">
            <v>梨树种子</v>
          </cell>
          <cell r="C356">
            <v>2500</v>
          </cell>
        </row>
        <row r="357">
          <cell r="A357">
            <v>703006</v>
          </cell>
          <cell r="B357" t="str">
            <v>梅子树种子</v>
          </cell>
          <cell r="C357">
            <v>2500</v>
          </cell>
        </row>
        <row r="358">
          <cell r="A358">
            <v>703007</v>
          </cell>
          <cell r="B358" t="str">
            <v>核桃树种子</v>
          </cell>
          <cell r="C358">
            <v>2500</v>
          </cell>
        </row>
        <row r="359">
          <cell r="A359">
            <v>704001</v>
          </cell>
          <cell r="B359" t="str">
            <v>蓝星花</v>
          </cell>
          <cell r="C359">
            <v>2500</v>
          </cell>
        </row>
        <row r="360">
          <cell r="A360">
            <v>704002</v>
          </cell>
          <cell r="B360" t="str">
            <v>紫绒花</v>
          </cell>
          <cell r="C360">
            <v>2500</v>
          </cell>
        </row>
        <row r="361">
          <cell r="A361">
            <v>704003</v>
          </cell>
          <cell r="B361" t="str">
            <v>红芯菊</v>
          </cell>
          <cell r="C361">
            <v>2500</v>
          </cell>
        </row>
        <row r="362">
          <cell r="A362">
            <v>704004</v>
          </cell>
          <cell r="B362" t="str">
            <v>青铃花</v>
          </cell>
          <cell r="C362">
            <v>2500</v>
          </cell>
        </row>
        <row r="363">
          <cell r="A363">
            <v>704005</v>
          </cell>
          <cell r="B363" t="str">
            <v>幻彩花</v>
          </cell>
          <cell r="C363">
            <v>2500</v>
          </cell>
        </row>
        <row r="364">
          <cell r="A364">
            <v>704006</v>
          </cell>
          <cell r="B364" t="str">
            <v>晴雨花</v>
          </cell>
          <cell r="C364">
            <v>2500</v>
          </cell>
        </row>
        <row r="365">
          <cell r="A365">
            <v>704007</v>
          </cell>
          <cell r="B365" t="str">
            <v>金盏花</v>
          </cell>
          <cell r="C365">
            <v>2500</v>
          </cell>
        </row>
        <row r="366">
          <cell r="A366">
            <v>704008</v>
          </cell>
          <cell r="B366" t="str">
            <v>玫瑰姫</v>
          </cell>
          <cell r="C366">
            <v>2500</v>
          </cell>
        </row>
        <row r="367">
          <cell r="A367">
            <v>704009</v>
          </cell>
          <cell r="B367" t="str">
            <v>月季花</v>
          </cell>
          <cell r="C367">
            <v>5000</v>
          </cell>
        </row>
        <row r="368">
          <cell r="A368">
            <v>704010</v>
          </cell>
          <cell r="B368" t="str">
            <v>生命之花</v>
          </cell>
          <cell r="C368">
            <v>5000</v>
          </cell>
        </row>
        <row r="369">
          <cell r="A369">
            <v>704011</v>
          </cell>
          <cell r="B369" t="str">
            <v>忘忧草</v>
          </cell>
          <cell r="C369">
            <v>5000</v>
          </cell>
        </row>
        <row r="370">
          <cell r="A370">
            <v>704012</v>
          </cell>
          <cell r="B370" t="str">
            <v>夏日浆果</v>
          </cell>
          <cell r="C370">
            <v>2500</v>
          </cell>
        </row>
        <row r="371">
          <cell r="A371">
            <v>704013</v>
          </cell>
          <cell r="B371" t="str">
            <v>秋日浆果</v>
          </cell>
          <cell r="C371">
            <v>2500</v>
          </cell>
        </row>
        <row r="372">
          <cell r="A372">
            <v>704014</v>
          </cell>
          <cell r="B372" t="str">
            <v>冬日浆果</v>
          </cell>
          <cell r="C372">
            <v>2500</v>
          </cell>
        </row>
        <row r="373">
          <cell r="A373">
            <v>704015</v>
          </cell>
          <cell r="B373" t="str">
            <v>樟树</v>
          </cell>
          <cell r="C373">
            <v>2500</v>
          </cell>
        </row>
        <row r="374">
          <cell r="A374">
            <v>704016</v>
          </cell>
          <cell r="B374" t="str">
            <v>榕树</v>
          </cell>
          <cell r="C374">
            <v>2500</v>
          </cell>
        </row>
        <row r="375">
          <cell r="A375">
            <v>704017</v>
          </cell>
          <cell r="B375" t="str">
            <v>梧桐</v>
          </cell>
          <cell r="C375">
            <v>2500</v>
          </cell>
        </row>
        <row r="376">
          <cell r="A376">
            <v>704018</v>
          </cell>
          <cell r="B376" t="str">
            <v>松树</v>
          </cell>
          <cell r="C376">
            <v>2500</v>
          </cell>
        </row>
        <row r="377">
          <cell r="A377">
            <v>704019</v>
          </cell>
          <cell r="B377" t="str">
            <v>枫树</v>
          </cell>
          <cell r="C377">
            <v>2500</v>
          </cell>
        </row>
        <row r="378">
          <cell r="A378">
            <v>704020</v>
          </cell>
          <cell r="B378" t="str">
            <v>桦树</v>
          </cell>
          <cell r="C378">
            <v>2500</v>
          </cell>
        </row>
        <row r="379">
          <cell r="A379">
            <v>704021</v>
          </cell>
          <cell r="B379" t="str">
            <v>荧光红蘑菇</v>
          </cell>
          <cell r="C379">
            <v>2500</v>
          </cell>
        </row>
        <row r="380">
          <cell r="A380">
            <v>704022</v>
          </cell>
          <cell r="B380" t="str">
            <v>荧光蓝蘑菇</v>
          </cell>
          <cell r="C380">
            <v>2500</v>
          </cell>
        </row>
        <row r="381">
          <cell r="A381">
            <v>704023</v>
          </cell>
          <cell r="B381" t="str">
            <v>荧光绿蘑菇</v>
          </cell>
          <cell r="C381">
            <v>2500</v>
          </cell>
        </row>
        <row r="382">
          <cell r="A382">
            <v>704024</v>
          </cell>
          <cell r="B382" t="str">
            <v>光亮蘑菇</v>
          </cell>
          <cell r="C382">
            <v>2500</v>
          </cell>
        </row>
        <row r="383">
          <cell r="A383">
            <v>704025</v>
          </cell>
          <cell r="B383" t="str">
            <v>向日葵</v>
          </cell>
          <cell r="C383">
            <v>5000</v>
          </cell>
        </row>
        <row r="384">
          <cell r="A384">
            <v>704026</v>
          </cell>
          <cell r="B384" t="str">
            <v>白玫瑰</v>
          </cell>
          <cell r="C384">
            <v>5000</v>
          </cell>
        </row>
        <row r="385">
          <cell r="A385">
            <v>704027</v>
          </cell>
          <cell r="B385" t="str">
            <v>红玫瑰</v>
          </cell>
          <cell r="C385">
            <v>5000</v>
          </cell>
        </row>
        <row r="386">
          <cell r="A386">
            <v>704028</v>
          </cell>
          <cell r="B386" t="str">
            <v>蓝玫瑰</v>
          </cell>
          <cell r="C386">
            <v>5000</v>
          </cell>
        </row>
        <row r="387">
          <cell r="A387">
            <v>704029</v>
          </cell>
          <cell r="B387" t="str">
            <v>郁金香</v>
          </cell>
          <cell r="C387">
            <v>20000</v>
          </cell>
        </row>
        <row r="388">
          <cell r="A388">
            <v>705001</v>
          </cell>
          <cell r="B388" t="str">
            <v>农夫雕像</v>
          </cell>
          <cell r="C388">
            <v>100000</v>
          </cell>
        </row>
        <row r="389">
          <cell r="A389">
            <v>705002</v>
          </cell>
          <cell r="B389" t="str">
            <v>精灵雕像</v>
          </cell>
          <cell r="C389">
            <v>100000</v>
          </cell>
        </row>
        <row r="390">
          <cell r="A390">
            <v>705003</v>
          </cell>
          <cell r="B390" t="str">
            <v>士兵雕像</v>
          </cell>
          <cell r="C390">
            <v>100000</v>
          </cell>
        </row>
        <row r="391">
          <cell r="A391">
            <v>705004</v>
          </cell>
          <cell r="B391" t="str">
            <v>渔夫雕像</v>
          </cell>
          <cell r="C391">
            <v>100000</v>
          </cell>
        </row>
        <row r="392">
          <cell r="A392">
            <v>705005</v>
          </cell>
          <cell r="B392" t="str">
            <v>牧民雕像</v>
          </cell>
          <cell r="C392">
            <v>100000</v>
          </cell>
        </row>
        <row r="393">
          <cell r="A393">
            <v>705006</v>
          </cell>
          <cell r="B393" t="str">
            <v>BUG雕像</v>
          </cell>
          <cell r="C393">
            <v>100000</v>
          </cell>
        </row>
        <row r="394">
          <cell r="A394">
            <v>705007</v>
          </cell>
          <cell r="B394" t="str">
            <v>鲜花雕像</v>
          </cell>
          <cell r="C394">
            <v>10000</v>
          </cell>
        </row>
        <row r="395">
          <cell r="A395">
            <v>706001</v>
          </cell>
          <cell r="B395" t="str">
            <v>货船</v>
          </cell>
          <cell r="C395">
            <v>10000</v>
          </cell>
        </row>
        <row r="396">
          <cell r="A396">
            <v>706002</v>
          </cell>
          <cell r="B396" t="str">
            <v>战舰</v>
          </cell>
          <cell r="C396">
            <v>10000</v>
          </cell>
        </row>
        <row r="397">
          <cell r="A397">
            <v>706003</v>
          </cell>
          <cell r="B397" t="str">
            <v>巨型战舰</v>
          </cell>
          <cell r="C397">
            <v>10000</v>
          </cell>
        </row>
        <row r="398">
          <cell r="A398">
            <v>707001</v>
          </cell>
          <cell r="B398" t="str">
            <v>甘蔗种子</v>
          </cell>
          <cell r="C398">
            <v>10000</v>
          </cell>
        </row>
        <row r="399">
          <cell r="A399">
            <v>801001</v>
          </cell>
          <cell r="B399" t="str">
            <v>死亡的鸡</v>
          </cell>
          <cell r="C399">
            <v>0</v>
          </cell>
        </row>
        <row r="400">
          <cell r="A400">
            <v>801002</v>
          </cell>
          <cell r="B400" t="str">
            <v>死亡的羊</v>
          </cell>
          <cell r="C400">
            <v>0</v>
          </cell>
        </row>
        <row r="401">
          <cell r="A401">
            <v>801003</v>
          </cell>
          <cell r="B401" t="str">
            <v>死亡的牛</v>
          </cell>
          <cell r="C401">
            <v>0</v>
          </cell>
        </row>
        <row r="402">
          <cell r="A402">
            <v>801004</v>
          </cell>
          <cell r="B402" t="str">
            <v>死亡的马</v>
          </cell>
          <cell r="C402">
            <v>0</v>
          </cell>
        </row>
        <row r="403">
          <cell r="A403">
            <v>801005</v>
          </cell>
          <cell r="B403" t="str">
            <v>死亡的猪</v>
          </cell>
          <cell r="C403">
            <v>0</v>
          </cell>
        </row>
        <row r="404">
          <cell r="A404">
            <v>801006</v>
          </cell>
          <cell r="B404" t="str">
            <v>死亡的狼</v>
          </cell>
          <cell r="C404">
            <v>0</v>
          </cell>
        </row>
        <row r="405">
          <cell r="A405">
            <v>801007</v>
          </cell>
          <cell r="B405" t="str">
            <v>死亡的鹿</v>
          </cell>
          <cell r="C405">
            <v>0</v>
          </cell>
        </row>
        <row r="406">
          <cell r="A406">
            <v>801008</v>
          </cell>
          <cell r="B406" t="str">
            <v>死亡的白鹿</v>
          </cell>
          <cell r="C406">
            <v>0</v>
          </cell>
        </row>
        <row r="407">
          <cell r="A407">
            <v>801009</v>
          </cell>
          <cell r="B407" t="str">
            <v>死亡的梅花鹿</v>
          </cell>
          <cell r="C407">
            <v>0</v>
          </cell>
        </row>
        <row r="408">
          <cell r="A408">
            <v>802001</v>
          </cell>
          <cell r="B408" t="str">
            <v>种子商人贸易船</v>
          </cell>
          <cell r="C408">
            <v>0</v>
          </cell>
        </row>
        <row r="409">
          <cell r="A409">
            <v>802002</v>
          </cell>
          <cell r="B409" t="str">
            <v>食品商人贸易船</v>
          </cell>
          <cell r="C409">
            <v>0</v>
          </cell>
        </row>
        <row r="410">
          <cell r="A410">
            <v>802003</v>
          </cell>
          <cell r="B410" t="str">
            <v>杂货商人贸易船</v>
          </cell>
          <cell r="C410">
            <v>0</v>
          </cell>
        </row>
        <row r="411">
          <cell r="A411">
            <v>802004</v>
          </cell>
          <cell r="B411" t="str">
            <v>牲畜商人贸易船</v>
          </cell>
          <cell r="C411">
            <v>0</v>
          </cell>
        </row>
        <row r="412">
          <cell r="A412">
            <v>802005</v>
          </cell>
          <cell r="B412" t="str">
            <v>代购商人贸易船</v>
          </cell>
          <cell r="C412">
            <v>0</v>
          </cell>
        </row>
        <row r="413">
          <cell r="A413">
            <v>803001</v>
          </cell>
          <cell r="B413" t="str">
            <v>水</v>
          </cell>
          <cell r="C413">
            <v>0</v>
          </cell>
        </row>
        <row r="414">
          <cell r="A414">
            <v>804001</v>
          </cell>
          <cell r="B414" t="str">
            <v>尸体</v>
          </cell>
          <cell r="C414">
            <v>0</v>
          </cell>
        </row>
        <row r="415">
          <cell r="A415">
            <v>805001</v>
          </cell>
          <cell r="B415" t="str">
            <v>大鱼</v>
          </cell>
          <cell r="C415">
            <v>0</v>
          </cell>
        </row>
        <row r="416">
          <cell r="A416">
            <v>806001</v>
          </cell>
          <cell r="B416" t="str">
            <v>种子商人</v>
          </cell>
          <cell r="C416">
            <v>0</v>
          </cell>
        </row>
        <row r="417">
          <cell r="A417">
            <v>806002</v>
          </cell>
          <cell r="B417" t="str">
            <v>食品商人</v>
          </cell>
          <cell r="C417">
            <v>0</v>
          </cell>
        </row>
        <row r="418">
          <cell r="A418">
            <v>806003</v>
          </cell>
          <cell r="B418" t="str">
            <v>杂货商人</v>
          </cell>
          <cell r="C418">
            <v>0</v>
          </cell>
        </row>
        <row r="419">
          <cell r="A419">
            <v>806004</v>
          </cell>
          <cell r="B419" t="str">
            <v>牲畜商人</v>
          </cell>
          <cell r="C419">
            <v>0</v>
          </cell>
        </row>
        <row r="420">
          <cell r="A420">
            <v>806005</v>
          </cell>
          <cell r="B420" t="str">
            <v>两轮马车</v>
          </cell>
          <cell r="C420">
            <v>0</v>
          </cell>
        </row>
        <row r="421">
          <cell r="A421">
            <v>806006</v>
          </cell>
          <cell r="B421" t="str">
            <v>四轮马车</v>
          </cell>
          <cell r="C421">
            <v>0</v>
          </cell>
        </row>
        <row r="422">
          <cell r="A422">
            <v>807001</v>
          </cell>
          <cell r="B422" t="str">
            <v>马战车</v>
          </cell>
          <cell r="C422">
            <v>5000</v>
          </cell>
        </row>
        <row r="423">
          <cell r="A423">
            <v>807002</v>
          </cell>
          <cell r="B423" t="str">
            <v>狼战车</v>
          </cell>
          <cell r="C423">
            <v>5000</v>
          </cell>
        </row>
        <row r="424">
          <cell r="A424">
            <v>807003</v>
          </cell>
          <cell r="B424" t="str">
            <v>猪战车</v>
          </cell>
          <cell r="C424">
            <v>5000</v>
          </cell>
        </row>
        <row r="425">
          <cell r="A425">
            <v>808001</v>
          </cell>
          <cell r="B425" t="str">
            <v>???</v>
          </cell>
          <cell r="C425">
            <v>0</v>
          </cell>
        </row>
        <row r="426">
          <cell r="A426">
            <v>809001</v>
          </cell>
          <cell r="B426" t="str">
            <v>鼻涕</v>
          </cell>
          <cell r="C426">
            <v>0</v>
          </cell>
        </row>
        <row r="427">
          <cell r="A427">
            <v>810001</v>
          </cell>
          <cell r="B427" t="str">
            <v>宝藏标记</v>
          </cell>
          <cell r="C427">
            <v>0</v>
          </cell>
        </row>
        <row r="428">
          <cell r="A428">
            <v>810002</v>
          </cell>
          <cell r="B428" t="str">
            <v>宝箱</v>
          </cell>
          <cell r="C428">
            <v>0</v>
          </cell>
        </row>
        <row r="429">
          <cell r="A429">
            <v>811001</v>
          </cell>
          <cell r="B429" t="str">
            <v>生命之力</v>
          </cell>
          <cell r="C429">
            <v>0</v>
          </cell>
        </row>
        <row r="430">
          <cell r="A430">
            <v>812000</v>
          </cell>
          <cell r="B430" t="str">
            <v>矮人</v>
          </cell>
          <cell r="C430">
            <v>0</v>
          </cell>
        </row>
        <row r="431">
          <cell r="A431">
            <v>812001</v>
          </cell>
          <cell r="B431" t="str">
            <v>蚁人</v>
          </cell>
          <cell r="C431">
            <v>0</v>
          </cell>
        </row>
        <row r="432">
          <cell r="A432">
            <v>812002</v>
          </cell>
          <cell r="B432" t="str">
            <v>鼠人</v>
          </cell>
          <cell r="C432">
            <v>0</v>
          </cell>
        </row>
        <row r="433">
          <cell r="A433">
            <v>812003</v>
          </cell>
          <cell r="B433" t="str">
            <v>猫人</v>
          </cell>
          <cell r="C433">
            <v>0</v>
          </cell>
        </row>
        <row r="434">
          <cell r="A434">
            <v>812004</v>
          </cell>
          <cell r="B434" t="str">
            <v>羊人</v>
          </cell>
          <cell r="C434">
            <v>0</v>
          </cell>
        </row>
        <row r="435">
          <cell r="A435">
            <v>812005</v>
          </cell>
          <cell r="B435" t="str">
            <v>狼人</v>
          </cell>
          <cell r="C435">
            <v>0</v>
          </cell>
        </row>
        <row r="436">
          <cell r="A436">
            <v>812006</v>
          </cell>
          <cell r="B436" t="str">
            <v>猪人</v>
          </cell>
          <cell r="C436">
            <v>0</v>
          </cell>
        </row>
        <row r="437">
          <cell r="A437">
            <v>812007</v>
          </cell>
          <cell r="B437" t="str">
            <v>精灵族</v>
          </cell>
          <cell r="C437">
            <v>0</v>
          </cell>
        </row>
        <row r="438">
          <cell r="A438">
            <v>812008</v>
          </cell>
          <cell r="B438" t="str">
            <v>三眼人</v>
          </cell>
          <cell r="C438">
            <v>0</v>
          </cell>
        </row>
        <row r="439">
          <cell r="A439">
            <v>812009</v>
          </cell>
          <cell r="B439" t="str">
            <v>蜥蜴人</v>
          </cell>
          <cell r="C439">
            <v>0</v>
          </cell>
        </row>
        <row r="440">
          <cell r="A440">
            <v>813001</v>
          </cell>
          <cell r="B440" t="str">
            <v>蜜糖派对</v>
          </cell>
          <cell r="C440">
            <v>0</v>
          </cell>
        </row>
        <row r="441">
          <cell r="A441">
            <v>813002</v>
          </cell>
          <cell r="B441" t="str">
            <v>药茶品鉴会</v>
          </cell>
          <cell r="C441">
            <v>0</v>
          </cell>
        </row>
        <row r="442">
          <cell r="A442">
            <v>813003</v>
          </cell>
          <cell r="B442" t="str">
            <v>水果蔬菜沙龙</v>
          </cell>
          <cell r="C442">
            <v>0</v>
          </cell>
        </row>
        <row r="443">
          <cell r="A443">
            <v>813004</v>
          </cell>
          <cell r="B443" t="str">
            <v>酒神狂欢节</v>
          </cell>
          <cell r="C443">
            <v>0</v>
          </cell>
        </row>
        <row r="444">
          <cell r="A444">
            <v>813005</v>
          </cell>
          <cell r="B444" t="str">
            <v>黑暗料理派对</v>
          </cell>
          <cell r="C444">
            <v>0</v>
          </cell>
        </row>
        <row r="445">
          <cell r="A445">
            <v>813006</v>
          </cell>
          <cell r="B445" t="str">
            <v>鱼肉生鲜派对</v>
          </cell>
          <cell r="C445">
            <v>0</v>
          </cell>
        </row>
        <row r="446">
          <cell r="A446">
            <v>813007</v>
          </cell>
          <cell r="B446" t="str">
            <v>宝石品鉴会</v>
          </cell>
          <cell r="C446">
            <v>0</v>
          </cell>
        </row>
        <row r="447">
          <cell r="A447">
            <v>813008</v>
          </cell>
          <cell r="B447" t="str">
            <v>文化研讨会</v>
          </cell>
          <cell r="C447">
            <v>0</v>
          </cell>
        </row>
        <row r="448">
          <cell r="A448">
            <v>813009</v>
          </cell>
          <cell r="B448" t="str">
            <v>贵族派对</v>
          </cell>
          <cell r="C448">
            <v>0</v>
          </cell>
        </row>
        <row r="449">
          <cell r="A449">
            <v>814001</v>
          </cell>
          <cell r="B449" t="str">
            <v>青青草原</v>
          </cell>
          <cell r="C449">
            <v>0</v>
          </cell>
        </row>
        <row r="450">
          <cell r="A450">
            <v>814002</v>
          </cell>
          <cell r="B450" t="str">
            <v>北部森林</v>
          </cell>
          <cell r="C450">
            <v>0</v>
          </cell>
        </row>
        <row r="451">
          <cell r="A451">
            <v>814003</v>
          </cell>
          <cell r="B451" t="str">
            <v>无人荒野</v>
          </cell>
          <cell r="C451">
            <v>0</v>
          </cell>
        </row>
        <row r="452">
          <cell r="A452">
            <v>814004</v>
          </cell>
          <cell r="B452" t="str">
            <v>黄昏森林</v>
          </cell>
          <cell r="C452">
            <v>0</v>
          </cell>
        </row>
        <row r="453">
          <cell r="A453">
            <v>814005</v>
          </cell>
          <cell r="B453" t="str">
            <v>野蛮荒野</v>
          </cell>
          <cell r="C453">
            <v>0</v>
          </cell>
        </row>
        <row r="454">
          <cell r="A454">
            <v>814006</v>
          </cell>
          <cell r="B454" t="str">
            <v>迷雾山峰</v>
          </cell>
          <cell r="C454">
            <v>0</v>
          </cell>
        </row>
        <row r="455">
          <cell r="A455">
            <v>814007</v>
          </cell>
          <cell r="B455" t="str">
            <v>滨海平原</v>
          </cell>
          <cell r="C455">
            <v>0</v>
          </cell>
        </row>
        <row r="456">
          <cell r="A456">
            <v>814008</v>
          </cell>
          <cell r="B456" t="str">
            <v>恶魔海角</v>
          </cell>
          <cell r="C456">
            <v>0</v>
          </cell>
        </row>
        <row r="457">
          <cell r="A457">
            <v>814009</v>
          </cell>
          <cell r="B457" t="str">
            <v>龙之平原</v>
          </cell>
          <cell r="C457">
            <v>0</v>
          </cell>
        </row>
        <row r="458">
          <cell r="A458">
            <v>814010</v>
          </cell>
          <cell r="B458" t="str">
            <v>龙之峡谷</v>
          </cell>
          <cell r="C458">
            <v>0</v>
          </cell>
        </row>
        <row r="459">
          <cell r="A459">
            <v>815001</v>
          </cell>
          <cell r="B459" t="str">
            <v>龙魂石</v>
          </cell>
          <cell r="C459">
            <v>20000</v>
          </cell>
        </row>
        <row r="460">
          <cell r="A460">
            <v>815002</v>
          </cell>
          <cell r="B460" t="str">
            <v>龙鳞</v>
          </cell>
          <cell r="C460">
            <v>20000</v>
          </cell>
        </row>
        <row r="461">
          <cell r="A461">
            <v>815003</v>
          </cell>
          <cell r="B461" t="str">
            <v>龙晶</v>
          </cell>
          <cell r="C461">
            <v>20000</v>
          </cell>
        </row>
        <row r="462">
          <cell r="A462">
            <v>815004</v>
          </cell>
          <cell r="B462" t="str">
            <v>龙髓</v>
          </cell>
          <cell r="C462">
            <v>20000</v>
          </cell>
        </row>
        <row r="463">
          <cell r="A463">
            <v>815005</v>
          </cell>
          <cell r="B463" t="str">
            <v>龙蕊</v>
          </cell>
          <cell r="C463">
            <v>20000</v>
          </cell>
        </row>
        <row r="464">
          <cell r="A464">
            <v>816001</v>
          </cell>
          <cell r="B464" t="str">
            <v>高级郁金香</v>
          </cell>
          <cell r="C464">
            <v>20000</v>
          </cell>
        </row>
        <row r="465">
          <cell r="A465">
            <v>816002</v>
          </cell>
          <cell r="B465" t="str">
            <v>稀有郁金香</v>
          </cell>
          <cell r="C465">
            <v>20000</v>
          </cell>
        </row>
        <row r="466">
          <cell r="A466">
            <v>901001</v>
          </cell>
          <cell r="B466" t="str">
            <v>一神教</v>
          </cell>
          <cell r="C466">
            <v>0</v>
          </cell>
        </row>
        <row r="467">
          <cell r="A467">
            <v>901002</v>
          </cell>
          <cell r="B467" t="str">
            <v>仁义道</v>
          </cell>
          <cell r="C467">
            <v>0</v>
          </cell>
        </row>
        <row r="468">
          <cell r="A468">
            <v>901004</v>
          </cell>
          <cell r="B468" t="str">
            <v>萨满教</v>
          </cell>
          <cell r="C468">
            <v>0</v>
          </cell>
        </row>
        <row r="469">
          <cell r="A469">
            <v>902002</v>
          </cell>
          <cell r="B469" t="str">
            <v>登山技术</v>
          </cell>
          <cell r="C469">
            <v>2000</v>
          </cell>
        </row>
        <row r="470">
          <cell r="A470">
            <v>902003</v>
          </cell>
          <cell r="B470" t="str">
            <v>石匠技术</v>
          </cell>
          <cell r="C470">
            <v>500</v>
          </cell>
        </row>
        <row r="471">
          <cell r="A471">
            <v>902004</v>
          </cell>
          <cell r="B471" t="str">
            <v>周转箱</v>
          </cell>
          <cell r="C471">
            <v>1000</v>
          </cell>
        </row>
        <row r="472">
          <cell r="A472">
            <v>902005</v>
          </cell>
          <cell r="B472" t="str">
            <v>贸易</v>
          </cell>
          <cell r="C472">
            <v>1000</v>
          </cell>
        </row>
        <row r="473">
          <cell r="A473">
            <v>902007</v>
          </cell>
          <cell r="B473" t="str">
            <v>酿酒</v>
          </cell>
          <cell r="C473">
            <v>500</v>
          </cell>
        </row>
        <row r="474">
          <cell r="A474">
            <v>902008</v>
          </cell>
          <cell r="B474" t="str">
            <v>教育</v>
          </cell>
          <cell r="C474">
            <v>1000</v>
          </cell>
        </row>
        <row r="475">
          <cell r="A475">
            <v>902009</v>
          </cell>
          <cell r="B475" t="str">
            <v>文化信仰</v>
          </cell>
          <cell r="C475">
            <v>2000</v>
          </cell>
        </row>
        <row r="476">
          <cell r="A476">
            <v>902010</v>
          </cell>
          <cell r="B476" t="str">
            <v>医疗</v>
          </cell>
          <cell r="C476">
            <v>1500</v>
          </cell>
        </row>
        <row r="477">
          <cell r="A477">
            <v>902011</v>
          </cell>
          <cell r="B477" t="str">
            <v>制药</v>
          </cell>
          <cell r="C477">
            <v>1500</v>
          </cell>
        </row>
        <row r="478">
          <cell r="A478">
            <v>902012</v>
          </cell>
          <cell r="B478" t="str">
            <v>轮伐护林</v>
          </cell>
          <cell r="C478">
            <v>500</v>
          </cell>
        </row>
        <row r="479">
          <cell r="A479">
            <v>902013</v>
          </cell>
          <cell r="B479" t="str">
            <v>手工制造</v>
          </cell>
          <cell r="C479">
            <v>500</v>
          </cell>
        </row>
        <row r="480">
          <cell r="A480">
            <v>902014</v>
          </cell>
          <cell r="B480" t="str">
            <v>地下采矿</v>
          </cell>
          <cell r="C480">
            <v>2000</v>
          </cell>
        </row>
        <row r="481">
          <cell r="A481">
            <v>902015</v>
          </cell>
          <cell r="B481" t="str">
            <v>地下采石</v>
          </cell>
          <cell r="C481">
            <v>2000</v>
          </cell>
        </row>
        <row r="482">
          <cell r="A482">
            <v>902016</v>
          </cell>
          <cell r="B482" t="str">
            <v>福利事业</v>
          </cell>
          <cell r="C482">
            <v>2000</v>
          </cell>
        </row>
        <row r="483">
          <cell r="A483">
            <v>902017</v>
          </cell>
          <cell r="B483" t="str">
            <v>水井</v>
          </cell>
          <cell r="C483">
            <v>2000</v>
          </cell>
        </row>
        <row r="484">
          <cell r="A484">
            <v>902018</v>
          </cell>
          <cell r="B484" t="str">
            <v>施肥增产</v>
          </cell>
          <cell r="C484">
            <v>2000</v>
          </cell>
        </row>
        <row r="485">
          <cell r="A485">
            <v>902019</v>
          </cell>
          <cell r="B485" t="str">
            <v>成片播种</v>
          </cell>
          <cell r="C485">
            <v>2000</v>
          </cell>
        </row>
        <row r="486">
          <cell r="A486">
            <v>902020</v>
          </cell>
          <cell r="B486" t="str">
            <v>成片浇水</v>
          </cell>
          <cell r="C486">
            <v>2000</v>
          </cell>
        </row>
        <row r="487">
          <cell r="A487">
            <v>902021</v>
          </cell>
          <cell r="B487" t="str">
            <v>成片收割</v>
          </cell>
          <cell r="C487">
            <v>2000</v>
          </cell>
        </row>
        <row r="488">
          <cell r="A488">
            <v>902022</v>
          </cell>
          <cell r="B488" t="str">
            <v>采集</v>
          </cell>
          <cell r="C488">
            <v>2000</v>
          </cell>
        </row>
        <row r="489">
          <cell r="A489">
            <v>902023</v>
          </cell>
          <cell r="B489" t="str">
            <v>捕兽夹</v>
          </cell>
          <cell r="C489">
            <v>2000</v>
          </cell>
        </row>
        <row r="490">
          <cell r="A490">
            <v>902024</v>
          </cell>
          <cell r="B490" t="str">
            <v>蟹笼</v>
          </cell>
          <cell r="C490">
            <v>2000</v>
          </cell>
        </row>
        <row r="491">
          <cell r="A491">
            <v>902025</v>
          </cell>
          <cell r="B491" t="str">
            <v>军事</v>
          </cell>
          <cell r="C491">
            <v>2000</v>
          </cell>
        </row>
        <row r="492">
          <cell r="A492">
            <v>902032</v>
          </cell>
          <cell r="B492" t="str">
            <v>一神教思想</v>
          </cell>
          <cell r="C492">
            <v>2000</v>
          </cell>
        </row>
        <row r="493">
          <cell r="A493">
            <v>902033</v>
          </cell>
          <cell r="B493" t="str">
            <v>仁义道思想</v>
          </cell>
          <cell r="C493">
            <v>2000</v>
          </cell>
        </row>
        <row r="494">
          <cell r="A494">
            <v>902034</v>
          </cell>
          <cell r="B494" t="str">
            <v>狩猎</v>
          </cell>
          <cell r="C494">
            <v>2000</v>
          </cell>
        </row>
        <row r="495">
          <cell r="A495">
            <v>902035</v>
          </cell>
          <cell r="B495" t="str">
            <v>捕鱼</v>
          </cell>
          <cell r="C495">
            <v>2000</v>
          </cell>
        </row>
        <row r="496">
          <cell r="A496">
            <v>902036</v>
          </cell>
          <cell r="B496" t="str">
            <v>农田</v>
          </cell>
          <cell r="C496">
            <v>2000</v>
          </cell>
        </row>
        <row r="497">
          <cell r="A497">
            <v>902037</v>
          </cell>
          <cell r="B497" t="str">
            <v>养殖</v>
          </cell>
          <cell r="C497">
            <v>2000</v>
          </cell>
        </row>
        <row r="498">
          <cell r="A498">
            <v>902038</v>
          </cell>
          <cell r="B498" t="str">
            <v>养蜂</v>
          </cell>
          <cell r="C498">
            <v>2000</v>
          </cell>
        </row>
        <row r="499">
          <cell r="A499">
            <v>902039</v>
          </cell>
          <cell r="B499" t="str">
            <v>盆栽</v>
          </cell>
          <cell r="C499">
            <v>2000</v>
          </cell>
        </row>
        <row r="500">
          <cell r="A500">
            <v>902049</v>
          </cell>
          <cell r="B500" t="str">
            <v>普通武器</v>
          </cell>
          <cell r="C500">
            <v>2000</v>
          </cell>
        </row>
        <row r="501">
          <cell r="A501">
            <v>902026</v>
          </cell>
          <cell r="B501" t="str">
            <v>优良武器</v>
          </cell>
          <cell r="C501">
            <v>2000</v>
          </cell>
        </row>
        <row r="502">
          <cell r="A502">
            <v>902029</v>
          </cell>
          <cell r="B502" t="str">
            <v>高级武器</v>
          </cell>
          <cell r="C502">
            <v>2000</v>
          </cell>
        </row>
        <row r="503">
          <cell r="A503">
            <v>902040</v>
          </cell>
          <cell r="B503" t="str">
            <v>稀有武器</v>
          </cell>
          <cell r="C503">
            <v>2000</v>
          </cell>
        </row>
        <row r="504">
          <cell r="A504">
            <v>902043</v>
          </cell>
          <cell r="B504" t="str">
            <v>特殊武器</v>
          </cell>
          <cell r="C504">
            <v>2000</v>
          </cell>
        </row>
        <row r="505">
          <cell r="A505">
            <v>902046</v>
          </cell>
          <cell r="B505" t="str">
            <v>极品武器</v>
          </cell>
          <cell r="C505">
            <v>2000</v>
          </cell>
        </row>
        <row r="506">
          <cell r="A506">
            <v>902068</v>
          </cell>
          <cell r="B506" t="str">
            <v>传说武器</v>
          </cell>
          <cell r="C506">
            <v>2000</v>
          </cell>
        </row>
        <row r="507">
          <cell r="A507">
            <v>902071</v>
          </cell>
          <cell r="B507" t="str">
            <v>史诗武器</v>
          </cell>
          <cell r="C507">
            <v>2000</v>
          </cell>
        </row>
        <row r="508">
          <cell r="A508">
            <v>902050</v>
          </cell>
          <cell r="B508" t="str">
            <v>普通盔甲</v>
          </cell>
          <cell r="C508">
            <v>2000</v>
          </cell>
        </row>
        <row r="509">
          <cell r="A509">
            <v>902027</v>
          </cell>
          <cell r="B509" t="str">
            <v>优良盔甲</v>
          </cell>
          <cell r="C509">
            <v>2000</v>
          </cell>
        </row>
        <row r="510">
          <cell r="A510">
            <v>902030</v>
          </cell>
          <cell r="B510" t="str">
            <v>高级盔甲</v>
          </cell>
          <cell r="C510">
            <v>2000</v>
          </cell>
        </row>
        <row r="511">
          <cell r="A511">
            <v>902041</v>
          </cell>
          <cell r="B511" t="str">
            <v>稀有盔甲</v>
          </cell>
          <cell r="C511">
            <v>2000</v>
          </cell>
        </row>
        <row r="512">
          <cell r="A512">
            <v>902044</v>
          </cell>
          <cell r="B512" t="str">
            <v>特殊盔甲</v>
          </cell>
          <cell r="C512">
            <v>2000</v>
          </cell>
        </row>
        <row r="513">
          <cell r="A513">
            <v>902047</v>
          </cell>
          <cell r="B513" t="str">
            <v>极品盔甲</v>
          </cell>
          <cell r="C513">
            <v>2000</v>
          </cell>
        </row>
        <row r="514">
          <cell r="A514">
            <v>902069</v>
          </cell>
          <cell r="B514" t="str">
            <v>传说盔甲</v>
          </cell>
          <cell r="C514">
            <v>2000</v>
          </cell>
        </row>
        <row r="515">
          <cell r="A515">
            <v>902072</v>
          </cell>
          <cell r="B515" t="str">
            <v>史诗盔甲</v>
          </cell>
          <cell r="C515">
            <v>2000</v>
          </cell>
        </row>
        <row r="516">
          <cell r="A516">
            <v>902051</v>
          </cell>
          <cell r="B516" t="str">
            <v>普通盾牌</v>
          </cell>
          <cell r="C516">
            <v>2000</v>
          </cell>
        </row>
        <row r="517">
          <cell r="A517">
            <v>902028</v>
          </cell>
          <cell r="B517" t="str">
            <v>优良盾牌</v>
          </cell>
          <cell r="C517">
            <v>2000</v>
          </cell>
        </row>
        <row r="518">
          <cell r="A518">
            <v>902031</v>
          </cell>
          <cell r="B518" t="str">
            <v>高级盾牌</v>
          </cell>
          <cell r="C518">
            <v>2000</v>
          </cell>
        </row>
        <row r="519">
          <cell r="A519">
            <v>902042</v>
          </cell>
          <cell r="B519" t="str">
            <v>稀有盾牌</v>
          </cell>
          <cell r="C519">
            <v>2000</v>
          </cell>
        </row>
        <row r="520">
          <cell r="A520">
            <v>902045</v>
          </cell>
          <cell r="B520" t="str">
            <v>特殊盾牌</v>
          </cell>
          <cell r="C520">
            <v>2000</v>
          </cell>
        </row>
        <row r="521">
          <cell r="A521">
            <v>902048</v>
          </cell>
          <cell r="B521" t="str">
            <v>极品盾牌</v>
          </cell>
          <cell r="C521">
            <v>2000</v>
          </cell>
        </row>
        <row r="522">
          <cell r="A522">
            <v>902070</v>
          </cell>
          <cell r="B522" t="str">
            <v>传说盾牌</v>
          </cell>
          <cell r="C522">
            <v>2000</v>
          </cell>
        </row>
        <row r="523">
          <cell r="A523">
            <v>902073</v>
          </cell>
          <cell r="B523" t="str">
            <v>史诗盾牌</v>
          </cell>
          <cell r="C523">
            <v>2000</v>
          </cell>
        </row>
        <row r="524">
          <cell r="A524">
            <v>902052</v>
          </cell>
          <cell r="B524" t="str">
            <v>锻造</v>
          </cell>
          <cell r="C524">
            <v>2000</v>
          </cell>
        </row>
        <row r="525">
          <cell r="A525">
            <v>902053</v>
          </cell>
          <cell r="B525" t="str">
            <v>弓矢</v>
          </cell>
          <cell r="C525">
            <v>2000</v>
          </cell>
        </row>
        <row r="526">
          <cell r="A526">
            <v>902054</v>
          </cell>
          <cell r="B526" t="str">
            <v>弩机</v>
          </cell>
          <cell r="C526">
            <v>2000</v>
          </cell>
        </row>
        <row r="527">
          <cell r="A527">
            <v>902055</v>
          </cell>
          <cell r="B527" t="str">
            <v>盾牌</v>
          </cell>
          <cell r="C527">
            <v>2000</v>
          </cell>
        </row>
        <row r="528">
          <cell r="A528">
            <v>902056</v>
          </cell>
          <cell r="B528" t="str">
            <v>巨盾</v>
          </cell>
          <cell r="C528">
            <v>2000</v>
          </cell>
        </row>
        <row r="529">
          <cell r="A529">
            <v>902057</v>
          </cell>
          <cell r="B529" t="str">
            <v>骑射</v>
          </cell>
          <cell r="C529">
            <v>2000</v>
          </cell>
        </row>
        <row r="530">
          <cell r="A530">
            <v>902059</v>
          </cell>
          <cell r="B530" t="str">
            <v>人伦书</v>
          </cell>
          <cell r="C530">
            <v>2000</v>
          </cell>
        </row>
        <row r="531">
          <cell r="A531">
            <v>902060</v>
          </cell>
          <cell r="B531" t="str">
            <v>轮回书</v>
          </cell>
          <cell r="C531">
            <v>2000</v>
          </cell>
        </row>
        <row r="532">
          <cell r="A532">
            <v>902061</v>
          </cell>
          <cell r="B532" t="str">
            <v>货架</v>
          </cell>
          <cell r="C532">
            <v>1000</v>
          </cell>
        </row>
        <row r="533">
          <cell r="A533">
            <v>902063</v>
          </cell>
          <cell r="B533" t="str">
            <v>填水造陆</v>
          </cell>
          <cell r="C533">
            <v>1000</v>
          </cell>
        </row>
        <row r="534">
          <cell r="A534">
            <v>902064</v>
          </cell>
          <cell r="B534" t="str">
            <v>开挖河道</v>
          </cell>
          <cell r="C534">
            <v>1000</v>
          </cell>
        </row>
        <row r="535">
          <cell r="A535">
            <v>902065</v>
          </cell>
          <cell r="B535" t="str">
            <v>边境贸易</v>
          </cell>
          <cell r="C535">
            <v>1000</v>
          </cell>
        </row>
        <row r="536">
          <cell r="A536">
            <v>902066</v>
          </cell>
          <cell r="B536" t="str">
            <v>马车运输</v>
          </cell>
          <cell r="C536">
            <v>1000</v>
          </cell>
        </row>
        <row r="537">
          <cell r="A537">
            <v>902074</v>
          </cell>
          <cell r="B537" t="str">
            <v>牢房</v>
          </cell>
          <cell r="C537">
            <v>2000</v>
          </cell>
        </row>
        <row r="538">
          <cell r="A538">
            <v>902075</v>
          </cell>
          <cell r="B538" t="str">
            <v>壁炉</v>
          </cell>
          <cell r="C538">
            <v>500</v>
          </cell>
        </row>
        <row r="539">
          <cell r="A539">
            <v>902077</v>
          </cell>
          <cell r="B539" t="str">
            <v>个人意识</v>
          </cell>
          <cell r="C539">
            <v>500</v>
          </cell>
        </row>
        <row r="540">
          <cell r="A540">
            <v>902078</v>
          </cell>
          <cell r="B540" t="str">
            <v>灵感</v>
          </cell>
          <cell r="C540">
            <v>500</v>
          </cell>
        </row>
        <row r="541">
          <cell r="A541">
            <v>902080</v>
          </cell>
          <cell r="B541" t="str">
            <v>勇气</v>
          </cell>
          <cell r="C541">
            <v>500</v>
          </cell>
        </row>
        <row r="542">
          <cell r="A542">
            <v>902081</v>
          </cell>
          <cell r="B542" t="str">
            <v>自由恋爱</v>
          </cell>
          <cell r="C542">
            <v>500</v>
          </cell>
        </row>
        <row r="543">
          <cell r="A543">
            <v>902082</v>
          </cell>
          <cell r="B543" t="str">
            <v>惩罚制度</v>
          </cell>
          <cell r="C543">
            <v>500</v>
          </cell>
        </row>
        <row r="544">
          <cell r="A544">
            <v>902083</v>
          </cell>
          <cell r="B544" t="str">
            <v>奖励制度</v>
          </cell>
          <cell r="C544">
            <v>500</v>
          </cell>
        </row>
        <row r="545">
          <cell r="A545">
            <v>902084</v>
          </cell>
          <cell r="B545" t="str">
            <v>怪物驯化</v>
          </cell>
          <cell r="C545">
            <v>500</v>
          </cell>
        </row>
        <row r="546">
          <cell r="A546">
            <v>902085</v>
          </cell>
          <cell r="B546" t="str">
            <v>农夫雕像</v>
          </cell>
          <cell r="C546">
            <v>100000</v>
          </cell>
        </row>
        <row r="547">
          <cell r="A547">
            <v>902086</v>
          </cell>
          <cell r="B547" t="str">
            <v>精灵雕像</v>
          </cell>
          <cell r="C547">
            <v>100000</v>
          </cell>
        </row>
        <row r="548">
          <cell r="A548">
            <v>902087</v>
          </cell>
          <cell r="B548" t="str">
            <v>士兵雕像</v>
          </cell>
          <cell r="C548">
            <v>100000</v>
          </cell>
        </row>
        <row r="549">
          <cell r="A549">
            <v>902088</v>
          </cell>
          <cell r="B549" t="str">
            <v>渔夫雕像</v>
          </cell>
          <cell r="C549">
            <v>100000</v>
          </cell>
        </row>
        <row r="550">
          <cell r="A550">
            <v>902089</v>
          </cell>
          <cell r="B550" t="str">
            <v>牧民雕像</v>
          </cell>
          <cell r="C550">
            <v>100000</v>
          </cell>
        </row>
        <row r="551">
          <cell r="A551">
            <v>902090</v>
          </cell>
          <cell r="B551" t="str">
            <v>城墙</v>
          </cell>
          <cell r="C551">
            <v>500</v>
          </cell>
        </row>
        <row r="552">
          <cell r="A552">
            <v>902091</v>
          </cell>
          <cell r="B552" t="str">
            <v>开山采石</v>
          </cell>
          <cell r="C552">
            <v>500</v>
          </cell>
        </row>
        <row r="553">
          <cell r="A553">
            <v>902092</v>
          </cell>
          <cell r="B553" t="str">
            <v>大炮</v>
          </cell>
          <cell r="C553">
            <v>500</v>
          </cell>
        </row>
        <row r="554">
          <cell r="A554">
            <v>902093</v>
          </cell>
          <cell r="B554" t="str">
            <v>战舰</v>
          </cell>
          <cell r="C554">
            <v>500</v>
          </cell>
        </row>
        <row r="555">
          <cell r="A555">
            <v>902094</v>
          </cell>
          <cell r="B555" t="str">
            <v>航海术</v>
          </cell>
          <cell r="C555">
            <v>500</v>
          </cell>
        </row>
        <row r="556">
          <cell r="A556">
            <v>902095</v>
          </cell>
          <cell r="B556" t="str">
            <v>巨型战舰</v>
          </cell>
          <cell r="C556">
            <v>500</v>
          </cell>
        </row>
        <row r="557">
          <cell r="A557">
            <v>902096</v>
          </cell>
          <cell r="B557" t="str">
            <v>方尖碑</v>
          </cell>
          <cell r="C557">
            <v>500</v>
          </cell>
        </row>
        <row r="558">
          <cell r="A558">
            <v>902097</v>
          </cell>
          <cell r="B558" t="str">
            <v>铁弹</v>
          </cell>
          <cell r="C558">
            <v>500</v>
          </cell>
        </row>
        <row r="559">
          <cell r="A559">
            <v>902098</v>
          </cell>
          <cell r="B559" t="str">
            <v>弹道</v>
          </cell>
          <cell r="C559">
            <v>500</v>
          </cell>
        </row>
        <row r="560">
          <cell r="A560">
            <v>902099</v>
          </cell>
          <cell r="B560" t="str">
            <v>旅店</v>
          </cell>
          <cell r="C560">
            <v>500</v>
          </cell>
        </row>
        <row r="561">
          <cell r="A561">
            <v>902100</v>
          </cell>
          <cell r="B561" t="str">
            <v>巨型炸弹</v>
          </cell>
          <cell r="C561">
            <v>500</v>
          </cell>
        </row>
        <row r="562">
          <cell r="A562">
            <v>902101</v>
          </cell>
          <cell r="B562" t="str">
            <v>泰坦祭坛</v>
          </cell>
          <cell r="C562">
            <v>500</v>
          </cell>
        </row>
        <row r="563">
          <cell r="A563">
            <v>902102</v>
          </cell>
          <cell r="B563" t="str">
            <v>深井开采</v>
          </cell>
          <cell r="C563">
            <v>500</v>
          </cell>
        </row>
        <row r="564">
          <cell r="A564">
            <v>902103</v>
          </cell>
          <cell r="B564" t="str">
            <v>法杖</v>
          </cell>
          <cell r="C564">
            <v>500</v>
          </cell>
        </row>
        <row r="565">
          <cell r="A565">
            <v>902104</v>
          </cell>
          <cell r="B565" t="str">
            <v>地下穴居</v>
          </cell>
          <cell r="C565">
            <v>500</v>
          </cell>
        </row>
        <row r="566">
          <cell r="A566">
            <v>902105</v>
          </cell>
          <cell r="B566" t="str">
            <v>传送门</v>
          </cell>
          <cell r="C566">
            <v>500</v>
          </cell>
        </row>
        <row r="567">
          <cell r="A567">
            <v>902106</v>
          </cell>
          <cell r="B567" t="str">
            <v>节日庆典</v>
          </cell>
          <cell r="C567">
            <v>500</v>
          </cell>
        </row>
        <row r="568">
          <cell r="A568">
            <v>902108</v>
          </cell>
          <cell r="B568" t="str">
            <v>钩爪</v>
          </cell>
          <cell r="C568">
            <v>500</v>
          </cell>
        </row>
        <row r="569">
          <cell r="A569">
            <v>902109</v>
          </cell>
          <cell r="B569" t="str">
            <v>成片施肥</v>
          </cell>
          <cell r="C569">
            <v>500</v>
          </cell>
        </row>
        <row r="570">
          <cell r="A570">
            <v>902110</v>
          </cell>
          <cell r="B570" t="str">
            <v>尚武精神</v>
          </cell>
          <cell r="C570">
            <v>500</v>
          </cell>
        </row>
        <row r="571">
          <cell r="A571">
            <v>902111</v>
          </cell>
          <cell r="B571" t="str">
            <v>人口政策</v>
          </cell>
          <cell r="C571">
            <v>500</v>
          </cell>
        </row>
        <row r="572">
          <cell r="A572">
            <v>902112</v>
          </cell>
          <cell r="B572" t="str">
            <v>启蒙书</v>
          </cell>
          <cell r="C572">
            <v>500</v>
          </cell>
        </row>
        <row r="573">
          <cell r="A573">
            <v>902113</v>
          </cell>
          <cell r="B573" t="str">
            <v>磨坊</v>
          </cell>
          <cell r="C573">
            <v>500</v>
          </cell>
        </row>
        <row r="574">
          <cell r="A574">
            <v>902114</v>
          </cell>
          <cell r="B574" t="str">
            <v>心灵书</v>
          </cell>
          <cell r="C574">
            <v>500</v>
          </cell>
        </row>
        <row r="575">
          <cell r="A575">
            <v>902115</v>
          </cell>
          <cell r="B575" t="str">
            <v>野营</v>
          </cell>
          <cell r="C575">
            <v>500</v>
          </cell>
        </row>
        <row r="576">
          <cell r="A576">
            <v>902116</v>
          </cell>
          <cell r="B576" t="str">
            <v>蘑菇培育</v>
          </cell>
          <cell r="C576">
            <v>500</v>
          </cell>
        </row>
        <row r="577">
          <cell r="A577">
            <v>902117</v>
          </cell>
          <cell r="B577" t="str">
            <v>倾诉</v>
          </cell>
          <cell r="C577">
            <v>500</v>
          </cell>
        </row>
        <row r="578">
          <cell r="A578">
            <v>902118</v>
          </cell>
          <cell r="B578" t="str">
            <v>光明祭坛</v>
          </cell>
          <cell r="C578">
            <v>500</v>
          </cell>
        </row>
        <row r="579">
          <cell r="A579">
            <v>902119</v>
          </cell>
          <cell r="B579" t="str">
            <v>黑暗祭坛</v>
          </cell>
          <cell r="C579">
            <v>500</v>
          </cell>
        </row>
        <row r="580">
          <cell r="A580">
            <v>902120</v>
          </cell>
          <cell r="B580" t="str">
            <v>天职书</v>
          </cell>
          <cell r="C580">
            <v>2000</v>
          </cell>
        </row>
        <row r="581">
          <cell r="A581">
            <v>902122</v>
          </cell>
          <cell r="B581" t="str">
            <v>冰窖</v>
          </cell>
          <cell r="C581">
            <v>2000</v>
          </cell>
        </row>
        <row r="582">
          <cell r="A582">
            <v>902123</v>
          </cell>
          <cell r="B582" t="str">
            <v>地雷</v>
          </cell>
          <cell r="C582">
            <v>2000</v>
          </cell>
        </row>
        <row r="583">
          <cell r="A583">
            <v>902124</v>
          </cell>
          <cell r="B583" t="str">
            <v>强制劳动</v>
          </cell>
          <cell r="C583">
            <v>2000</v>
          </cell>
        </row>
        <row r="584">
          <cell r="A584">
            <v>902125</v>
          </cell>
          <cell r="B584" t="str">
            <v>官员选拔</v>
          </cell>
          <cell r="C584">
            <v>2000</v>
          </cell>
        </row>
        <row r="585">
          <cell r="A585">
            <v>902126</v>
          </cell>
          <cell r="B585" t="str">
            <v>政治联姻</v>
          </cell>
          <cell r="C585">
            <v>2000</v>
          </cell>
        </row>
        <row r="586">
          <cell r="A586">
            <v>902127</v>
          </cell>
          <cell r="B586" t="str">
            <v>火枪</v>
          </cell>
          <cell r="C586">
            <v>2000</v>
          </cell>
        </row>
        <row r="587">
          <cell r="A587">
            <v>902128</v>
          </cell>
          <cell r="B587" t="str">
            <v>驯狼</v>
          </cell>
          <cell r="C587">
            <v>2000</v>
          </cell>
        </row>
        <row r="588">
          <cell r="A588">
            <v>902129</v>
          </cell>
          <cell r="B588" t="str">
            <v>水晶球</v>
          </cell>
          <cell r="C588">
            <v>2000</v>
          </cell>
        </row>
        <row r="589">
          <cell r="A589">
            <v>902130</v>
          </cell>
          <cell r="B589" t="str">
            <v>冶炼</v>
          </cell>
          <cell r="C589">
            <v>2000</v>
          </cell>
        </row>
        <row r="590">
          <cell r="A590">
            <v>902131</v>
          </cell>
          <cell r="B590" t="str">
            <v>高级冶炼</v>
          </cell>
          <cell r="C590">
            <v>2000</v>
          </cell>
        </row>
        <row r="591">
          <cell r="A591">
            <v>902132</v>
          </cell>
          <cell r="B591" t="str">
            <v>奇观</v>
          </cell>
          <cell r="C591">
            <v>2000</v>
          </cell>
        </row>
        <row r="592">
          <cell r="A592">
            <v>902133</v>
          </cell>
          <cell r="B592" t="str">
            <v>王座</v>
          </cell>
          <cell r="C592">
            <v>2000</v>
          </cell>
        </row>
        <row r="593">
          <cell r="A593">
            <v>902134</v>
          </cell>
          <cell r="B593" t="str">
            <v>社会抚养</v>
          </cell>
          <cell r="C593">
            <v>2000</v>
          </cell>
        </row>
        <row r="594">
          <cell r="A594">
            <v>902135</v>
          </cell>
          <cell r="B594" t="str">
            <v>地板</v>
          </cell>
          <cell r="C594">
            <v>2000</v>
          </cell>
        </row>
        <row r="595">
          <cell r="A595">
            <v>902136</v>
          </cell>
          <cell r="B595" t="str">
            <v>石质地板</v>
          </cell>
          <cell r="C595">
            <v>2000</v>
          </cell>
        </row>
        <row r="596">
          <cell r="A596">
            <v>902137</v>
          </cell>
          <cell r="B596" t="str">
            <v>铁质地板</v>
          </cell>
          <cell r="C596">
            <v>2000</v>
          </cell>
        </row>
        <row r="597">
          <cell r="A597">
            <v>902138</v>
          </cell>
          <cell r="B597" t="str">
            <v>银质地板</v>
          </cell>
          <cell r="C597">
            <v>2000</v>
          </cell>
        </row>
        <row r="598">
          <cell r="A598">
            <v>902139</v>
          </cell>
          <cell r="B598" t="str">
            <v>金质地板</v>
          </cell>
          <cell r="C598">
            <v>2000</v>
          </cell>
        </row>
        <row r="599">
          <cell r="A599">
            <v>902140</v>
          </cell>
          <cell r="B599" t="str">
            <v>博彩</v>
          </cell>
          <cell r="C599">
            <v>2000</v>
          </cell>
        </row>
        <row r="600">
          <cell r="A600">
            <v>902141</v>
          </cell>
          <cell r="B600" t="str">
            <v>公共浴场</v>
          </cell>
          <cell r="C600">
            <v>2000</v>
          </cell>
        </row>
        <row r="601">
          <cell r="A601">
            <v>902142</v>
          </cell>
          <cell r="B601" t="str">
            <v>军事训练</v>
          </cell>
          <cell r="C601">
            <v>2000</v>
          </cell>
        </row>
        <row r="602">
          <cell r="A602">
            <v>902143</v>
          </cell>
          <cell r="B602" t="str">
            <v>铁墙</v>
          </cell>
          <cell r="C602">
            <v>2000</v>
          </cell>
        </row>
        <row r="603">
          <cell r="A603">
            <v>902144</v>
          </cell>
          <cell r="B603" t="str">
            <v>国库</v>
          </cell>
          <cell r="C603">
            <v>2000</v>
          </cell>
        </row>
        <row r="604">
          <cell r="A604">
            <v>902145</v>
          </cell>
          <cell r="B604" t="str">
            <v>BUG雕像</v>
          </cell>
          <cell r="C604">
            <v>100000</v>
          </cell>
        </row>
        <row r="605">
          <cell r="A605">
            <v>902146</v>
          </cell>
          <cell r="B605" t="str">
            <v>继承人选拔</v>
          </cell>
          <cell r="C605">
            <v>2000</v>
          </cell>
        </row>
        <row r="606">
          <cell r="A606">
            <v>902147</v>
          </cell>
          <cell r="B606" t="str">
            <v>兽药</v>
          </cell>
          <cell r="C606">
            <v>2000</v>
          </cell>
        </row>
        <row r="607">
          <cell r="A607">
            <v>902148</v>
          </cell>
          <cell r="B607" t="str">
            <v>永恒圣殿</v>
          </cell>
          <cell r="C607">
            <v>2000</v>
          </cell>
        </row>
        <row r="608">
          <cell r="A608">
            <v>902149</v>
          </cell>
          <cell r="B608" t="str">
            <v>兵法书</v>
          </cell>
          <cell r="C608">
            <v>2000</v>
          </cell>
        </row>
        <row r="609">
          <cell r="A609">
            <v>902150</v>
          </cell>
          <cell r="B609" t="str">
            <v>管理书</v>
          </cell>
          <cell r="C609">
            <v>2000</v>
          </cell>
        </row>
        <row r="610">
          <cell r="A610">
            <v>902151</v>
          </cell>
          <cell r="B610" t="str">
            <v>忠义书</v>
          </cell>
          <cell r="C610">
            <v>2000</v>
          </cell>
        </row>
        <row r="611">
          <cell r="A611">
            <v>902152</v>
          </cell>
          <cell r="B611" t="str">
            <v>高效收纳</v>
          </cell>
          <cell r="C611">
            <v>2000</v>
          </cell>
        </row>
        <row r="612">
          <cell r="A612">
            <v>902153</v>
          </cell>
          <cell r="B612" t="str">
            <v>熏肉</v>
          </cell>
          <cell r="C612">
            <v>2000</v>
          </cell>
        </row>
        <row r="613">
          <cell r="A613">
            <v>902154</v>
          </cell>
          <cell r="B613" t="str">
            <v>糕点</v>
          </cell>
          <cell r="C613">
            <v>2000</v>
          </cell>
        </row>
        <row r="614">
          <cell r="A614">
            <v>902155</v>
          </cell>
          <cell r="B614" t="str">
            <v>零食</v>
          </cell>
          <cell r="C614">
            <v>2000</v>
          </cell>
        </row>
        <row r="615">
          <cell r="A615">
            <v>902156</v>
          </cell>
          <cell r="B615" t="str">
            <v>药茶</v>
          </cell>
          <cell r="C615">
            <v>2000</v>
          </cell>
        </row>
        <row r="616">
          <cell r="A616">
            <v>902157</v>
          </cell>
          <cell r="B616" t="str">
            <v>糖</v>
          </cell>
          <cell r="C616">
            <v>2000</v>
          </cell>
        </row>
        <row r="617">
          <cell r="A617">
            <v>902158</v>
          </cell>
          <cell r="B617" t="str">
            <v>蘑菇精华</v>
          </cell>
          <cell r="C617">
            <v>2000</v>
          </cell>
        </row>
        <row r="618">
          <cell r="A618">
            <v>902159</v>
          </cell>
          <cell r="B618" t="str">
            <v>养颜丹</v>
          </cell>
          <cell r="C618">
            <v>2000</v>
          </cell>
        </row>
        <row r="619">
          <cell r="A619">
            <v>902160</v>
          </cell>
          <cell r="B619" t="str">
            <v>果园</v>
          </cell>
          <cell r="C619">
            <v>2000</v>
          </cell>
        </row>
        <row r="620">
          <cell r="A620">
            <v>902161</v>
          </cell>
          <cell r="B620" t="str">
            <v>百科全书</v>
          </cell>
          <cell r="C620">
            <v>2000</v>
          </cell>
        </row>
        <row r="621">
          <cell r="A621">
            <v>902162</v>
          </cell>
          <cell r="B621" t="str">
            <v>鲜花雕像</v>
          </cell>
          <cell r="C621">
            <v>100000</v>
          </cell>
        </row>
        <row r="622">
          <cell r="A622">
            <v>902163</v>
          </cell>
          <cell r="B622" t="str">
            <v>萨满教思想</v>
          </cell>
          <cell r="C622">
            <v>2000</v>
          </cell>
        </row>
      </sheetData>
      <sheetData sheetId="1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203001</v>
          </cell>
          <cell r="B3" t="str">
            <v>钉甲虫</v>
          </cell>
          <cell r="C3">
            <v>0</v>
          </cell>
        </row>
        <row r="4">
          <cell r="A4">
            <v>203002</v>
          </cell>
          <cell r="B4" t="str">
            <v>幻书</v>
          </cell>
          <cell r="C4">
            <v>0</v>
          </cell>
        </row>
        <row r="5">
          <cell r="A5">
            <v>203003</v>
          </cell>
          <cell r="B5" t="str">
            <v>骷髅战士</v>
          </cell>
          <cell r="C5">
            <v>0</v>
          </cell>
        </row>
        <row r="6">
          <cell r="A6">
            <v>203004</v>
          </cell>
          <cell r="B6" t="str">
            <v>钉剌蜗牛</v>
          </cell>
          <cell r="C6">
            <v>0</v>
          </cell>
        </row>
        <row r="7">
          <cell r="A7">
            <v>203005</v>
          </cell>
          <cell r="B7" t="str">
            <v>魔血巨眼</v>
          </cell>
          <cell r="C7">
            <v>0</v>
          </cell>
        </row>
        <row r="8">
          <cell r="A8">
            <v>203006</v>
          </cell>
          <cell r="B8" t="str">
            <v>魔蟹</v>
          </cell>
          <cell r="C8">
            <v>0</v>
          </cell>
        </row>
        <row r="9">
          <cell r="A9">
            <v>203007</v>
          </cell>
          <cell r="B9" t="str">
            <v>自爆蘑菇</v>
          </cell>
          <cell r="C9">
            <v>0</v>
          </cell>
        </row>
        <row r="10">
          <cell r="A10">
            <v>203008</v>
          </cell>
          <cell r="B10" t="str">
            <v>鬼手</v>
          </cell>
          <cell r="C10">
            <v>0</v>
          </cell>
        </row>
        <row r="11">
          <cell r="A11">
            <v>203009</v>
          </cell>
          <cell r="B11" t="str">
            <v>蚊群</v>
          </cell>
          <cell r="C11">
            <v>0</v>
          </cell>
        </row>
        <row r="12">
          <cell r="A12">
            <v>203010</v>
          </cell>
          <cell r="B12" t="str">
            <v>史莱姆</v>
          </cell>
          <cell r="C12">
            <v>0</v>
          </cell>
        </row>
        <row r="13">
          <cell r="A13">
            <v>203011</v>
          </cell>
          <cell r="B13" t="str">
            <v>巨齿兽</v>
          </cell>
          <cell r="C13">
            <v>0</v>
          </cell>
        </row>
        <row r="14">
          <cell r="A14">
            <v>203012</v>
          </cell>
          <cell r="B14" t="str">
            <v>巨蚊</v>
          </cell>
          <cell r="C14">
            <v>0</v>
          </cell>
        </row>
        <row r="15">
          <cell r="A15">
            <v>203013</v>
          </cell>
          <cell r="B15" t="str">
            <v>青蛇</v>
          </cell>
          <cell r="C15">
            <v>0</v>
          </cell>
        </row>
        <row r="16">
          <cell r="A16">
            <v>203014</v>
          </cell>
          <cell r="B16" t="str">
            <v>幽浮章鱼</v>
          </cell>
          <cell r="C16">
            <v>0</v>
          </cell>
        </row>
        <row r="17">
          <cell r="A17">
            <v>203015</v>
          </cell>
          <cell r="B17" t="str">
            <v>食人花</v>
          </cell>
          <cell r="C17">
            <v>0</v>
          </cell>
        </row>
        <row r="18">
          <cell r="A18">
            <v>203016</v>
          </cell>
          <cell r="B18" t="str">
            <v>毒蜂</v>
          </cell>
          <cell r="C18">
            <v>0</v>
          </cell>
        </row>
        <row r="19">
          <cell r="A19">
            <v>203017</v>
          </cell>
          <cell r="B19" t="str">
            <v>毒蜂幼虫</v>
          </cell>
          <cell r="C19">
            <v>0</v>
          </cell>
        </row>
        <row r="20">
          <cell r="A20">
            <v>203018</v>
          </cell>
          <cell r="B20" t="str">
            <v>蠹虫</v>
          </cell>
          <cell r="C20">
            <v>0</v>
          </cell>
        </row>
        <row r="21">
          <cell r="A21">
            <v>203019</v>
          </cell>
          <cell r="B21" t="str">
            <v>蠹虫幼虫</v>
          </cell>
          <cell r="C21">
            <v>0</v>
          </cell>
        </row>
        <row r="22">
          <cell r="A22">
            <v>203020</v>
          </cell>
          <cell r="B22" t="str">
            <v>幽灵</v>
          </cell>
          <cell r="C22">
            <v>0</v>
          </cell>
        </row>
        <row r="23">
          <cell r="A23">
            <v>203021</v>
          </cell>
          <cell r="B23" t="str">
            <v>魔血小眼</v>
          </cell>
          <cell r="C23">
            <v>0</v>
          </cell>
        </row>
        <row r="24">
          <cell r="A24">
            <v>203022</v>
          </cell>
          <cell r="B24" t="str">
            <v>蝙蝠</v>
          </cell>
          <cell r="C24">
            <v>0</v>
          </cell>
        </row>
        <row r="25">
          <cell r="A25">
            <v>203023</v>
          </cell>
          <cell r="B25" t="str">
            <v>钢铁泰坦</v>
          </cell>
          <cell r="C25">
            <v>0</v>
          </cell>
        </row>
        <row r="26">
          <cell r="A26">
            <v>203024</v>
          </cell>
          <cell r="B26" t="str">
            <v>熔岩泰坦</v>
          </cell>
          <cell r="C26">
            <v>0</v>
          </cell>
        </row>
        <row r="27">
          <cell r="A27">
            <v>203025</v>
          </cell>
          <cell r="B27" t="str">
            <v>寒冰泰坦</v>
          </cell>
          <cell r="C27">
            <v>0</v>
          </cell>
        </row>
        <row r="28">
          <cell r="A28">
            <v>203026</v>
          </cell>
          <cell r="B28" t="str">
            <v>森林泰坦</v>
          </cell>
          <cell r="C28">
            <v>0</v>
          </cell>
        </row>
        <row r="29">
          <cell r="A29">
            <v>203027</v>
          </cell>
          <cell r="B29" t="str">
            <v>坚甲犀牛</v>
          </cell>
          <cell r="C29">
            <v>0</v>
          </cell>
        </row>
        <row r="30">
          <cell r="A30">
            <v>203028</v>
          </cell>
          <cell r="B30" t="str">
            <v>寄居蟹</v>
          </cell>
          <cell r="C30">
            <v>0</v>
          </cell>
        </row>
        <row r="31">
          <cell r="A31">
            <v>203029</v>
          </cell>
          <cell r="B31" t="str">
            <v>海盗王</v>
          </cell>
          <cell r="C31">
            <v>0</v>
          </cell>
        </row>
        <row r="32">
          <cell r="A32">
            <v>203030</v>
          </cell>
          <cell r="B32" t="str">
            <v>海盗头目</v>
          </cell>
          <cell r="C32">
            <v>0</v>
          </cell>
        </row>
        <row r="33">
          <cell r="A33">
            <v>203031</v>
          </cell>
          <cell r="B33" t="str">
            <v>暗夜收割者</v>
          </cell>
          <cell r="C33">
            <v>0</v>
          </cell>
        </row>
        <row r="34">
          <cell r="A34">
            <v>203032</v>
          </cell>
          <cell r="B34" t="str">
            <v>炸弹果</v>
          </cell>
          <cell r="C34">
            <v>0</v>
          </cell>
        </row>
        <row r="35">
          <cell r="A35">
            <v>203034</v>
          </cell>
          <cell r="B35" t="str">
            <v>钻地虫</v>
          </cell>
          <cell r="C35">
            <v>0</v>
          </cell>
        </row>
        <row r="36">
          <cell r="A36">
            <v>203035</v>
          </cell>
          <cell r="B36" t="str">
            <v>刺毛虫</v>
          </cell>
          <cell r="C36">
            <v>0</v>
          </cell>
        </row>
        <row r="37">
          <cell r="A37">
            <v>203036</v>
          </cell>
          <cell r="B37" t="str">
            <v>红宝石史莱姆</v>
          </cell>
          <cell r="C37">
            <v>0</v>
          </cell>
        </row>
        <row r="38">
          <cell r="A38">
            <v>203037</v>
          </cell>
          <cell r="B38" t="str">
            <v>蓝宝石史莱姆</v>
          </cell>
          <cell r="C38">
            <v>0</v>
          </cell>
        </row>
        <row r="39">
          <cell r="A39">
            <v>203038</v>
          </cell>
          <cell r="B39" t="str">
            <v>绿宝石史莱姆</v>
          </cell>
          <cell r="C39">
            <v>0</v>
          </cell>
        </row>
        <row r="40">
          <cell r="A40">
            <v>203039</v>
          </cell>
          <cell r="B40" t="str">
            <v>炸弹史莱姆</v>
          </cell>
          <cell r="C40">
            <v>0</v>
          </cell>
        </row>
        <row r="41">
          <cell r="A41">
            <v>203040</v>
          </cell>
          <cell r="B41" t="str">
            <v>工蚁</v>
          </cell>
          <cell r="C41">
            <v>0</v>
          </cell>
        </row>
        <row r="42">
          <cell r="A42">
            <v>203041</v>
          </cell>
          <cell r="B42" t="str">
            <v>兵蚁</v>
          </cell>
          <cell r="C42">
            <v>0</v>
          </cell>
        </row>
        <row r="43">
          <cell r="A43">
            <v>203042</v>
          </cell>
          <cell r="B43" t="str">
            <v>岩龙</v>
          </cell>
          <cell r="C43">
            <v>9999999</v>
          </cell>
        </row>
        <row r="44">
          <cell r="A44">
            <v>203043</v>
          </cell>
          <cell r="B44" t="str">
            <v>熔岩龙</v>
          </cell>
          <cell r="C44">
            <v>9999999</v>
          </cell>
        </row>
        <row r="45">
          <cell r="A45">
            <v>203044</v>
          </cell>
          <cell r="B45" t="str">
            <v>铁棘龙</v>
          </cell>
          <cell r="C45">
            <v>9999999</v>
          </cell>
        </row>
        <row r="46">
          <cell r="A46">
            <v>203045</v>
          </cell>
          <cell r="B46" t="str">
            <v>虚空龙</v>
          </cell>
          <cell r="C46">
            <v>9999999</v>
          </cell>
        </row>
        <row r="47">
          <cell r="A47">
            <v>203046</v>
          </cell>
          <cell r="B47" t="str">
            <v>火龙</v>
          </cell>
          <cell r="C47">
            <v>9999999</v>
          </cell>
        </row>
        <row r="48">
          <cell r="A48">
            <v>203047</v>
          </cell>
          <cell r="B48" t="str">
            <v>电龙</v>
          </cell>
          <cell r="C48">
            <v>9999999</v>
          </cell>
        </row>
        <row r="49">
          <cell r="A49">
            <v>203048</v>
          </cell>
          <cell r="B49" t="str">
            <v>疾风龙</v>
          </cell>
          <cell r="C49">
            <v>9999999</v>
          </cell>
        </row>
        <row r="50">
          <cell r="A50">
            <v>203049</v>
          </cell>
          <cell r="B50" t="str">
            <v>幽冥龙</v>
          </cell>
          <cell r="C50">
            <v>9999999</v>
          </cell>
        </row>
        <row r="51">
          <cell r="A51">
            <v>203050</v>
          </cell>
          <cell r="B51" t="str">
            <v>冰龙</v>
          </cell>
          <cell r="C51">
            <v>9999999</v>
          </cell>
        </row>
        <row r="52">
          <cell r="A52">
            <v>203051</v>
          </cell>
          <cell r="B52" t="str">
            <v>毒龙</v>
          </cell>
          <cell r="C52">
            <v>9999999</v>
          </cell>
        </row>
        <row r="53">
          <cell r="A53">
            <v>203052</v>
          </cell>
          <cell r="B53" t="str">
            <v>风暴龙</v>
          </cell>
          <cell r="C53">
            <v>9999999</v>
          </cell>
        </row>
        <row r="54">
          <cell r="A54">
            <v>203053</v>
          </cell>
          <cell r="B54" t="str">
            <v>幻心龙</v>
          </cell>
          <cell r="C54">
            <v>9999999</v>
          </cell>
        </row>
        <row r="55">
          <cell r="A55">
            <v>203054</v>
          </cell>
          <cell r="B55" t="str">
            <v>圣盾龙</v>
          </cell>
          <cell r="C55">
            <v>9999999</v>
          </cell>
        </row>
        <row r="56">
          <cell r="A56">
            <v>203055</v>
          </cell>
          <cell r="B56" t="str">
            <v>奥术龙</v>
          </cell>
          <cell r="C56">
            <v>9999999</v>
          </cell>
        </row>
        <row r="57">
          <cell r="A57">
            <v>203056</v>
          </cell>
          <cell r="B57" t="str">
            <v>潮汐龙</v>
          </cell>
          <cell r="C57">
            <v>9999999</v>
          </cell>
        </row>
        <row r="58">
          <cell r="A58">
            <v>203057</v>
          </cell>
          <cell r="B58" t="str">
            <v>远古树龙</v>
          </cell>
          <cell r="C58">
            <v>9999999</v>
          </cell>
        </row>
        <row r="59">
          <cell r="A59">
            <v>203058</v>
          </cell>
          <cell r="B59" t="str">
            <v>红工蚁</v>
          </cell>
          <cell r="C59"/>
        </row>
        <row r="60">
          <cell r="A60">
            <v>203059</v>
          </cell>
          <cell r="B60" t="str">
            <v>红兵蚁</v>
          </cell>
          <cell r="C60"/>
        </row>
        <row r="61">
          <cell r="A61">
            <v>201001</v>
          </cell>
          <cell r="B61" t="str">
            <v>1级钉甲虫</v>
          </cell>
          <cell r="C61">
            <v>0</v>
          </cell>
        </row>
        <row r="62">
          <cell r="A62">
            <v>201002</v>
          </cell>
          <cell r="B62" t="str">
            <v>1级幻书</v>
          </cell>
          <cell r="C62">
            <v>0</v>
          </cell>
        </row>
        <row r="63">
          <cell r="A63">
            <v>201003</v>
          </cell>
          <cell r="B63" t="str">
            <v>1级骷髅战士</v>
          </cell>
          <cell r="C63">
            <v>0</v>
          </cell>
        </row>
        <row r="64">
          <cell r="A64">
            <v>201004</v>
          </cell>
          <cell r="B64" t="str">
            <v>1级钉剌蜗牛</v>
          </cell>
          <cell r="C64">
            <v>0</v>
          </cell>
        </row>
        <row r="65">
          <cell r="A65">
            <v>201005</v>
          </cell>
          <cell r="B65" t="str">
            <v>1级魔血巨眼</v>
          </cell>
          <cell r="C65">
            <v>0</v>
          </cell>
        </row>
        <row r="66">
          <cell r="A66">
            <v>201006</v>
          </cell>
          <cell r="B66" t="str">
            <v>1级魔蟹</v>
          </cell>
          <cell r="C66">
            <v>0</v>
          </cell>
        </row>
        <row r="67">
          <cell r="A67">
            <v>201007</v>
          </cell>
          <cell r="B67" t="str">
            <v>1级自爆蘑菇</v>
          </cell>
          <cell r="C67">
            <v>0</v>
          </cell>
        </row>
        <row r="68">
          <cell r="A68">
            <v>201008</v>
          </cell>
          <cell r="B68" t="str">
            <v>1级鬼手</v>
          </cell>
          <cell r="C68">
            <v>0</v>
          </cell>
        </row>
        <row r="69">
          <cell r="A69">
            <v>201009</v>
          </cell>
          <cell r="B69" t="str">
            <v>1级蚊群</v>
          </cell>
          <cell r="C69">
            <v>0</v>
          </cell>
        </row>
        <row r="70">
          <cell r="A70">
            <v>201010</v>
          </cell>
          <cell r="B70" t="str">
            <v>1级史莱姆</v>
          </cell>
          <cell r="C70">
            <v>0</v>
          </cell>
        </row>
        <row r="71">
          <cell r="A71">
            <v>201011</v>
          </cell>
          <cell r="B71" t="str">
            <v>1级巨齿兽</v>
          </cell>
          <cell r="C71">
            <v>0</v>
          </cell>
        </row>
        <row r="72">
          <cell r="A72">
            <v>201012</v>
          </cell>
          <cell r="B72" t="str">
            <v>1级巨蚊</v>
          </cell>
          <cell r="C72">
            <v>0</v>
          </cell>
        </row>
        <row r="73">
          <cell r="A73">
            <v>201013</v>
          </cell>
          <cell r="B73" t="str">
            <v>1级青蛇</v>
          </cell>
          <cell r="C73">
            <v>0</v>
          </cell>
        </row>
        <row r="74">
          <cell r="A74">
            <v>201014</v>
          </cell>
          <cell r="B74" t="str">
            <v>1级幽浮章鱼</v>
          </cell>
          <cell r="C74">
            <v>0</v>
          </cell>
        </row>
        <row r="75">
          <cell r="A75">
            <v>201015</v>
          </cell>
          <cell r="B75" t="str">
            <v>1级食人花</v>
          </cell>
          <cell r="C75">
            <v>0</v>
          </cell>
        </row>
        <row r="76">
          <cell r="A76">
            <v>201016</v>
          </cell>
          <cell r="B76" t="str">
            <v>1级毒蜂</v>
          </cell>
          <cell r="C76">
            <v>0</v>
          </cell>
        </row>
        <row r="77">
          <cell r="A77">
            <v>201017</v>
          </cell>
          <cell r="B77" t="str">
            <v>1级毒蜂幼虫</v>
          </cell>
          <cell r="C77">
            <v>0</v>
          </cell>
        </row>
        <row r="78">
          <cell r="A78">
            <v>201018</v>
          </cell>
          <cell r="B78" t="str">
            <v>1级蠹虫</v>
          </cell>
          <cell r="C78">
            <v>0</v>
          </cell>
        </row>
        <row r="79">
          <cell r="A79">
            <v>201019</v>
          </cell>
          <cell r="B79" t="str">
            <v>1级蠹虫幼虫</v>
          </cell>
          <cell r="C79">
            <v>0</v>
          </cell>
        </row>
        <row r="80">
          <cell r="A80">
            <v>201020</v>
          </cell>
          <cell r="B80" t="str">
            <v>1级幽灵</v>
          </cell>
          <cell r="C80">
            <v>0</v>
          </cell>
        </row>
        <row r="81">
          <cell r="A81">
            <v>201021</v>
          </cell>
          <cell r="B81" t="str">
            <v>1级魔血小眼</v>
          </cell>
          <cell r="C81">
            <v>0</v>
          </cell>
        </row>
        <row r="82">
          <cell r="A82">
            <v>201022</v>
          </cell>
          <cell r="B82" t="str">
            <v>2级钉甲虫</v>
          </cell>
          <cell r="C82">
            <v>0</v>
          </cell>
        </row>
        <row r="83">
          <cell r="A83">
            <v>201023</v>
          </cell>
          <cell r="B83" t="str">
            <v>2级幻书</v>
          </cell>
          <cell r="C83">
            <v>0</v>
          </cell>
        </row>
        <row r="84">
          <cell r="A84">
            <v>201024</v>
          </cell>
          <cell r="B84" t="str">
            <v>2级骷髅战士</v>
          </cell>
          <cell r="C84">
            <v>0</v>
          </cell>
        </row>
        <row r="85">
          <cell r="A85">
            <v>201025</v>
          </cell>
          <cell r="B85" t="str">
            <v>2级钉剌蜗牛</v>
          </cell>
          <cell r="C85">
            <v>0</v>
          </cell>
        </row>
        <row r="86">
          <cell r="A86">
            <v>201026</v>
          </cell>
          <cell r="B86" t="str">
            <v>2级魔血巨眼</v>
          </cell>
          <cell r="C86">
            <v>0</v>
          </cell>
        </row>
        <row r="87">
          <cell r="A87">
            <v>201027</v>
          </cell>
          <cell r="B87" t="str">
            <v>2级魔蟹</v>
          </cell>
          <cell r="C87">
            <v>0</v>
          </cell>
        </row>
        <row r="88">
          <cell r="A88">
            <v>201028</v>
          </cell>
          <cell r="B88" t="str">
            <v>2级自爆蘑菇</v>
          </cell>
          <cell r="C88">
            <v>0</v>
          </cell>
        </row>
        <row r="89">
          <cell r="A89">
            <v>201029</v>
          </cell>
          <cell r="B89" t="str">
            <v>2级鬼手</v>
          </cell>
          <cell r="C89">
            <v>0</v>
          </cell>
        </row>
        <row r="90">
          <cell r="A90">
            <v>201030</v>
          </cell>
          <cell r="B90" t="str">
            <v>2级蚊群</v>
          </cell>
          <cell r="C90">
            <v>0</v>
          </cell>
        </row>
        <row r="91">
          <cell r="A91">
            <v>201031</v>
          </cell>
          <cell r="B91" t="str">
            <v>2级史莱姆</v>
          </cell>
          <cell r="C91">
            <v>0</v>
          </cell>
        </row>
        <row r="92">
          <cell r="A92">
            <v>201032</v>
          </cell>
          <cell r="B92" t="str">
            <v>2级巨齿兽</v>
          </cell>
          <cell r="C92">
            <v>0</v>
          </cell>
        </row>
        <row r="93">
          <cell r="A93">
            <v>201033</v>
          </cell>
          <cell r="B93" t="str">
            <v>2级巨蚊</v>
          </cell>
          <cell r="C93">
            <v>0</v>
          </cell>
        </row>
        <row r="94">
          <cell r="A94">
            <v>201034</v>
          </cell>
          <cell r="B94" t="str">
            <v>2级蟒蛇</v>
          </cell>
          <cell r="C94">
            <v>0</v>
          </cell>
        </row>
        <row r="95">
          <cell r="A95">
            <v>201035</v>
          </cell>
          <cell r="B95" t="str">
            <v>2级幽浮章鱼</v>
          </cell>
          <cell r="C95">
            <v>0</v>
          </cell>
        </row>
        <row r="96">
          <cell r="A96">
            <v>201036</v>
          </cell>
          <cell r="B96" t="str">
            <v>2级食人花</v>
          </cell>
          <cell r="C96">
            <v>0</v>
          </cell>
        </row>
        <row r="97">
          <cell r="A97">
            <v>201037</v>
          </cell>
          <cell r="B97" t="str">
            <v>2级毒蜂</v>
          </cell>
          <cell r="C97">
            <v>0</v>
          </cell>
        </row>
        <row r="98">
          <cell r="A98">
            <v>201038</v>
          </cell>
          <cell r="B98" t="str">
            <v>2级毒蜂幼虫</v>
          </cell>
          <cell r="C98">
            <v>0</v>
          </cell>
        </row>
        <row r="99">
          <cell r="A99">
            <v>201039</v>
          </cell>
          <cell r="B99" t="str">
            <v>2级蠹虫</v>
          </cell>
          <cell r="C99">
            <v>0</v>
          </cell>
        </row>
        <row r="100">
          <cell r="A100">
            <v>201040</v>
          </cell>
          <cell r="B100" t="str">
            <v>2级蠹虫幼虫</v>
          </cell>
          <cell r="C100">
            <v>0</v>
          </cell>
        </row>
        <row r="101">
          <cell r="A101">
            <v>201041</v>
          </cell>
          <cell r="B101" t="str">
            <v>2级幽灵</v>
          </cell>
          <cell r="C101">
            <v>0</v>
          </cell>
        </row>
        <row r="102">
          <cell r="A102">
            <v>201042</v>
          </cell>
          <cell r="B102" t="str">
            <v>2级魔血小眼</v>
          </cell>
          <cell r="C102">
            <v>0</v>
          </cell>
        </row>
        <row r="103">
          <cell r="A103">
            <v>201043</v>
          </cell>
          <cell r="B103" t="str">
            <v>3级钉甲虫</v>
          </cell>
          <cell r="C103">
            <v>0</v>
          </cell>
        </row>
        <row r="104">
          <cell r="A104">
            <v>201044</v>
          </cell>
          <cell r="B104" t="str">
            <v>3级幻书</v>
          </cell>
          <cell r="C104">
            <v>0</v>
          </cell>
        </row>
        <row r="105">
          <cell r="A105">
            <v>201045</v>
          </cell>
          <cell r="B105" t="str">
            <v>3级骷髅战士</v>
          </cell>
          <cell r="C105">
            <v>0</v>
          </cell>
        </row>
        <row r="106">
          <cell r="A106">
            <v>201046</v>
          </cell>
          <cell r="B106" t="str">
            <v>3级钉剌蜗牛</v>
          </cell>
          <cell r="C106">
            <v>0</v>
          </cell>
        </row>
        <row r="107">
          <cell r="A107">
            <v>201047</v>
          </cell>
          <cell r="B107" t="str">
            <v>3级魔血巨眼</v>
          </cell>
          <cell r="C107">
            <v>0</v>
          </cell>
        </row>
        <row r="108">
          <cell r="A108">
            <v>201048</v>
          </cell>
          <cell r="B108" t="str">
            <v>3级魔蟹</v>
          </cell>
          <cell r="C108">
            <v>0</v>
          </cell>
        </row>
        <row r="109">
          <cell r="A109">
            <v>201049</v>
          </cell>
          <cell r="B109" t="str">
            <v>3级自爆蘑菇</v>
          </cell>
          <cell r="C109">
            <v>0</v>
          </cell>
        </row>
        <row r="110">
          <cell r="A110">
            <v>201050</v>
          </cell>
          <cell r="B110" t="str">
            <v>3级鬼手</v>
          </cell>
          <cell r="C110">
            <v>0</v>
          </cell>
        </row>
        <row r="111">
          <cell r="A111">
            <v>201051</v>
          </cell>
          <cell r="B111" t="str">
            <v>3级蚊群</v>
          </cell>
          <cell r="C111">
            <v>0</v>
          </cell>
        </row>
        <row r="112">
          <cell r="A112">
            <v>201052</v>
          </cell>
          <cell r="B112" t="str">
            <v>3级史莱姆</v>
          </cell>
          <cell r="C112">
            <v>0</v>
          </cell>
        </row>
        <row r="113">
          <cell r="A113">
            <v>201053</v>
          </cell>
          <cell r="B113" t="str">
            <v>3级巨齿兽</v>
          </cell>
          <cell r="C113">
            <v>0</v>
          </cell>
        </row>
        <row r="114">
          <cell r="A114">
            <v>201054</v>
          </cell>
          <cell r="B114" t="str">
            <v>3级巨蚊</v>
          </cell>
          <cell r="C114">
            <v>0</v>
          </cell>
        </row>
        <row r="115">
          <cell r="A115">
            <v>201055</v>
          </cell>
          <cell r="B115" t="str">
            <v>3级青蛇</v>
          </cell>
          <cell r="C115">
            <v>0</v>
          </cell>
        </row>
        <row r="116">
          <cell r="A116">
            <v>201056</v>
          </cell>
          <cell r="B116" t="str">
            <v>3级幽浮章鱼</v>
          </cell>
          <cell r="C116">
            <v>0</v>
          </cell>
        </row>
        <row r="117">
          <cell r="A117">
            <v>201057</v>
          </cell>
          <cell r="B117" t="str">
            <v>3级食人花</v>
          </cell>
          <cell r="C117">
            <v>0</v>
          </cell>
        </row>
        <row r="118">
          <cell r="A118">
            <v>201058</v>
          </cell>
          <cell r="B118" t="str">
            <v>3级毒蜂</v>
          </cell>
          <cell r="C118">
            <v>0</v>
          </cell>
        </row>
        <row r="119">
          <cell r="A119">
            <v>201059</v>
          </cell>
          <cell r="B119" t="str">
            <v>3级毒蜂幼虫</v>
          </cell>
          <cell r="C119">
            <v>0</v>
          </cell>
        </row>
        <row r="120">
          <cell r="A120">
            <v>201060</v>
          </cell>
          <cell r="B120" t="str">
            <v>3级蠹虫</v>
          </cell>
          <cell r="C120">
            <v>0</v>
          </cell>
        </row>
        <row r="121">
          <cell r="A121">
            <v>201061</v>
          </cell>
          <cell r="B121" t="str">
            <v>3级蠹虫幼虫</v>
          </cell>
          <cell r="C121">
            <v>0</v>
          </cell>
        </row>
        <row r="122">
          <cell r="A122">
            <v>201062</v>
          </cell>
          <cell r="B122" t="str">
            <v>3级幽灵</v>
          </cell>
          <cell r="C122">
            <v>0</v>
          </cell>
        </row>
        <row r="123">
          <cell r="A123">
            <v>201063</v>
          </cell>
          <cell r="B123" t="str">
            <v>3级魔血小眼</v>
          </cell>
          <cell r="C123">
            <v>0</v>
          </cell>
        </row>
        <row r="124">
          <cell r="A124">
            <v>201064</v>
          </cell>
          <cell r="B124" t="str">
            <v>4级钉甲虫</v>
          </cell>
          <cell r="C124">
            <v>0</v>
          </cell>
        </row>
        <row r="125">
          <cell r="A125">
            <v>201065</v>
          </cell>
          <cell r="B125" t="str">
            <v>4级幻书</v>
          </cell>
          <cell r="C125">
            <v>0</v>
          </cell>
        </row>
        <row r="126">
          <cell r="A126">
            <v>201066</v>
          </cell>
          <cell r="B126" t="str">
            <v>4级骷髅战士</v>
          </cell>
          <cell r="C126">
            <v>0</v>
          </cell>
        </row>
        <row r="127">
          <cell r="A127">
            <v>201067</v>
          </cell>
          <cell r="B127" t="str">
            <v>4级钉剌蜗牛</v>
          </cell>
          <cell r="C127">
            <v>0</v>
          </cell>
        </row>
        <row r="128">
          <cell r="A128">
            <v>201068</v>
          </cell>
          <cell r="B128" t="str">
            <v>4级魔血巨眼</v>
          </cell>
          <cell r="C128">
            <v>0</v>
          </cell>
        </row>
        <row r="129">
          <cell r="A129">
            <v>201069</v>
          </cell>
          <cell r="B129" t="str">
            <v>4级魔蟹</v>
          </cell>
          <cell r="C129">
            <v>0</v>
          </cell>
        </row>
        <row r="130">
          <cell r="A130">
            <v>201070</v>
          </cell>
          <cell r="B130" t="str">
            <v>4级自爆蘑菇</v>
          </cell>
          <cell r="C130">
            <v>0</v>
          </cell>
        </row>
        <row r="131">
          <cell r="A131">
            <v>201071</v>
          </cell>
          <cell r="B131" t="str">
            <v>4级鬼手</v>
          </cell>
          <cell r="C131">
            <v>0</v>
          </cell>
        </row>
        <row r="132">
          <cell r="A132">
            <v>201072</v>
          </cell>
          <cell r="B132" t="str">
            <v>4级蚊群</v>
          </cell>
          <cell r="C132">
            <v>0</v>
          </cell>
        </row>
        <row r="133">
          <cell r="A133">
            <v>201073</v>
          </cell>
          <cell r="B133" t="str">
            <v>4级史莱姆</v>
          </cell>
          <cell r="C133">
            <v>0</v>
          </cell>
        </row>
        <row r="134">
          <cell r="A134">
            <v>201074</v>
          </cell>
          <cell r="B134" t="str">
            <v>4级巨齿兽</v>
          </cell>
          <cell r="C134">
            <v>0</v>
          </cell>
        </row>
        <row r="135">
          <cell r="A135">
            <v>201075</v>
          </cell>
          <cell r="B135" t="str">
            <v>4级巨蚊</v>
          </cell>
          <cell r="C135">
            <v>0</v>
          </cell>
        </row>
        <row r="136">
          <cell r="A136">
            <v>201076</v>
          </cell>
          <cell r="B136" t="str">
            <v>4级蟒蛇</v>
          </cell>
          <cell r="C136">
            <v>0</v>
          </cell>
        </row>
        <row r="137">
          <cell r="A137">
            <v>201077</v>
          </cell>
          <cell r="B137" t="str">
            <v>4级幽浮章鱼</v>
          </cell>
          <cell r="C137">
            <v>0</v>
          </cell>
        </row>
        <row r="138">
          <cell r="A138">
            <v>201078</v>
          </cell>
          <cell r="B138" t="str">
            <v>4级食人花</v>
          </cell>
          <cell r="C138">
            <v>0</v>
          </cell>
        </row>
        <row r="139">
          <cell r="A139">
            <v>201079</v>
          </cell>
          <cell r="B139" t="str">
            <v>4级毒蜂</v>
          </cell>
          <cell r="C139">
            <v>0</v>
          </cell>
        </row>
        <row r="140">
          <cell r="A140">
            <v>201080</v>
          </cell>
          <cell r="B140" t="str">
            <v>4级毒蜂幼虫</v>
          </cell>
          <cell r="C140">
            <v>0</v>
          </cell>
        </row>
        <row r="141">
          <cell r="A141">
            <v>201081</v>
          </cell>
          <cell r="B141" t="str">
            <v>4级蠹虫</v>
          </cell>
          <cell r="C141">
            <v>0</v>
          </cell>
        </row>
        <row r="142">
          <cell r="A142">
            <v>201082</v>
          </cell>
          <cell r="B142" t="str">
            <v>4级蠹虫幼虫</v>
          </cell>
          <cell r="C142">
            <v>0</v>
          </cell>
        </row>
        <row r="143">
          <cell r="A143">
            <v>201083</v>
          </cell>
          <cell r="B143" t="str">
            <v>4级幽灵</v>
          </cell>
          <cell r="C143">
            <v>0</v>
          </cell>
        </row>
        <row r="144">
          <cell r="A144">
            <v>201084</v>
          </cell>
          <cell r="B144" t="str">
            <v>4级魔血小眼</v>
          </cell>
          <cell r="C144">
            <v>0</v>
          </cell>
        </row>
        <row r="145">
          <cell r="A145">
            <v>201085</v>
          </cell>
          <cell r="B145" t="str">
            <v>5级钉甲虫</v>
          </cell>
          <cell r="C145">
            <v>0</v>
          </cell>
        </row>
        <row r="146">
          <cell r="A146">
            <v>201086</v>
          </cell>
          <cell r="B146" t="str">
            <v>5级幻书</v>
          </cell>
          <cell r="C146">
            <v>0</v>
          </cell>
        </row>
        <row r="147">
          <cell r="A147">
            <v>201087</v>
          </cell>
          <cell r="B147" t="str">
            <v>5级骷髅战士</v>
          </cell>
          <cell r="C147">
            <v>0</v>
          </cell>
        </row>
        <row r="148">
          <cell r="A148">
            <v>201088</v>
          </cell>
          <cell r="B148" t="str">
            <v>5级钉剌蜗牛</v>
          </cell>
          <cell r="C148">
            <v>0</v>
          </cell>
        </row>
        <row r="149">
          <cell r="A149">
            <v>201089</v>
          </cell>
          <cell r="B149" t="str">
            <v>5级魔血巨眼</v>
          </cell>
          <cell r="C149">
            <v>0</v>
          </cell>
        </row>
        <row r="150">
          <cell r="A150">
            <v>201090</v>
          </cell>
          <cell r="B150" t="str">
            <v>5级魔蟹</v>
          </cell>
          <cell r="C150">
            <v>0</v>
          </cell>
        </row>
        <row r="151">
          <cell r="A151">
            <v>201091</v>
          </cell>
          <cell r="B151" t="str">
            <v>5级自爆蘑菇</v>
          </cell>
          <cell r="C151">
            <v>0</v>
          </cell>
        </row>
        <row r="152">
          <cell r="A152">
            <v>201092</v>
          </cell>
          <cell r="B152" t="str">
            <v>5级鬼手</v>
          </cell>
          <cell r="C152">
            <v>0</v>
          </cell>
        </row>
        <row r="153">
          <cell r="A153">
            <v>201093</v>
          </cell>
          <cell r="B153" t="str">
            <v>5级蚊群</v>
          </cell>
          <cell r="C153">
            <v>0</v>
          </cell>
        </row>
        <row r="154">
          <cell r="A154">
            <v>201094</v>
          </cell>
          <cell r="B154" t="str">
            <v>5级史莱姆</v>
          </cell>
          <cell r="C154">
            <v>0</v>
          </cell>
        </row>
        <row r="155">
          <cell r="A155">
            <v>201095</v>
          </cell>
          <cell r="B155" t="str">
            <v>5级巨齿兽</v>
          </cell>
          <cell r="C155">
            <v>0</v>
          </cell>
        </row>
        <row r="156">
          <cell r="A156">
            <v>201096</v>
          </cell>
          <cell r="B156" t="str">
            <v>5级巨蚊</v>
          </cell>
          <cell r="C156">
            <v>0</v>
          </cell>
        </row>
        <row r="157">
          <cell r="A157">
            <v>201097</v>
          </cell>
          <cell r="B157" t="str">
            <v>5级青蛇</v>
          </cell>
          <cell r="C157">
            <v>0</v>
          </cell>
        </row>
        <row r="158">
          <cell r="A158">
            <v>201098</v>
          </cell>
          <cell r="B158" t="str">
            <v>5级幽浮章鱼</v>
          </cell>
          <cell r="C158">
            <v>0</v>
          </cell>
        </row>
        <row r="159">
          <cell r="A159">
            <v>201099</v>
          </cell>
          <cell r="B159" t="str">
            <v>5级食人花</v>
          </cell>
          <cell r="C159">
            <v>0</v>
          </cell>
        </row>
        <row r="160">
          <cell r="A160">
            <v>201100</v>
          </cell>
          <cell r="B160" t="str">
            <v>5级毒蜂</v>
          </cell>
          <cell r="C160">
            <v>0</v>
          </cell>
        </row>
        <row r="161">
          <cell r="A161">
            <v>201101</v>
          </cell>
          <cell r="B161" t="str">
            <v>5级毒蜂幼虫</v>
          </cell>
          <cell r="C161">
            <v>0</v>
          </cell>
        </row>
        <row r="162">
          <cell r="A162">
            <v>201102</v>
          </cell>
          <cell r="B162" t="str">
            <v>5级蠹虫</v>
          </cell>
          <cell r="C162">
            <v>0</v>
          </cell>
        </row>
        <row r="163">
          <cell r="A163">
            <v>201103</v>
          </cell>
          <cell r="B163" t="str">
            <v>5级蠹虫幼虫</v>
          </cell>
          <cell r="C163">
            <v>0</v>
          </cell>
        </row>
        <row r="164">
          <cell r="A164">
            <v>201104</v>
          </cell>
          <cell r="B164" t="str">
            <v>5级幽灵</v>
          </cell>
          <cell r="C164">
            <v>0</v>
          </cell>
        </row>
        <row r="165">
          <cell r="A165">
            <v>201105</v>
          </cell>
          <cell r="B165" t="str">
            <v>5级魔血小眼</v>
          </cell>
          <cell r="C165">
            <v>0</v>
          </cell>
        </row>
        <row r="166">
          <cell r="A166">
            <v>201106</v>
          </cell>
          <cell r="B166" t="str">
            <v>6级钉甲虫</v>
          </cell>
          <cell r="C166">
            <v>0</v>
          </cell>
        </row>
        <row r="167">
          <cell r="A167">
            <v>201107</v>
          </cell>
          <cell r="B167" t="str">
            <v>6级幻书</v>
          </cell>
          <cell r="C167">
            <v>0</v>
          </cell>
        </row>
        <row r="168">
          <cell r="A168">
            <v>201108</v>
          </cell>
          <cell r="B168" t="str">
            <v>6级骷髅战士</v>
          </cell>
          <cell r="C168">
            <v>0</v>
          </cell>
        </row>
        <row r="169">
          <cell r="A169">
            <v>201109</v>
          </cell>
          <cell r="B169" t="str">
            <v>6级钉剌蜗牛</v>
          </cell>
          <cell r="C169">
            <v>0</v>
          </cell>
        </row>
        <row r="170">
          <cell r="A170">
            <v>201110</v>
          </cell>
          <cell r="B170" t="str">
            <v>6级魔血巨眼</v>
          </cell>
          <cell r="C170">
            <v>0</v>
          </cell>
        </row>
        <row r="171">
          <cell r="A171">
            <v>201111</v>
          </cell>
          <cell r="B171" t="str">
            <v>6级魔蟹</v>
          </cell>
          <cell r="C171">
            <v>0</v>
          </cell>
        </row>
        <row r="172">
          <cell r="A172">
            <v>201112</v>
          </cell>
          <cell r="B172" t="str">
            <v>6级自爆蘑菇</v>
          </cell>
          <cell r="C172">
            <v>0</v>
          </cell>
        </row>
        <row r="173">
          <cell r="A173">
            <v>201113</v>
          </cell>
          <cell r="B173" t="str">
            <v>6级鬼手</v>
          </cell>
          <cell r="C173">
            <v>0</v>
          </cell>
        </row>
        <row r="174">
          <cell r="A174">
            <v>201114</v>
          </cell>
          <cell r="B174" t="str">
            <v>6级蚊群</v>
          </cell>
          <cell r="C174">
            <v>0</v>
          </cell>
        </row>
        <row r="175">
          <cell r="A175">
            <v>201115</v>
          </cell>
          <cell r="B175" t="str">
            <v>6级史莱姆</v>
          </cell>
          <cell r="C175">
            <v>0</v>
          </cell>
        </row>
        <row r="176">
          <cell r="A176">
            <v>201116</v>
          </cell>
          <cell r="B176" t="str">
            <v>6级巨齿兽</v>
          </cell>
          <cell r="C176">
            <v>0</v>
          </cell>
        </row>
        <row r="177">
          <cell r="A177">
            <v>201117</v>
          </cell>
          <cell r="B177" t="str">
            <v>6级巨蚊</v>
          </cell>
          <cell r="C177">
            <v>0</v>
          </cell>
        </row>
        <row r="178">
          <cell r="A178">
            <v>201118</v>
          </cell>
          <cell r="B178" t="str">
            <v>6级蟒蛇</v>
          </cell>
          <cell r="C178">
            <v>0</v>
          </cell>
        </row>
        <row r="179">
          <cell r="A179">
            <v>201119</v>
          </cell>
          <cell r="B179" t="str">
            <v>6级幽浮章鱼</v>
          </cell>
          <cell r="C179">
            <v>0</v>
          </cell>
        </row>
        <row r="180">
          <cell r="A180">
            <v>201120</v>
          </cell>
          <cell r="B180" t="str">
            <v>6级食人花</v>
          </cell>
          <cell r="C180">
            <v>0</v>
          </cell>
        </row>
        <row r="181">
          <cell r="A181">
            <v>201121</v>
          </cell>
          <cell r="B181" t="str">
            <v>6级毒蜂</v>
          </cell>
          <cell r="C181">
            <v>0</v>
          </cell>
        </row>
        <row r="182">
          <cell r="A182">
            <v>201122</v>
          </cell>
          <cell r="B182" t="str">
            <v>6级毒蜂幼虫</v>
          </cell>
          <cell r="C182">
            <v>0</v>
          </cell>
        </row>
        <row r="183">
          <cell r="A183">
            <v>201123</v>
          </cell>
          <cell r="B183" t="str">
            <v>6级蠹虫</v>
          </cell>
          <cell r="C183">
            <v>0</v>
          </cell>
        </row>
        <row r="184">
          <cell r="A184">
            <v>201124</v>
          </cell>
          <cell r="B184" t="str">
            <v>6级蠹虫幼虫</v>
          </cell>
          <cell r="C184">
            <v>0</v>
          </cell>
        </row>
        <row r="185">
          <cell r="A185">
            <v>201125</v>
          </cell>
          <cell r="B185" t="str">
            <v>6级幽灵</v>
          </cell>
          <cell r="C185">
            <v>0</v>
          </cell>
        </row>
        <row r="186">
          <cell r="A186">
            <v>201126</v>
          </cell>
          <cell r="B186" t="str">
            <v>6级魔血小眼</v>
          </cell>
          <cell r="C186">
            <v>0</v>
          </cell>
        </row>
        <row r="187">
          <cell r="A187">
            <v>201127</v>
          </cell>
          <cell r="B187" t="str">
            <v>7级钉甲虫</v>
          </cell>
          <cell r="C187">
            <v>0</v>
          </cell>
        </row>
        <row r="188">
          <cell r="A188">
            <v>201128</v>
          </cell>
          <cell r="B188" t="str">
            <v>7级幻书</v>
          </cell>
          <cell r="C188">
            <v>0</v>
          </cell>
        </row>
        <row r="189">
          <cell r="A189">
            <v>201129</v>
          </cell>
          <cell r="B189" t="str">
            <v>7级骷髅战士</v>
          </cell>
          <cell r="C189">
            <v>0</v>
          </cell>
        </row>
        <row r="190">
          <cell r="A190">
            <v>201130</v>
          </cell>
          <cell r="B190" t="str">
            <v>7级钉剌蜗牛</v>
          </cell>
          <cell r="C190">
            <v>0</v>
          </cell>
        </row>
        <row r="191">
          <cell r="A191">
            <v>201131</v>
          </cell>
          <cell r="B191" t="str">
            <v>7级魔血巨眼</v>
          </cell>
          <cell r="C191">
            <v>0</v>
          </cell>
        </row>
        <row r="192">
          <cell r="A192">
            <v>201132</v>
          </cell>
          <cell r="B192" t="str">
            <v>7级魔蟹</v>
          </cell>
          <cell r="C192">
            <v>0</v>
          </cell>
        </row>
        <row r="193">
          <cell r="A193">
            <v>201133</v>
          </cell>
          <cell r="B193" t="str">
            <v>7级自爆蘑菇</v>
          </cell>
          <cell r="C193">
            <v>0</v>
          </cell>
        </row>
        <row r="194">
          <cell r="A194">
            <v>201134</v>
          </cell>
          <cell r="B194" t="str">
            <v>7级鬼手</v>
          </cell>
          <cell r="C194">
            <v>0</v>
          </cell>
        </row>
        <row r="195">
          <cell r="A195">
            <v>201135</v>
          </cell>
          <cell r="B195" t="str">
            <v>7级蚊群</v>
          </cell>
          <cell r="C195">
            <v>0</v>
          </cell>
        </row>
        <row r="196">
          <cell r="A196">
            <v>201136</v>
          </cell>
          <cell r="B196" t="str">
            <v>7级史莱姆</v>
          </cell>
          <cell r="C196">
            <v>0</v>
          </cell>
        </row>
        <row r="197">
          <cell r="A197">
            <v>201137</v>
          </cell>
          <cell r="B197" t="str">
            <v>7级巨齿兽</v>
          </cell>
          <cell r="C197">
            <v>0</v>
          </cell>
        </row>
        <row r="198">
          <cell r="A198">
            <v>201138</v>
          </cell>
          <cell r="B198" t="str">
            <v>7级巨蚊</v>
          </cell>
          <cell r="C198">
            <v>0</v>
          </cell>
        </row>
        <row r="199">
          <cell r="A199">
            <v>201139</v>
          </cell>
          <cell r="B199" t="str">
            <v>7级青蛇</v>
          </cell>
          <cell r="C199">
            <v>0</v>
          </cell>
        </row>
        <row r="200">
          <cell r="A200">
            <v>201140</v>
          </cell>
          <cell r="B200" t="str">
            <v>7级幽浮章鱼</v>
          </cell>
          <cell r="C200">
            <v>0</v>
          </cell>
        </row>
        <row r="201">
          <cell r="A201">
            <v>201141</v>
          </cell>
          <cell r="B201" t="str">
            <v>7级食人花</v>
          </cell>
          <cell r="C201">
            <v>0</v>
          </cell>
        </row>
        <row r="202">
          <cell r="A202">
            <v>201142</v>
          </cell>
          <cell r="B202" t="str">
            <v>7级毒蜂</v>
          </cell>
          <cell r="C202">
            <v>0</v>
          </cell>
        </row>
        <row r="203">
          <cell r="A203">
            <v>201143</v>
          </cell>
          <cell r="B203" t="str">
            <v>7级毒蜂幼虫</v>
          </cell>
          <cell r="C203">
            <v>0</v>
          </cell>
        </row>
        <row r="204">
          <cell r="A204">
            <v>201144</v>
          </cell>
          <cell r="B204" t="str">
            <v>7级蠹虫</v>
          </cell>
          <cell r="C204">
            <v>0</v>
          </cell>
        </row>
        <row r="205">
          <cell r="A205">
            <v>201145</v>
          </cell>
          <cell r="B205" t="str">
            <v>7级蠹虫幼虫</v>
          </cell>
          <cell r="C205">
            <v>0</v>
          </cell>
        </row>
        <row r="206">
          <cell r="A206">
            <v>201146</v>
          </cell>
          <cell r="B206" t="str">
            <v>7级幽灵</v>
          </cell>
          <cell r="C206">
            <v>0</v>
          </cell>
        </row>
        <row r="207">
          <cell r="A207">
            <v>201147</v>
          </cell>
          <cell r="B207" t="str">
            <v>7级魔血小眼</v>
          </cell>
          <cell r="C207">
            <v>0</v>
          </cell>
        </row>
        <row r="208">
          <cell r="A208">
            <v>201148</v>
          </cell>
          <cell r="B208" t="str">
            <v>8级钉甲虫</v>
          </cell>
          <cell r="C208">
            <v>0</v>
          </cell>
        </row>
        <row r="209">
          <cell r="A209">
            <v>201149</v>
          </cell>
          <cell r="B209" t="str">
            <v>8级幻书</v>
          </cell>
          <cell r="C209">
            <v>0</v>
          </cell>
        </row>
        <row r="210">
          <cell r="A210">
            <v>201150</v>
          </cell>
          <cell r="B210" t="str">
            <v>8级骷髅战士</v>
          </cell>
          <cell r="C210">
            <v>0</v>
          </cell>
        </row>
        <row r="211">
          <cell r="A211">
            <v>201151</v>
          </cell>
          <cell r="B211" t="str">
            <v>8级钉剌蜗牛</v>
          </cell>
          <cell r="C211">
            <v>0</v>
          </cell>
        </row>
        <row r="212">
          <cell r="A212">
            <v>201152</v>
          </cell>
          <cell r="B212" t="str">
            <v>8级魔血巨眼</v>
          </cell>
          <cell r="C212">
            <v>0</v>
          </cell>
        </row>
        <row r="213">
          <cell r="A213">
            <v>201153</v>
          </cell>
          <cell r="B213" t="str">
            <v>8级魔蟹</v>
          </cell>
          <cell r="C213">
            <v>0</v>
          </cell>
        </row>
        <row r="214">
          <cell r="A214">
            <v>201154</v>
          </cell>
          <cell r="B214" t="str">
            <v>8级自爆蘑菇</v>
          </cell>
          <cell r="C214">
            <v>0</v>
          </cell>
        </row>
        <row r="215">
          <cell r="A215">
            <v>201155</v>
          </cell>
          <cell r="B215" t="str">
            <v>8级鬼手</v>
          </cell>
          <cell r="C215">
            <v>0</v>
          </cell>
        </row>
        <row r="216">
          <cell r="A216">
            <v>201156</v>
          </cell>
          <cell r="B216" t="str">
            <v>8级蚊群</v>
          </cell>
          <cell r="C216">
            <v>0</v>
          </cell>
        </row>
        <row r="217">
          <cell r="A217">
            <v>201157</v>
          </cell>
          <cell r="B217" t="str">
            <v>8级史莱姆</v>
          </cell>
          <cell r="C217">
            <v>0</v>
          </cell>
        </row>
        <row r="218">
          <cell r="A218">
            <v>201158</v>
          </cell>
          <cell r="B218" t="str">
            <v>8级巨齿兽</v>
          </cell>
          <cell r="C218">
            <v>0</v>
          </cell>
        </row>
        <row r="219">
          <cell r="A219">
            <v>201159</v>
          </cell>
          <cell r="B219" t="str">
            <v>8级巨蚊</v>
          </cell>
          <cell r="C219">
            <v>0</v>
          </cell>
        </row>
        <row r="220">
          <cell r="A220">
            <v>201160</v>
          </cell>
          <cell r="B220" t="str">
            <v>8级蟒蛇</v>
          </cell>
          <cell r="C220">
            <v>0</v>
          </cell>
        </row>
        <row r="221">
          <cell r="A221">
            <v>201161</v>
          </cell>
          <cell r="B221" t="str">
            <v>8级幽浮章鱼</v>
          </cell>
          <cell r="C221">
            <v>0</v>
          </cell>
        </row>
        <row r="222">
          <cell r="A222">
            <v>201162</v>
          </cell>
          <cell r="B222" t="str">
            <v>8级食人花</v>
          </cell>
          <cell r="C222">
            <v>0</v>
          </cell>
        </row>
        <row r="223">
          <cell r="A223">
            <v>201163</v>
          </cell>
          <cell r="B223" t="str">
            <v>8级毒蜂</v>
          </cell>
          <cell r="C223">
            <v>0</v>
          </cell>
        </row>
        <row r="224">
          <cell r="A224">
            <v>201164</v>
          </cell>
          <cell r="B224" t="str">
            <v>8级毒蜂幼虫</v>
          </cell>
          <cell r="C224">
            <v>0</v>
          </cell>
        </row>
        <row r="225">
          <cell r="A225">
            <v>201165</v>
          </cell>
          <cell r="B225" t="str">
            <v>8级蠹虫</v>
          </cell>
          <cell r="C225">
            <v>0</v>
          </cell>
        </row>
        <row r="226">
          <cell r="A226">
            <v>201166</v>
          </cell>
          <cell r="B226" t="str">
            <v>8级蠹虫幼虫</v>
          </cell>
          <cell r="C226">
            <v>0</v>
          </cell>
        </row>
        <row r="227">
          <cell r="A227">
            <v>201167</v>
          </cell>
          <cell r="B227" t="str">
            <v>8级幽灵</v>
          </cell>
          <cell r="C227">
            <v>0</v>
          </cell>
        </row>
        <row r="228">
          <cell r="A228">
            <v>201168</v>
          </cell>
          <cell r="B228" t="str">
            <v>8级魔血小眼</v>
          </cell>
          <cell r="C228">
            <v>0</v>
          </cell>
        </row>
        <row r="229">
          <cell r="A229">
            <v>201169</v>
          </cell>
          <cell r="B229" t="str">
            <v>9级钉甲虫</v>
          </cell>
          <cell r="C229">
            <v>0</v>
          </cell>
        </row>
        <row r="230">
          <cell r="A230">
            <v>201170</v>
          </cell>
          <cell r="B230" t="str">
            <v>9级幻书</v>
          </cell>
          <cell r="C230">
            <v>0</v>
          </cell>
        </row>
        <row r="231">
          <cell r="A231">
            <v>201171</v>
          </cell>
          <cell r="B231" t="str">
            <v>9级骷髅战士</v>
          </cell>
          <cell r="C231">
            <v>0</v>
          </cell>
        </row>
        <row r="232">
          <cell r="A232">
            <v>201172</v>
          </cell>
          <cell r="B232" t="str">
            <v>9级钉剌蜗牛</v>
          </cell>
          <cell r="C232">
            <v>0</v>
          </cell>
        </row>
        <row r="233">
          <cell r="A233">
            <v>201173</v>
          </cell>
          <cell r="B233" t="str">
            <v>9级魔血巨眼</v>
          </cell>
          <cell r="C233">
            <v>0</v>
          </cell>
        </row>
        <row r="234">
          <cell r="A234">
            <v>201174</v>
          </cell>
          <cell r="B234" t="str">
            <v>9级魔蟹</v>
          </cell>
          <cell r="C234">
            <v>0</v>
          </cell>
        </row>
        <row r="235">
          <cell r="A235">
            <v>201175</v>
          </cell>
          <cell r="B235" t="str">
            <v>9级自爆蘑菇</v>
          </cell>
          <cell r="C235">
            <v>0</v>
          </cell>
        </row>
        <row r="236">
          <cell r="A236">
            <v>201176</v>
          </cell>
          <cell r="B236" t="str">
            <v>9级鬼手</v>
          </cell>
          <cell r="C236">
            <v>0</v>
          </cell>
        </row>
        <row r="237">
          <cell r="A237">
            <v>201177</v>
          </cell>
          <cell r="B237" t="str">
            <v>9级蚊群</v>
          </cell>
          <cell r="C237">
            <v>0</v>
          </cell>
        </row>
        <row r="238">
          <cell r="A238">
            <v>201178</v>
          </cell>
          <cell r="B238" t="str">
            <v>9级史莱姆</v>
          </cell>
          <cell r="C238">
            <v>0</v>
          </cell>
        </row>
        <row r="239">
          <cell r="A239">
            <v>201179</v>
          </cell>
          <cell r="B239" t="str">
            <v>9级巨齿兽</v>
          </cell>
          <cell r="C239">
            <v>0</v>
          </cell>
        </row>
        <row r="240">
          <cell r="A240">
            <v>201180</v>
          </cell>
          <cell r="B240" t="str">
            <v>9级巨蚊</v>
          </cell>
          <cell r="C240">
            <v>0</v>
          </cell>
        </row>
        <row r="241">
          <cell r="A241">
            <v>201181</v>
          </cell>
          <cell r="B241" t="str">
            <v>9级青蛇</v>
          </cell>
          <cell r="C241">
            <v>0</v>
          </cell>
        </row>
        <row r="242">
          <cell r="A242">
            <v>201182</v>
          </cell>
          <cell r="B242" t="str">
            <v>9级幽浮章鱼</v>
          </cell>
          <cell r="C242">
            <v>0</v>
          </cell>
        </row>
        <row r="243">
          <cell r="A243">
            <v>201183</v>
          </cell>
          <cell r="B243" t="str">
            <v>9级食人花</v>
          </cell>
          <cell r="C243">
            <v>0</v>
          </cell>
        </row>
        <row r="244">
          <cell r="A244">
            <v>201184</v>
          </cell>
          <cell r="B244" t="str">
            <v>9级毒蜂</v>
          </cell>
          <cell r="C244">
            <v>0</v>
          </cell>
        </row>
        <row r="245">
          <cell r="A245">
            <v>201185</v>
          </cell>
          <cell r="B245" t="str">
            <v>9级毒蜂幼虫</v>
          </cell>
          <cell r="C245">
            <v>0</v>
          </cell>
        </row>
        <row r="246">
          <cell r="A246">
            <v>201186</v>
          </cell>
          <cell r="B246" t="str">
            <v>9级蠹虫</v>
          </cell>
          <cell r="C246">
            <v>0</v>
          </cell>
        </row>
        <row r="247">
          <cell r="A247">
            <v>201187</v>
          </cell>
          <cell r="B247" t="str">
            <v>9级蠹虫幼虫</v>
          </cell>
          <cell r="C247">
            <v>0</v>
          </cell>
        </row>
        <row r="248">
          <cell r="A248">
            <v>201188</v>
          </cell>
          <cell r="B248" t="str">
            <v>9级幽灵</v>
          </cell>
          <cell r="C248">
            <v>0</v>
          </cell>
        </row>
        <row r="249">
          <cell r="A249">
            <v>201189</v>
          </cell>
          <cell r="B249" t="str">
            <v>9级魔血小眼</v>
          </cell>
          <cell r="C249">
            <v>0</v>
          </cell>
        </row>
        <row r="250">
          <cell r="A250">
            <v>201190</v>
          </cell>
          <cell r="B250" t="str">
            <v>10级钉甲虫</v>
          </cell>
          <cell r="C250">
            <v>0</v>
          </cell>
        </row>
        <row r="251">
          <cell r="A251">
            <v>201191</v>
          </cell>
          <cell r="B251" t="str">
            <v>10级幻书</v>
          </cell>
          <cell r="C251">
            <v>0</v>
          </cell>
        </row>
        <row r="252">
          <cell r="A252">
            <v>201192</v>
          </cell>
          <cell r="B252" t="str">
            <v>10级骷髅战士</v>
          </cell>
          <cell r="C252">
            <v>0</v>
          </cell>
        </row>
        <row r="253">
          <cell r="A253">
            <v>201193</v>
          </cell>
          <cell r="B253" t="str">
            <v>10级钉剌蜗牛</v>
          </cell>
          <cell r="C253">
            <v>0</v>
          </cell>
        </row>
        <row r="254">
          <cell r="A254">
            <v>201194</v>
          </cell>
          <cell r="B254" t="str">
            <v>10级魔血巨眼</v>
          </cell>
          <cell r="C254">
            <v>0</v>
          </cell>
        </row>
        <row r="255">
          <cell r="A255">
            <v>201195</v>
          </cell>
          <cell r="B255" t="str">
            <v>10级魔蟹</v>
          </cell>
          <cell r="C255">
            <v>0</v>
          </cell>
        </row>
        <row r="256">
          <cell r="A256">
            <v>201196</v>
          </cell>
          <cell r="B256" t="str">
            <v>10级自爆蘑菇</v>
          </cell>
          <cell r="C256">
            <v>0</v>
          </cell>
        </row>
        <row r="257">
          <cell r="A257">
            <v>201197</v>
          </cell>
          <cell r="B257" t="str">
            <v>10级鬼手</v>
          </cell>
          <cell r="C257">
            <v>0</v>
          </cell>
        </row>
        <row r="258">
          <cell r="A258">
            <v>201198</v>
          </cell>
          <cell r="B258" t="str">
            <v>10级蚊群</v>
          </cell>
          <cell r="C258">
            <v>0</v>
          </cell>
        </row>
        <row r="259">
          <cell r="A259">
            <v>201199</v>
          </cell>
          <cell r="B259" t="str">
            <v>10级史莱姆</v>
          </cell>
          <cell r="C259">
            <v>0</v>
          </cell>
        </row>
        <row r="260">
          <cell r="A260">
            <v>201200</v>
          </cell>
          <cell r="B260" t="str">
            <v>10级巨齿兽</v>
          </cell>
          <cell r="C260">
            <v>0</v>
          </cell>
        </row>
        <row r="261">
          <cell r="A261">
            <v>201201</v>
          </cell>
          <cell r="B261" t="str">
            <v>10级巨蚊</v>
          </cell>
          <cell r="C261">
            <v>0</v>
          </cell>
        </row>
        <row r="262">
          <cell r="A262">
            <v>201202</v>
          </cell>
          <cell r="B262" t="str">
            <v>10级蟒蛇</v>
          </cell>
          <cell r="C262">
            <v>0</v>
          </cell>
        </row>
        <row r="263">
          <cell r="A263">
            <v>201203</v>
          </cell>
          <cell r="B263" t="str">
            <v>10级幽浮章鱼</v>
          </cell>
          <cell r="C263">
            <v>0</v>
          </cell>
        </row>
        <row r="264">
          <cell r="A264">
            <v>201204</v>
          </cell>
          <cell r="B264" t="str">
            <v>10级食人花</v>
          </cell>
          <cell r="C264">
            <v>0</v>
          </cell>
        </row>
        <row r="265">
          <cell r="A265">
            <v>201205</v>
          </cell>
          <cell r="B265" t="str">
            <v>10级毒蜂</v>
          </cell>
          <cell r="C265">
            <v>0</v>
          </cell>
        </row>
        <row r="266">
          <cell r="A266">
            <v>201206</v>
          </cell>
          <cell r="B266" t="str">
            <v>10级毒蜂幼虫</v>
          </cell>
          <cell r="C266">
            <v>0</v>
          </cell>
        </row>
        <row r="267">
          <cell r="A267">
            <v>201207</v>
          </cell>
          <cell r="B267" t="str">
            <v>10级蠹虫</v>
          </cell>
          <cell r="C267">
            <v>0</v>
          </cell>
        </row>
        <row r="268">
          <cell r="A268">
            <v>201208</v>
          </cell>
          <cell r="B268" t="str">
            <v>10级蠹虫幼虫</v>
          </cell>
          <cell r="C268">
            <v>0</v>
          </cell>
        </row>
        <row r="269">
          <cell r="A269">
            <v>201209</v>
          </cell>
          <cell r="B269" t="str">
            <v>10级幽灵</v>
          </cell>
          <cell r="C269">
            <v>0</v>
          </cell>
        </row>
        <row r="270">
          <cell r="A270">
            <v>201210</v>
          </cell>
          <cell r="B270" t="str">
            <v>10级魔血小眼</v>
          </cell>
          <cell r="C270">
            <v>0</v>
          </cell>
        </row>
        <row r="271">
          <cell r="A271">
            <v>201211</v>
          </cell>
          <cell r="B271" t="str">
            <v>1级蝙蝠</v>
          </cell>
          <cell r="C271">
            <v>0</v>
          </cell>
        </row>
        <row r="272">
          <cell r="A272">
            <v>201212</v>
          </cell>
          <cell r="B272" t="str">
            <v>2级蝙蝠</v>
          </cell>
          <cell r="C272">
            <v>0</v>
          </cell>
        </row>
        <row r="273">
          <cell r="A273">
            <v>201213</v>
          </cell>
          <cell r="B273" t="str">
            <v>3级蝙蝠</v>
          </cell>
          <cell r="C273">
            <v>0</v>
          </cell>
        </row>
        <row r="274">
          <cell r="A274">
            <v>201214</v>
          </cell>
          <cell r="B274" t="str">
            <v>4级蝙蝠</v>
          </cell>
          <cell r="C274">
            <v>0</v>
          </cell>
        </row>
        <row r="275">
          <cell r="A275">
            <v>201215</v>
          </cell>
          <cell r="B275" t="str">
            <v>5级蝙蝠</v>
          </cell>
          <cell r="C275">
            <v>0</v>
          </cell>
        </row>
        <row r="276">
          <cell r="A276">
            <v>201216</v>
          </cell>
          <cell r="B276" t="str">
            <v>6级蝙蝠</v>
          </cell>
          <cell r="C276">
            <v>0</v>
          </cell>
        </row>
        <row r="277">
          <cell r="A277">
            <v>201217</v>
          </cell>
          <cell r="B277" t="str">
            <v>7级蝙蝠</v>
          </cell>
          <cell r="C277">
            <v>0</v>
          </cell>
        </row>
        <row r="278">
          <cell r="A278">
            <v>201218</v>
          </cell>
          <cell r="B278" t="str">
            <v>8级蝙蝠</v>
          </cell>
          <cell r="C278">
            <v>0</v>
          </cell>
        </row>
        <row r="279">
          <cell r="A279">
            <v>201219</v>
          </cell>
          <cell r="B279" t="str">
            <v>9级蝙蝠</v>
          </cell>
          <cell r="C279">
            <v>0</v>
          </cell>
        </row>
        <row r="280">
          <cell r="A280">
            <v>201220</v>
          </cell>
          <cell r="B280" t="str">
            <v>10级蝙蝠</v>
          </cell>
          <cell r="C280">
            <v>0</v>
          </cell>
        </row>
        <row r="281">
          <cell r="A281">
            <v>201221</v>
          </cell>
          <cell r="B281" t="str">
            <v>1级钢铁泰坦</v>
          </cell>
          <cell r="C281">
            <v>0</v>
          </cell>
        </row>
        <row r="282">
          <cell r="A282">
            <v>201222</v>
          </cell>
          <cell r="B282" t="str">
            <v>2级钢铁泰坦</v>
          </cell>
          <cell r="C282">
            <v>0</v>
          </cell>
        </row>
        <row r="283">
          <cell r="A283">
            <v>201223</v>
          </cell>
          <cell r="B283" t="str">
            <v>3级钢铁泰坦</v>
          </cell>
          <cell r="C283">
            <v>0</v>
          </cell>
        </row>
        <row r="284">
          <cell r="A284">
            <v>201224</v>
          </cell>
          <cell r="B284" t="str">
            <v>4级钢铁泰坦</v>
          </cell>
          <cell r="C284">
            <v>0</v>
          </cell>
        </row>
        <row r="285">
          <cell r="A285">
            <v>201225</v>
          </cell>
          <cell r="B285" t="str">
            <v>5级钢铁泰坦</v>
          </cell>
          <cell r="C285">
            <v>0</v>
          </cell>
        </row>
        <row r="286">
          <cell r="A286">
            <v>201226</v>
          </cell>
          <cell r="B286" t="str">
            <v>6级钢铁泰坦</v>
          </cell>
          <cell r="C286">
            <v>0</v>
          </cell>
        </row>
        <row r="287">
          <cell r="A287">
            <v>201227</v>
          </cell>
          <cell r="B287" t="str">
            <v>7级钢铁泰坦</v>
          </cell>
          <cell r="C287">
            <v>0</v>
          </cell>
        </row>
        <row r="288">
          <cell r="A288">
            <v>201228</v>
          </cell>
          <cell r="B288" t="str">
            <v>8级钢铁泰坦</v>
          </cell>
          <cell r="C288">
            <v>0</v>
          </cell>
        </row>
        <row r="289">
          <cell r="A289">
            <v>201229</v>
          </cell>
          <cell r="B289" t="str">
            <v>9级钢铁泰坦</v>
          </cell>
          <cell r="C289">
            <v>0</v>
          </cell>
        </row>
        <row r="290">
          <cell r="A290">
            <v>201230</v>
          </cell>
          <cell r="B290" t="str">
            <v>10级钢铁泰坦</v>
          </cell>
          <cell r="C290">
            <v>0</v>
          </cell>
        </row>
        <row r="291">
          <cell r="A291">
            <v>201231</v>
          </cell>
          <cell r="B291" t="str">
            <v>1级熔岩泰坦</v>
          </cell>
          <cell r="C291">
            <v>0</v>
          </cell>
        </row>
        <row r="292">
          <cell r="A292">
            <v>201232</v>
          </cell>
          <cell r="B292" t="str">
            <v>2级熔岩泰坦</v>
          </cell>
          <cell r="C292">
            <v>0</v>
          </cell>
        </row>
        <row r="293">
          <cell r="A293">
            <v>201233</v>
          </cell>
          <cell r="B293" t="str">
            <v>3级熔岩泰坦</v>
          </cell>
          <cell r="C293">
            <v>0</v>
          </cell>
        </row>
        <row r="294">
          <cell r="A294">
            <v>201234</v>
          </cell>
          <cell r="B294" t="str">
            <v>4级熔岩泰坦</v>
          </cell>
          <cell r="C294">
            <v>0</v>
          </cell>
        </row>
        <row r="295">
          <cell r="A295">
            <v>201235</v>
          </cell>
          <cell r="B295" t="str">
            <v>5级熔岩泰坦</v>
          </cell>
          <cell r="C295">
            <v>0</v>
          </cell>
        </row>
        <row r="296">
          <cell r="A296">
            <v>201236</v>
          </cell>
          <cell r="B296" t="str">
            <v>6级熔岩泰坦</v>
          </cell>
          <cell r="C296">
            <v>0</v>
          </cell>
        </row>
        <row r="297">
          <cell r="A297">
            <v>201237</v>
          </cell>
          <cell r="B297" t="str">
            <v>7级熔岩泰坦</v>
          </cell>
          <cell r="C297">
            <v>0</v>
          </cell>
        </row>
        <row r="298">
          <cell r="A298">
            <v>201238</v>
          </cell>
          <cell r="B298" t="str">
            <v>8级熔岩泰坦</v>
          </cell>
          <cell r="C298">
            <v>0</v>
          </cell>
        </row>
        <row r="299">
          <cell r="A299">
            <v>201239</v>
          </cell>
          <cell r="B299" t="str">
            <v>9级熔岩泰坦</v>
          </cell>
          <cell r="C299">
            <v>0</v>
          </cell>
        </row>
        <row r="300">
          <cell r="A300">
            <v>201240</v>
          </cell>
          <cell r="B300" t="str">
            <v>10级熔岩泰坦</v>
          </cell>
          <cell r="C300">
            <v>0</v>
          </cell>
        </row>
        <row r="301">
          <cell r="A301">
            <v>201241</v>
          </cell>
          <cell r="B301" t="str">
            <v>1级寒冰泰坦</v>
          </cell>
          <cell r="C301">
            <v>0</v>
          </cell>
        </row>
        <row r="302">
          <cell r="A302">
            <v>201242</v>
          </cell>
          <cell r="B302" t="str">
            <v>2级寒冰泰坦</v>
          </cell>
          <cell r="C302">
            <v>0</v>
          </cell>
        </row>
        <row r="303">
          <cell r="A303">
            <v>201243</v>
          </cell>
          <cell r="B303" t="str">
            <v>3级寒冰泰坦</v>
          </cell>
          <cell r="C303">
            <v>0</v>
          </cell>
        </row>
        <row r="304">
          <cell r="A304">
            <v>201244</v>
          </cell>
          <cell r="B304" t="str">
            <v>4级寒冰泰坦</v>
          </cell>
          <cell r="C304">
            <v>0</v>
          </cell>
        </row>
        <row r="305">
          <cell r="A305">
            <v>201245</v>
          </cell>
          <cell r="B305" t="str">
            <v>5级寒冰泰坦</v>
          </cell>
          <cell r="C305">
            <v>0</v>
          </cell>
        </row>
        <row r="306">
          <cell r="A306">
            <v>201246</v>
          </cell>
          <cell r="B306" t="str">
            <v>6级寒冰泰坦</v>
          </cell>
          <cell r="C306">
            <v>0</v>
          </cell>
        </row>
        <row r="307">
          <cell r="A307">
            <v>201247</v>
          </cell>
          <cell r="B307" t="str">
            <v>7级寒冰泰坦</v>
          </cell>
          <cell r="C307">
            <v>0</v>
          </cell>
        </row>
        <row r="308">
          <cell r="A308">
            <v>201248</v>
          </cell>
          <cell r="B308" t="str">
            <v>8级寒冰泰坦</v>
          </cell>
          <cell r="C308">
            <v>0</v>
          </cell>
        </row>
        <row r="309">
          <cell r="A309">
            <v>201249</v>
          </cell>
          <cell r="B309" t="str">
            <v>9级寒冰泰坦</v>
          </cell>
          <cell r="C309">
            <v>0</v>
          </cell>
        </row>
        <row r="310">
          <cell r="A310">
            <v>201250</v>
          </cell>
          <cell r="B310" t="str">
            <v>10级寒冰泰坦</v>
          </cell>
          <cell r="C310">
            <v>0</v>
          </cell>
        </row>
        <row r="311">
          <cell r="A311">
            <v>201251</v>
          </cell>
          <cell r="B311" t="str">
            <v>1级森林泰坦</v>
          </cell>
          <cell r="C311">
            <v>0</v>
          </cell>
        </row>
        <row r="312">
          <cell r="A312">
            <v>201252</v>
          </cell>
          <cell r="B312" t="str">
            <v>2级森林泰坦</v>
          </cell>
          <cell r="C312">
            <v>0</v>
          </cell>
        </row>
        <row r="313">
          <cell r="A313">
            <v>201253</v>
          </cell>
          <cell r="B313" t="str">
            <v>3级森林泰坦</v>
          </cell>
          <cell r="C313">
            <v>0</v>
          </cell>
        </row>
        <row r="314">
          <cell r="A314">
            <v>201254</v>
          </cell>
          <cell r="B314" t="str">
            <v>4级森林泰坦</v>
          </cell>
          <cell r="C314">
            <v>0</v>
          </cell>
        </row>
        <row r="315">
          <cell r="A315">
            <v>201255</v>
          </cell>
          <cell r="B315" t="str">
            <v>5级森林泰坦</v>
          </cell>
          <cell r="C315">
            <v>0</v>
          </cell>
        </row>
        <row r="316">
          <cell r="A316">
            <v>201256</v>
          </cell>
          <cell r="B316" t="str">
            <v>6级森林泰坦</v>
          </cell>
          <cell r="C316">
            <v>0</v>
          </cell>
        </row>
        <row r="317">
          <cell r="A317">
            <v>201257</v>
          </cell>
          <cell r="B317" t="str">
            <v>7级森林泰坦</v>
          </cell>
          <cell r="C317">
            <v>0</v>
          </cell>
        </row>
        <row r="318">
          <cell r="A318">
            <v>201258</v>
          </cell>
          <cell r="B318" t="str">
            <v>8级森林泰坦</v>
          </cell>
          <cell r="C318">
            <v>0</v>
          </cell>
        </row>
        <row r="319">
          <cell r="A319">
            <v>201259</v>
          </cell>
          <cell r="B319" t="str">
            <v>9级森林泰坦</v>
          </cell>
          <cell r="C319">
            <v>0</v>
          </cell>
        </row>
        <row r="320">
          <cell r="A320">
            <v>201260</v>
          </cell>
          <cell r="B320" t="str">
            <v>10级森林泰坦</v>
          </cell>
          <cell r="C320">
            <v>0</v>
          </cell>
        </row>
        <row r="321">
          <cell r="A321">
            <v>201261</v>
          </cell>
          <cell r="B321" t="str">
            <v>1级坚甲犀牛</v>
          </cell>
          <cell r="C321">
            <v>0</v>
          </cell>
        </row>
        <row r="322">
          <cell r="A322">
            <v>201262</v>
          </cell>
          <cell r="B322" t="str">
            <v>2级坚甲犀牛</v>
          </cell>
          <cell r="C322">
            <v>0</v>
          </cell>
        </row>
        <row r="323">
          <cell r="A323">
            <v>201263</v>
          </cell>
          <cell r="B323" t="str">
            <v>3级坚甲犀牛</v>
          </cell>
          <cell r="C323">
            <v>0</v>
          </cell>
        </row>
        <row r="324">
          <cell r="A324">
            <v>201264</v>
          </cell>
          <cell r="B324" t="str">
            <v>4级坚甲犀牛</v>
          </cell>
          <cell r="C324">
            <v>0</v>
          </cell>
        </row>
        <row r="325">
          <cell r="A325">
            <v>201265</v>
          </cell>
          <cell r="B325" t="str">
            <v>5级坚甲犀牛</v>
          </cell>
          <cell r="C325">
            <v>0</v>
          </cell>
        </row>
        <row r="326">
          <cell r="A326">
            <v>201266</v>
          </cell>
          <cell r="B326" t="str">
            <v>6级坚甲犀牛</v>
          </cell>
          <cell r="C326">
            <v>0</v>
          </cell>
        </row>
        <row r="327">
          <cell r="A327">
            <v>201267</v>
          </cell>
          <cell r="B327" t="str">
            <v>7级坚甲犀牛</v>
          </cell>
          <cell r="C327">
            <v>0</v>
          </cell>
        </row>
        <row r="328">
          <cell r="A328">
            <v>201268</v>
          </cell>
          <cell r="B328" t="str">
            <v>8级坚甲犀牛</v>
          </cell>
          <cell r="C328">
            <v>0</v>
          </cell>
        </row>
        <row r="329">
          <cell r="A329">
            <v>201269</v>
          </cell>
          <cell r="B329" t="str">
            <v>9级坚甲犀牛</v>
          </cell>
          <cell r="C329">
            <v>0</v>
          </cell>
        </row>
        <row r="330">
          <cell r="A330">
            <v>201270</v>
          </cell>
          <cell r="B330" t="str">
            <v>10级坚甲犀牛</v>
          </cell>
          <cell r="C330">
            <v>0</v>
          </cell>
        </row>
        <row r="331">
          <cell r="A331">
            <v>201271</v>
          </cell>
          <cell r="B331" t="str">
            <v>1级寄居蟹</v>
          </cell>
          <cell r="C331">
            <v>0</v>
          </cell>
        </row>
        <row r="332">
          <cell r="A332">
            <v>201272</v>
          </cell>
          <cell r="B332" t="str">
            <v>2级寄居蟹</v>
          </cell>
          <cell r="C332">
            <v>0</v>
          </cell>
        </row>
        <row r="333">
          <cell r="A333">
            <v>201273</v>
          </cell>
          <cell r="B333" t="str">
            <v>3级寄居蟹</v>
          </cell>
          <cell r="C333">
            <v>0</v>
          </cell>
        </row>
        <row r="334">
          <cell r="A334">
            <v>201274</v>
          </cell>
          <cell r="B334" t="str">
            <v>4级寄居蟹</v>
          </cell>
          <cell r="C334">
            <v>0</v>
          </cell>
        </row>
        <row r="335">
          <cell r="A335">
            <v>201275</v>
          </cell>
          <cell r="B335" t="str">
            <v>5级寄居蟹</v>
          </cell>
          <cell r="C335">
            <v>0</v>
          </cell>
        </row>
        <row r="336">
          <cell r="A336">
            <v>201276</v>
          </cell>
          <cell r="B336" t="str">
            <v>6级寄居蟹</v>
          </cell>
          <cell r="C336">
            <v>0</v>
          </cell>
        </row>
        <row r="337">
          <cell r="A337">
            <v>201277</v>
          </cell>
          <cell r="B337" t="str">
            <v>7级寄居蟹</v>
          </cell>
          <cell r="C337">
            <v>0</v>
          </cell>
        </row>
        <row r="338">
          <cell r="A338">
            <v>201278</v>
          </cell>
          <cell r="B338" t="str">
            <v>8级寄居蟹</v>
          </cell>
          <cell r="C338">
            <v>0</v>
          </cell>
        </row>
        <row r="339">
          <cell r="A339">
            <v>201279</v>
          </cell>
          <cell r="B339" t="str">
            <v>9级寄居蟹</v>
          </cell>
          <cell r="C339">
            <v>0</v>
          </cell>
        </row>
        <row r="340">
          <cell r="A340">
            <v>201280</v>
          </cell>
          <cell r="B340" t="str">
            <v>10级寄居蟹</v>
          </cell>
          <cell r="C340">
            <v>0</v>
          </cell>
        </row>
        <row r="341">
          <cell r="A341">
            <v>201281</v>
          </cell>
          <cell r="B341" t="str">
            <v>1级海盗王</v>
          </cell>
          <cell r="C341">
            <v>0</v>
          </cell>
        </row>
        <row r="342">
          <cell r="A342">
            <v>201282</v>
          </cell>
          <cell r="B342" t="str">
            <v>2级海盗王</v>
          </cell>
          <cell r="C342">
            <v>0</v>
          </cell>
        </row>
        <row r="343">
          <cell r="A343">
            <v>201283</v>
          </cell>
          <cell r="B343" t="str">
            <v>3级海盗王</v>
          </cell>
          <cell r="C343">
            <v>0</v>
          </cell>
        </row>
        <row r="344">
          <cell r="A344">
            <v>201284</v>
          </cell>
          <cell r="B344" t="str">
            <v>4级海盗王</v>
          </cell>
          <cell r="C344">
            <v>0</v>
          </cell>
        </row>
        <row r="345">
          <cell r="A345">
            <v>201285</v>
          </cell>
          <cell r="B345" t="str">
            <v>5级海盗王</v>
          </cell>
          <cell r="C345">
            <v>0</v>
          </cell>
        </row>
        <row r="346">
          <cell r="A346">
            <v>201286</v>
          </cell>
          <cell r="B346" t="str">
            <v>6级海盗王</v>
          </cell>
          <cell r="C346">
            <v>0</v>
          </cell>
        </row>
        <row r="347">
          <cell r="A347">
            <v>201287</v>
          </cell>
          <cell r="B347" t="str">
            <v>7级海盗王</v>
          </cell>
          <cell r="C347">
            <v>0</v>
          </cell>
        </row>
        <row r="348">
          <cell r="A348">
            <v>201288</v>
          </cell>
          <cell r="B348" t="str">
            <v>8级海盗王</v>
          </cell>
          <cell r="C348">
            <v>0</v>
          </cell>
        </row>
        <row r="349">
          <cell r="A349">
            <v>201289</v>
          </cell>
          <cell r="B349" t="str">
            <v>9级海盗王</v>
          </cell>
          <cell r="C349">
            <v>0</v>
          </cell>
        </row>
        <row r="350">
          <cell r="A350">
            <v>201290</v>
          </cell>
          <cell r="B350" t="str">
            <v>10级海盗王</v>
          </cell>
          <cell r="C350">
            <v>0</v>
          </cell>
        </row>
        <row r="351">
          <cell r="A351">
            <v>201291</v>
          </cell>
          <cell r="B351" t="str">
            <v>1级海盗头目</v>
          </cell>
          <cell r="C351">
            <v>0</v>
          </cell>
        </row>
        <row r="352">
          <cell r="A352">
            <v>201292</v>
          </cell>
          <cell r="B352" t="str">
            <v>2级海盗头目</v>
          </cell>
          <cell r="C352">
            <v>0</v>
          </cell>
        </row>
        <row r="353">
          <cell r="A353">
            <v>201293</v>
          </cell>
          <cell r="B353" t="str">
            <v>3级海盗头目</v>
          </cell>
          <cell r="C353">
            <v>0</v>
          </cell>
        </row>
        <row r="354">
          <cell r="A354">
            <v>201294</v>
          </cell>
          <cell r="B354" t="str">
            <v>4级海盗头目</v>
          </cell>
          <cell r="C354">
            <v>0</v>
          </cell>
        </row>
        <row r="355">
          <cell r="A355">
            <v>201295</v>
          </cell>
          <cell r="B355" t="str">
            <v>5级海盗头目</v>
          </cell>
          <cell r="C355">
            <v>0</v>
          </cell>
        </row>
        <row r="356">
          <cell r="A356">
            <v>201296</v>
          </cell>
          <cell r="B356" t="str">
            <v>6级海盗头目</v>
          </cell>
          <cell r="C356">
            <v>0</v>
          </cell>
        </row>
        <row r="357">
          <cell r="A357">
            <v>201297</v>
          </cell>
          <cell r="B357" t="str">
            <v>7级海盗头目</v>
          </cell>
          <cell r="C357">
            <v>0</v>
          </cell>
        </row>
        <row r="358">
          <cell r="A358">
            <v>201298</v>
          </cell>
          <cell r="B358" t="str">
            <v>8级海盗头目</v>
          </cell>
          <cell r="C358">
            <v>0</v>
          </cell>
        </row>
        <row r="359">
          <cell r="A359">
            <v>201299</v>
          </cell>
          <cell r="B359" t="str">
            <v>9级海盗头目</v>
          </cell>
          <cell r="C359">
            <v>0</v>
          </cell>
        </row>
        <row r="360">
          <cell r="A360">
            <v>201300</v>
          </cell>
          <cell r="B360" t="str">
            <v>10级海盗头目</v>
          </cell>
          <cell r="C360">
            <v>0</v>
          </cell>
        </row>
        <row r="361">
          <cell r="A361">
            <v>201301</v>
          </cell>
          <cell r="B361" t="str">
            <v>1级暗夜收割者</v>
          </cell>
          <cell r="C361">
            <v>0</v>
          </cell>
        </row>
        <row r="362">
          <cell r="A362">
            <v>201302</v>
          </cell>
          <cell r="B362" t="str">
            <v>2级暗夜收割者</v>
          </cell>
          <cell r="C362">
            <v>0</v>
          </cell>
        </row>
        <row r="363">
          <cell r="A363">
            <v>201303</v>
          </cell>
          <cell r="B363" t="str">
            <v>3级暗夜收割者</v>
          </cell>
          <cell r="C363">
            <v>0</v>
          </cell>
        </row>
        <row r="364">
          <cell r="A364">
            <v>201304</v>
          </cell>
          <cell r="B364" t="str">
            <v>4级暗夜收割者</v>
          </cell>
          <cell r="C364">
            <v>0</v>
          </cell>
        </row>
        <row r="365">
          <cell r="A365">
            <v>201305</v>
          </cell>
          <cell r="B365" t="str">
            <v>5级暗夜收割者</v>
          </cell>
          <cell r="C365">
            <v>0</v>
          </cell>
        </row>
        <row r="366">
          <cell r="A366">
            <v>201306</v>
          </cell>
          <cell r="B366" t="str">
            <v>6级暗夜收割者</v>
          </cell>
          <cell r="C366">
            <v>0</v>
          </cell>
        </row>
        <row r="367">
          <cell r="A367">
            <v>201307</v>
          </cell>
          <cell r="B367" t="str">
            <v>7级暗夜收割者</v>
          </cell>
          <cell r="C367">
            <v>0</v>
          </cell>
        </row>
        <row r="368">
          <cell r="A368">
            <v>201308</v>
          </cell>
          <cell r="B368" t="str">
            <v>8级暗夜收割者</v>
          </cell>
          <cell r="C368">
            <v>0</v>
          </cell>
        </row>
        <row r="369">
          <cell r="A369">
            <v>201309</v>
          </cell>
          <cell r="B369" t="str">
            <v>9级暗夜收割者</v>
          </cell>
          <cell r="C369">
            <v>0</v>
          </cell>
        </row>
        <row r="370">
          <cell r="A370">
            <v>201310</v>
          </cell>
          <cell r="B370" t="str">
            <v>10级暗夜收割者</v>
          </cell>
          <cell r="C370">
            <v>0</v>
          </cell>
        </row>
        <row r="371">
          <cell r="A371">
            <v>201311</v>
          </cell>
          <cell r="B371" t="str">
            <v>1级炸弹果</v>
          </cell>
          <cell r="C371">
            <v>0</v>
          </cell>
        </row>
        <row r="372">
          <cell r="A372">
            <v>201312</v>
          </cell>
          <cell r="B372" t="str">
            <v>2级炸弹果</v>
          </cell>
          <cell r="C372">
            <v>0</v>
          </cell>
        </row>
        <row r="373">
          <cell r="A373">
            <v>201313</v>
          </cell>
          <cell r="B373" t="str">
            <v>3级炸弹果</v>
          </cell>
          <cell r="C373">
            <v>0</v>
          </cell>
        </row>
        <row r="374">
          <cell r="A374">
            <v>201314</v>
          </cell>
          <cell r="B374" t="str">
            <v>4级炸弹果</v>
          </cell>
          <cell r="C374">
            <v>0</v>
          </cell>
        </row>
        <row r="375">
          <cell r="A375">
            <v>201315</v>
          </cell>
          <cell r="B375" t="str">
            <v>5级炸弹果</v>
          </cell>
          <cell r="C375">
            <v>0</v>
          </cell>
        </row>
        <row r="376">
          <cell r="A376">
            <v>201316</v>
          </cell>
          <cell r="B376" t="str">
            <v>6级炸弹果</v>
          </cell>
          <cell r="C376">
            <v>0</v>
          </cell>
        </row>
        <row r="377">
          <cell r="A377">
            <v>201317</v>
          </cell>
          <cell r="B377" t="str">
            <v>7级炸弹果</v>
          </cell>
          <cell r="C377">
            <v>0</v>
          </cell>
        </row>
        <row r="378">
          <cell r="A378">
            <v>201318</v>
          </cell>
          <cell r="B378" t="str">
            <v>8级炸弹果</v>
          </cell>
          <cell r="C378">
            <v>0</v>
          </cell>
        </row>
        <row r="379">
          <cell r="A379">
            <v>201319</v>
          </cell>
          <cell r="B379" t="str">
            <v>9级炸弹果</v>
          </cell>
          <cell r="C379">
            <v>0</v>
          </cell>
        </row>
        <row r="380">
          <cell r="A380">
            <v>201320</v>
          </cell>
          <cell r="B380" t="str">
            <v>10级炸弹果</v>
          </cell>
          <cell r="C380">
            <v>0</v>
          </cell>
        </row>
        <row r="381">
          <cell r="A381">
            <v>201321</v>
          </cell>
          <cell r="B381" t="str">
            <v>1级钻地虫</v>
          </cell>
          <cell r="C381">
            <v>0</v>
          </cell>
        </row>
        <row r="382">
          <cell r="A382">
            <v>201322</v>
          </cell>
          <cell r="B382" t="str">
            <v>2级钻地虫</v>
          </cell>
          <cell r="C382">
            <v>0</v>
          </cell>
        </row>
        <row r="383">
          <cell r="A383">
            <v>201323</v>
          </cell>
          <cell r="B383" t="str">
            <v>3级钻地虫</v>
          </cell>
          <cell r="C383">
            <v>0</v>
          </cell>
        </row>
        <row r="384">
          <cell r="A384">
            <v>201324</v>
          </cell>
          <cell r="B384" t="str">
            <v>4级钻地虫</v>
          </cell>
          <cell r="C384">
            <v>0</v>
          </cell>
        </row>
        <row r="385">
          <cell r="A385">
            <v>201325</v>
          </cell>
          <cell r="B385" t="str">
            <v>5级钻地虫</v>
          </cell>
          <cell r="C385">
            <v>0</v>
          </cell>
        </row>
        <row r="386">
          <cell r="A386">
            <v>201326</v>
          </cell>
          <cell r="B386" t="str">
            <v>6级钻地虫</v>
          </cell>
          <cell r="C386">
            <v>0</v>
          </cell>
        </row>
        <row r="387">
          <cell r="A387">
            <v>201327</v>
          </cell>
          <cell r="B387" t="str">
            <v>7级钻地虫</v>
          </cell>
          <cell r="C387">
            <v>0</v>
          </cell>
        </row>
        <row r="388">
          <cell r="A388">
            <v>201328</v>
          </cell>
          <cell r="B388" t="str">
            <v>8级钻地虫</v>
          </cell>
          <cell r="C388">
            <v>0</v>
          </cell>
        </row>
        <row r="389">
          <cell r="A389">
            <v>201329</v>
          </cell>
          <cell r="B389" t="str">
            <v>9级钻地虫</v>
          </cell>
          <cell r="C389">
            <v>0</v>
          </cell>
        </row>
        <row r="390">
          <cell r="A390">
            <v>201330</v>
          </cell>
          <cell r="B390" t="str">
            <v>10级钻地虫</v>
          </cell>
          <cell r="C390">
            <v>0</v>
          </cell>
        </row>
        <row r="391">
          <cell r="A391">
            <v>201331</v>
          </cell>
          <cell r="B391" t="str">
            <v>1级刺毛虫</v>
          </cell>
          <cell r="C391">
            <v>0</v>
          </cell>
        </row>
        <row r="392">
          <cell r="A392">
            <v>201332</v>
          </cell>
          <cell r="B392" t="str">
            <v>2级刺毛虫</v>
          </cell>
          <cell r="C392">
            <v>0</v>
          </cell>
        </row>
        <row r="393">
          <cell r="A393">
            <v>201333</v>
          </cell>
          <cell r="B393" t="str">
            <v>3级刺毛虫</v>
          </cell>
          <cell r="C393">
            <v>0</v>
          </cell>
        </row>
        <row r="394">
          <cell r="A394">
            <v>201334</v>
          </cell>
          <cell r="B394" t="str">
            <v>4级刺毛虫</v>
          </cell>
          <cell r="C394">
            <v>0</v>
          </cell>
        </row>
        <row r="395">
          <cell r="A395">
            <v>201335</v>
          </cell>
          <cell r="B395" t="str">
            <v>5级刺毛虫</v>
          </cell>
          <cell r="C395">
            <v>0</v>
          </cell>
        </row>
        <row r="396">
          <cell r="A396">
            <v>201336</v>
          </cell>
          <cell r="B396" t="str">
            <v>6级刺毛虫</v>
          </cell>
          <cell r="C396">
            <v>0</v>
          </cell>
        </row>
        <row r="397">
          <cell r="A397">
            <v>201337</v>
          </cell>
          <cell r="B397" t="str">
            <v>7级刺毛虫</v>
          </cell>
          <cell r="C397">
            <v>0</v>
          </cell>
        </row>
        <row r="398">
          <cell r="A398">
            <v>201338</v>
          </cell>
          <cell r="B398" t="str">
            <v>8级刺毛虫</v>
          </cell>
          <cell r="C398">
            <v>0</v>
          </cell>
        </row>
        <row r="399">
          <cell r="A399">
            <v>201339</v>
          </cell>
          <cell r="B399" t="str">
            <v>9级刺毛虫</v>
          </cell>
          <cell r="C399">
            <v>0</v>
          </cell>
        </row>
        <row r="400">
          <cell r="A400">
            <v>201340</v>
          </cell>
          <cell r="B400" t="str">
            <v>10级刺毛虫</v>
          </cell>
          <cell r="C400">
            <v>0</v>
          </cell>
        </row>
        <row r="401">
          <cell r="A401">
            <v>201341</v>
          </cell>
          <cell r="B401" t="str">
            <v>1级红宝石史莱姆</v>
          </cell>
          <cell r="C401">
            <v>0</v>
          </cell>
        </row>
        <row r="402">
          <cell r="A402">
            <v>201342</v>
          </cell>
          <cell r="B402" t="str">
            <v>2级红宝石史莱姆</v>
          </cell>
          <cell r="C402">
            <v>0</v>
          </cell>
        </row>
        <row r="403">
          <cell r="A403">
            <v>201343</v>
          </cell>
          <cell r="B403" t="str">
            <v>3级红宝石史莱姆</v>
          </cell>
          <cell r="C403">
            <v>0</v>
          </cell>
        </row>
        <row r="404">
          <cell r="A404">
            <v>201344</v>
          </cell>
          <cell r="B404" t="str">
            <v>4级红宝石史莱姆</v>
          </cell>
          <cell r="C404">
            <v>0</v>
          </cell>
        </row>
        <row r="405">
          <cell r="A405">
            <v>201345</v>
          </cell>
          <cell r="B405" t="str">
            <v>5级红宝石史莱姆</v>
          </cell>
          <cell r="C405">
            <v>0</v>
          </cell>
        </row>
        <row r="406">
          <cell r="A406">
            <v>201346</v>
          </cell>
          <cell r="B406" t="str">
            <v>6级红宝石史莱姆</v>
          </cell>
          <cell r="C406">
            <v>0</v>
          </cell>
        </row>
        <row r="407">
          <cell r="A407">
            <v>201347</v>
          </cell>
          <cell r="B407" t="str">
            <v>7级红宝石史莱姆</v>
          </cell>
          <cell r="C407">
            <v>0</v>
          </cell>
        </row>
        <row r="408">
          <cell r="A408">
            <v>201348</v>
          </cell>
          <cell r="B408" t="str">
            <v>8级红宝石史莱姆</v>
          </cell>
          <cell r="C408">
            <v>0</v>
          </cell>
        </row>
        <row r="409">
          <cell r="A409">
            <v>201349</v>
          </cell>
          <cell r="B409" t="str">
            <v>9级红宝石史莱姆</v>
          </cell>
          <cell r="C409">
            <v>0</v>
          </cell>
        </row>
        <row r="410">
          <cell r="A410">
            <v>201350</v>
          </cell>
          <cell r="B410" t="str">
            <v>10级红宝石史莱姆</v>
          </cell>
          <cell r="C410">
            <v>0</v>
          </cell>
        </row>
        <row r="411">
          <cell r="A411">
            <v>201351</v>
          </cell>
          <cell r="B411" t="str">
            <v>1级蓝宝石史莱姆</v>
          </cell>
          <cell r="C411">
            <v>0</v>
          </cell>
        </row>
        <row r="412">
          <cell r="A412">
            <v>201352</v>
          </cell>
          <cell r="B412" t="str">
            <v>2级蓝宝石史莱姆</v>
          </cell>
          <cell r="C412">
            <v>0</v>
          </cell>
        </row>
        <row r="413">
          <cell r="A413">
            <v>201353</v>
          </cell>
          <cell r="B413" t="str">
            <v>3级蓝宝石史莱姆</v>
          </cell>
          <cell r="C413">
            <v>0</v>
          </cell>
        </row>
        <row r="414">
          <cell r="A414">
            <v>201354</v>
          </cell>
          <cell r="B414" t="str">
            <v>4级蓝宝石史莱姆</v>
          </cell>
          <cell r="C414">
            <v>0</v>
          </cell>
        </row>
        <row r="415">
          <cell r="A415">
            <v>201355</v>
          </cell>
          <cell r="B415" t="str">
            <v>5级蓝宝石史莱姆</v>
          </cell>
          <cell r="C415">
            <v>0</v>
          </cell>
        </row>
        <row r="416">
          <cell r="A416">
            <v>201356</v>
          </cell>
          <cell r="B416" t="str">
            <v>6级蓝宝石史莱姆</v>
          </cell>
          <cell r="C416">
            <v>0</v>
          </cell>
        </row>
        <row r="417">
          <cell r="A417">
            <v>201357</v>
          </cell>
          <cell r="B417" t="str">
            <v>7级蓝宝石史莱姆</v>
          </cell>
          <cell r="C417">
            <v>0</v>
          </cell>
        </row>
        <row r="418">
          <cell r="A418">
            <v>201358</v>
          </cell>
          <cell r="B418" t="str">
            <v>8级蓝宝石史莱姆</v>
          </cell>
          <cell r="C418">
            <v>0</v>
          </cell>
        </row>
        <row r="419">
          <cell r="A419">
            <v>201359</v>
          </cell>
          <cell r="B419" t="str">
            <v>9级蓝宝石史莱姆</v>
          </cell>
          <cell r="C419">
            <v>0</v>
          </cell>
        </row>
        <row r="420">
          <cell r="A420">
            <v>201360</v>
          </cell>
          <cell r="B420" t="str">
            <v>10级蓝宝石史莱姆</v>
          </cell>
          <cell r="C420">
            <v>0</v>
          </cell>
        </row>
        <row r="421">
          <cell r="A421">
            <v>201361</v>
          </cell>
          <cell r="B421" t="str">
            <v>1级绿宝石史莱姆</v>
          </cell>
          <cell r="C421">
            <v>0</v>
          </cell>
        </row>
        <row r="422">
          <cell r="A422">
            <v>201362</v>
          </cell>
          <cell r="B422" t="str">
            <v>2级绿宝石史莱姆</v>
          </cell>
          <cell r="C422">
            <v>0</v>
          </cell>
        </row>
        <row r="423">
          <cell r="A423">
            <v>201363</v>
          </cell>
          <cell r="B423" t="str">
            <v>3级绿宝石史莱姆</v>
          </cell>
          <cell r="C423">
            <v>0</v>
          </cell>
        </row>
        <row r="424">
          <cell r="A424">
            <v>201364</v>
          </cell>
          <cell r="B424" t="str">
            <v>4级绿宝石史莱姆</v>
          </cell>
          <cell r="C424">
            <v>0</v>
          </cell>
        </row>
        <row r="425">
          <cell r="A425">
            <v>201365</v>
          </cell>
          <cell r="B425" t="str">
            <v>5级绿宝石史莱姆</v>
          </cell>
          <cell r="C425">
            <v>0</v>
          </cell>
        </row>
        <row r="426">
          <cell r="A426">
            <v>201366</v>
          </cell>
          <cell r="B426" t="str">
            <v>6级绿宝石史莱姆</v>
          </cell>
          <cell r="C426">
            <v>0</v>
          </cell>
        </row>
        <row r="427">
          <cell r="A427">
            <v>201367</v>
          </cell>
          <cell r="B427" t="str">
            <v>7级绿宝石史莱姆</v>
          </cell>
          <cell r="C427">
            <v>0</v>
          </cell>
        </row>
        <row r="428">
          <cell r="A428">
            <v>201368</v>
          </cell>
          <cell r="B428" t="str">
            <v>8级绿宝石史莱姆</v>
          </cell>
          <cell r="C428">
            <v>0</v>
          </cell>
        </row>
        <row r="429">
          <cell r="A429">
            <v>201369</v>
          </cell>
          <cell r="B429" t="str">
            <v>9级绿宝石史莱姆</v>
          </cell>
          <cell r="C429">
            <v>0</v>
          </cell>
        </row>
        <row r="430">
          <cell r="A430">
            <v>201370</v>
          </cell>
          <cell r="B430" t="str">
            <v>10级绿宝石史莱姆</v>
          </cell>
          <cell r="C430">
            <v>0</v>
          </cell>
        </row>
        <row r="431">
          <cell r="A431">
            <v>201371</v>
          </cell>
          <cell r="B431" t="str">
            <v>1级炸弹史莱姆</v>
          </cell>
          <cell r="C431">
            <v>0</v>
          </cell>
        </row>
        <row r="432">
          <cell r="A432">
            <v>201372</v>
          </cell>
          <cell r="B432" t="str">
            <v>2级炸弹史莱姆</v>
          </cell>
          <cell r="C432">
            <v>0</v>
          </cell>
        </row>
        <row r="433">
          <cell r="A433">
            <v>201373</v>
          </cell>
          <cell r="B433" t="str">
            <v>3级炸弹史莱姆</v>
          </cell>
          <cell r="C433">
            <v>0</v>
          </cell>
        </row>
        <row r="434">
          <cell r="A434">
            <v>201374</v>
          </cell>
          <cell r="B434" t="str">
            <v>4级炸弹史莱姆</v>
          </cell>
          <cell r="C434">
            <v>0</v>
          </cell>
        </row>
        <row r="435">
          <cell r="A435">
            <v>201375</v>
          </cell>
          <cell r="B435" t="str">
            <v>5级炸弹史莱姆</v>
          </cell>
          <cell r="C435">
            <v>0</v>
          </cell>
        </row>
        <row r="436">
          <cell r="A436">
            <v>201376</v>
          </cell>
          <cell r="B436" t="str">
            <v>6级炸弹史莱姆</v>
          </cell>
          <cell r="C436">
            <v>0</v>
          </cell>
        </row>
        <row r="437">
          <cell r="A437">
            <v>201377</v>
          </cell>
          <cell r="B437" t="str">
            <v>7级炸弹史莱姆</v>
          </cell>
          <cell r="C437">
            <v>0</v>
          </cell>
        </row>
        <row r="438">
          <cell r="A438">
            <v>201378</v>
          </cell>
          <cell r="B438" t="str">
            <v>8级炸弹史莱姆</v>
          </cell>
          <cell r="C438">
            <v>0</v>
          </cell>
        </row>
        <row r="439">
          <cell r="A439">
            <v>201379</v>
          </cell>
          <cell r="B439" t="str">
            <v>9级炸弹史莱姆</v>
          </cell>
          <cell r="C439">
            <v>0</v>
          </cell>
        </row>
        <row r="440">
          <cell r="A440">
            <v>201380</v>
          </cell>
          <cell r="B440" t="str">
            <v>10级炸弹史莱姆</v>
          </cell>
          <cell r="C440">
            <v>0</v>
          </cell>
        </row>
        <row r="441">
          <cell r="A441">
            <v>201381</v>
          </cell>
          <cell r="B441" t="str">
            <v>1级工蚁</v>
          </cell>
          <cell r="C441">
            <v>0</v>
          </cell>
        </row>
        <row r="442">
          <cell r="A442">
            <v>201382</v>
          </cell>
          <cell r="B442" t="str">
            <v>2级工蚁</v>
          </cell>
          <cell r="C442">
            <v>0</v>
          </cell>
        </row>
        <row r="443">
          <cell r="A443">
            <v>201383</v>
          </cell>
          <cell r="B443" t="str">
            <v>3级工蚁</v>
          </cell>
          <cell r="C443">
            <v>0</v>
          </cell>
        </row>
        <row r="444">
          <cell r="A444">
            <v>201384</v>
          </cell>
          <cell r="B444" t="str">
            <v>4级工蚁</v>
          </cell>
          <cell r="C444">
            <v>0</v>
          </cell>
        </row>
        <row r="445">
          <cell r="A445">
            <v>201385</v>
          </cell>
          <cell r="B445" t="str">
            <v>5级工蚁</v>
          </cell>
          <cell r="C445">
            <v>0</v>
          </cell>
        </row>
        <row r="446">
          <cell r="A446">
            <v>201386</v>
          </cell>
          <cell r="B446" t="str">
            <v>6级工蚁</v>
          </cell>
          <cell r="C446">
            <v>0</v>
          </cell>
        </row>
        <row r="447">
          <cell r="A447">
            <v>201387</v>
          </cell>
          <cell r="B447" t="str">
            <v>7级工蚁</v>
          </cell>
          <cell r="C447">
            <v>0</v>
          </cell>
        </row>
        <row r="448">
          <cell r="A448">
            <v>201388</v>
          </cell>
          <cell r="B448" t="str">
            <v>8级工蚁</v>
          </cell>
          <cell r="C448">
            <v>0</v>
          </cell>
        </row>
        <row r="449">
          <cell r="A449">
            <v>201389</v>
          </cell>
          <cell r="B449" t="str">
            <v>9级工蚁</v>
          </cell>
          <cell r="C449">
            <v>0</v>
          </cell>
        </row>
        <row r="450">
          <cell r="A450">
            <v>201390</v>
          </cell>
          <cell r="B450" t="str">
            <v>10级工蚁</v>
          </cell>
          <cell r="C450">
            <v>0</v>
          </cell>
        </row>
        <row r="451">
          <cell r="A451">
            <v>201391</v>
          </cell>
          <cell r="B451" t="str">
            <v>1级兵蚁</v>
          </cell>
          <cell r="C451">
            <v>0</v>
          </cell>
        </row>
        <row r="452">
          <cell r="A452">
            <v>201392</v>
          </cell>
          <cell r="B452" t="str">
            <v>2级兵蚁</v>
          </cell>
          <cell r="C452">
            <v>0</v>
          </cell>
        </row>
        <row r="453">
          <cell r="A453">
            <v>201393</v>
          </cell>
          <cell r="B453" t="str">
            <v>3级兵蚁</v>
          </cell>
          <cell r="C453">
            <v>0</v>
          </cell>
        </row>
        <row r="454">
          <cell r="A454">
            <v>201394</v>
          </cell>
          <cell r="B454" t="str">
            <v>4级兵蚁</v>
          </cell>
          <cell r="C454">
            <v>0</v>
          </cell>
        </row>
        <row r="455">
          <cell r="A455">
            <v>201395</v>
          </cell>
          <cell r="B455" t="str">
            <v>5级兵蚁</v>
          </cell>
          <cell r="C455">
            <v>0</v>
          </cell>
        </row>
        <row r="456">
          <cell r="A456">
            <v>201396</v>
          </cell>
          <cell r="B456" t="str">
            <v>6级兵蚁</v>
          </cell>
          <cell r="C456">
            <v>0</v>
          </cell>
        </row>
        <row r="457">
          <cell r="A457">
            <v>201397</v>
          </cell>
          <cell r="B457" t="str">
            <v>7级兵蚁</v>
          </cell>
          <cell r="C457">
            <v>0</v>
          </cell>
        </row>
        <row r="458">
          <cell r="A458">
            <v>201398</v>
          </cell>
          <cell r="B458" t="str">
            <v>8级兵蚁</v>
          </cell>
          <cell r="C458">
            <v>0</v>
          </cell>
        </row>
        <row r="459">
          <cell r="A459">
            <v>201399</v>
          </cell>
          <cell r="B459" t="str">
            <v>9级兵蚁</v>
          </cell>
          <cell r="C459">
            <v>0</v>
          </cell>
        </row>
        <row r="460">
          <cell r="A460">
            <v>201400</v>
          </cell>
          <cell r="B460" t="str">
            <v>10级兵蚁</v>
          </cell>
          <cell r="C460">
            <v>0</v>
          </cell>
        </row>
        <row r="461">
          <cell r="A461">
            <v>201401</v>
          </cell>
          <cell r="B461" t="str">
            <v>1级岩龙</v>
          </cell>
          <cell r="C461">
            <v>0</v>
          </cell>
        </row>
        <row r="462">
          <cell r="A462">
            <v>201402</v>
          </cell>
          <cell r="B462" t="str">
            <v>2级岩龙</v>
          </cell>
          <cell r="C462">
            <v>0</v>
          </cell>
        </row>
        <row r="463">
          <cell r="A463">
            <v>201403</v>
          </cell>
          <cell r="B463" t="str">
            <v>3级岩龙</v>
          </cell>
          <cell r="C463">
            <v>0</v>
          </cell>
        </row>
        <row r="464">
          <cell r="A464">
            <v>201404</v>
          </cell>
          <cell r="B464" t="str">
            <v>4级岩龙</v>
          </cell>
          <cell r="C464">
            <v>0</v>
          </cell>
        </row>
        <row r="465">
          <cell r="A465">
            <v>201405</v>
          </cell>
          <cell r="B465" t="str">
            <v>5级岩龙</v>
          </cell>
          <cell r="C465">
            <v>0</v>
          </cell>
        </row>
        <row r="466">
          <cell r="A466">
            <v>201406</v>
          </cell>
          <cell r="B466" t="str">
            <v>6级岩龙</v>
          </cell>
          <cell r="C466">
            <v>0</v>
          </cell>
        </row>
        <row r="467">
          <cell r="A467">
            <v>201407</v>
          </cell>
          <cell r="B467" t="str">
            <v>7级岩龙</v>
          </cell>
          <cell r="C467">
            <v>0</v>
          </cell>
        </row>
        <row r="468">
          <cell r="A468">
            <v>201408</v>
          </cell>
          <cell r="B468" t="str">
            <v>8级岩龙</v>
          </cell>
          <cell r="C468">
            <v>0</v>
          </cell>
        </row>
        <row r="469">
          <cell r="A469">
            <v>201409</v>
          </cell>
          <cell r="B469" t="str">
            <v>9级岩龙</v>
          </cell>
          <cell r="C469">
            <v>0</v>
          </cell>
        </row>
        <row r="470">
          <cell r="A470">
            <v>201410</v>
          </cell>
          <cell r="B470" t="str">
            <v>10级岩龙</v>
          </cell>
          <cell r="C470">
            <v>0</v>
          </cell>
        </row>
        <row r="471">
          <cell r="A471">
            <v>201411</v>
          </cell>
          <cell r="B471" t="str">
            <v>1级熔岩龙</v>
          </cell>
          <cell r="C471">
            <v>0</v>
          </cell>
        </row>
        <row r="472">
          <cell r="A472">
            <v>201412</v>
          </cell>
          <cell r="B472" t="str">
            <v>2级熔岩龙</v>
          </cell>
          <cell r="C472">
            <v>0</v>
          </cell>
        </row>
        <row r="473">
          <cell r="A473">
            <v>201413</v>
          </cell>
          <cell r="B473" t="str">
            <v>3级熔岩龙</v>
          </cell>
          <cell r="C473">
            <v>0</v>
          </cell>
        </row>
        <row r="474">
          <cell r="A474">
            <v>201414</v>
          </cell>
          <cell r="B474" t="str">
            <v>4级熔岩龙</v>
          </cell>
          <cell r="C474">
            <v>0</v>
          </cell>
        </row>
        <row r="475">
          <cell r="A475">
            <v>201415</v>
          </cell>
          <cell r="B475" t="str">
            <v>5级熔岩龙</v>
          </cell>
          <cell r="C475">
            <v>0</v>
          </cell>
        </row>
        <row r="476">
          <cell r="A476">
            <v>201416</v>
          </cell>
          <cell r="B476" t="str">
            <v>6级熔岩龙</v>
          </cell>
          <cell r="C476">
            <v>0</v>
          </cell>
        </row>
        <row r="477">
          <cell r="A477">
            <v>201417</v>
          </cell>
          <cell r="B477" t="str">
            <v>7级熔岩龙</v>
          </cell>
          <cell r="C477">
            <v>0</v>
          </cell>
        </row>
        <row r="478">
          <cell r="A478">
            <v>201418</v>
          </cell>
          <cell r="B478" t="str">
            <v>8级熔岩龙</v>
          </cell>
          <cell r="C478">
            <v>0</v>
          </cell>
        </row>
        <row r="479">
          <cell r="A479">
            <v>201419</v>
          </cell>
          <cell r="B479" t="str">
            <v>9级熔岩龙</v>
          </cell>
          <cell r="C479">
            <v>0</v>
          </cell>
        </row>
        <row r="480">
          <cell r="A480">
            <v>201420</v>
          </cell>
          <cell r="B480" t="str">
            <v>10级熔岩龙</v>
          </cell>
          <cell r="C480">
            <v>0</v>
          </cell>
        </row>
        <row r="481">
          <cell r="A481">
            <v>201421</v>
          </cell>
          <cell r="B481" t="str">
            <v>1级铁棘龙</v>
          </cell>
          <cell r="C481">
            <v>0</v>
          </cell>
        </row>
        <row r="482">
          <cell r="A482">
            <v>201422</v>
          </cell>
          <cell r="B482" t="str">
            <v>2级铁棘龙</v>
          </cell>
          <cell r="C482">
            <v>0</v>
          </cell>
        </row>
        <row r="483">
          <cell r="A483">
            <v>201423</v>
          </cell>
          <cell r="B483" t="str">
            <v>3级铁棘龙</v>
          </cell>
          <cell r="C483">
            <v>0</v>
          </cell>
        </row>
        <row r="484">
          <cell r="A484">
            <v>201424</v>
          </cell>
          <cell r="B484" t="str">
            <v>4级铁棘龙</v>
          </cell>
          <cell r="C484">
            <v>0</v>
          </cell>
        </row>
        <row r="485">
          <cell r="A485">
            <v>201425</v>
          </cell>
          <cell r="B485" t="str">
            <v>5级铁棘龙</v>
          </cell>
          <cell r="C485">
            <v>0</v>
          </cell>
        </row>
        <row r="486">
          <cell r="A486">
            <v>201426</v>
          </cell>
          <cell r="B486" t="str">
            <v>6级铁棘龙</v>
          </cell>
          <cell r="C486">
            <v>0</v>
          </cell>
        </row>
        <row r="487">
          <cell r="A487">
            <v>201427</v>
          </cell>
          <cell r="B487" t="str">
            <v>7级铁棘龙</v>
          </cell>
          <cell r="C487">
            <v>0</v>
          </cell>
        </row>
        <row r="488">
          <cell r="A488">
            <v>201428</v>
          </cell>
          <cell r="B488" t="str">
            <v>8级铁棘龙</v>
          </cell>
          <cell r="C488">
            <v>0</v>
          </cell>
        </row>
        <row r="489">
          <cell r="A489">
            <v>201429</v>
          </cell>
          <cell r="B489" t="str">
            <v>9级铁棘龙</v>
          </cell>
          <cell r="C489">
            <v>0</v>
          </cell>
        </row>
        <row r="490">
          <cell r="A490">
            <v>201430</v>
          </cell>
          <cell r="B490" t="str">
            <v>10级铁棘龙</v>
          </cell>
          <cell r="C490">
            <v>0</v>
          </cell>
        </row>
        <row r="491">
          <cell r="A491">
            <v>201431</v>
          </cell>
          <cell r="B491" t="str">
            <v>1级虚空龙</v>
          </cell>
          <cell r="C491">
            <v>0</v>
          </cell>
        </row>
        <row r="492">
          <cell r="A492">
            <v>201432</v>
          </cell>
          <cell r="B492" t="str">
            <v>2级虚空龙</v>
          </cell>
          <cell r="C492">
            <v>0</v>
          </cell>
        </row>
        <row r="493">
          <cell r="A493">
            <v>201433</v>
          </cell>
          <cell r="B493" t="str">
            <v>3级虚空龙</v>
          </cell>
          <cell r="C493">
            <v>0</v>
          </cell>
        </row>
        <row r="494">
          <cell r="A494">
            <v>201434</v>
          </cell>
          <cell r="B494" t="str">
            <v>4级虚空龙</v>
          </cell>
          <cell r="C494">
            <v>0</v>
          </cell>
        </row>
        <row r="495">
          <cell r="A495">
            <v>201435</v>
          </cell>
          <cell r="B495" t="str">
            <v>5级虚空龙</v>
          </cell>
          <cell r="C495">
            <v>0</v>
          </cell>
        </row>
        <row r="496">
          <cell r="A496">
            <v>201436</v>
          </cell>
          <cell r="B496" t="str">
            <v>6级虚空龙</v>
          </cell>
          <cell r="C496">
            <v>0</v>
          </cell>
        </row>
        <row r="497">
          <cell r="A497">
            <v>201437</v>
          </cell>
          <cell r="B497" t="str">
            <v>7级虚空龙</v>
          </cell>
          <cell r="C497">
            <v>0</v>
          </cell>
        </row>
        <row r="498">
          <cell r="A498">
            <v>201438</v>
          </cell>
          <cell r="B498" t="str">
            <v>8级虚空龙</v>
          </cell>
          <cell r="C498">
            <v>0</v>
          </cell>
        </row>
        <row r="499">
          <cell r="A499">
            <v>201439</v>
          </cell>
          <cell r="B499" t="str">
            <v>9级虚空龙</v>
          </cell>
          <cell r="C499">
            <v>0</v>
          </cell>
        </row>
        <row r="500">
          <cell r="A500">
            <v>201440</v>
          </cell>
          <cell r="B500" t="str">
            <v>10级虚空龙</v>
          </cell>
          <cell r="C500">
            <v>0</v>
          </cell>
        </row>
        <row r="501">
          <cell r="A501">
            <v>201441</v>
          </cell>
          <cell r="B501" t="str">
            <v>1级火龙</v>
          </cell>
          <cell r="C501">
            <v>0</v>
          </cell>
        </row>
        <row r="502">
          <cell r="A502">
            <v>201442</v>
          </cell>
          <cell r="B502" t="str">
            <v>2级火龙</v>
          </cell>
          <cell r="C502">
            <v>0</v>
          </cell>
        </row>
        <row r="503">
          <cell r="A503">
            <v>201443</v>
          </cell>
          <cell r="B503" t="str">
            <v>3级火龙</v>
          </cell>
          <cell r="C503">
            <v>0</v>
          </cell>
        </row>
        <row r="504">
          <cell r="A504">
            <v>201444</v>
          </cell>
          <cell r="B504" t="str">
            <v>4级火龙</v>
          </cell>
          <cell r="C504">
            <v>0</v>
          </cell>
        </row>
        <row r="505">
          <cell r="A505">
            <v>201445</v>
          </cell>
          <cell r="B505" t="str">
            <v>5级火龙</v>
          </cell>
          <cell r="C505">
            <v>0</v>
          </cell>
        </row>
        <row r="506">
          <cell r="A506">
            <v>201446</v>
          </cell>
          <cell r="B506" t="str">
            <v>6级火龙</v>
          </cell>
          <cell r="C506">
            <v>0</v>
          </cell>
        </row>
        <row r="507">
          <cell r="A507">
            <v>201447</v>
          </cell>
          <cell r="B507" t="str">
            <v>7级火龙</v>
          </cell>
          <cell r="C507">
            <v>0</v>
          </cell>
        </row>
        <row r="508">
          <cell r="A508">
            <v>201448</v>
          </cell>
          <cell r="B508" t="str">
            <v>8级火龙</v>
          </cell>
          <cell r="C508">
            <v>0</v>
          </cell>
        </row>
        <row r="509">
          <cell r="A509">
            <v>201449</v>
          </cell>
          <cell r="B509" t="str">
            <v>9级火龙</v>
          </cell>
          <cell r="C509">
            <v>0</v>
          </cell>
        </row>
        <row r="510">
          <cell r="A510">
            <v>201450</v>
          </cell>
          <cell r="B510" t="str">
            <v>10级火龙</v>
          </cell>
          <cell r="C510">
            <v>0</v>
          </cell>
        </row>
        <row r="511">
          <cell r="A511">
            <v>201451</v>
          </cell>
          <cell r="B511" t="str">
            <v>1级电龙</v>
          </cell>
          <cell r="C511">
            <v>0</v>
          </cell>
        </row>
        <row r="512">
          <cell r="A512">
            <v>201452</v>
          </cell>
          <cell r="B512" t="str">
            <v>2级电龙</v>
          </cell>
          <cell r="C512">
            <v>0</v>
          </cell>
        </row>
        <row r="513">
          <cell r="A513">
            <v>201453</v>
          </cell>
          <cell r="B513" t="str">
            <v>3级电龙</v>
          </cell>
          <cell r="C513">
            <v>0</v>
          </cell>
        </row>
        <row r="514">
          <cell r="A514">
            <v>201454</v>
          </cell>
          <cell r="B514" t="str">
            <v>4级电龙</v>
          </cell>
          <cell r="C514">
            <v>0</v>
          </cell>
        </row>
        <row r="515">
          <cell r="A515">
            <v>201455</v>
          </cell>
          <cell r="B515" t="str">
            <v>5级电龙</v>
          </cell>
          <cell r="C515">
            <v>0</v>
          </cell>
        </row>
        <row r="516">
          <cell r="A516">
            <v>201456</v>
          </cell>
          <cell r="B516" t="str">
            <v>6级电龙</v>
          </cell>
          <cell r="C516">
            <v>0</v>
          </cell>
        </row>
        <row r="517">
          <cell r="A517">
            <v>201457</v>
          </cell>
          <cell r="B517" t="str">
            <v>7级电龙</v>
          </cell>
          <cell r="C517">
            <v>0</v>
          </cell>
        </row>
        <row r="518">
          <cell r="A518">
            <v>201458</v>
          </cell>
          <cell r="B518" t="str">
            <v>8级电龙</v>
          </cell>
          <cell r="C518">
            <v>0</v>
          </cell>
        </row>
        <row r="519">
          <cell r="A519">
            <v>201459</v>
          </cell>
          <cell r="B519" t="str">
            <v>9级电龙</v>
          </cell>
          <cell r="C519">
            <v>0</v>
          </cell>
        </row>
        <row r="520">
          <cell r="A520">
            <v>201460</v>
          </cell>
          <cell r="B520" t="str">
            <v>10级电龙</v>
          </cell>
          <cell r="C520">
            <v>0</v>
          </cell>
        </row>
        <row r="521">
          <cell r="A521">
            <v>201461</v>
          </cell>
          <cell r="B521" t="str">
            <v>1级疾风龙</v>
          </cell>
          <cell r="C521">
            <v>0</v>
          </cell>
        </row>
        <row r="522">
          <cell r="A522">
            <v>201462</v>
          </cell>
          <cell r="B522" t="str">
            <v>2级疾风龙</v>
          </cell>
          <cell r="C522">
            <v>0</v>
          </cell>
        </row>
        <row r="523">
          <cell r="A523">
            <v>201463</v>
          </cell>
          <cell r="B523" t="str">
            <v>3级疾风龙</v>
          </cell>
          <cell r="C523">
            <v>0</v>
          </cell>
        </row>
        <row r="524">
          <cell r="A524">
            <v>201464</v>
          </cell>
          <cell r="B524" t="str">
            <v>4级疾风龙</v>
          </cell>
          <cell r="C524">
            <v>0</v>
          </cell>
        </row>
        <row r="525">
          <cell r="A525">
            <v>201465</v>
          </cell>
          <cell r="B525" t="str">
            <v>5级疾风龙</v>
          </cell>
          <cell r="C525">
            <v>0</v>
          </cell>
        </row>
        <row r="526">
          <cell r="A526">
            <v>201466</v>
          </cell>
          <cell r="B526" t="str">
            <v>6级疾风龙</v>
          </cell>
          <cell r="C526">
            <v>0</v>
          </cell>
        </row>
        <row r="527">
          <cell r="A527">
            <v>201467</v>
          </cell>
          <cell r="B527" t="str">
            <v>7级疾风龙</v>
          </cell>
          <cell r="C527">
            <v>0</v>
          </cell>
        </row>
        <row r="528">
          <cell r="A528">
            <v>201468</v>
          </cell>
          <cell r="B528" t="str">
            <v>8级疾风龙</v>
          </cell>
          <cell r="C528">
            <v>0</v>
          </cell>
        </row>
        <row r="529">
          <cell r="A529">
            <v>201469</v>
          </cell>
          <cell r="B529" t="str">
            <v>9级疾风龙</v>
          </cell>
          <cell r="C529">
            <v>0</v>
          </cell>
        </row>
        <row r="530">
          <cell r="A530">
            <v>201470</v>
          </cell>
          <cell r="B530" t="str">
            <v>10级疾风龙</v>
          </cell>
          <cell r="C530">
            <v>0</v>
          </cell>
        </row>
        <row r="531">
          <cell r="A531">
            <v>201471</v>
          </cell>
          <cell r="B531" t="str">
            <v>1级幽冥龙</v>
          </cell>
          <cell r="C531">
            <v>0</v>
          </cell>
        </row>
        <row r="532">
          <cell r="A532">
            <v>201472</v>
          </cell>
          <cell r="B532" t="str">
            <v>2级幽冥龙</v>
          </cell>
          <cell r="C532">
            <v>0</v>
          </cell>
        </row>
        <row r="533">
          <cell r="A533">
            <v>201473</v>
          </cell>
          <cell r="B533" t="str">
            <v>3级幽冥龙</v>
          </cell>
          <cell r="C533">
            <v>0</v>
          </cell>
        </row>
        <row r="534">
          <cell r="A534">
            <v>201474</v>
          </cell>
          <cell r="B534" t="str">
            <v>4级幽冥龙</v>
          </cell>
          <cell r="C534">
            <v>0</v>
          </cell>
        </row>
        <row r="535">
          <cell r="A535">
            <v>201475</v>
          </cell>
          <cell r="B535" t="str">
            <v>5级幽冥龙</v>
          </cell>
          <cell r="C535">
            <v>0</v>
          </cell>
        </row>
        <row r="536">
          <cell r="A536">
            <v>201476</v>
          </cell>
          <cell r="B536" t="str">
            <v>6级幽冥龙</v>
          </cell>
          <cell r="C536">
            <v>0</v>
          </cell>
        </row>
        <row r="537">
          <cell r="A537">
            <v>201477</v>
          </cell>
          <cell r="B537" t="str">
            <v>7级幽冥龙</v>
          </cell>
          <cell r="C537">
            <v>0</v>
          </cell>
        </row>
        <row r="538">
          <cell r="A538">
            <v>201478</v>
          </cell>
          <cell r="B538" t="str">
            <v>8级幽冥龙</v>
          </cell>
          <cell r="C538">
            <v>0</v>
          </cell>
        </row>
        <row r="539">
          <cell r="A539">
            <v>201479</v>
          </cell>
          <cell r="B539" t="str">
            <v>9级幽冥龙</v>
          </cell>
          <cell r="C539">
            <v>0</v>
          </cell>
        </row>
        <row r="540">
          <cell r="A540">
            <v>201480</v>
          </cell>
          <cell r="B540" t="str">
            <v>10级幽冥龙</v>
          </cell>
          <cell r="C540">
            <v>0</v>
          </cell>
        </row>
        <row r="541">
          <cell r="A541">
            <v>201481</v>
          </cell>
          <cell r="B541" t="str">
            <v>1级冰龙</v>
          </cell>
          <cell r="C541">
            <v>0</v>
          </cell>
        </row>
        <row r="542">
          <cell r="A542">
            <v>201482</v>
          </cell>
          <cell r="B542" t="str">
            <v>2级冰龙</v>
          </cell>
          <cell r="C542">
            <v>0</v>
          </cell>
        </row>
        <row r="543">
          <cell r="A543">
            <v>201483</v>
          </cell>
          <cell r="B543" t="str">
            <v>3级冰龙</v>
          </cell>
          <cell r="C543">
            <v>0</v>
          </cell>
        </row>
        <row r="544">
          <cell r="A544">
            <v>201484</v>
          </cell>
          <cell r="B544" t="str">
            <v>4级冰龙</v>
          </cell>
          <cell r="C544">
            <v>0</v>
          </cell>
        </row>
        <row r="545">
          <cell r="A545">
            <v>201485</v>
          </cell>
          <cell r="B545" t="str">
            <v>5级冰龙</v>
          </cell>
          <cell r="C545">
            <v>0</v>
          </cell>
        </row>
        <row r="546">
          <cell r="A546">
            <v>201486</v>
          </cell>
          <cell r="B546" t="str">
            <v>6级冰龙</v>
          </cell>
          <cell r="C546">
            <v>0</v>
          </cell>
        </row>
        <row r="547">
          <cell r="A547">
            <v>201487</v>
          </cell>
          <cell r="B547" t="str">
            <v>7级冰龙</v>
          </cell>
          <cell r="C547">
            <v>0</v>
          </cell>
        </row>
        <row r="548">
          <cell r="A548">
            <v>201488</v>
          </cell>
          <cell r="B548" t="str">
            <v>8级冰龙</v>
          </cell>
          <cell r="C548">
            <v>0</v>
          </cell>
        </row>
        <row r="549">
          <cell r="A549">
            <v>201489</v>
          </cell>
          <cell r="B549" t="str">
            <v>9级冰龙</v>
          </cell>
          <cell r="C549">
            <v>0</v>
          </cell>
        </row>
        <row r="550">
          <cell r="A550">
            <v>201490</v>
          </cell>
          <cell r="B550" t="str">
            <v>10级冰龙</v>
          </cell>
          <cell r="C550">
            <v>0</v>
          </cell>
        </row>
        <row r="551">
          <cell r="A551">
            <v>201491</v>
          </cell>
          <cell r="B551" t="str">
            <v>1级毒龙</v>
          </cell>
          <cell r="C551">
            <v>0</v>
          </cell>
        </row>
        <row r="552">
          <cell r="A552">
            <v>201492</v>
          </cell>
          <cell r="B552" t="str">
            <v>2级毒龙</v>
          </cell>
          <cell r="C552">
            <v>0</v>
          </cell>
        </row>
        <row r="553">
          <cell r="A553">
            <v>201493</v>
          </cell>
          <cell r="B553" t="str">
            <v>3级毒龙</v>
          </cell>
          <cell r="C553">
            <v>0</v>
          </cell>
        </row>
        <row r="554">
          <cell r="A554">
            <v>201494</v>
          </cell>
          <cell r="B554" t="str">
            <v>4级毒龙</v>
          </cell>
          <cell r="C554">
            <v>0</v>
          </cell>
        </row>
        <row r="555">
          <cell r="A555">
            <v>201495</v>
          </cell>
          <cell r="B555" t="str">
            <v>5级毒龙</v>
          </cell>
          <cell r="C555">
            <v>0</v>
          </cell>
        </row>
        <row r="556">
          <cell r="A556">
            <v>201496</v>
          </cell>
          <cell r="B556" t="str">
            <v>6级毒龙</v>
          </cell>
          <cell r="C556">
            <v>0</v>
          </cell>
        </row>
        <row r="557">
          <cell r="A557">
            <v>201497</v>
          </cell>
          <cell r="B557" t="str">
            <v>7级毒龙</v>
          </cell>
          <cell r="C557">
            <v>0</v>
          </cell>
        </row>
        <row r="558">
          <cell r="A558">
            <v>201498</v>
          </cell>
          <cell r="B558" t="str">
            <v>8级毒龙</v>
          </cell>
          <cell r="C558">
            <v>0</v>
          </cell>
        </row>
        <row r="559">
          <cell r="A559">
            <v>201499</v>
          </cell>
          <cell r="B559" t="str">
            <v>9级毒龙</v>
          </cell>
          <cell r="C559">
            <v>0</v>
          </cell>
        </row>
        <row r="560">
          <cell r="A560">
            <v>201500</v>
          </cell>
          <cell r="B560" t="str">
            <v>10级毒龙</v>
          </cell>
          <cell r="C560">
            <v>0</v>
          </cell>
        </row>
        <row r="561">
          <cell r="A561">
            <v>201501</v>
          </cell>
          <cell r="B561" t="str">
            <v>1级风暴龙</v>
          </cell>
          <cell r="C561">
            <v>0</v>
          </cell>
        </row>
        <row r="562">
          <cell r="A562">
            <v>201502</v>
          </cell>
          <cell r="B562" t="str">
            <v>2级风暴龙</v>
          </cell>
          <cell r="C562">
            <v>0</v>
          </cell>
        </row>
        <row r="563">
          <cell r="A563">
            <v>201503</v>
          </cell>
          <cell r="B563" t="str">
            <v>3级风暴龙</v>
          </cell>
          <cell r="C563">
            <v>0</v>
          </cell>
        </row>
        <row r="564">
          <cell r="A564">
            <v>201504</v>
          </cell>
          <cell r="B564" t="str">
            <v>4级风暴龙</v>
          </cell>
          <cell r="C564">
            <v>0</v>
          </cell>
        </row>
        <row r="565">
          <cell r="A565">
            <v>201505</v>
          </cell>
          <cell r="B565" t="str">
            <v>5级风暴龙</v>
          </cell>
          <cell r="C565">
            <v>0</v>
          </cell>
        </row>
        <row r="566">
          <cell r="A566">
            <v>201506</v>
          </cell>
          <cell r="B566" t="str">
            <v>6级风暴龙</v>
          </cell>
          <cell r="C566">
            <v>0</v>
          </cell>
        </row>
        <row r="567">
          <cell r="A567">
            <v>201507</v>
          </cell>
          <cell r="B567" t="str">
            <v>7级风暴龙</v>
          </cell>
          <cell r="C567">
            <v>0</v>
          </cell>
        </row>
        <row r="568">
          <cell r="A568">
            <v>201508</v>
          </cell>
          <cell r="B568" t="str">
            <v>8级风暴龙</v>
          </cell>
          <cell r="C568">
            <v>0</v>
          </cell>
        </row>
        <row r="569">
          <cell r="A569">
            <v>201509</v>
          </cell>
          <cell r="B569" t="str">
            <v>9级风暴龙</v>
          </cell>
          <cell r="C569">
            <v>0</v>
          </cell>
        </row>
        <row r="570">
          <cell r="A570">
            <v>201510</v>
          </cell>
          <cell r="B570" t="str">
            <v>10级风暴龙</v>
          </cell>
          <cell r="C570">
            <v>0</v>
          </cell>
        </row>
        <row r="571">
          <cell r="A571">
            <v>201511</v>
          </cell>
          <cell r="B571" t="str">
            <v>1级幻心龙</v>
          </cell>
          <cell r="C571">
            <v>0</v>
          </cell>
        </row>
        <row r="572">
          <cell r="A572">
            <v>201512</v>
          </cell>
          <cell r="B572" t="str">
            <v>2级幻心龙</v>
          </cell>
          <cell r="C572">
            <v>0</v>
          </cell>
        </row>
        <row r="573">
          <cell r="A573">
            <v>201513</v>
          </cell>
          <cell r="B573" t="str">
            <v>3级幻心龙</v>
          </cell>
          <cell r="C573">
            <v>0</v>
          </cell>
        </row>
        <row r="574">
          <cell r="A574">
            <v>201514</v>
          </cell>
          <cell r="B574" t="str">
            <v>4级幻心龙</v>
          </cell>
          <cell r="C574">
            <v>0</v>
          </cell>
        </row>
        <row r="575">
          <cell r="A575">
            <v>201515</v>
          </cell>
          <cell r="B575" t="str">
            <v>5级幻心龙</v>
          </cell>
          <cell r="C575">
            <v>0</v>
          </cell>
        </row>
        <row r="576">
          <cell r="A576">
            <v>201516</v>
          </cell>
          <cell r="B576" t="str">
            <v>6级幻心龙</v>
          </cell>
          <cell r="C576">
            <v>0</v>
          </cell>
        </row>
        <row r="577">
          <cell r="A577">
            <v>201517</v>
          </cell>
          <cell r="B577" t="str">
            <v>7级幻心龙</v>
          </cell>
          <cell r="C577">
            <v>0</v>
          </cell>
        </row>
        <row r="578">
          <cell r="A578">
            <v>201518</v>
          </cell>
          <cell r="B578" t="str">
            <v>8级幻心龙</v>
          </cell>
          <cell r="C578">
            <v>0</v>
          </cell>
        </row>
        <row r="579">
          <cell r="A579">
            <v>201519</v>
          </cell>
          <cell r="B579" t="str">
            <v>9级幻心龙</v>
          </cell>
          <cell r="C579">
            <v>0</v>
          </cell>
        </row>
        <row r="580">
          <cell r="A580">
            <v>201520</v>
          </cell>
          <cell r="B580" t="str">
            <v>10级幻心龙</v>
          </cell>
          <cell r="C580">
            <v>0</v>
          </cell>
        </row>
        <row r="581">
          <cell r="A581">
            <v>201521</v>
          </cell>
          <cell r="B581" t="str">
            <v>1级圣盾龙</v>
          </cell>
          <cell r="C581">
            <v>0</v>
          </cell>
        </row>
        <row r="582">
          <cell r="A582">
            <v>201522</v>
          </cell>
          <cell r="B582" t="str">
            <v>2级圣盾龙</v>
          </cell>
          <cell r="C582">
            <v>0</v>
          </cell>
        </row>
        <row r="583">
          <cell r="A583">
            <v>201523</v>
          </cell>
          <cell r="B583" t="str">
            <v>3级圣盾龙</v>
          </cell>
          <cell r="C583">
            <v>0</v>
          </cell>
        </row>
        <row r="584">
          <cell r="A584">
            <v>201524</v>
          </cell>
          <cell r="B584" t="str">
            <v>4级圣盾龙</v>
          </cell>
          <cell r="C584">
            <v>0</v>
          </cell>
        </row>
        <row r="585">
          <cell r="A585">
            <v>201525</v>
          </cell>
          <cell r="B585" t="str">
            <v>5级圣盾龙</v>
          </cell>
          <cell r="C585">
            <v>0</v>
          </cell>
        </row>
        <row r="586">
          <cell r="A586">
            <v>201526</v>
          </cell>
          <cell r="B586" t="str">
            <v>6级圣盾龙</v>
          </cell>
          <cell r="C586">
            <v>0</v>
          </cell>
        </row>
        <row r="587">
          <cell r="A587">
            <v>201527</v>
          </cell>
          <cell r="B587" t="str">
            <v>7级圣盾龙</v>
          </cell>
          <cell r="C587">
            <v>0</v>
          </cell>
        </row>
        <row r="588">
          <cell r="A588">
            <v>201528</v>
          </cell>
          <cell r="B588" t="str">
            <v>8级圣盾龙</v>
          </cell>
          <cell r="C588">
            <v>0</v>
          </cell>
        </row>
        <row r="589">
          <cell r="A589">
            <v>201529</v>
          </cell>
          <cell r="B589" t="str">
            <v>9级圣盾龙</v>
          </cell>
          <cell r="C589">
            <v>0</v>
          </cell>
        </row>
        <row r="590">
          <cell r="A590">
            <v>201530</v>
          </cell>
          <cell r="B590" t="str">
            <v>10级圣盾龙</v>
          </cell>
          <cell r="C590">
            <v>0</v>
          </cell>
        </row>
        <row r="591">
          <cell r="A591">
            <v>201531</v>
          </cell>
          <cell r="B591" t="str">
            <v>1级奥术龙</v>
          </cell>
          <cell r="C591">
            <v>0</v>
          </cell>
        </row>
        <row r="592">
          <cell r="A592">
            <v>201532</v>
          </cell>
          <cell r="B592" t="str">
            <v>2级奥术龙</v>
          </cell>
          <cell r="C592">
            <v>0</v>
          </cell>
        </row>
        <row r="593">
          <cell r="A593">
            <v>201533</v>
          </cell>
          <cell r="B593" t="str">
            <v>3级奥术龙</v>
          </cell>
          <cell r="C593">
            <v>0</v>
          </cell>
        </row>
        <row r="594">
          <cell r="A594">
            <v>201534</v>
          </cell>
          <cell r="B594" t="str">
            <v>4级奥术龙</v>
          </cell>
          <cell r="C594">
            <v>0</v>
          </cell>
        </row>
        <row r="595">
          <cell r="A595">
            <v>201535</v>
          </cell>
          <cell r="B595" t="str">
            <v>5级奥术龙</v>
          </cell>
          <cell r="C595">
            <v>0</v>
          </cell>
        </row>
        <row r="596">
          <cell r="A596">
            <v>201536</v>
          </cell>
          <cell r="B596" t="str">
            <v>6级奥术龙</v>
          </cell>
          <cell r="C596">
            <v>0</v>
          </cell>
        </row>
        <row r="597">
          <cell r="A597">
            <v>201537</v>
          </cell>
          <cell r="B597" t="str">
            <v>7级奥术龙</v>
          </cell>
          <cell r="C597">
            <v>0</v>
          </cell>
        </row>
        <row r="598">
          <cell r="A598">
            <v>201538</v>
          </cell>
          <cell r="B598" t="str">
            <v>8级奥术龙</v>
          </cell>
          <cell r="C598">
            <v>0</v>
          </cell>
        </row>
        <row r="599">
          <cell r="A599">
            <v>201539</v>
          </cell>
          <cell r="B599" t="str">
            <v>9级奥术龙</v>
          </cell>
          <cell r="C599">
            <v>0</v>
          </cell>
        </row>
        <row r="600">
          <cell r="A600">
            <v>201540</v>
          </cell>
          <cell r="B600" t="str">
            <v>10级奥术龙</v>
          </cell>
          <cell r="C600">
            <v>0</v>
          </cell>
        </row>
        <row r="601">
          <cell r="A601">
            <v>201541</v>
          </cell>
          <cell r="B601" t="str">
            <v>1级潮汐龙</v>
          </cell>
          <cell r="C601">
            <v>0</v>
          </cell>
        </row>
        <row r="602">
          <cell r="A602">
            <v>201542</v>
          </cell>
          <cell r="B602" t="str">
            <v>2级潮汐龙</v>
          </cell>
          <cell r="C602">
            <v>0</v>
          </cell>
        </row>
        <row r="603">
          <cell r="A603">
            <v>201543</v>
          </cell>
          <cell r="B603" t="str">
            <v>3级潮汐龙</v>
          </cell>
          <cell r="C603">
            <v>0</v>
          </cell>
        </row>
        <row r="604">
          <cell r="A604">
            <v>201544</v>
          </cell>
          <cell r="B604" t="str">
            <v>4级潮汐龙</v>
          </cell>
          <cell r="C604">
            <v>0</v>
          </cell>
        </row>
        <row r="605">
          <cell r="A605">
            <v>201545</v>
          </cell>
          <cell r="B605" t="str">
            <v>5级潮汐龙</v>
          </cell>
          <cell r="C605">
            <v>0</v>
          </cell>
        </row>
        <row r="606">
          <cell r="A606">
            <v>201546</v>
          </cell>
          <cell r="B606" t="str">
            <v>6级潮汐龙</v>
          </cell>
          <cell r="C606">
            <v>0</v>
          </cell>
        </row>
        <row r="607">
          <cell r="A607">
            <v>201547</v>
          </cell>
          <cell r="B607" t="str">
            <v>7级潮汐龙</v>
          </cell>
          <cell r="C607">
            <v>0</v>
          </cell>
        </row>
        <row r="608">
          <cell r="A608">
            <v>201548</v>
          </cell>
          <cell r="B608" t="str">
            <v>8级潮汐龙</v>
          </cell>
          <cell r="C608">
            <v>0</v>
          </cell>
        </row>
        <row r="609">
          <cell r="A609">
            <v>201549</v>
          </cell>
          <cell r="B609" t="str">
            <v>9级潮汐龙</v>
          </cell>
          <cell r="C609">
            <v>0</v>
          </cell>
        </row>
        <row r="610">
          <cell r="A610">
            <v>201550</v>
          </cell>
          <cell r="B610" t="str">
            <v>10级潮汐龙</v>
          </cell>
          <cell r="C610">
            <v>0</v>
          </cell>
        </row>
        <row r="611">
          <cell r="A611">
            <v>201551</v>
          </cell>
          <cell r="B611" t="str">
            <v>1级远古树龙</v>
          </cell>
          <cell r="C611">
            <v>0</v>
          </cell>
        </row>
        <row r="612">
          <cell r="A612">
            <v>201552</v>
          </cell>
          <cell r="B612" t="str">
            <v>2级远古树龙</v>
          </cell>
          <cell r="C612">
            <v>0</v>
          </cell>
        </row>
        <row r="613">
          <cell r="A613">
            <v>201553</v>
          </cell>
          <cell r="B613" t="str">
            <v>3级远古树龙</v>
          </cell>
          <cell r="C613">
            <v>0</v>
          </cell>
        </row>
        <row r="614">
          <cell r="A614">
            <v>201554</v>
          </cell>
          <cell r="B614" t="str">
            <v>4级远古树龙</v>
          </cell>
          <cell r="C614">
            <v>0</v>
          </cell>
        </row>
        <row r="615">
          <cell r="A615">
            <v>201555</v>
          </cell>
          <cell r="B615" t="str">
            <v>5级远古树龙</v>
          </cell>
          <cell r="C615">
            <v>0</v>
          </cell>
        </row>
        <row r="616">
          <cell r="A616">
            <v>201556</v>
          </cell>
          <cell r="B616" t="str">
            <v>6级远古树龙</v>
          </cell>
          <cell r="C616">
            <v>0</v>
          </cell>
        </row>
        <row r="617">
          <cell r="A617">
            <v>201557</v>
          </cell>
          <cell r="B617" t="str">
            <v>7级远古树龙</v>
          </cell>
          <cell r="C617">
            <v>0</v>
          </cell>
        </row>
        <row r="618">
          <cell r="A618">
            <v>201558</v>
          </cell>
          <cell r="B618" t="str">
            <v>8级远古树龙</v>
          </cell>
          <cell r="C618">
            <v>0</v>
          </cell>
        </row>
        <row r="619">
          <cell r="A619">
            <v>201559</v>
          </cell>
          <cell r="B619" t="str">
            <v>9级远古树龙</v>
          </cell>
          <cell r="C619">
            <v>0</v>
          </cell>
        </row>
        <row r="620">
          <cell r="A620">
            <v>201560</v>
          </cell>
          <cell r="B620" t="str">
            <v>10级远古树龙</v>
          </cell>
          <cell r="C620">
            <v>0</v>
          </cell>
        </row>
        <row r="621">
          <cell r="A621">
            <v>201561</v>
          </cell>
          <cell r="B621" t="str">
            <v>1级红工蚁</v>
          </cell>
          <cell r="C621">
            <v>0</v>
          </cell>
        </row>
        <row r="622">
          <cell r="A622">
            <v>201562</v>
          </cell>
          <cell r="B622" t="str">
            <v>2级红工蚁</v>
          </cell>
          <cell r="C622">
            <v>0</v>
          </cell>
        </row>
        <row r="623">
          <cell r="A623">
            <v>201563</v>
          </cell>
          <cell r="B623" t="str">
            <v>3级红工蚁</v>
          </cell>
          <cell r="C623">
            <v>0</v>
          </cell>
        </row>
        <row r="624">
          <cell r="A624">
            <v>201564</v>
          </cell>
          <cell r="B624" t="str">
            <v>4级红工蚁</v>
          </cell>
          <cell r="C624">
            <v>0</v>
          </cell>
        </row>
        <row r="625">
          <cell r="A625">
            <v>201565</v>
          </cell>
          <cell r="B625" t="str">
            <v>5级红工蚁</v>
          </cell>
          <cell r="C625">
            <v>0</v>
          </cell>
        </row>
        <row r="626">
          <cell r="A626">
            <v>201566</v>
          </cell>
          <cell r="B626" t="str">
            <v>6级红工蚁</v>
          </cell>
          <cell r="C626">
            <v>0</v>
          </cell>
        </row>
        <row r="627">
          <cell r="A627">
            <v>201567</v>
          </cell>
          <cell r="B627" t="str">
            <v>7级红工蚁</v>
          </cell>
          <cell r="C627">
            <v>0</v>
          </cell>
        </row>
        <row r="628">
          <cell r="A628">
            <v>201568</v>
          </cell>
          <cell r="B628" t="str">
            <v>8级红工蚁</v>
          </cell>
          <cell r="C628">
            <v>0</v>
          </cell>
        </row>
        <row r="629">
          <cell r="A629">
            <v>201569</v>
          </cell>
          <cell r="B629" t="str">
            <v>9级红工蚁</v>
          </cell>
          <cell r="C629">
            <v>0</v>
          </cell>
        </row>
        <row r="630">
          <cell r="A630">
            <v>201570</v>
          </cell>
          <cell r="B630" t="str">
            <v>10级红工蚁</v>
          </cell>
          <cell r="C630">
            <v>0</v>
          </cell>
        </row>
        <row r="631">
          <cell r="A631">
            <v>201571</v>
          </cell>
          <cell r="B631" t="str">
            <v>1级红兵蚁</v>
          </cell>
          <cell r="C631">
            <v>0</v>
          </cell>
        </row>
        <row r="632">
          <cell r="A632">
            <v>201572</v>
          </cell>
          <cell r="B632" t="str">
            <v>2级红兵蚁</v>
          </cell>
          <cell r="C632">
            <v>0</v>
          </cell>
        </row>
        <row r="633">
          <cell r="A633">
            <v>201573</v>
          </cell>
          <cell r="B633" t="str">
            <v>3级红兵蚁</v>
          </cell>
          <cell r="C633">
            <v>0</v>
          </cell>
        </row>
        <row r="634">
          <cell r="A634">
            <v>201574</v>
          </cell>
          <cell r="B634" t="str">
            <v>4级红兵蚁</v>
          </cell>
          <cell r="C634">
            <v>0</v>
          </cell>
        </row>
        <row r="635">
          <cell r="A635">
            <v>201575</v>
          </cell>
          <cell r="B635" t="str">
            <v>5级红兵蚁</v>
          </cell>
          <cell r="C635">
            <v>0</v>
          </cell>
        </row>
        <row r="636">
          <cell r="A636">
            <v>201576</v>
          </cell>
          <cell r="B636" t="str">
            <v>6级红兵蚁</v>
          </cell>
          <cell r="C636">
            <v>0</v>
          </cell>
        </row>
        <row r="637">
          <cell r="A637">
            <v>201577</v>
          </cell>
          <cell r="B637" t="str">
            <v>7级红兵蚁</v>
          </cell>
          <cell r="C637">
            <v>0</v>
          </cell>
        </row>
        <row r="638">
          <cell r="A638">
            <v>201578</v>
          </cell>
          <cell r="B638" t="str">
            <v>8级红兵蚁</v>
          </cell>
          <cell r="C638">
            <v>0</v>
          </cell>
        </row>
        <row r="639">
          <cell r="A639">
            <v>201579</v>
          </cell>
          <cell r="B639" t="str">
            <v>9级红兵蚁</v>
          </cell>
          <cell r="C639">
            <v>0</v>
          </cell>
        </row>
        <row r="640">
          <cell r="A640">
            <v>201580</v>
          </cell>
          <cell r="B640" t="str">
            <v>10级红兵蚁</v>
          </cell>
          <cell r="C640">
            <v>0</v>
          </cell>
        </row>
        <row r="641">
          <cell r="A641">
            <v>202101</v>
          </cell>
          <cell r="B641" t="str">
            <v>骑士</v>
          </cell>
          <cell r="C641">
            <v>0</v>
          </cell>
        </row>
        <row r="642">
          <cell r="A642">
            <v>202102</v>
          </cell>
          <cell r="B642" t="str">
            <v>狼骑兵</v>
          </cell>
          <cell r="C642">
            <v>0</v>
          </cell>
        </row>
        <row r="643">
          <cell r="A643">
            <v>202103</v>
          </cell>
          <cell r="B643" t="str">
            <v>猪骑兵</v>
          </cell>
          <cell r="C643">
            <v>0</v>
          </cell>
        </row>
        <row r="644">
          <cell r="A644">
            <v>202104</v>
          </cell>
          <cell r="B644" t="str">
            <v>领主</v>
          </cell>
          <cell r="C644">
            <v>0</v>
          </cell>
        </row>
        <row r="645">
          <cell r="A645">
            <v>202105</v>
          </cell>
          <cell r="B645" t="str">
            <v>皇家骑士</v>
          </cell>
          <cell r="C645">
            <v>0</v>
          </cell>
        </row>
        <row r="646">
          <cell r="A646">
            <v>202201</v>
          </cell>
          <cell r="B646" t="str">
            <v>马战车</v>
          </cell>
          <cell r="C646">
            <v>0</v>
          </cell>
        </row>
        <row r="647">
          <cell r="A647">
            <v>202202</v>
          </cell>
          <cell r="B647" t="str">
            <v>狼战车</v>
          </cell>
          <cell r="C647">
            <v>0</v>
          </cell>
        </row>
        <row r="648">
          <cell r="A648">
            <v>202203</v>
          </cell>
          <cell r="B648" t="str">
            <v>猪战车</v>
          </cell>
          <cell r="C648">
            <v>0</v>
          </cell>
        </row>
        <row r="649">
          <cell r="A649">
            <v>202301</v>
          </cell>
          <cell r="B649" t="str">
            <v>弓箭兵</v>
          </cell>
          <cell r="C649">
            <v>0</v>
          </cell>
        </row>
        <row r="650">
          <cell r="A650">
            <v>202302</v>
          </cell>
          <cell r="B650" t="str">
            <v>弩箭兵</v>
          </cell>
          <cell r="C650">
            <v>0</v>
          </cell>
        </row>
        <row r="651">
          <cell r="A651">
            <v>202303</v>
          </cell>
          <cell r="B651" t="str">
            <v>投石兵</v>
          </cell>
          <cell r="C651">
            <v>0</v>
          </cell>
        </row>
        <row r="652">
          <cell r="A652">
            <v>202304</v>
          </cell>
          <cell r="B652" t="str">
            <v>火枪手</v>
          </cell>
          <cell r="C652">
            <v>0</v>
          </cell>
        </row>
        <row r="653">
          <cell r="A653">
            <v>202401</v>
          </cell>
          <cell r="B653" t="str">
            <v>剑士</v>
          </cell>
          <cell r="C653">
            <v>0</v>
          </cell>
        </row>
        <row r="654">
          <cell r="A654">
            <v>202402</v>
          </cell>
          <cell r="B654" t="str">
            <v>大刀兵</v>
          </cell>
          <cell r="C654">
            <v>0</v>
          </cell>
        </row>
        <row r="655">
          <cell r="A655">
            <v>202403</v>
          </cell>
          <cell r="B655" t="str">
            <v>钝器兵</v>
          </cell>
          <cell r="C655">
            <v>0</v>
          </cell>
        </row>
        <row r="656">
          <cell r="A656">
            <v>202404</v>
          </cell>
          <cell r="B656" t="str">
            <v>狼战士</v>
          </cell>
          <cell r="C656">
            <v>0</v>
          </cell>
        </row>
        <row r="657">
          <cell r="A657">
            <v>202405</v>
          </cell>
          <cell r="B657" t="str">
            <v>长枪兵</v>
          </cell>
          <cell r="C657">
            <v>0</v>
          </cell>
        </row>
        <row r="658">
          <cell r="A658">
            <v>202407</v>
          </cell>
          <cell r="B658" t="str">
            <v>图腾兵</v>
          </cell>
          <cell r="C658">
            <v>0</v>
          </cell>
        </row>
        <row r="659">
          <cell r="A659">
            <v>202501</v>
          </cell>
          <cell r="B659" t="str">
            <v>刀盾兵</v>
          </cell>
          <cell r="C659">
            <v>0</v>
          </cell>
        </row>
        <row r="660">
          <cell r="A660">
            <v>202502</v>
          </cell>
          <cell r="B660" t="str">
            <v>巨盾兵</v>
          </cell>
          <cell r="C660">
            <v>0</v>
          </cell>
        </row>
        <row r="661">
          <cell r="A661">
            <v>202503</v>
          </cell>
          <cell r="B661" t="str">
            <v>后勤兵</v>
          </cell>
          <cell r="C661">
            <v>0</v>
          </cell>
        </row>
        <row r="662">
          <cell r="A662">
            <v>202601</v>
          </cell>
          <cell r="B662" t="str">
            <v>弓骑兵</v>
          </cell>
          <cell r="C662">
            <v>0</v>
          </cell>
        </row>
        <row r="663">
          <cell r="A663">
            <v>202701</v>
          </cell>
          <cell r="B663" t="str">
            <v>红精灵法师</v>
          </cell>
          <cell r="C663">
            <v>0</v>
          </cell>
        </row>
        <row r="664">
          <cell r="A664">
            <v>202702</v>
          </cell>
          <cell r="B664" t="str">
            <v>蓝精灵法师</v>
          </cell>
          <cell r="C664">
            <v>0</v>
          </cell>
        </row>
        <row r="665">
          <cell r="A665">
            <v>202703</v>
          </cell>
          <cell r="B665" t="str">
            <v>绿精灵法师</v>
          </cell>
          <cell r="C665">
            <v>0</v>
          </cell>
        </row>
        <row r="666">
          <cell r="A666">
            <v>202704</v>
          </cell>
          <cell r="B666" t="str">
            <v>三眼法师</v>
          </cell>
          <cell r="C666">
            <v>0</v>
          </cell>
        </row>
        <row r="667">
          <cell r="A667">
            <v>202883</v>
          </cell>
          <cell r="B667" t="str">
            <v>赏金猎人</v>
          </cell>
          <cell r="C667">
            <v>0</v>
          </cell>
        </row>
        <row r="668">
          <cell r="A668">
            <v>202884</v>
          </cell>
          <cell r="B668" t="str">
            <v>刺客</v>
          </cell>
          <cell r="C668">
            <v>0</v>
          </cell>
        </row>
        <row r="669">
          <cell r="A669">
            <v>202885</v>
          </cell>
          <cell r="B669" t="str">
            <v>雇佣狼战车</v>
          </cell>
          <cell r="C669">
            <v>0</v>
          </cell>
        </row>
        <row r="670">
          <cell r="A670">
            <v>202886</v>
          </cell>
          <cell r="B670" t="str">
            <v>雇佣猪战车</v>
          </cell>
          <cell r="C670">
            <v>0</v>
          </cell>
        </row>
        <row r="671">
          <cell r="A671">
            <v>202887</v>
          </cell>
          <cell r="B671" t="str">
            <v>雇佣马战车</v>
          </cell>
          <cell r="C671">
            <v>0</v>
          </cell>
        </row>
        <row r="672">
          <cell r="A672">
            <v>202888</v>
          </cell>
          <cell r="B672" t="str">
            <v>雇佣狼骑兵</v>
          </cell>
          <cell r="C672">
            <v>0</v>
          </cell>
        </row>
        <row r="673">
          <cell r="A673">
            <v>202889</v>
          </cell>
          <cell r="B673" t="str">
            <v>雇佣猪骑兵</v>
          </cell>
          <cell r="C673">
            <v>0</v>
          </cell>
        </row>
        <row r="674">
          <cell r="A674">
            <v>202890</v>
          </cell>
          <cell r="B674" t="str">
            <v>雇佣马骑兵</v>
          </cell>
          <cell r="C674">
            <v>0</v>
          </cell>
        </row>
        <row r="675">
          <cell r="A675">
            <v>202891</v>
          </cell>
          <cell r="B675" t="str">
            <v>雇佣弓骑兵</v>
          </cell>
          <cell r="C675">
            <v>0</v>
          </cell>
        </row>
        <row r="676">
          <cell r="A676">
            <v>202892</v>
          </cell>
          <cell r="B676" t="str">
            <v>雇佣弩箭兵</v>
          </cell>
          <cell r="C676">
            <v>0</v>
          </cell>
        </row>
        <row r="677">
          <cell r="A677">
            <v>202893</v>
          </cell>
          <cell r="B677" t="str">
            <v>雇佣弓箭兵</v>
          </cell>
          <cell r="C677">
            <v>0</v>
          </cell>
        </row>
        <row r="678">
          <cell r="A678">
            <v>202894</v>
          </cell>
          <cell r="B678" t="str">
            <v>雇佣投石兵</v>
          </cell>
          <cell r="C678">
            <v>0</v>
          </cell>
        </row>
        <row r="679">
          <cell r="A679">
            <v>202895</v>
          </cell>
          <cell r="B679" t="str">
            <v>雇佣钝器兵</v>
          </cell>
          <cell r="C679">
            <v>0</v>
          </cell>
        </row>
        <row r="680">
          <cell r="A680">
            <v>202896</v>
          </cell>
          <cell r="B680" t="str">
            <v>雇佣长枪兵</v>
          </cell>
          <cell r="C680">
            <v>0</v>
          </cell>
        </row>
        <row r="681">
          <cell r="A681">
            <v>202897</v>
          </cell>
          <cell r="B681" t="str">
            <v>雇佣剑士</v>
          </cell>
          <cell r="C681">
            <v>0</v>
          </cell>
        </row>
        <row r="682">
          <cell r="A682">
            <v>202898</v>
          </cell>
          <cell r="B682" t="str">
            <v>雇佣巨盾兵</v>
          </cell>
          <cell r="C682">
            <v>0</v>
          </cell>
        </row>
        <row r="683">
          <cell r="A683">
            <v>202899</v>
          </cell>
          <cell r="B683" t="str">
            <v>雇佣刀盾兵</v>
          </cell>
          <cell r="C683">
            <v>0</v>
          </cell>
        </row>
        <row r="684">
          <cell r="A684">
            <v>202999</v>
          </cell>
          <cell r="B684" t="str">
            <v>民兵</v>
          </cell>
          <cell r="C684">
            <v>0</v>
          </cell>
        </row>
        <row r="685">
          <cell r="A685">
            <v>405111</v>
          </cell>
          <cell r="B685" t="str">
            <v>1级短刀</v>
          </cell>
          <cell r="C685">
            <v>0</v>
          </cell>
        </row>
        <row r="686">
          <cell r="A686">
            <v>405112</v>
          </cell>
          <cell r="B686" t="str">
            <v>2级短刀</v>
          </cell>
          <cell r="C686">
            <v>0</v>
          </cell>
        </row>
        <row r="687">
          <cell r="A687">
            <v>405113</v>
          </cell>
          <cell r="B687" t="str">
            <v>3级短刀</v>
          </cell>
          <cell r="C687">
            <v>0</v>
          </cell>
        </row>
        <row r="688">
          <cell r="A688">
            <v>405114</v>
          </cell>
          <cell r="B688" t="str">
            <v>4级短刀</v>
          </cell>
          <cell r="C688">
            <v>0</v>
          </cell>
        </row>
        <row r="689">
          <cell r="A689">
            <v>405115</v>
          </cell>
          <cell r="B689" t="str">
            <v>5级短刀</v>
          </cell>
          <cell r="C689">
            <v>0</v>
          </cell>
        </row>
        <row r="690">
          <cell r="A690">
            <v>405116</v>
          </cell>
          <cell r="B690" t="str">
            <v>6级短刀</v>
          </cell>
          <cell r="C690">
            <v>0</v>
          </cell>
        </row>
        <row r="691">
          <cell r="A691">
            <v>405117</v>
          </cell>
          <cell r="B691" t="str">
            <v>7级短刀</v>
          </cell>
          <cell r="C691">
            <v>0</v>
          </cell>
        </row>
        <row r="692">
          <cell r="A692">
            <v>405118</v>
          </cell>
          <cell r="B692" t="str">
            <v>8级短刀</v>
          </cell>
          <cell r="C692">
            <v>0</v>
          </cell>
        </row>
        <row r="693">
          <cell r="A693">
            <v>405119</v>
          </cell>
          <cell r="B693" t="str">
            <v>9级短刀</v>
          </cell>
          <cell r="C693">
            <v>0</v>
          </cell>
        </row>
        <row r="694">
          <cell r="A694">
            <v>405121</v>
          </cell>
          <cell r="B694" t="str">
            <v>1级大刀</v>
          </cell>
          <cell r="C694">
            <v>0</v>
          </cell>
        </row>
        <row r="695">
          <cell r="A695">
            <v>405122</v>
          </cell>
          <cell r="B695" t="str">
            <v>2级大刀</v>
          </cell>
          <cell r="C695">
            <v>0</v>
          </cell>
        </row>
        <row r="696">
          <cell r="A696">
            <v>405123</v>
          </cell>
          <cell r="B696" t="str">
            <v>3级大刀</v>
          </cell>
          <cell r="C696">
            <v>0</v>
          </cell>
        </row>
        <row r="697">
          <cell r="A697">
            <v>405124</v>
          </cell>
          <cell r="B697" t="str">
            <v>4级大刀</v>
          </cell>
          <cell r="C697">
            <v>0</v>
          </cell>
        </row>
        <row r="698">
          <cell r="A698">
            <v>405125</v>
          </cell>
          <cell r="B698" t="str">
            <v>5级大刀</v>
          </cell>
          <cell r="C698">
            <v>0</v>
          </cell>
        </row>
        <row r="699">
          <cell r="A699">
            <v>405126</v>
          </cell>
          <cell r="B699" t="str">
            <v>6级大刀</v>
          </cell>
          <cell r="C699">
            <v>0</v>
          </cell>
        </row>
        <row r="700">
          <cell r="A700">
            <v>405127</v>
          </cell>
          <cell r="B700" t="str">
            <v>7级大刀</v>
          </cell>
          <cell r="C700">
            <v>0</v>
          </cell>
        </row>
        <row r="701">
          <cell r="A701">
            <v>405128</v>
          </cell>
          <cell r="B701" t="str">
            <v>8级大刀</v>
          </cell>
          <cell r="C701">
            <v>0</v>
          </cell>
        </row>
        <row r="702">
          <cell r="A702">
            <v>405129</v>
          </cell>
          <cell r="B702" t="str">
            <v>9级大刀</v>
          </cell>
          <cell r="C702">
            <v>0</v>
          </cell>
        </row>
        <row r="703">
          <cell r="A703">
            <v>405131</v>
          </cell>
          <cell r="B703" t="str">
            <v>1级大剑</v>
          </cell>
          <cell r="C703">
            <v>0</v>
          </cell>
        </row>
        <row r="704">
          <cell r="A704">
            <v>405132</v>
          </cell>
          <cell r="B704" t="str">
            <v>2级大剑</v>
          </cell>
          <cell r="C704">
            <v>0</v>
          </cell>
        </row>
        <row r="705">
          <cell r="A705">
            <v>405133</v>
          </cell>
          <cell r="B705" t="str">
            <v>3级大剑</v>
          </cell>
          <cell r="C705">
            <v>0</v>
          </cell>
        </row>
        <row r="706">
          <cell r="A706">
            <v>405134</v>
          </cell>
          <cell r="B706" t="str">
            <v>4级大剑</v>
          </cell>
          <cell r="C706">
            <v>0</v>
          </cell>
        </row>
        <row r="707">
          <cell r="A707">
            <v>405135</v>
          </cell>
          <cell r="B707" t="str">
            <v>5级大剑</v>
          </cell>
          <cell r="C707">
            <v>0</v>
          </cell>
        </row>
        <row r="708">
          <cell r="A708">
            <v>405136</v>
          </cell>
          <cell r="B708" t="str">
            <v>6级大剑</v>
          </cell>
          <cell r="C708">
            <v>0</v>
          </cell>
        </row>
        <row r="709">
          <cell r="A709">
            <v>405137</v>
          </cell>
          <cell r="B709" t="str">
            <v>7级大剑</v>
          </cell>
          <cell r="C709">
            <v>0</v>
          </cell>
        </row>
        <row r="710">
          <cell r="A710">
            <v>405138</v>
          </cell>
          <cell r="B710" t="str">
            <v>8级大剑</v>
          </cell>
          <cell r="C710">
            <v>0</v>
          </cell>
        </row>
        <row r="711">
          <cell r="A711">
            <v>405139</v>
          </cell>
          <cell r="B711" t="str">
            <v>9级大剑</v>
          </cell>
          <cell r="C711">
            <v>0</v>
          </cell>
        </row>
        <row r="712">
          <cell r="A712">
            <v>405141</v>
          </cell>
          <cell r="B712" t="str">
            <v>1级长杆</v>
          </cell>
          <cell r="C712">
            <v>0</v>
          </cell>
        </row>
        <row r="713">
          <cell r="A713">
            <v>405142</v>
          </cell>
          <cell r="B713" t="str">
            <v>2级长杆</v>
          </cell>
          <cell r="C713">
            <v>0</v>
          </cell>
        </row>
        <row r="714">
          <cell r="A714">
            <v>405143</v>
          </cell>
          <cell r="B714" t="str">
            <v>3级长杆</v>
          </cell>
          <cell r="C714">
            <v>0</v>
          </cell>
        </row>
        <row r="715">
          <cell r="A715">
            <v>405144</v>
          </cell>
          <cell r="B715" t="str">
            <v>4级长杆</v>
          </cell>
          <cell r="C715">
            <v>0</v>
          </cell>
        </row>
        <row r="716">
          <cell r="A716">
            <v>405145</v>
          </cell>
          <cell r="B716" t="str">
            <v>5级长杆</v>
          </cell>
          <cell r="C716">
            <v>0</v>
          </cell>
        </row>
        <row r="717">
          <cell r="A717">
            <v>405146</v>
          </cell>
          <cell r="B717" t="str">
            <v>6级长杆</v>
          </cell>
          <cell r="C717">
            <v>0</v>
          </cell>
        </row>
        <row r="718">
          <cell r="A718">
            <v>405147</v>
          </cell>
          <cell r="B718" t="str">
            <v>7级长杆</v>
          </cell>
          <cell r="C718">
            <v>0</v>
          </cell>
        </row>
        <row r="719">
          <cell r="A719">
            <v>405148</v>
          </cell>
          <cell r="B719" t="str">
            <v>8级长杆</v>
          </cell>
          <cell r="C719">
            <v>0</v>
          </cell>
        </row>
        <row r="720">
          <cell r="A720">
            <v>405149</v>
          </cell>
          <cell r="B720" t="str">
            <v>9级长杆</v>
          </cell>
          <cell r="C720">
            <v>0</v>
          </cell>
        </row>
        <row r="721">
          <cell r="A721">
            <v>405151</v>
          </cell>
          <cell r="B721" t="str">
            <v>1级钝器</v>
          </cell>
          <cell r="C721">
            <v>0</v>
          </cell>
        </row>
        <row r="722">
          <cell r="A722">
            <v>405152</v>
          </cell>
          <cell r="B722" t="str">
            <v>2级钝器</v>
          </cell>
          <cell r="C722">
            <v>0</v>
          </cell>
        </row>
        <row r="723">
          <cell r="A723">
            <v>405153</v>
          </cell>
          <cell r="B723" t="str">
            <v>3级钝器</v>
          </cell>
          <cell r="C723">
            <v>0</v>
          </cell>
        </row>
        <row r="724">
          <cell r="A724">
            <v>405154</v>
          </cell>
          <cell r="B724" t="str">
            <v>4级钝器</v>
          </cell>
          <cell r="C724">
            <v>0</v>
          </cell>
        </row>
        <row r="725">
          <cell r="A725">
            <v>405155</v>
          </cell>
          <cell r="B725" t="str">
            <v>5级钝器</v>
          </cell>
          <cell r="C725">
            <v>0</v>
          </cell>
        </row>
        <row r="726">
          <cell r="A726">
            <v>405156</v>
          </cell>
          <cell r="B726" t="str">
            <v>6级钝器</v>
          </cell>
          <cell r="C726">
            <v>0</v>
          </cell>
        </row>
        <row r="727">
          <cell r="A727">
            <v>405157</v>
          </cell>
          <cell r="B727" t="str">
            <v>7级钝器</v>
          </cell>
          <cell r="C727">
            <v>0</v>
          </cell>
        </row>
        <row r="728">
          <cell r="A728">
            <v>405158</v>
          </cell>
          <cell r="B728" t="str">
            <v>8级钝器</v>
          </cell>
          <cell r="C728">
            <v>0</v>
          </cell>
        </row>
        <row r="729">
          <cell r="A729">
            <v>405159</v>
          </cell>
          <cell r="B729" t="str">
            <v>9级钝器</v>
          </cell>
          <cell r="C729">
            <v>0</v>
          </cell>
        </row>
        <row r="730">
          <cell r="A730">
            <v>405161</v>
          </cell>
          <cell r="B730" t="str">
            <v>1级投石</v>
          </cell>
          <cell r="C730">
            <v>0</v>
          </cell>
        </row>
        <row r="731">
          <cell r="A731">
            <v>405162</v>
          </cell>
          <cell r="B731" t="str">
            <v>2级投石</v>
          </cell>
          <cell r="C731">
            <v>0</v>
          </cell>
        </row>
        <row r="732">
          <cell r="A732">
            <v>405163</v>
          </cell>
          <cell r="B732" t="str">
            <v>3级投石</v>
          </cell>
          <cell r="C732">
            <v>0</v>
          </cell>
        </row>
        <row r="733">
          <cell r="A733">
            <v>405164</v>
          </cell>
          <cell r="B733" t="str">
            <v>4级投石</v>
          </cell>
          <cell r="C733">
            <v>0</v>
          </cell>
        </row>
        <row r="734">
          <cell r="A734">
            <v>405165</v>
          </cell>
          <cell r="B734" t="str">
            <v>5级投石</v>
          </cell>
          <cell r="C734">
            <v>0</v>
          </cell>
        </row>
        <row r="735">
          <cell r="A735">
            <v>405166</v>
          </cell>
          <cell r="B735" t="str">
            <v>6级投石</v>
          </cell>
          <cell r="C735">
            <v>0</v>
          </cell>
        </row>
        <row r="736">
          <cell r="A736">
            <v>405167</v>
          </cell>
          <cell r="B736" t="str">
            <v>7级投石</v>
          </cell>
          <cell r="C736">
            <v>0</v>
          </cell>
        </row>
        <row r="737">
          <cell r="A737">
            <v>405168</v>
          </cell>
          <cell r="B737" t="str">
            <v>8级投石</v>
          </cell>
          <cell r="C737">
            <v>0</v>
          </cell>
        </row>
        <row r="738">
          <cell r="A738">
            <v>405169</v>
          </cell>
          <cell r="B738" t="str">
            <v>9级投石</v>
          </cell>
          <cell r="C738">
            <v>0</v>
          </cell>
        </row>
        <row r="739">
          <cell r="A739">
            <v>405171</v>
          </cell>
          <cell r="B739" t="str">
            <v>1级弓箭</v>
          </cell>
          <cell r="C739">
            <v>0</v>
          </cell>
        </row>
        <row r="740">
          <cell r="A740">
            <v>405172</v>
          </cell>
          <cell r="B740" t="str">
            <v>2级弓箭</v>
          </cell>
          <cell r="C740">
            <v>0</v>
          </cell>
        </row>
        <row r="741">
          <cell r="A741">
            <v>405173</v>
          </cell>
          <cell r="B741" t="str">
            <v>3级弓箭</v>
          </cell>
          <cell r="C741">
            <v>0</v>
          </cell>
        </row>
        <row r="742">
          <cell r="A742">
            <v>405174</v>
          </cell>
          <cell r="B742" t="str">
            <v>4级弓箭</v>
          </cell>
          <cell r="C742">
            <v>0</v>
          </cell>
        </row>
        <row r="743">
          <cell r="A743">
            <v>405175</v>
          </cell>
          <cell r="B743" t="str">
            <v>5级弓箭</v>
          </cell>
          <cell r="C743">
            <v>0</v>
          </cell>
        </row>
        <row r="744">
          <cell r="A744">
            <v>405176</v>
          </cell>
          <cell r="B744" t="str">
            <v>6级弓箭</v>
          </cell>
          <cell r="C744">
            <v>0</v>
          </cell>
        </row>
        <row r="745">
          <cell r="A745">
            <v>405177</v>
          </cell>
          <cell r="B745" t="str">
            <v>7级弓箭</v>
          </cell>
          <cell r="C745">
            <v>0</v>
          </cell>
        </row>
        <row r="746">
          <cell r="A746">
            <v>405178</v>
          </cell>
          <cell r="B746" t="str">
            <v>8级弓箭</v>
          </cell>
          <cell r="C746">
            <v>0</v>
          </cell>
        </row>
        <row r="747">
          <cell r="A747">
            <v>405179</v>
          </cell>
          <cell r="B747" t="str">
            <v>9级弓箭</v>
          </cell>
          <cell r="C747">
            <v>0</v>
          </cell>
        </row>
        <row r="748">
          <cell r="A748">
            <v>405181</v>
          </cell>
          <cell r="B748" t="str">
            <v>1级弩箭</v>
          </cell>
          <cell r="C748">
            <v>0</v>
          </cell>
        </row>
        <row r="749">
          <cell r="A749">
            <v>405182</v>
          </cell>
          <cell r="B749" t="str">
            <v>2级弩箭</v>
          </cell>
          <cell r="C749">
            <v>0</v>
          </cell>
        </row>
        <row r="750">
          <cell r="A750">
            <v>405183</v>
          </cell>
          <cell r="B750" t="str">
            <v>3级弩箭</v>
          </cell>
          <cell r="C750">
            <v>0</v>
          </cell>
        </row>
        <row r="751">
          <cell r="A751">
            <v>405184</v>
          </cell>
          <cell r="B751" t="str">
            <v>4级弩箭</v>
          </cell>
          <cell r="C751">
            <v>0</v>
          </cell>
        </row>
        <row r="752">
          <cell r="A752">
            <v>405185</v>
          </cell>
          <cell r="B752" t="str">
            <v>5级弩箭</v>
          </cell>
          <cell r="C752">
            <v>0</v>
          </cell>
        </row>
        <row r="753">
          <cell r="A753">
            <v>405186</v>
          </cell>
          <cell r="B753" t="str">
            <v>6级弩箭</v>
          </cell>
          <cell r="C753">
            <v>0</v>
          </cell>
        </row>
        <row r="754">
          <cell r="A754">
            <v>405187</v>
          </cell>
          <cell r="B754" t="str">
            <v>7级弩箭</v>
          </cell>
          <cell r="C754">
            <v>0</v>
          </cell>
        </row>
        <row r="755">
          <cell r="A755">
            <v>405188</v>
          </cell>
          <cell r="B755" t="str">
            <v>8级弩箭</v>
          </cell>
          <cell r="C755">
            <v>0</v>
          </cell>
        </row>
        <row r="756">
          <cell r="A756">
            <v>405189</v>
          </cell>
          <cell r="B756" t="str">
            <v>9级弩箭</v>
          </cell>
          <cell r="C756">
            <v>0</v>
          </cell>
        </row>
        <row r="757">
          <cell r="A757">
            <v>405191</v>
          </cell>
          <cell r="B757" t="str">
            <v>1级大战斧</v>
          </cell>
          <cell r="C757">
            <v>0</v>
          </cell>
        </row>
        <row r="758">
          <cell r="A758">
            <v>405192</v>
          </cell>
          <cell r="B758" t="str">
            <v>2级大战斧</v>
          </cell>
          <cell r="C758">
            <v>0</v>
          </cell>
        </row>
        <row r="759">
          <cell r="A759">
            <v>405193</v>
          </cell>
          <cell r="B759" t="str">
            <v>3级大战斧</v>
          </cell>
          <cell r="C759">
            <v>0</v>
          </cell>
        </row>
        <row r="760">
          <cell r="A760">
            <v>405194</v>
          </cell>
          <cell r="B760" t="str">
            <v>4级大战斧</v>
          </cell>
          <cell r="C760">
            <v>0</v>
          </cell>
        </row>
        <row r="761">
          <cell r="A761">
            <v>405195</v>
          </cell>
          <cell r="B761" t="str">
            <v>5级大战斧</v>
          </cell>
          <cell r="C761">
            <v>0</v>
          </cell>
        </row>
        <row r="762">
          <cell r="A762">
            <v>405196</v>
          </cell>
          <cell r="B762" t="str">
            <v>6级大战斧</v>
          </cell>
          <cell r="C762">
            <v>0</v>
          </cell>
        </row>
        <row r="763">
          <cell r="A763">
            <v>405197</v>
          </cell>
          <cell r="B763" t="str">
            <v>7级大战斧</v>
          </cell>
          <cell r="C763">
            <v>0</v>
          </cell>
        </row>
        <row r="764">
          <cell r="A764">
            <v>405198</v>
          </cell>
          <cell r="B764" t="str">
            <v>8级大战斧</v>
          </cell>
          <cell r="C764">
            <v>0</v>
          </cell>
        </row>
        <row r="765">
          <cell r="A765">
            <v>405199</v>
          </cell>
          <cell r="B765" t="str">
            <v>9级大战斧</v>
          </cell>
          <cell r="C765">
            <v>0</v>
          </cell>
        </row>
        <row r="766">
          <cell r="A766">
            <v>405201</v>
          </cell>
          <cell r="B766" t="str">
            <v>1级骑枪</v>
          </cell>
          <cell r="C766">
            <v>0</v>
          </cell>
        </row>
        <row r="767">
          <cell r="A767">
            <v>405202</v>
          </cell>
          <cell r="B767" t="str">
            <v>2级骑枪</v>
          </cell>
          <cell r="C767">
            <v>0</v>
          </cell>
        </row>
        <row r="768">
          <cell r="A768">
            <v>405203</v>
          </cell>
          <cell r="B768" t="str">
            <v>3级骑枪</v>
          </cell>
          <cell r="C768">
            <v>0</v>
          </cell>
        </row>
        <row r="769">
          <cell r="A769">
            <v>405204</v>
          </cell>
          <cell r="B769" t="str">
            <v>4级骑枪</v>
          </cell>
          <cell r="C769">
            <v>0</v>
          </cell>
        </row>
        <row r="770">
          <cell r="A770">
            <v>405205</v>
          </cell>
          <cell r="B770" t="str">
            <v>5级骑枪</v>
          </cell>
          <cell r="C770">
            <v>0</v>
          </cell>
        </row>
        <row r="771">
          <cell r="A771">
            <v>405206</v>
          </cell>
          <cell r="B771" t="str">
            <v>6级骑枪</v>
          </cell>
          <cell r="C771">
            <v>0</v>
          </cell>
        </row>
        <row r="772">
          <cell r="A772">
            <v>405207</v>
          </cell>
          <cell r="B772" t="str">
            <v>7级骑枪</v>
          </cell>
          <cell r="C772">
            <v>0</v>
          </cell>
        </row>
        <row r="773">
          <cell r="A773">
            <v>405208</v>
          </cell>
          <cell r="B773" t="str">
            <v>8级骑枪</v>
          </cell>
          <cell r="C773">
            <v>0</v>
          </cell>
        </row>
        <row r="774">
          <cell r="A774">
            <v>405209</v>
          </cell>
          <cell r="B774" t="str">
            <v>9级骑枪</v>
          </cell>
          <cell r="C774">
            <v>0</v>
          </cell>
        </row>
        <row r="775">
          <cell r="A775">
            <v>405210</v>
          </cell>
          <cell r="B775" t="str">
            <v>1级火法杖</v>
          </cell>
          <cell r="C775">
            <v>0</v>
          </cell>
        </row>
        <row r="776">
          <cell r="A776">
            <v>405211</v>
          </cell>
          <cell r="B776" t="str">
            <v>2级火法杖</v>
          </cell>
          <cell r="C776">
            <v>0</v>
          </cell>
        </row>
        <row r="777">
          <cell r="A777">
            <v>405212</v>
          </cell>
          <cell r="B777" t="str">
            <v>3级火法杖</v>
          </cell>
          <cell r="C777">
            <v>0</v>
          </cell>
        </row>
        <row r="778">
          <cell r="A778">
            <v>405213</v>
          </cell>
          <cell r="B778" t="str">
            <v>4级火法杖</v>
          </cell>
          <cell r="C778">
            <v>0</v>
          </cell>
        </row>
        <row r="779">
          <cell r="A779">
            <v>405214</v>
          </cell>
          <cell r="B779" t="str">
            <v>5级火法杖</v>
          </cell>
          <cell r="C779">
            <v>0</v>
          </cell>
        </row>
        <row r="780">
          <cell r="A780">
            <v>405215</v>
          </cell>
          <cell r="B780" t="str">
            <v>6级火法杖</v>
          </cell>
          <cell r="C780">
            <v>0</v>
          </cell>
        </row>
        <row r="781">
          <cell r="A781">
            <v>405216</v>
          </cell>
          <cell r="B781" t="str">
            <v>7级火法杖</v>
          </cell>
          <cell r="C781">
            <v>0</v>
          </cell>
        </row>
        <row r="782">
          <cell r="A782">
            <v>405217</v>
          </cell>
          <cell r="B782" t="str">
            <v>8级火法杖</v>
          </cell>
          <cell r="C782">
            <v>0</v>
          </cell>
        </row>
        <row r="783">
          <cell r="A783">
            <v>405218</v>
          </cell>
          <cell r="B783" t="str">
            <v>9级火法杖</v>
          </cell>
          <cell r="C783">
            <v>0</v>
          </cell>
        </row>
        <row r="784">
          <cell r="A784">
            <v>405219</v>
          </cell>
          <cell r="B784" t="str">
            <v>1级冰法杖</v>
          </cell>
          <cell r="C784">
            <v>0</v>
          </cell>
        </row>
        <row r="785">
          <cell r="A785">
            <v>405220</v>
          </cell>
          <cell r="B785" t="str">
            <v>2级冰法杖</v>
          </cell>
          <cell r="C785">
            <v>0</v>
          </cell>
        </row>
        <row r="786">
          <cell r="A786">
            <v>405221</v>
          </cell>
          <cell r="B786" t="str">
            <v>3级冰法杖</v>
          </cell>
          <cell r="C786">
            <v>0</v>
          </cell>
        </row>
        <row r="787">
          <cell r="A787">
            <v>405222</v>
          </cell>
          <cell r="B787" t="str">
            <v>4级冰法杖</v>
          </cell>
          <cell r="C787">
            <v>0</v>
          </cell>
        </row>
        <row r="788">
          <cell r="A788">
            <v>405223</v>
          </cell>
          <cell r="B788" t="str">
            <v>5级冰法杖</v>
          </cell>
          <cell r="C788">
            <v>0</v>
          </cell>
        </row>
        <row r="789">
          <cell r="A789">
            <v>405224</v>
          </cell>
          <cell r="B789" t="str">
            <v>6级冰法杖</v>
          </cell>
          <cell r="C789">
            <v>0</v>
          </cell>
        </row>
        <row r="790">
          <cell r="A790">
            <v>405225</v>
          </cell>
          <cell r="B790" t="str">
            <v>7级冰法杖</v>
          </cell>
          <cell r="C790">
            <v>0</v>
          </cell>
        </row>
        <row r="791">
          <cell r="A791">
            <v>405226</v>
          </cell>
          <cell r="B791" t="str">
            <v>8级冰法杖</v>
          </cell>
          <cell r="C791">
            <v>0</v>
          </cell>
        </row>
        <row r="792">
          <cell r="A792">
            <v>405227</v>
          </cell>
          <cell r="B792" t="str">
            <v>9级冰法杖</v>
          </cell>
          <cell r="C792">
            <v>0</v>
          </cell>
        </row>
        <row r="793">
          <cell r="A793">
            <v>405228</v>
          </cell>
          <cell r="B793" t="str">
            <v>1级生命法杖</v>
          </cell>
          <cell r="C793">
            <v>0</v>
          </cell>
        </row>
        <row r="794">
          <cell r="A794">
            <v>405229</v>
          </cell>
          <cell r="B794" t="str">
            <v>2级生命法杖</v>
          </cell>
          <cell r="C794">
            <v>0</v>
          </cell>
        </row>
        <row r="795">
          <cell r="A795">
            <v>405230</v>
          </cell>
          <cell r="B795" t="str">
            <v>3级生命法杖</v>
          </cell>
          <cell r="C795">
            <v>0</v>
          </cell>
        </row>
        <row r="796">
          <cell r="A796">
            <v>405231</v>
          </cell>
          <cell r="B796" t="str">
            <v>4级生命法杖</v>
          </cell>
          <cell r="C796">
            <v>0</v>
          </cell>
        </row>
        <row r="797">
          <cell r="A797">
            <v>405232</v>
          </cell>
          <cell r="B797" t="str">
            <v>5级生命法杖</v>
          </cell>
          <cell r="C797">
            <v>0</v>
          </cell>
        </row>
        <row r="798">
          <cell r="A798">
            <v>405233</v>
          </cell>
          <cell r="B798" t="str">
            <v>6级生命法杖</v>
          </cell>
          <cell r="C798">
            <v>0</v>
          </cell>
        </row>
        <row r="799">
          <cell r="A799">
            <v>405234</v>
          </cell>
          <cell r="B799" t="str">
            <v>7级生命法杖</v>
          </cell>
          <cell r="C799">
            <v>0</v>
          </cell>
        </row>
        <row r="800">
          <cell r="A800">
            <v>405235</v>
          </cell>
          <cell r="B800" t="str">
            <v>8级生命法杖</v>
          </cell>
          <cell r="C800">
            <v>0</v>
          </cell>
        </row>
        <row r="801">
          <cell r="A801">
            <v>405236</v>
          </cell>
          <cell r="B801" t="str">
            <v>9级生命法杖</v>
          </cell>
          <cell r="C801">
            <v>0</v>
          </cell>
        </row>
        <row r="802">
          <cell r="A802">
            <v>405237</v>
          </cell>
          <cell r="B802" t="str">
            <v>1级蛊惑法杖</v>
          </cell>
          <cell r="C802">
            <v>0</v>
          </cell>
        </row>
        <row r="803">
          <cell r="A803">
            <v>405238</v>
          </cell>
          <cell r="B803" t="str">
            <v>2级蛊惑法杖</v>
          </cell>
          <cell r="C803">
            <v>0</v>
          </cell>
        </row>
        <row r="804">
          <cell r="A804">
            <v>405239</v>
          </cell>
          <cell r="B804" t="str">
            <v>3级蛊惑法杖</v>
          </cell>
          <cell r="C804">
            <v>0</v>
          </cell>
        </row>
        <row r="805">
          <cell r="A805">
            <v>405240</v>
          </cell>
          <cell r="B805" t="str">
            <v>4级蛊惑法杖</v>
          </cell>
          <cell r="C805">
            <v>0</v>
          </cell>
        </row>
        <row r="806">
          <cell r="A806">
            <v>405241</v>
          </cell>
          <cell r="B806" t="str">
            <v>5级蛊惑法杖</v>
          </cell>
          <cell r="C806">
            <v>0</v>
          </cell>
        </row>
        <row r="807">
          <cell r="A807">
            <v>405242</v>
          </cell>
          <cell r="B807" t="str">
            <v>6级蛊惑法杖</v>
          </cell>
          <cell r="C807">
            <v>0</v>
          </cell>
        </row>
        <row r="808">
          <cell r="A808">
            <v>405243</v>
          </cell>
          <cell r="B808" t="str">
            <v>7级蛊惑法杖</v>
          </cell>
          <cell r="C808">
            <v>0</v>
          </cell>
        </row>
        <row r="809">
          <cell r="A809">
            <v>405244</v>
          </cell>
          <cell r="B809" t="str">
            <v>8级蛊惑法杖</v>
          </cell>
          <cell r="C809">
            <v>0</v>
          </cell>
        </row>
        <row r="810">
          <cell r="A810">
            <v>405245</v>
          </cell>
          <cell r="B810" t="str">
            <v>9级蛊惑法杖</v>
          </cell>
          <cell r="C810">
            <v>0</v>
          </cell>
        </row>
        <row r="811">
          <cell r="A811">
            <v>405246</v>
          </cell>
          <cell r="B811" t="str">
            <v>1级铁爪</v>
          </cell>
          <cell r="C811">
            <v>0</v>
          </cell>
        </row>
        <row r="812">
          <cell r="A812">
            <v>405247</v>
          </cell>
          <cell r="B812" t="str">
            <v>2级铁爪</v>
          </cell>
          <cell r="C812">
            <v>0</v>
          </cell>
        </row>
        <row r="813">
          <cell r="A813">
            <v>405248</v>
          </cell>
          <cell r="B813" t="str">
            <v>3级铁爪</v>
          </cell>
          <cell r="C813">
            <v>0</v>
          </cell>
        </row>
        <row r="814">
          <cell r="A814">
            <v>405249</v>
          </cell>
          <cell r="B814" t="str">
            <v>4级铁爪</v>
          </cell>
          <cell r="C814">
            <v>0</v>
          </cell>
        </row>
        <row r="815">
          <cell r="A815">
            <v>405250</v>
          </cell>
          <cell r="B815" t="str">
            <v>5级铁爪</v>
          </cell>
          <cell r="C815">
            <v>0</v>
          </cell>
        </row>
        <row r="816">
          <cell r="A816">
            <v>405251</v>
          </cell>
          <cell r="B816" t="str">
            <v>6级铁爪</v>
          </cell>
          <cell r="C816">
            <v>0</v>
          </cell>
        </row>
        <row r="817">
          <cell r="A817">
            <v>405252</v>
          </cell>
          <cell r="B817" t="str">
            <v>7级铁爪</v>
          </cell>
          <cell r="C817">
            <v>0</v>
          </cell>
        </row>
        <row r="818">
          <cell r="A818">
            <v>405253</v>
          </cell>
          <cell r="B818" t="str">
            <v>8级铁爪</v>
          </cell>
          <cell r="C818">
            <v>0</v>
          </cell>
        </row>
        <row r="819">
          <cell r="A819">
            <v>405254</v>
          </cell>
          <cell r="B819" t="str">
            <v>9级铁爪</v>
          </cell>
          <cell r="C819">
            <v>0</v>
          </cell>
        </row>
        <row r="820">
          <cell r="A820">
            <v>405255</v>
          </cell>
          <cell r="B820" t="str">
            <v>1级大宝剑</v>
          </cell>
          <cell r="C820">
            <v>0</v>
          </cell>
        </row>
        <row r="821">
          <cell r="A821">
            <v>405256</v>
          </cell>
          <cell r="B821" t="str">
            <v>2级大宝剑</v>
          </cell>
          <cell r="C821">
            <v>0</v>
          </cell>
        </row>
        <row r="822">
          <cell r="A822">
            <v>405257</v>
          </cell>
          <cell r="B822" t="str">
            <v>3级大宝剑</v>
          </cell>
          <cell r="C822">
            <v>0</v>
          </cell>
        </row>
        <row r="823">
          <cell r="A823">
            <v>405258</v>
          </cell>
          <cell r="B823" t="str">
            <v>4级大宝剑</v>
          </cell>
          <cell r="C823">
            <v>0</v>
          </cell>
        </row>
        <row r="824">
          <cell r="A824">
            <v>405259</v>
          </cell>
          <cell r="B824" t="str">
            <v>5级大宝剑</v>
          </cell>
          <cell r="C824">
            <v>0</v>
          </cell>
        </row>
        <row r="825">
          <cell r="A825">
            <v>405260</v>
          </cell>
          <cell r="B825" t="str">
            <v>6级大宝剑</v>
          </cell>
          <cell r="C825">
            <v>0</v>
          </cell>
        </row>
        <row r="826">
          <cell r="A826">
            <v>405261</v>
          </cell>
          <cell r="B826" t="str">
            <v>7级大宝剑</v>
          </cell>
          <cell r="C826">
            <v>0</v>
          </cell>
        </row>
        <row r="827">
          <cell r="A827">
            <v>405262</v>
          </cell>
          <cell r="B827" t="str">
            <v>8级大宝剑</v>
          </cell>
          <cell r="C827">
            <v>0</v>
          </cell>
        </row>
        <row r="828">
          <cell r="A828">
            <v>405263</v>
          </cell>
          <cell r="B828" t="str">
            <v>9级大宝剑</v>
          </cell>
          <cell r="C828">
            <v>0</v>
          </cell>
        </row>
        <row r="829">
          <cell r="A829">
            <v>405264</v>
          </cell>
          <cell r="B829" t="str">
            <v>1级火枪</v>
          </cell>
          <cell r="C829">
            <v>0</v>
          </cell>
        </row>
        <row r="830">
          <cell r="A830">
            <v>405265</v>
          </cell>
          <cell r="B830" t="str">
            <v>2级火枪</v>
          </cell>
          <cell r="C830">
            <v>0</v>
          </cell>
        </row>
        <row r="831">
          <cell r="A831">
            <v>405266</v>
          </cell>
          <cell r="B831" t="str">
            <v>3级火枪</v>
          </cell>
          <cell r="C831">
            <v>0</v>
          </cell>
        </row>
        <row r="832">
          <cell r="A832">
            <v>405267</v>
          </cell>
          <cell r="B832" t="str">
            <v>4级火枪</v>
          </cell>
          <cell r="C832">
            <v>0</v>
          </cell>
        </row>
        <row r="833">
          <cell r="A833">
            <v>405268</v>
          </cell>
          <cell r="B833" t="str">
            <v>5级火枪</v>
          </cell>
          <cell r="C833">
            <v>0</v>
          </cell>
        </row>
        <row r="834">
          <cell r="A834">
            <v>405269</v>
          </cell>
          <cell r="B834" t="str">
            <v>6级火枪</v>
          </cell>
          <cell r="C834">
            <v>0</v>
          </cell>
        </row>
        <row r="835">
          <cell r="A835">
            <v>405270</v>
          </cell>
          <cell r="B835" t="str">
            <v>7级火枪</v>
          </cell>
          <cell r="C835">
            <v>0</v>
          </cell>
        </row>
        <row r="836">
          <cell r="A836">
            <v>405271</v>
          </cell>
          <cell r="B836" t="str">
            <v>8级火枪</v>
          </cell>
          <cell r="C836">
            <v>0</v>
          </cell>
        </row>
        <row r="837">
          <cell r="A837">
            <v>405272</v>
          </cell>
          <cell r="B837" t="str">
            <v>9级火枪</v>
          </cell>
          <cell r="C837">
            <v>0</v>
          </cell>
        </row>
        <row r="838">
          <cell r="A838">
            <v>405273</v>
          </cell>
          <cell r="B838" t="str">
            <v>1级手里剑</v>
          </cell>
          <cell r="C838">
            <v>0</v>
          </cell>
        </row>
        <row r="839">
          <cell r="A839">
            <v>405274</v>
          </cell>
          <cell r="B839" t="str">
            <v>2级手里剑</v>
          </cell>
          <cell r="C839">
            <v>0</v>
          </cell>
        </row>
        <row r="840">
          <cell r="A840">
            <v>405275</v>
          </cell>
          <cell r="B840" t="str">
            <v>3级手里剑</v>
          </cell>
          <cell r="C840">
            <v>0</v>
          </cell>
        </row>
        <row r="841">
          <cell r="A841">
            <v>405276</v>
          </cell>
          <cell r="B841" t="str">
            <v>4级手里剑</v>
          </cell>
          <cell r="C841">
            <v>0</v>
          </cell>
        </row>
        <row r="842">
          <cell r="A842">
            <v>405277</v>
          </cell>
          <cell r="B842" t="str">
            <v>5级手里剑</v>
          </cell>
          <cell r="C842">
            <v>0</v>
          </cell>
        </row>
        <row r="843">
          <cell r="A843">
            <v>405278</v>
          </cell>
          <cell r="B843" t="str">
            <v>6级手里剑</v>
          </cell>
          <cell r="C843">
            <v>0</v>
          </cell>
        </row>
        <row r="844">
          <cell r="A844">
            <v>405279</v>
          </cell>
          <cell r="B844" t="str">
            <v>7级手里剑</v>
          </cell>
          <cell r="C844">
            <v>0</v>
          </cell>
        </row>
        <row r="845">
          <cell r="A845">
            <v>405280</v>
          </cell>
          <cell r="B845" t="str">
            <v>8级手里剑</v>
          </cell>
          <cell r="C845">
            <v>0</v>
          </cell>
        </row>
        <row r="846">
          <cell r="A846">
            <v>405281</v>
          </cell>
          <cell r="B846" t="str">
            <v>9级手里剑</v>
          </cell>
          <cell r="C846">
            <v>0</v>
          </cell>
        </row>
        <row r="847">
          <cell r="A847">
            <v>405282</v>
          </cell>
          <cell r="B847" t="str">
            <v>1级火枪-赏金猎人</v>
          </cell>
          <cell r="C847">
            <v>0</v>
          </cell>
        </row>
        <row r="848">
          <cell r="A848">
            <v>405283</v>
          </cell>
          <cell r="B848" t="str">
            <v>2级火枪-赏金猎人</v>
          </cell>
          <cell r="C848">
            <v>0</v>
          </cell>
        </row>
        <row r="849">
          <cell r="A849">
            <v>405284</v>
          </cell>
          <cell r="B849" t="str">
            <v>3级火枪-赏金猎人</v>
          </cell>
          <cell r="C849">
            <v>0</v>
          </cell>
        </row>
        <row r="850">
          <cell r="A850">
            <v>405285</v>
          </cell>
          <cell r="B850" t="str">
            <v>4级火枪-赏金猎人</v>
          </cell>
          <cell r="C850">
            <v>0</v>
          </cell>
        </row>
        <row r="851">
          <cell r="A851">
            <v>405286</v>
          </cell>
          <cell r="B851" t="str">
            <v>5级火枪-赏金猎人</v>
          </cell>
          <cell r="C851">
            <v>0</v>
          </cell>
        </row>
        <row r="852">
          <cell r="A852">
            <v>405287</v>
          </cell>
          <cell r="B852" t="str">
            <v>6级火枪-赏金猎人</v>
          </cell>
          <cell r="C852">
            <v>0</v>
          </cell>
        </row>
        <row r="853">
          <cell r="A853">
            <v>405288</v>
          </cell>
          <cell r="B853" t="str">
            <v>7级火枪-赏金猎人</v>
          </cell>
          <cell r="C853">
            <v>0</v>
          </cell>
        </row>
        <row r="854">
          <cell r="A854">
            <v>405289</v>
          </cell>
          <cell r="B854" t="str">
            <v>8级火枪-赏金猎人</v>
          </cell>
          <cell r="C854">
            <v>0</v>
          </cell>
        </row>
        <row r="855">
          <cell r="A855">
            <v>405290</v>
          </cell>
          <cell r="B855" t="str">
            <v>9级火枪-赏金猎人</v>
          </cell>
          <cell r="C855">
            <v>0</v>
          </cell>
        </row>
        <row r="856">
          <cell r="A856">
            <v>407011</v>
          </cell>
          <cell r="B856" t="str">
            <v>1级皮甲</v>
          </cell>
          <cell r="C856">
            <v>0</v>
          </cell>
        </row>
        <row r="857">
          <cell r="A857">
            <v>407012</v>
          </cell>
          <cell r="B857" t="str">
            <v>2级皮甲</v>
          </cell>
          <cell r="C857">
            <v>0</v>
          </cell>
        </row>
        <row r="858">
          <cell r="A858">
            <v>407013</v>
          </cell>
          <cell r="B858" t="str">
            <v>3级皮甲</v>
          </cell>
          <cell r="C858">
            <v>0</v>
          </cell>
        </row>
        <row r="859">
          <cell r="A859">
            <v>407014</v>
          </cell>
          <cell r="B859" t="str">
            <v>4级皮甲</v>
          </cell>
          <cell r="C859">
            <v>0</v>
          </cell>
        </row>
        <row r="860">
          <cell r="A860">
            <v>407015</v>
          </cell>
          <cell r="B860" t="str">
            <v>5级皮甲</v>
          </cell>
          <cell r="C860">
            <v>0</v>
          </cell>
        </row>
        <row r="861">
          <cell r="A861">
            <v>407016</v>
          </cell>
          <cell r="B861" t="str">
            <v>6级皮甲</v>
          </cell>
          <cell r="C861">
            <v>0</v>
          </cell>
        </row>
        <row r="862">
          <cell r="A862">
            <v>407017</v>
          </cell>
          <cell r="B862" t="str">
            <v>7级皮甲</v>
          </cell>
          <cell r="C862">
            <v>0</v>
          </cell>
        </row>
        <row r="863">
          <cell r="A863">
            <v>407018</v>
          </cell>
          <cell r="B863" t="str">
            <v>8级皮甲</v>
          </cell>
          <cell r="C863">
            <v>0</v>
          </cell>
        </row>
        <row r="864">
          <cell r="A864">
            <v>407019</v>
          </cell>
          <cell r="B864" t="str">
            <v>9级皮甲</v>
          </cell>
          <cell r="C864">
            <v>0</v>
          </cell>
        </row>
        <row r="865">
          <cell r="A865">
            <v>407021</v>
          </cell>
          <cell r="B865" t="str">
            <v>1级棉甲</v>
          </cell>
          <cell r="C865">
            <v>0</v>
          </cell>
        </row>
        <row r="866">
          <cell r="A866">
            <v>407022</v>
          </cell>
          <cell r="B866" t="str">
            <v>2级棉甲</v>
          </cell>
          <cell r="C866">
            <v>0</v>
          </cell>
        </row>
        <row r="867">
          <cell r="A867">
            <v>407023</v>
          </cell>
          <cell r="B867" t="str">
            <v>3级棉甲</v>
          </cell>
          <cell r="C867">
            <v>0</v>
          </cell>
        </row>
        <row r="868">
          <cell r="A868">
            <v>407024</v>
          </cell>
          <cell r="B868" t="str">
            <v>4级棉甲</v>
          </cell>
          <cell r="C868">
            <v>0</v>
          </cell>
        </row>
        <row r="869">
          <cell r="A869">
            <v>407025</v>
          </cell>
          <cell r="B869" t="str">
            <v>5级棉甲</v>
          </cell>
          <cell r="C869">
            <v>0</v>
          </cell>
        </row>
        <row r="870">
          <cell r="A870">
            <v>407026</v>
          </cell>
          <cell r="B870" t="str">
            <v>6级棉甲</v>
          </cell>
          <cell r="C870">
            <v>0</v>
          </cell>
        </row>
        <row r="871">
          <cell r="A871">
            <v>407027</v>
          </cell>
          <cell r="B871" t="str">
            <v>7级棉甲</v>
          </cell>
          <cell r="C871">
            <v>0</v>
          </cell>
        </row>
        <row r="872">
          <cell r="A872">
            <v>407028</v>
          </cell>
          <cell r="B872" t="str">
            <v>8级棉甲</v>
          </cell>
          <cell r="C872">
            <v>0</v>
          </cell>
        </row>
        <row r="873">
          <cell r="A873">
            <v>407029</v>
          </cell>
          <cell r="B873" t="str">
            <v>9级棉甲</v>
          </cell>
          <cell r="C873">
            <v>0</v>
          </cell>
        </row>
        <row r="874">
          <cell r="A874">
            <v>407031</v>
          </cell>
          <cell r="B874" t="str">
            <v>1级鳞甲</v>
          </cell>
          <cell r="C874">
            <v>0</v>
          </cell>
        </row>
        <row r="875">
          <cell r="A875">
            <v>407032</v>
          </cell>
          <cell r="B875" t="str">
            <v>2级鳞甲</v>
          </cell>
          <cell r="C875">
            <v>0</v>
          </cell>
        </row>
        <row r="876">
          <cell r="A876">
            <v>407033</v>
          </cell>
          <cell r="B876" t="str">
            <v>3级鳞甲</v>
          </cell>
          <cell r="C876">
            <v>0</v>
          </cell>
        </row>
        <row r="877">
          <cell r="A877">
            <v>407034</v>
          </cell>
          <cell r="B877" t="str">
            <v>4级鳞甲</v>
          </cell>
          <cell r="C877">
            <v>0</v>
          </cell>
        </row>
        <row r="878">
          <cell r="A878">
            <v>407035</v>
          </cell>
          <cell r="B878" t="str">
            <v>5级鳞甲</v>
          </cell>
          <cell r="C878">
            <v>0</v>
          </cell>
        </row>
        <row r="879">
          <cell r="A879">
            <v>407036</v>
          </cell>
          <cell r="B879" t="str">
            <v>6级鳞甲</v>
          </cell>
          <cell r="C879">
            <v>0</v>
          </cell>
        </row>
        <row r="880">
          <cell r="A880">
            <v>407037</v>
          </cell>
          <cell r="B880" t="str">
            <v>7级鳞甲</v>
          </cell>
          <cell r="C880">
            <v>0</v>
          </cell>
        </row>
        <row r="881">
          <cell r="A881">
            <v>407038</v>
          </cell>
          <cell r="B881" t="str">
            <v>8级鳞甲</v>
          </cell>
          <cell r="C881">
            <v>0</v>
          </cell>
        </row>
        <row r="882">
          <cell r="A882">
            <v>407039</v>
          </cell>
          <cell r="B882" t="str">
            <v>9级鳞甲</v>
          </cell>
          <cell r="C882">
            <v>0</v>
          </cell>
        </row>
        <row r="883">
          <cell r="A883">
            <v>407041</v>
          </cell>
          <cell r="B883" t="str">
            <v>1级板甲</v>
          </cell>
          <cell r="C883">
            <v>0</v>
          </cell>
        </row>
        <row r="884">
          <cell r="A884">
            <v>407042</v>
          </cell>
          <cell r="B884" t="str">
            <v>2级板甲</v>
          </cell>
          <cell r="C884">
            <v>0</v>
          </cell>
        </row>
        <row r="885">
          <cell r="A885">
            <v>407043</v>
          </cell>
          <cell r="B885" t="str">
            <v>3级板甲</v>
          </cell>
          <cell r="C885">
            <v>0</v>
          </cell>
        </row>
        <row r="886">
          <cell r="A886">
            <v>407044</v>
          </cell>
          <cell r="B886" t="str">
            <v>4级板甲</v>
          </cell>
          <cell r="C886">
            <v>0</v>
          </cell>
        </row>
        <row r="887">
          <cell r="A887">
            <v>407045</v>
          </cell>
          <cell r="B887" t="str">
            <v>5级板甲</v>
          </cell>
          <cell r="C887">
            <v>0</v>
          </cell>
        </row>
        <row r="888">
          <cell r="A888">
            <v>407046</v>
          </cell>
          <cell r="B888" t="str">
            <v>6级板甲</v>
          </cell>
          <cell r="C888">
            <v>0</v>
          </cell>
        </row>
        <row r="889">
          <cell r="A889">
            <v>407047</v>
          </cell>
          <cell r="B889" t="str">
            <v>7级板甲</v>
          </cell>
          <cell r="C889">
            <v>0</v>
          </cell>
        </row>
        <row r="890">
          <cell r="A890">
            <v>407048</v>
          </cell>
          <cell r="B890" t="str">
            <v>8级板甲</v>
          </cell>
          <cell r="C890">
            <v>0</v>
          </cell>
        </row>
        <row r="891">
          <cell r="A891">
            <v>407049</v>
          </cell>
          <cell r="B891" t="str">
            <v>9级板甲</v>
          </cell>
          <cell r="C891">
            <v>0</v>
          </cell>
        </row>
        <row r="892">
          <cell r="A892">
            <v>407051</v>
          </cell>
          <cell r="B892" t="str">
            <v>1级骑鳞甲</v>
          </cell>
          <cell r="C892">
            <v>0</v>
          </cell>
        </row>
        <row r="893">
          <cell r="A893">
            <v>407052</v>
          </cell>
          <cell r="B893" t="str">
            <v>2级骑鳞甲</v>
          </cell>
          <cell r="C893">
            <v>0</v>
          </cell>
        </row>
        <row r="894">
          <cell r="A894">
            <v>407053</v>
          </cell>
          <cell r="B894" t="str">
            <v>3级骑鳞甲</v>
          </cell>
          <cell r="C894">
            <v>0</v>
          </cell>
        </row>
        <row r="895">
          <cell r="A895">
            <v>407054</v>
          </cell>
          <cell r="B895" t="str">
            <v>4级骑鳞甲</v>
          </cell>
          <cell r="C895">
            <v>0</v>
          </cell>
        </row>
        <row r="896">
          <cell r="A896">
            <v>407055</v>
          </cell>
          <cell r="B896" t="str">
            <v>5级骑鳞甲</v>
          </cell>
          <cell r="C896">
            <v>0</v>
          </cell>
        </row>
        <row r="897">
          <cell r="A897">
            <v>407056</v>
          </cell>
          <cell r="B897" t="str">
            <v>6级骑鳞甲</v>
          </cell>
          <cell r="C897">
            <v>0</v>
          </cell>
        </row>
        <row r="898">
          <cell r="A898">
            <v>407057</v>
          </cell>
          <cell r="B898" t="str">
            <v>7级骑鳞甲</v>
          </cell>
          <cell r="C898">
            <v>0</v>
          </cell>
        </row>
        <row r="899">
          <cell r="A899">
            <v>407058</v>
          </cell>
          <cell r="B899" t="str">
            <v>8级骑鳞甲</v>
          </cell>
          <cell r="C899">
            <v>0</v>
          </cell>
        </row>
        <row r="900">
          <cell r="A900">
            <v>407059</v>
          </cell>
          <cell r="B900" t="str">
            <v>9级骑鳞甲</v>
          </cell>
          <cell r="C900">
            <v>0</v>
          </cell>
        </row>
        <row r="901">
          <cell r="A901">
            <v>407061</v>
          </cell>
          <cell r="B901" t="str">
            <v>1级将军板甲</v>
          </cell>
          <cell r="C901">
            <v>0</v>
          </cell>
        </row>
        <row r="902">
          <cell r="A902">
            <v>407062</v>
          </cell>
          <cell r="B902" t="str">
            <v>2级将军板甲</v>
          </cell>
          <cell r="C902">
            <v>0</v>
          </cell>
        </row>
        <row r="903">
          <cell r="A903">
            <v>407063</v>
          </cell>
          <cell r="B903" t="str">
            <v>3级将军板甲</v>
          </cell>
          <cell r="C903">
            <v>0</v>
          </cell>
        </row>
        <row r="904">
          <cell r="A904">
            <v>407064</v>
          </cell>
          <cell r="B904" t="str">
            <v>4级将军板甲</v>
          </cell>
          <cell r="C904">
            <v>0</v>
          </cell>
        </row>
        <row r="905">
          <cell r="A905">
            <v>407065</v>
          </cell>
          <cell r="B905" t="str">
            <v>5级将军板甲</v>
          </cell>
          <cell r="C905">
            <v>0</v>
          </cell>
        </row>
        <row r="906">
          <cell r="A906">
            <v>407066</v>
          </cell>
          <cell r="B906" t="str">
            <v>6级将军板甲</v>
          </cell>
          <cell r="C906">
            <v>0</v>
          </cell>
        </row>
        <row r="907">
          <cell r="A907">
            <v>407067</v>
          </cell>
          <cell r="B907" t="str">
            <v>7级将军板甲</v>
          </cell>
          <cell r="C907">
            <v>0</v>
          </cell>
        </row>
        <row r="908">
          <cell r="A908">
            <v>407068</v>
          </cell>
          <cell r="B908" t="str">
            <v>8级将军板甲</v>
          </cell>
          <cell r="C908">
            <v>0</v>
          </cell>
        </row>
        <row r="909">
          <cell r="A909">
            <v>407069</v>
          </cell>
          <cell r="B909" t="str">
            <v>9级将军板甲</v>
          </cell>
          <cell r="C909">
            <v>0</v>
          </cell>
        </row>
        <row r="910">
          <cell r="A910">
            <v>407071</v>
          </cell>
          <cell r="B910" t="str">
            <v>1级蛮将军鳞甲</v>
          </cell>
          <cell r="C910">
            <v>0</v>
          </cell>
        </row>
        <row r="911">
          <cell r="A911">
            <v>407072</v>
          </cell>
          <cell r="B911" t="str">
            <v>2级蛮将军鳞甲</v>
          </cell>
          <cell r="C911">
            <v>0</v>
          </cell>
        </row>
        <row r="912">
          <cell r="A912">
            <v>407073</v>
          </cell>
          <cell r="B912" t="str">
            <v>3级蛮将军鳞甲</v>
          </cell>
          <cell r="C912">
            <v>0</v>
          </cell>
        </row>
        <row r="913">
          <cell r="A913">
            <v>407074</v>
          </cell>
          <cell r="B913" t="str">
            <v>4级蛮将军鳞甲</v>
          </cell>
          <cell r="C913">
            <v>0</v>
          </cell>
        </row>
        <row r="914">
          <cell r="A914">
            <v>407075</v>
          </cell>
          <cell r="B914" t="str">
            <v>5级蛮将军鳞甲</v>
          </cell>
          <cell r="C914">
            <v>0</v>
          </cell>
        </row>
        <row r="915">
          <cell r="A915">
            <v>407076</v>
          </cell>
          <cell r="B915" t="str">
            <v>6级蛮将军鳞甲</v>
          </cell>
          <cell r="C915">
            <v>0</v>
          </cell>
        </row>
        <row r="916">
          <cell r="A916">
            <v>407077</v>
          </cell>
          <cell r="B916" t="str">
            <v>7级蛮将军鳞甲</v>
          </cell>
          <cell r="C916">
            <v>0</v>
          </cell>
        </row>
        <row r="917">
          <cell r="A917">
            <v>407078</v>
          </cell>
          <cell r="B917" t="str">
            <v>8级蛮将军鳞甲</v>
          </cell>
          <cell r="C917">
            <v>0</v>
          </cell>
        </row>
        <row r="918">
          <cell r="A918">
            <v>407079</v>
          </cell>
          <cell r="B918" t="str">
            <v>9级蛮将军鳞甲</v>
          </cell>
          <cell r="C918">
            <v>0</v>
          </cell>
        </row>
        <row r="919">
          <cell r="A919">
            <v>407080</v>
          </cell>
          <cell r="B919" t="str">
            <v>1级轻甲</v>
          </cell>
          <cell r="C919">
            <v>0</v>
          </cell>
        </row>
        <row r="920">
          <cell r="A920">
            <v>407081</v>
          </cell>
          <cell r="B920" t="str">
            <v>2级轻甲</v>
          </cell>
          <cell r="C920">
            <v>0</v>
          </cell>
        </row>
        <row r="921">
          <cell r="A921">
            <v>407082</v>
          </cell>
          <cell r="B921" t="str">
            <v>3级轻甲</v>
          </cell>
          <cell r="C921">
            <v>0</v>
          </cell>
        </row>
        <row r="922">
          <cell r="A922">
            <v>407083</v>
          </cell>
          <cell r="B922" t="str">
            <v>4级轻甲</v>
          </cell>
          <cell r="C922">
            <v>0</v>
          </cell>
        </row>
        <row r="923">
          <cell r="A923">
            <v>407084</v>
          </cell>
          <cell r="B923" t="str">
            <v>5级轻甲</v>
          </cell>
          <cell r="C923">
            <v>0</v>
          </cell>
        </row>
        <row r="924">
          <cell r="A924">
            <v>407085</v>
          </cell>
          <cell r="B924" t="str">
            <v>6级轻甲</v>
          </cell>
          <cell r="C924">
            <v>0</v>
          </cell>
        </row>
        <row r="925">
          <cell r="A925">
            <v>407086</v>
          </cell>
          <cell r="B925" t="str">
            <v>7级轻甲</v>
          </cell>
          <cell r="C925">
            <v>0</v>
          </cell>
        </row>
        <row r="926">
          <cell r="A926">
            <v>407087</v>
          </cell>
          <cell r="B926" t="str">
            <v>8级轻甲</v>
          </cell>
          <cell r="C926">
            <v>0</v>
          </cell>
        </row>
        <row r="927">
          <cell r="A927">
            <v>407088</v>
          </cell>
          <cell r="B927" t="str">
            <v>9级轻甲</v>
          </cell>
          <cell r="C927">
            <v>0</v>
          </cell>
        </row>
        <row r="928">
          <cell r="A928">
            <v>407089</v>
          </cell>
          <cell r="B928" t="str">
            <v>1级斗篷</v>
          </cell>
          <cell r="C928">
            <v>0</v>
          </cell>
        </row>
        <row r="929">
          <cell r="A929">
            <v>407090</v>
          </cell>
          <cell r="B929" t="str">
            <v>2级斗篷</v>
          </cell>
          <cell r="C929">
            <v>0</v>
          </cell>
        </row>
        <row r="930">
          <cell r="A930">
            <v>407091</v>
          </cell>
          <cell r="B930" t="str">
            <v>3级斗篷</v>
          </cell>
          <cell r="C930">
            <v>0</v>
          </cell>
        </row>
        <row r="931">
          <cell r="A931">
            <v>407092</v>
          </cell>
          <cell r="B931" t="str">
            <v>4级斗篷</v>
          </cell>
          <cell r="C931">
            <v>0</v>
          </cell>
        </row>
        <row r="932">
          <cell r="A932">
            <v>407093</v>
          </cell>
          <cell r="B932" t="str">
            <v>5级斗篷</v>
          </cell>
          <cell r="C932">
            <v>0</v>
          </cell>
        </row>
        <row r="933">
          <cell r="A933">
            <v>407094</v>
          </cell>
          <cell r="B933" t="str">
            <v>6级斗篷</v>
          </cell>
          <cell r="C933">
            <v>0</v>
          </cell>
        </row>
        <row r="934">
          <cell r="A934">
            <v>407095</v>
          </cell>
          <cell r="B934" t="str">
            <v>7级斗篷</v>
          </cell>
          <cell r="C934">
            <v>0</v>
          </cell>
        </row>
        <row r="935">
          <cell r="A935">
            <v>407096</v>
          </cell>
          <cell r="B935" t="str">
            <v>8级斗篷</v>
          </cell>
          <cell r="C935">
            <v>0</v>
          </cell>
        </row>
        <row r="936">
          <cell r="A936">
            <v>407097</v>
          </cell>
          <cell r="B936" t="str">
            <v>9级斗篷</v>
          </cell>
          <cell r="C936">
            <v>0</v>
          </cell>
        </row>
        <row r="937">
          <cell r="A937">
            <v>407098</v>
          </cell>
          <cell r="B937" t="str">
            <v>1级斗篷</v>
          </cell>
          <cell r="C937">
            <v>0</v>
          </cell>
        </row>
        <row r="938">
          <cell r="A938">
            <v>407099</v>
          </cell>
          <cell r="B938" t="str">
            <v>2级斗篷</v>
          </cell>
          <cell r="C938">
            <v>0</v>
          </cell>
        </row>
        <row r="939">
          <cell r="A939">
            <v>407100</v>
          </cell>
          <cell r="B939" t="str">
            <v>3级斗篷</v>
          </cell>
          <cell r="C939">
            <v>0</v>
          </cell>
        </row>
        <row r="940">
          <cell r="A940">
            <v>407101</v>
          </cell>
          <cell r="B940" t="str">
            <v>4级斗篷</v>
          </cell>
          <cell r="C940">
            <v>0</v>
          </cell>
        </row>
        <row r="941">
          <cell r="A941">
            <v>407102</v>
          </cell>
          <cell r="B941" t="str">
            <v>5级斗篷</v>
          </cell>
          <cell r="C941">
            <v>0</v>
          </cell>
        </row>
        <row r="942">
          <cell r="A942">
            <v>407103</v>
          </cell>
          <cell r="B942" t="str">
            <v>6级斗篷</v>
          </cell>
          <cell r="C942">
            <v>0</v>
          </cell>
        </row>
        <row r="943">
          <cell r="A943">
            <v>407104</v>
          </cell>
          <cell r="B943" t="str">
            <v>7级斗篷</v>
          </cell>
          <cell r="C943">
            <v>0</v>
          </cell>
        </row>
        <row r="944">
          <cell r="A944">
            <v>407105</v>
          </cell>
          <cell r="B944" t="str">
            <v>8级斗篷</v>
          </cell>
          <cell r="C944">
            <v>0</v>
          </cell>
        </row>
        <row r="945">
          <cell r="A945">
            <v>407106</v>
          </cell>
          <cell r="B945" t="str">
            <v>9级斗篷</v>
          </cell>
          <cell r="C945">
            <v>0</v>
          </cell>
        </row>
        <row r="946">
          <cell r="A946">
            <v>407107</v>
          </cell>
          <cell r="B946" t="str">
            <v>1级斗篷</v>
          </cell>
          <cell r="C946">
            <v>0</v>
          </cell>
        </row>
        <row r="947">
          <cell r="A947">
            <v>407108</v>
          </cell>
          <cell r="B947" t="str">
            <v>2级斗篷</v>
          </cell>
          <cell r="C947">
            <v>0</v>
          </cell>
        </row>
        <row r="948">
          <cell r="A948">
            <v>407109</v>
          </cell>
          <cell r="B948" t="str">
            <v>3级斗篷</v>
          </cell>
          <cell r="C948">
            <v>0</v>
          </cell>
        </row>
        <row r="949">
          <cell r="A949">
            <v>407110</v>
          </cell>
          <cell r="B949" t="str">
            <v>4级斗篷</v>
          </cell>
          <cell r="C949">
            <v>0</v>
          </cell>
        </row>
        <row r="950">
          <cell r="A950">
            <v>407111</v>
          </cell>
          <cell r="B950" t="str">
            <v>5级斗篷</v>
          </cell>
          <cell r="C950">
            <v>0</v>
          </cell>
        </row>
        <row r="951">
          <cell r="A951">
            <v>407112</v>
          </cell>
          <cell r="B951" t="str">
            <v>6级斗篷</v>
          </cell>
          <cell r="C951">
            <v>0</v>
          </cell>
        </row>
        <row r="952">
          <cell r="A952">
            <v>407113</v>
          </cell>
          <cell r="B952" t="str">
            <v>7级斗篷</v>
          </cell>
          <cell r="C952">
            <v>0</v>
          </cell>
        </row>
        <row r="953">
          <cell r="A953">
            <v>407114</v>
          </cell>
          <cell r="B953" t="str">
            <v>8级斗篷</v>
          </cell>
          <cell r="C953">
            <v>0</v>
          </cell>
        </row>
        <row r="954">
          <cell r="A954">
            <v>407115</v>
          </cell>
          <cell r="B954" t="str">
            <v>9级斗篷</v>
          </cell>
          <cell r="C954">
            <v>0</v>
          </cell>
        </row>
        <row r="955">
          <cell r="A955">
            <v>407116</v>
          </cell>
          <cell r="B955" t="str">
            <v>1级斗篷</v>
          </cell>
          <cell r="C955">
            <v>0</v>
          </cell>
        </row>
        <row r="956">
          <cell r="A956">
            <v>407117</v>
          </cell>
          <cell r="B956" t="str">
            <v>2级斗篷</v>
          </cell>
          <cell r="C956">
            <v>0</v>
          </cell>
        </row>
        <row r="957">
          <cell r="A957">
            <v>407118</v>
          </cell>
          <cell r="B957" t="str">
            <v>3级斗篷</v>
          </cell>
          <cell r="C957">
            <v>0</v>
          </cell>
        </row>
        <row r="958">
          <cell r="A958">
            <v>407119</v>
          </cell>
          <cell r="B958" t="str">
            <v>4级斗篷</v>
          </cell>
          <cell r="C958">
            <v>0</v>
          </cell>
        </row>
        <row r="959">
          <cell r="A959">
            <v>407120</v>
          </cell>
          <cell r="B959" t="str">
            <v>5级斗篷</v>
          </cell>
          <cell r="C959">
            <v>0</v>
          </cell>
        </row>
        <row r="960">
          <cell r="A960">
            <v>407121</v>
          </cell>
          <cell r="B960" t="str">
            <v>6级斗篷</v>
          </cell>
          <cell r="C960">
            <v>0</v>
          </cell>
        </row>
        <row r="961">
          <cell r="A961">
            <v>407122</v>
          </cell>
          <cell r="B961" t="str">
            <v>7级斗篷</v>
          </cell>
          <cell r="C961">
            <v>0</v>
          </cell>
        </row>
        <row r="962">
          <cell r="A962">
            <v>407123</v>
          </cell>
          <cell r="B962" t="str">
            <v>8级斗篷</v>
          </cell>
          <cell r="C962">
            <v>0</v>
          </cell>
        </row>
        <row r="963">
          <cell r="A963">
            <v>407124</v>
          </cell>
          <cell r="B963" t="str">
            <v>9级斗篷</v>
          </cell>
          <cell r="C963">
            <v>0</v>
          </cell>
        </row>
        <row r="964">
          <cell r="A964">
            <v>408011</v>
          </cell>
          <cell r="B964" t="str">
            <v>1级盾牌</v>
          </cell>
          <cell r="C964">
            <v>0</v>
          </cell>
        </row>
        <row r="965">
          <cell r="A965">
            <v>408012</v>
          </cell>
          <cell r="B965" t="str">
            <v>2级盾牌</v>
          </cell>
          <cell r="C965">
            <v>0</v>
          </cell>
        </row>
        <row r="966">
          <cell r="A966">
            <v>408013</v>
          </cell>
          <cell r="B966" t="str">
            <v>3级盾牌</v>
          </cell>
          <cell r="C966">
            <v>0</v>
          </cell>
        </row>
        <row r="967">
          <cell r="A967">
            <v>408014</v>
          </cell>
          <cell r="B967" t="str">
            <v>4级盾牌</v>
          </cell>
          <cell r="C967">
            <v>0</v>
          </cell>
        </row>
        <row r="968">
          <cell r="A968">
            <v>408015</v>
          </cell>
          <cell r="B968" t="str">
            <v>5级盾牌</v>
          </cell>
          <cell r="C968">
            <v>0</v>
          </cell>
        </row>
        <row r="969">
          <cell r="A969">
            <v>408016</v>
          </cell>
          <cell r="B969" t="str">
            <v>6级盾牌</v>
          </cell>
          <cell r="C969">
            <v>0</v>
          </cell>
        </row>
        <row r="970">
          <cell r="A970">
            <v>408017</v>
          </cell>
          <cell r="B970" t="str">
            <v>7级盾牌</v>
          </cell>
          <cell r="C970">
            <v>0</v>
          </cell>
        </row>
        <row r="971">
          <cell r="A971">
            <v>408018</v>
          </cell>
          <cell r="B971" t="str">
            <v>8级盾牌</v>
          </cell>
          <cell r="C971">
            <v>0</v>
          </cell>
        </row>
        <row r="972">
          <cell r="A972">
            <v>408019</v>
          </cell>
          <cell r="B972" t="str">
            <v>9级盾牌</v>
          </cell>
          <cell r="C972">
            <v>0</v>
          </cell>
        </row>
        <row r="973">
          <cell r="A973">
            <v>408021</v>
          </cell>
          <cell r="B973" t="str">
            <v>1级巨盾</v>
          </cell>
          <cell r="C973">
            <v>0</v>
          </cell>
        </row>
        <row r="974">
          <cell r="A974">
            <v>408022</v>
          </cell>
          <cell r="B974" t="str">
            <v>2级巨盾</v>
          </cell>
          <cell r="C974">
            <v>0</v>
          </cell>
        </row>
        <row r="975">
          <cell r="A975">
            <v>408023</v>
          </cell>
          <cell r="B975" t="str">
            <v>3级巨盾</v>
          </cell>
          <cell r="C975">
            <v>0</v>
          </cell>
        </row>
        <row r="976">
          <cell r="A976">
            <v>408024</v>
          </cell>
          <cell r="B976" t="str">
            <v>4级巨盾</v>
          </cell>
          <cell r="C976">
            <v>0</v>
          </cell>
        </row>
        <row r="977">
          <cell r="A977">
            <v>408025</v>
          </cell>
          <cell r="B977" t="str">
            <v>5级巨盾</v>
          </cell>
          <cell r="C977">
            <v>0</v>
          </cell>
        </row>
        <row r="978">
          <cell r="A978">
            <v>408026</v>
          </cell>
          <cell r="B978" t="str">
            <v>6级巨盾</v>
          </cell>
          <cell r="C978">
            <v>0</v>
          </cell>
        </row>
        <row r="979">
          <cell r="A979">
            <v>408027</v>
          </cell>
          <cell r="B979" t="str">
            <v>7级巨盾</v>
          </cell>
          <cell r="C979">
            <v>0</v>
          </cell>
        </row>
        <row r="980">
          <cell r="A980">
            <v>408028</v>
          </cell>
          <cell r="B980" t="str">
            <v>8级巨盾</v>
          </cell>
          <cell r="C980">
            <v>0</v>
          </cell>
        </row>
        <row r="981">
          <cell r="A981">
            <v>408029</v>
          </cell>
          <cell r="B981" t="str">
            <v>9级巨盾</v>
          </cell>
          <cell r="C981">
            <v>0</v>
          </cell>
        </row>
        <row r="982">
          <cell r="A982">
            <v>910001</v>
          </cell>
          <cell r="B982" t="str">
            <v>人</v>
          </cell>
          <cell r="C982">
            <v>0</v>
          </cell>
        </row>
        <row r="983">
          <cell r="A983">
            <v>910002</v>
          </cell>
          <cell r="B983" t="str">
            <v>兑</v>
          </cell>
          <cell r="C983">
            <v>0</v>
          </cell>
        </row>
        <row r="984">
          <cell r="A984">
            <v>910003</v>
          </cell>
          <cell r="B984" t="str">
            <v>尿</v>
          </cell>
          <cell r="C984">
            <v>0</v>
          </cell>
        </row>
        <row r="985">
          <cell r="A985">
            <v>910004</v>
          </cell>
          <cell r="B985" t="str">
            <v>屎</v>
          </cell>
          <cell r="C985">
            <v>0</v>
          </cell>
        </row>
        <row r="986">
          <cell r="A986">
            <v>910005</v>
          </cell>
          <cell r="B986" t="str">
            <v>身</v>
          </cell>
          <cell r="C986">
            <v>0</v>
          </cell>
        </row>
        <row r="987">
          <cell r="A987">
            <v>910006</v>
          </cell>
          <cell r="B987" t="str">
            <v>尻</v>
          </cell>
          <cell r="C987">
            <v>0</v>
          </cell>
        </row>
        <row r="988">
          <cell r="A988">
            <v>910007</v>
          </cell>
          <cell r="B988" t="str">
            <v>长</v>
          </cell>
          <cell r="C988">
            <v>0</v>
          </cell>
        </row>
        <row r="989">
          <cell r="A989">
            <v>910008</v>
          </cell>
          <cell r="B989" t="str">
            <v>儿</v>
          </cell>
          <cell r="C989">
            <v>0</v>
          </cell>
        </row>
        <row r="990">
          <cell r="A990">
            <v>910009</v>
          </cell>
          <cell r="B990" t="str">
            <v>尾</v>
          </cell>
          <cell r="C990">
            <v>0</v>
          </cell>
        </row>
        <row r="991">
          <cell r="A991">
            <v>910010</v>
          </cell>
          <cell r="B991" t="str">
            <v>大</v>
          </cell>
          <cell r="C991">
            <v>0</v>
          </cell>
        </row>
        <row r="992">
          <cell r="A992">
            <v>910011</v>
          </cell>
          <cell r="B992" t="str">
            <v>天</v>
          </cell>
          <cell r="C992">
            <v>0</v>
          </cell>
        </row>
        <row r="993">
          <cell r="A993">
            <v>910012</v>
          </cell>
          <cell r="B993" t="str">
            <v>美</v>
          </cell>
          <cell r="C993">
            <v>0</v>
          </cell>
        </row>
        <row r="994">
          <cell r="A994">
            <v>910013</v>
          </cell>
          <cell r="B994" t="str">
            <v>舞</v>
          </cell>
          <cell r="C994">
            <v>0</v>
          </cell>
        </row>
        <row r="995">
          <cell r="A995">
            <v>910014</v>
          </cell>
          <cell r="B995" t="str">
            <v>走</v>
          </cell>
          <cell r="C995">
            <v>0</v>
          </cell>
        </row>
        <row r="996">
          <cell r="A996">
            <v>910015</v>
          </cell>
          <cell r="B996" t="str">
            <v>交</v>
          </cell>
          <cell r="C996">
            <v>0</v>
          </cell>
        </row>
        <row r="997">
          <cell r="A997">
            <v>910016</v>
          </cell>
          <cell r="B997" t="str">
            <v>鬼</v>
          </cell>
          <cell r="C997">
            <v>0</v>
          </cell>
        </row>
        <row r="998">
          <cell r="A998">
            <v>910017</v>
          </cell>
          <cell r="B998" t="str">
            <v>女</v>
          </cell>
          <cell r="C998">
            <v>0</v>
          </cell>
        </row>
        <row r="999">
          <cell r="A999">
            <v>910018</v>
          </cell>
          <cell r="B999" t="str">
            <v>男</v>
          </cell>
          <cell r="C999">
            <v>0</v>
          </cell>
        </row>
        <row r="1000">
          <cell r="A1000">
            <v>910019</v>
          </cell>
          <cell r="B1000" t="str">
            <v>奴</v>
          </cell>
          <cell r="C1000">
            <v>0</v>
          </cell>
        </row>
        <row r="1001">
          <cell r="A1001">
            <v>910020</v>
          </cell>
          <cell r="B1001" t="str">
            <v>子</v>
          </cell>
          <cell r="C1001">
            <v>0</v>
          </cell>
        </row>
        <row r="1002">
          <cell r="A1002">
            <v>910021</v>
          </cell>
          <cell r="B1002" t="str">
            <v>目</v>
          </cell>
          <cell r="C1002">
            <v>0</v>
          </cell>
        </row>
        <row r="1003">
          <cell r="A1003">
            <v>910022</v>
          </cell>
          <cell r="B1003" t="str">
            <v>面</v>
          </cell>
          <cell r="C1003">
            <v>0</v>
          </cell>
        </row>
        <row r="1004">
          <cell r="A1004">
            <v>910023</v>
          </cell>
          <cell r="B1004" t="str">
            <v>眉</v>
          </cell>
          <cell r="C1004">
            <v>0</v>
          </cell>
        </row>
        <row r="1005">
          <cell r="A1005">
            <v>910024</v>
          </cell>
          <cell r="B1005" t="str">
            <v>耳</v>
          </cell>
          <cell r="C1005">
            <v>0</v>
          </cell>
        </row>
        <row r="1006">
          <cell r="A1006">
            <v>910025</v>
          </cell>
          <cell r="B1006" t="str">
            <v>口</v>
          </cell>
          <cell r="C1006">
            <v>0</v>
          </cell>
        </row>
        <row r="1007">
          <cell r="A1007">
            <v>910026</v>
          </cell>
          <cell r="B1007" t="str">
            <v>舌</v>
          </cell>
          <cell r="C1007">
            <v>0</v>
          </cell>
        </row>
        <row r="1008">
          <cell r="A1008">
            <v>910027</v>
          </cell>
          <cell r="B1008" t="str">
            <v>右</v>
          </cell>
          <cell r="C1008">
            <v>0</v>
          </cell>
        </row>
        <row r="1009">
          <cell r="A1009">
            <v>910028</v>
          </cell>
          <cell r="B1009" t="str">
            <v>左</v>
          </cell>
          <cell r="C1009">
            <v>0</v>
          </cell>
        </row>
        <row r="1010">
          <cell r="A1010">
            <v>910029</v>
          </cell>
          <cell r="B1010" t="str">
            <v>爪</v>
          </cell>
          <cell r="C1010">
            <v>0</v>
          </cell>
        </row>
        <row r="1011">
          <cell r="A1011">
            <v>910030</v>
          </cell>
          <cell r="B1011" t="str">
            <v>母</v>
          </cell>
          <cell r="C1011">
            <v>0</v>
          </cell>
        </row>
        <row r="1012">
          <cell r="A1012">
            <v>910031</v>
          </cell>
          <cell r="B1012" t="str">
            <v>乳</v>
          </cell>
          <cell r="C1012">
            <v>0</v>
          </cell>
        </row>
        <row r="1013">
          <cell r="A1013">
            <v>910032</v>
          </cell>
          <cell r="B1013" t="str">
            <v>孕</v>
          </cell>
          <cell r="C1013">
            <v>0</v>
          </cell>
        </row>
        <row r="1014">
          <cell r="A1014">
            <v>910033</v>
          </cell>
          <cell r="B1014" t="str">
            <v>教</v>
          </cell>
          <cell r="C1014">
            <v>0</v>
          </cell>
        </row>
        <row r="1015">
          <cell r="A1015">
            <v>910034</v>
          </cell>
          <cell r="B1015" t="str">
            <v>比</v>
          </cell>
          <cell r="C1015">
            <v>0</v>
          </cell>
        </row>
        <row r="1016">
          <cell r="A1016">
            <v>910035</v>
          </cell>
          <cell r="B1016" t="str">
            <v>夫</v>
          </cell>
          <cell r="C1016">
            <v>0</v>
          </cell>
        </row>
        <row r="1017">
          <cell r="A1017">
            <v>910036</v>
          </cell>
          <cell r="B1017" t="str">
            <v>父</v>
          </cell>
          <cell r="C1017">
            <v>0</v>
          </cell>
        </row>
        <row r="1018">
          <cell r="A1018">
            <v>910037</v>
          </cell>
          <cell r="B1018" t="str">
            <v>见</v>
          </cell>
          <cell r="C1018">
            <v>0</v>
          </cell>
        </row>
        <row r="1019">
          <cell r="A1019">
            <v>910038</v>
          </cell>
          <cell r="B1019" t="str">
            <v>仆</v>
          </cell>
          <cell r="C1019">
            <v>0</v>
          </cell>
        </row>
        <row r="1020">
          <cell r="A1020">
            <v>910039</v>
          </cell>
          <cell r="B1020" t="str">
            <v>安</v>
          </cell>
          <cell r="C1020">
            <v>0</v>
          </cell>
        </row>
        <row r="1021">
          <cell r="A1021">
            <v>910040</v>
          </cell>
          <cell r="B1021" t="str">
            <v>死</v>
          </cell>
          <cell r="C1021">
            <v>0</v>
          </cell>
        </row>
        <row r="1022">
          <cell r="A1022">
            <v>910041</v>
          </cell>
          <cell r="B1022" t="str">
            <v>休</v>
          </cell>
          <cell r="C1022">
            <v>0</v>
          </cell>
        </row>
        <row r="1023">
          <cell r="A1023">
            <v>910042</v>
          </cell>
          <cell r="B1023" t="str">
            <v>众</v>
          </cell>
          <cell r="C1023">
            <v>0</v>
          </cell>
        </row>
        <row r="1024">
          <cell r="A1024">
            <v>910043</v>
          </cell>
          <cell r="B1024" t="str">
            <v>齿</v>
          </cell>
          <cell r="C1024">
            <v>0</v>
          </cell>
        </row>
        <row r="1025">
          <cell r="A1025">
            <v>910044</v>
          </cell>
          <cell r="B1025" t="str">
            <v>骑</v>
          </cell>
          <cell r="C1025">
            <v>0</v>
          </cell>
        </row>
        <row r="1026">
          <cell r="A1026">
            <v>910045</v>
          </cell>
          <cell r="B1026" t="str">
            <v>梦</v>
          </cell>
          <cell r="C1026">
            <v>0</v>
          </cell>
        </row>
        <row r="1027">
          <cell r="A1027">
            <v>910046</v>
          </cell>
          <cell r="B1027" t="str">
            <v>日</v>
          </cell>
          <cell r="C1027">
            <v>0</v>
          </cell>
        </row>
        <row r="1028">
          <cell r="A1028">
            <v>910047</v>
          </cell>
          <cell r="B1028" t="str">
            <v>晕</v>
          </cell>
          <cell r="C1028">
            <v>0</v>
          </cell>
        </row>
        <row r="1029">
          <cell r="A1029">
            <v>910048</v>
          </cell>
          <cell r="B1029" t="str">
            <v>晶</v>
          </cell>
          <cell r="C1029">
            <v>0</v>
          </cell>
        </row>
        <row r="1030">
          <cell r="A1030">
            <v>910049</v>
          </cell>
          <cell r="B1030" t="str">
            <v>月</v>
          </cell>
          <cell r="C1030">
            <v>0</v>
          </cell>
        </row>
        <row r="1031">
          <cell r="A1031">
            <v>910050</v>
          </cell>
          <cell r="B1031" t="str">
            <v>云</v>
          </cell>
          <cell r="C1031">
            <v>0</v>
          </cell>
        </row>
        <row r="1032">
          <cell r="A1032">
            <v>910051</v>
          </cell>
          <cell r="B1032" t="str">
            <v>雨</v>
          </cell>
          <cell r="C1032">
            <v>0</v>
          </cell>
        </row>
        <row r="1033">
          <cell r="A1033">
            <v>910052</v>
          </cell>
          <cell r="B1033" t="str">
            <v>雹</v>
          </cell>
          <cell r="C1033">
            <v>0</v>
          </cell>
        </row>
        <row r="1034">
          <cell r="A1034">
            <v>910053</v>
          </cell>
          <cell r="B1034" t="str">
            <v>土</v>
          </cell>
          <cell r="C1034">
            <v>0</v>
          </cell>
        </row>
        <row r="1035">
          <cell r="A1035">
            <v>910054</v>
          </cell>
          <cell r="B1035" t="str">
            <v>山</v>
          </cell>
          <cell r="C1035">
            <v>0</v>
          </cell>
        </row>
        <row r="1036">
          <cell r="A1036">
            <v>910055</v>
          </cell>
          <cell r="B1036" t="str">
            <v>火</v>
          </cell>
          <cell r="C1036">
            <v>0</v>
          </cell>
        </row>
        <row r="1037">
          <cell r="A1037">
            <v>910056</v>
          </cell>
          <cell r="B1037" t="str">
            <v>丘</v>
          </cell>
          <cell r="C1037">
            <v>0</v>
          </cell>
        </row>
        <row r="1038">
          <cell r="A1038">
            <v>910057</v>
          </cell>
          <cell r="B1038" t="str">
            <v>岳</v>
          </cell>
          <cell r="C1038">
            <v>0</v>
          </cell>
        </row>
        <row r="1039">
          <cell r="A1039">
            <v>910058</v>
          </cell>
          <cell r="B1039" t="str">
            <v>水</v>
          </cell>
          <cell r="C1039">
            <v>0</v>
          </cell>
        </row>
        <row r="1040">
          <cell r="A1040">
            <v>910059</v>
          </cell>
          <cell r="B1040" t="str">
            <v>川</v>
          </cell>
          <cell r="C1040">
            <v>0</v>
          </cell>
        </row>
        <row r="1041">
          <cell r="A1041">
            <v>910060</v>
          </cell>
          <cell r="B1041" t="str">
            <v>州</v>
          </cell>
          <cell r="C1041">
            <v>0</v>
          </cell>
        </row>
        <row r="1042">
          <cell r="A1042">
            <v>910061</v>
          </cell>
          <cell r="B1042" t="str">
            <v>灾</v>
          </cell>
          <cell r="C1042">
            <v>0</v>
          </cell>
        </row>
        <row r="1043">
          <cell r="A1043">
            <v>910062</v>
          </cell>
          <cell r="B1043" t="str">
            <v>泉</v>
          </cell>
          <cell r="C1043">
            <v>0</v>
          </cell>
        </row>
        <row r="1044">
          <cell r="A1044">
            <v>910063</v>
          </cell>
          <cell r="B1044" t="str">
            <v>木</v>
          </cell>
          <cell r="C1044">
            <v>0</v>
          </cell>
        </row>
        <row r="1045">
          <cell r="A1045">
            <v>910064</v>
          </cell>
          <cell r="B1045" t="str">
            <v>果</v>
          </cell>
          <cell r="C1045">
            <v>0</v>
          </cell>
        </row>
        <row r="1046">
          <cell r="A1046">
            <v>910065</v>
          </cell>
          <cell r="B1046" t="str">
            <v>桑</v>
          </cell>
          <cell r="C1046">
            <v>0</v>
          </cell>
        </row>
        <row r="1047">
          <cell r="A1047">
            <v>910066</v>
          </cell>
          <cell r="B1047" t="str">
            <v>禾</v>
          </cell>
          <cell r="C1047">
            <v>0</v>
          </cell>
        </row>
        <row r="1048">
          <cell r="A1048">
            <v>910067</v>
          </cell>
          <cell r="B1048" t="str">
            <v>夕</v>
          </cell>
          <cell r="C1048">
            <v>0</v>
          </cell>
        </row>
        <row r="1049">
          <cell r="A1049">
            <v>910068</v>
          </cell>
          <cell r="B1049" t="str">
            <v>分</v>
          </cell>
          <cell r="C1049">
            <v>0</v>
          </cell>
        </row>
        <row r="1050">
          <cell r="A1050">
            <v>910069</v>
          </cell>
          <cell r="B1050" t="str">
            <v>旦</v>
          </cell>
          <cell r="C1050">
            <v>0</v>
          </cell>
        </row>
        <row r="1051">
          <cell r="A1051">
            <v>910070</v>
          </cell>
          <cell r="B1051" t="str">
            <v>雷</v>
          </cell>
          <cell r="C1051">
            <v>0</v>
          </cell>
        </row>
        <row r="1052">
          <cell r="A1052">
            <v>910071</v>
          </cell>
          <cell r="B1052" t="str">
            <v>虹</v>
          </cell>
          <cell r="C1052">
            <v>0</v>
          </cell>
        </row>
        <row r="1053">
          <cell r="A1053">
            <v>910072</v>
          </cell>
          <cell r="B1053" t="str">
            <v>猱</v>
          </cell>
          <cell r="C1053">
            <v>0</v>
          </cell>
        </row>
        <row r="1054">
          <cell r="A1054">
            <v>910073</v>
          </cell>
          <cell r="B1054" t="str">
            <v>牛</v>
          </cell>
          <cell r="C1054">
            <v>0</v>
          </cell>
        </row>
        <row r="1055">
          <cell r="A1055">
            <v>910074</v>
          </cell>
          <cell r="B1055" t="str">
            <v>牢</v>
          </cell>
          <cell r="C1055">
            <v>0</v>
          </cell>
        </row>
        <row r="1056">
          <cell r="A1056">
            <v>910075</v>
          </cell>
          <cell r="B1056" t="str">
            <v>羊</v>
          </cell>
          <cell r="C1056">
            <v>0</v>
          </cell>
        </row>
        <row r="1057">
          <cell r="A1057">
            <v>910076</v>
          </cell>
          <cell r="B1057" t="str">
            <v>犬</v>
          </cell>
          <cell r="C1057">
            <v>0</v>
          </cell>
        </row>
        <row r="1058">
          <cell r="A1058">
            <v>910077</v>
          </cell>
          <cell r="B1058" t="str">
            <v>豕</v>
          </cell>
          <cell r="C1058">
            <v>0</v>
          </cell>
        </row>
        <row r="1059">
          <cell r="A1059">
            <v>910078</v>
          </cell>
          <cell r="B1059" t="str">
            <v>马</v>
          </cell>
          <cell r="C1059">
            <v>0</v>
          </cell>
        </row>
        <row r="1060">
          <cell r="A1060">
            <v>910079</v>
          </cell>
          <cell r="B1060" t="str">
            <v>象</v>
          </cell>
          <cell r="C1060">
            <v>0</v>
          </cell>
        </row>
        <row r="1061">
          <cell r="A1061">
            <v>910080</v>
          </cell>
          <cell r="B1061" t="str">
            <v>虎</v>
          </cell>
          <cell r="C1061">
            <v>0</v>
          </cell>
        </row>
        <row r="1062">
          <cell r="A1062">
            <v>910081</v>
          </cell>
          <cell r="B1062" t="str">
            <v>豹</v>
          </cell>
          <cell r="C1062">
            <v>0</v>
          </cell>
        </row>
        <row r="1063">
          <cell r="A1063">
            <v>910082</v>
          </cell>
          <cell r="B1063" t="str">
            <v>兔</v>
          </cell>
          <cell r="C1063">
            <v>0</v>
          </cell>
        </row>
        <row r="1064">
          <cell r="A1064">
            <v>910083</v>
          </cell>
          <cell r="B1064" t="str">
            <v>鹿</v>
          </cell>
          <cell r="C1064">
            <v>0</v>
          </cell>
        </row>
        <row r="1065">
          <cell r="A1065">
            <v>910084</v>
          </cell>
          <cell r="B1065" t="str">
            <v>鸟</v>
          </cell>
          <cell r="C1065">
            <v>0</v>
          </cell>
        </row>
        <row r="1066">
          <cell r="A1066">
            <v>910085</v>
          </cell>
          <cell r="B1066" t="str">
            <v>燕</v>
          </cell>
          <cell r="C1066">
            <v>0</v>
          </cell>
        </row>
        <row r="1067">
          <cell r="A1067">
            <v>910086</v>
          </cell>
          <cell r="B1067" t="str">
            <v>鱼</v>
          </cell>
          <cell r="C1067">
            <v>0</v>
          </cell>
        </row>
        <row r="1068">
          <cell r="A1068">
            <v>910087</v>
          </cell>
          <cell r="B1068" t="str">
            <v>龙</v>
          </cell>
          <cell r="C1068">
            <v>0</v>
          </cell>
        </row>
        <row r="1069">
          <cell r="A1069">
            <v>910088</v>
          </cell>
          <cell r="B1069" t="str">
            <v>它</v>
          </cell>
          <cell r="C1069">
            <v>0</v>
          </cell>
        </row>
        <row r="1070">
          <cell r="A1070">
            <v>910089</v>
          </cell>
          <cell r="B1070" t="str">
            <v>龟</v>
          </cell>
          <cell r="C1070">
            <v>0</v>
          </cell>
        </row>
        <row r="1071">
          <cell r="A1071">
            <v>910090</v>
          </cell>
          <cell r="B1071" t="str">
            <v>熊</v>
          </cell>
          <cell r="C1071">
            <v>0</v>
          </cell>
        </row>
        <row r="1072">
          <cell r="A1072">
            <v>910091</v>
          </cell>
          <cell r="B1072" t="str">
            <v>角</v>
          </cell>
          <cell r="C1072">
            <v>0</v>
          </cell>
        </row>
        <row r="1073">
          <cell r="A1073">
            <v>910092</v>
          </cell>
          <cell r="B1073" t="str">
            <v>贝</v>
          </cell>
          <cell r="C1073">
            <v>0</v>
          </cell>
        </row>
        <row r="1074">
          <cell r="A1074">
            <v>910093</v>
          </cell>
          <cell r="B1074" t="str">
            <v>心</v>
          </cell>
          <cell r="C1074">
            <v>0</v>
          </cell>
        </row>
        <row r="1075">
          <cell r="A1075">
            <v>910094</v>
          </cell>
          <cell r="B1075" t="str">
            <v>户</v>
          </cell>
          <cell r="C1075">
            <v>0</v>
          </cell>
        </row>
        <row r="1076">
          <cell r="A1076">
            <v>910095</v>
          </cell>
          <cell r="B1076" t="str">
            <v>门</v>
          </cell>
          <cell r="C1076">
            <v>0</v>
          </cell>
        </row>
        <row r="1077">
          <cell r="A1077">
            <v>910096</v>
          </cell>
          <cell r="B1077" t="str">
            <v>田</v>
          </cell>
          <cell r="C1077">
            <v>0</v>
          </cell>
        </row>
        <row r="1078">
          <cell r="A1078">
            <v>910097</v>
          </cell>
          <cell r="B1078" t="str">
            <v>戈</v>
          </cell>
          <cell r="C1078">
            <v>0</v>
          </cell>
        </row>
        <row r="1079">
          <cell r="A1079">
            <v>910098</v>
          </cell>
          <cell r="B1079" t="str">
            <v>刀</v>
          </cell>
          <cell r="C1079">
            <v>0</v>
          </cell>
        </row>
        <row r="1080">
          <cell r="A1080">
            <v>910099</v>
          </cell>
          <cell r="B1080" t="str">
            <v>矢</v>
          </cell>
          <cell r="C1080">
            <v>0</v>
          </cell>
        </row>
        <row r="1081">
          <cell r="A1081">
            <v>910100</v>
          </cell>
          <cell r="B1081" t="str">
            <v>弓</v>
          </cell>
          <cell r="C1081">
            <v>0</v>
          </cell>
        </row>
        <row r="1082">
          <cell r="A1082">
            <v>910101</v>
          </cell>
          <cell r="B1082" t="str">
            <v>皿</v>
          </cell>
          <cell r="C1082">
            <v>0</v>
          </cell>
        </row>
        <row r="1083">
          <cell r="A1083">
            <v>910102</v>
          </cell>
          <cell r="B1083" t="str">
            <v>血</v>
          </cell>
          <cell r="C1083">
            <v>0</v>
          </cell>
        </row>
        <row r="1084">
          <cell r="A1084">
            <v>910103</v>
          </cell>
          <cell r="B1084" t="str">
            <v>酉</v>
          </cell>
          <cell r="C1084">
            <v>0</v>
          </cell>
        </row>
        <row r="1085">
          <cell r="A1085">
            <v>910104</v>
          </cell>
          <cell r="B1085" t="str">
            <v>壶</v>
          </cell>
          <cell r="C1085">
            <v>0</v>
          </cell>
        </row>
        <row r="1086">
          <cell r="A1086">
            <v>910105</v>
          </cell>
          <cell r="B1086" t="str">
            <v>鼎</v>
          </cell>
          <cell r="C1086">
            <v>0</v>
          </cell>
        </row>
        <row r="1087">
          <cell r="A1087">
            <v>910106</v>
          </cell>
          <cell r="B1087" t="str">
            <v>爵</v>
          </cell>
          <cell r="C1087">
            <v>0</v>
          </cell>
        </row>
        <row r="1088">
          <cell r="A1088">
            <v>910107</v>
          </cell>
          <cell r="B1088" t="str">
            <v>网</v>
          </cell>
          <cell r="C1088">
            <v>0</v>
          </cell>
        </row>
        <row r="1089">
          <cell r="A1089">
            <v>910108</v>
          </cell>
          <cell r="B1089" t="str">
            <v>井</v>
          </cell>
          <cell r="C1089">
            <v>0</v>
          </cell>
        </row>
        <row r="1090">
          <cell r="A1090">
            <v>910109</v>
          </cell>
          <cell r="B1090" t="str">
            <v>册</v>
          </cell>
          <cell r="C1090">
            <v>0</v>
          </cell>
        </row>
        <row r="1091">
          <cell r="A1091">
            <v>910110</v>
          </cell>
          <cell r="B1091" t="str">
            <v>舟</v>
          </cell>
          <cell r="C1091">
            <v>0</v>
          </cell>
        </row>
        <row r="1092">
          <cell r="A1092">
            <v>910111</v>
          </cell>
          <cell r="B1092" t="str">
            <v>车</v>
          </cell>
          <cell r="C1092">
            <v>0</v>
          </cell>
        </row>
        <row r="1093">
          <cell r="A1093">
            <v>910112</v>
          </cell>
          <cell r="B1093" t="str">
            <v>束</v>
          </cell>
          <cell r="C1093">
            <v>0</v>
          </cell>
        </row>
        <row r="1094">
          <cell r="A1094">
            <v>910113</v>
          </cell>
          <cell r="B1094" t="str">
            <v>文</v>
          </cell>
          <cell r="C1094">
            <v>0</v>
          </cell>
        </row>
        <row r="1095">
          <cell r="A1095">
            <v>910114</v>
          </cell>
          <cell r="B1095" t="str">
            <v>玉</v>
          </cell>
          <cell r="C1095">
            <v>0</v>
          </cell>
        </row>
        <row r="1096">
          <cell r="A1096">
            <v>910115</v>
          </cell>
          <cell r="B1096" t="str">
            <v>力</v>
          </cell>
          <cell r="C1096">
            <v>0</v>
          </cell>
        </row>
        <row r="1097">
          <cell r="A1097">
            <v>910116</v>
          </cell>
          <cell r="B1097" t="str">
            <v>刺</v>
          </cell>
          <cell r="C1097">
            <v>0</v>
          </cell>
        </row>
        <row r="1098">
          <cell r="A1098">
            <v>910117</v>
          </cell>
          <cell r="B1098" t="str">
            <v>买</v>
          </cell>
          <cell r="C1098">
            <v>0</v>
          </cell>
        </row>
        <row r="1099">
          <cell r="A1099">
            <v>910118</v>
          </cell>
          <cell r="B1099" t="str">
            <v>刃</v>
          </cell>
          <cell r="C1099">
            <v>0</v>
          </cell>
        </row>
        <row r="1100">
          <cell r="A1100">
            <v>910119</v>
          </cell>
          <cell r="B1100" t="str">
            <v>牧</v>
          </cell>
          <cell r="C1100">
            <v>0</v>
          </cell>
        </row>
        <row r="1101">
          <cell r="A1101">
            <v>910120</v>
          </cell>
          <cell r="B1101" t="str">
            <v>高</v>
          </cell>
          <cell r="C1101">
            <v>0</v>
          </cell>
        </row>
        <row r="1102">
          <cell r="A1102">
            <v>910121</v>
          </cell>
          <cell r="B1102" t="str">
            <v>渔</v>
          </cell>
          <cell r="C1102">
            <v>0</v>
          </cell>
        </row>
        <row r="1103">
          <cell r="A1103">
            <v>910122</v>
          </cell>
          <cell r="B1103" t="str">
            <v>富</v>
          </cell>
          <cell r="C1103">
            <v>0</v>
          </cell>
        </row>
        <row r="1104">
          <cell r="A1104">
            <v>910123</v>
          </cell>
          <cell r="B1104" t="str">
            <v>一</v>
          </cell>
          <cell r="C1104">
            <v>0</v>
          </cell>
        </row>
        <row r="1105">
          <cell r="A1105">
            <v>910124</v>
          </cell>
          <cell r="B1105" t="str">
            <v>二</v>
          </cell>
          <cell r="C1105">
            <v>0</v>
          </cell>
        </row>
        <row r="1106">
          <cell r="A1106">
            <v>910125</v>
          </cell>
          <cell r="B1106" t="str">
            <v>三</v>
          </cell>
          <cell r="C1106">
            <v>0</v>
          </cell>
        </row>
        <row r="1107">
          <cell r="A1107">
            <v>910126</v>
          </cell>
          <cell r="B1107" t="str">
            <v>奔</v>
          </cell>
          <cell r="C1107">
            <v>0</v>
          </cell>
        </row>
        <row r="1108">
          <cell r="A1108">
            <v>910127</v>
          </cell>
          <cell r="B1108" t="str">
            <v>乘</v>
          </cell>
          <cell r="C1108">
            <v>0</v>
          </cell>
        </row>
        <row r="1109">
          <cell r="A1109">
            <v>910128</v>
          </cell>
          <cell r="B1109" t="str">
            <v>逐</v>
          </cell>
          <cell r="C1109">
            <v>0</v>
          </cell>
        </row>
        <row r="1110">
          <cell r="A1110">
            <v>910129</v>
          </cell>
          <cell r="B1110" t="str">
            <v>采</v>
          </cell>
          <cell r="C1110">
            <v>0</v>
          </cell>
        </row>
        <row r="1111">
          <cell r="A1111">
            <v>910130</v>
          </cell>
          <cell r="B1111" t="str">
            <v>陷</v>
          </cell>
          <cell r="C1111">
            <v>0</v>
          </cell>
        </row>
        <row r="1112">
          <cell r="A1112">
            <v>910131</v>
          </cell>
          <cell r="B1112" t="str">
            <v>宿</v>
          </cell>
          <cell r="C1112">
            <v>0</v>
          </cell>
        </row>
        <row r="1113">
          <cell r="A1113">
            <v>910132</v>
          </cell>
          <cell r="B1113" t="str">
            <v>饮</v>
          </cell>
          <cell r="C1113">
            <v>0</v>
          </cell>
        </row>
        <row r="1114">
          <cell r="A1114">
            <v>910133</v>
          </cell>
          <cell r="B1114" t="str">
            <v>麦</v>
          </cell>
          <cell r="C1114">
            <v>0</v>
          </cell>
        </row>
        <row r="1115">
          <cell r="A1115">
            <v>903101</v>
          </cell>
          <cell r="B1115" t="str">
            <v>制裁</v>
          </cell>
          <cell r="C1115">
            <v>0</v>
          </cell>
        </row>
        <row r="1116">
          <cell r="A1116">
            <v>903102</v>
          </cell>
          <cell r="B1116" t="str">
            <v>狂热</v>
          </cell>
          <cell r="C1116">
            <v>0</v>
          </cell>
        </row>
        <row r="1117">
          <cell r="A1117">
            <v>903103</v>
          </cell>
          <cell r="B1117" t="str">
            <v>神爱世人</v>
          </cell>
          <cell r="C1117">
            <v>0</v>
          </cell>
        </row>
        <row r="1118">
          <cell r="A1118">
            <v>903201</v>
          </cell>
          <cell r="B1118" t="str">
            <v>天下归心</v>
          </cell>
          <cell r="C1118">
            <v>0</v>
          </cell>
        </row>
        <row r="1119">
          <cell r="A1119">
            <v>903202</v>
          </cell>
          <cell r="B1119" t="str">
            <v>救民水火</v>
          </cell>
          <cell r="C1119">
            <v>0</v>
          </cell>
        </row>
        <row r="1120">
          <cell r="A1120">
            <v>903203</v>
          </cell>
          <cell r="B1120" t="str">
            <v>浩然正气</v>
          </cell>
          <cell r="C1120">
            <v>0</v>
          </cell>
        </row>
        <row r="1121">
          <cell r="A1121">
            <v>903401</v>
          </cell>
          <cell r="B1121" t="str">
            <v>闪电</v>
          </cell>
          <cell r="C1121">
            <v>0</v>
          </cell>
        </row>
        <row r="1122">
          <cell r="A1122">
            <v>903402</v>
          </cell>
          <cell r="B1122" t="str">
            <v>图腾召唤</v>
          </cell>
          <cell r="C1122">
            <v>0</v>
          </cell>
        </row>
        <row r="1123">
          <cell r="A1123">
            <v>903403</v>
          </cell>
          <cell r="B1123" t="str">
            <v>上天恩赐</v>
          </cell>
          <cell r="C1123">
            <v>0</v>
          </cell>
        </row>
        <row r="1124">
          <cell r="A1124">
            <v>903501</v>
          </cell>
          <cell r="B1124" t="str">
            <v>虚空之手</v>
          </cell>
          <cell r="C1124">
            <v>0</v>
          </cell>
        </row>
        <row r="1125">
          <cell r="A1125">
            <v>903901</v>
          </cell>
          <cell r="B1125" t="str">
            <v>医疗区</v>
          </cell>
          <cell r="C1125">
            <v>0</v>
          </cell>
        </row>
        <row r="1126">
          <cell r="A1126">
            <v>903902</v>
          </cell>
          <cell r="B1126" t="str">
            <v>敢死队</v>
          </cell>
          <cell r="C1126">
            <v>0</v>
          </cell>
        </row>
        <row r="1127">
          <cell r="A1127">
            <v>903903</v>
          </cell>
          <cell r="B1127" t="str">
            <v>守护</v>
          </cell>
          <cell r="C1127">
            <v>0</v>
          </cell>
        </row>
        <row r="1128">
          <cell r="A1128">
            <v>903904</v>
          </cell>
          <cell r="B1128" t="str">
            <v>捕获陷阱</v>
          </cell>
          <cell r="C1128">
            <v>0</v>
          </cell>
        </row>
        <row r="1129">
          <cell r="A1129">
            <v>903905</v>
          </cell>
          <cell r="B1129" t="str">
            <v>小闪电</v>
          </cell>
          <cell r="C1129">
            <v>0</v>
          </cell>
        </row>
        <row r="1130">
          <cell r="A1130">
            <v>903906</v>
          </cell>
          <cell r="B1130" t="str">
            <v>骷髅爆炸</v>
          </cell>
          <cell r="C1130">
            <v>0</v>
          </cell>
        </row>
        <row r="1131">
          <cell r="A1131">
            <v>903907</v>
          </cell>
          <cell r="B1131" t="str">
            <v>蘑菇爆炸</v>
          </cell>
          <cell r="C1131">
            <v>0</v>
          </cell>
        </row>
        <row r="1132">
          <cell r="A1132">
            <v>903908</v>
          </cell>
          <cell r="B1132" t="str">
            <v>地面毒液</v>
          </cell>
          <cell r="C1132">
            <v>0</v>
          </cell>
        </row>
        <row r="1133">
          <cell r="A1133">
            <v>903909</v>
          </cell>
          <cell r="B1133" t="str">
            <v>榴弹爆炸</v>
          </cell>
          <cell r="C1133">
            <v>0</v>
          </cell>
        </row>
        <row r="1134">
          <cell r="A1134">
            <v>903910</v>
          </cell>
          <cell r="B1134" t="str">
            <v>铁弹爆炸</v>
          </cell>
          <cell r="C1134">
            <v>0</v>
          </cell>
        </row>
        <row r="1135">
          <cell r="A1135">
            <v>903911</v>
          </cell>
          <cell r="B1135" t="str">
            <v>巨型炸弹爆炸</v>
          </cell>
          <cell r="C1135">
            <v>0</v>
          </cell>
        </row>
        <row r="1136">
          <cell r="A1136">
            <v>903912</v>
          </cell>
          <cell r="B1136" t="str">
            <v>天降冰柱</v>
          </cell>
          <cell r="C1136">
            <v>0</v>
          </cell>
        </row>
        <row r="1137">
          <cell r="A1137">
            <v>903913</v>
          </cell>
          <cell r="B1137" t="str">
            <v>流星陨落</v>
          </cell>
          <cell r="C1137">
            <v>0</v>
          </cell>
        </row>
        <row r="1138">
          <cell r="A1138">
            <v>903914</v>
          </cell>
          <cell r="B1138" t="str">
            <v>万物复苏</v>
          </cell>
          <cell r="C1138">
            <v>0</v>
          </cell>
        </row>
        <row r="1139">
          <cell r="A1139">
            <v>903915</v>
          </cell>
          <cell r="B1139" t="str">
            <v>冰封千里</v>
          </cell>
          <cell r="C1139">
            <v>0</v>
          </cell>
        </row>
        <row r="1140">
          <cell r="A1140">
            <v>903916</v>
          </cell>
          <cell r="B1140" t="str">
            <v>钢铁护盾</v>
          </cell>
          <cell r="C1140">
            <v>0</v>
          </cell>
        </row>
        <row r="1141">
          <cell r="A1141">
            <v>903917</v>
          </cell>
          <cell r="B1141" t="str">
            <v>自爆</v>
          </cell>
          <cell r="C1141">
            <v>0</v>
          </cell>
        </row>
        <row r="1142">
          <cell r="A1142">
            <v>903918</v>
          </cell>
          <cell r="B1142" t="str">
            <v>地火</v>
          </cell>
          <cell r="C1142">
            <v>0</v>
          </cell>
        </row>
        <row r="1143">
          <cell r="A1143">
            <v>903919</v>
          </cell>
          <cell r="B1143" t="str">
            <v>地雷爆炸</v>
          </cell>
          <cell r="C1143">
            <v>0</v>
          </cell>
        </row>
        <row r="1144">
          <cell r="A1144">
            <v>903920</v>
          </cell>
          <cell r="B1144" t="str">
            <v>地脉震荡</v>
          </cell>
          <cell r="C1144">
            <v>0</v>
          </cell>
        </row>
        <row r="1145">
          <cell r="A1145">
            <v>903921</v>
          </cell>
          <cell r="B1145" t="str">
            <v>地火喷涌</v>
          </cell>
          <cell r="C1145">
            <v>0</v>
          </cell>
        </row>
        <row r="1146">
          <cell r="A1146">
            <v>903922</v>
          </cell>
          <cell r="B1146" t="str">
            <v>金属风暴</v>
          </cell>
          <cell r="C1146">
            <v>0</v>
          </cell>
        </row>
        <row r="1147">
          <cell r="A1147">
            <v>903923</v>
          </cell>
          <cell r="B1147" t="str">
            <v>湮灭波动</v>
          </cell>
          <cell r="C1147">
            <v>0</v>
          </cell>
        </row>
        <row r="1148">
          <cell r="A1148">
            <v>903924</v>
          </cell>
          <cell r="B1148" t="str">
            <v>烈焰龙息</v>
          </cell>
          <cell r="C1148">
            <v>0</v>
          </cell>
        </row>
        <row r="1149">
          <cell r="A1149">
            <v>903925</v>
          </cell>
          <cell r="B1149" t="str">
            <v xml:space="preserve">离子风暴 </v>
          </cell>
          <cell r="C1149">
            <v>0</v>
          </cell>
        </row>
        <row r="1150">
          <cell r="A1150">
            <v>903926</v>
          </cell>
          <cell r="B1150" t="str">
            <v>真空刃</v>
          </cell>
          <cell r="C1150">
            <v>0</v>
          </cell>
        </row>
        <row r="1151">
          <cell r="A1151">
            <v>903927</v>
          </cell>
          <cell r="B1151" t="str">
            <v>暗影叶息</v>
          </cell>
          <cell r="C1151">
            <v>0</v>
          </cell>
        </row>
        <row r="1152">
          <cell r="A1152">
            <v>903928</v>
          </cell>
          <cell r="B1152" t="str">
            <v>极塞吐息</v>
          </cell>
          <cell r="C1152">
            <v>0</v>
          </cell>
        </row>
        <row r="1153">
          <cell r="A1153">
            <v>903929</v>
          </cell>
          <cell r="B1153" t="str">
            <v>瘴气喷射</v>
          </cell>
          <cell r="C1153">
            <v>0</v>
          </cell>
        </row>
        <row r="1154">
          <cell r="A1154">
            <v>903930</v>
          </cell>
          <cell r="B1154" t="str">
            <v>裂空龙卷</v>
          </cell>
          <cell r="C1154">
            <v>0</v>
          </cell>
        </row>
        <row r="1155">
          <cell r="A1155">
            <v>903931</v>
          </cell>
          <cell r="B1155" t="str">
            <v>迷梦吐息</v>
          </cell>
          <cell r="C1155">
            <v>0</v>
          </cell>
        </row>
        <row r="1156">
          <cell r="A1156">
            <v>903932</v>
          </cell>
          <cell r="B1156" t="str">
            <v>圣光屏障</v>
          </cell>
          <cell r="C1156">
            <v>0</v>
          </cell>
        </row>
        <row r="1157">
          <cell r="A1157">
            <v>903933</v>
          </cell>
          <cell r="B1157" t="str">
            <v>秘法洪流</v>
          </cell>
          <cell r="C1157">
            <v>0</v>
          </cell>
        </row>
        <row r="1158">
          <cell r="A1158">
            <v>903934</v>
          </cell>
          <cell r="B1158" t="str">
            <v>涤荡之潮</v>
          </cell>
          <cell r="C1158">
            <v>0</v>
          </cell>
        </row>
        <row r="1159">
          <cell r="A1159">
            <v>903935</v>
          </cell>
          <cell r="B1159" t="str">
            <v>生命吐息</v>
          </cell>
          <cell r="C1159">
            <v>0</v>
          </cell>
        </row>
        <row r="1160">
          <cell r="A1160">
            <v>903936</v>
          </cell>
          <cell r="B1160" t="str">
            <v>岩穹庇护</v>
          </cell>
          <cell r="C1160">
            <v>0</v>
          </cell>
        </row>
        <row r="1161">
          <cell r="A1161">
            <v>903937</v>
          </cell>
          <cell r="B1161" t="str">
            <v>陨火天降</v>
          </cell>
          <cell r="C1161">
            <v>0</v>
          </cell>
        </row>
        <row r="1162">
          <cell r="A1162">
            <v>903938</v>
          </cell>
          <cell r="B1162" t="str">
            <v xml:space="preserve">铁穹屏障 </v>
          </cell>
          <cell r="C1162">
            <v>0</v>
          </cell>
        </row>
        <row r="1163">
          <cell r="A1163">
            <v>903939</v>
          </cell>
          <cell r="B1163" t="str">
            <v>黑洞撕裂</v>
          </cell>
          <cell r="C1163">
            <v>0</v>
          </cell>
        </row>
        <row r="1164">
          <cell r="A1164">
            <v>903940</v>
          </cell>
          <cell r="B1164" t="str">
            <v>陨星爆炎</v>
          </cell>
          <cell r="C1164">
            <v>0</v>
          </cell>
        </row>
        <row r="1165">
          <cell r="A1165">
            <v>903941</v>
          </cell>
          <cell r="B1165" t="str">
            <v>雷霆万钧</v>
          </cell>
          <cell r="C1165">
            <v>0</v>
          </cell>
        </row>
        <row r="1166">
          <cell r="A1166">
            <v>903942</v>
          </cell>
          <cell r="B1166" t="str">
            <v>旋风突进</v>
          </cell>
          <cell r="C1166">
            <v>0</v>
          </cell>
        </row>
        <row r="1167">
          <cell r="A1167">
            <v>903943</v>
          </cell>
          <cell r="B1167" t="str">
            <v>血蚀之息</v>
          </cell>
          <cell r="C1167">
            <v>0</v>
          </cell>
        </row>
        <row r="1168">
          <cell r="A1168">
            <v>903944</v>
          </cell>
          <cell r="B1168" t="str">
            <v>凛条降临</v>
          </cell>
          <cell r="C1168">
            <v>0</v>
          </cell>
        </row>
        <row r="1169">
          <cell r="A1169">
            <v>903945</v>
          </cell>
          <cell r="B1169" t="str">
            <v>瘟疫龙息</v>
          </cell>
          <cell r="C1169">
            <v>0</v>
          </cell>
        </row>
        <row r="1170">
          <cell r="A1170">
            <v>903946</v>
          </cell>
          <cell r="B1170" t="str">
            <v>飓风枷锁</v>
          </cell>
          <cell r="C1170">
            <v>0</v>
          </cell>
        </row>
        <row r="1171">
          <cell r="A1171">
            <v>903947</v>
          </cell>
          <cell r="B1171" t="str">
            <v>心灵囚笼</v>
          </cell>
          <cell r="C1171">
            <v>0</v>
          </cell>
        </row>
        <row r="1172">
          <cell r="A1172">
            <v>903948</v>
          </cell>
          <cell r="B1172" t="str">
            <v>天宫之璧</v>
          </cell>
          <cell r="C1172">
            <v>0</v>
          </cell>
        </row>
        <row r="1173">
          <cell r="A1173">
            <v>903949</v>
          </cell>
          <cell r="B1173" t="str">
            <v>时空裂隙</v>
          </cell>
          <cell r="C1173">
            <v>0</v>
          </cell>
        </row>
        <row r="1174">
          <cell r="A1174">
            <v>903950</v>
          </cell>
          <cell r="B1174" t="str">
            <v>深海祈愿</v>
          </cell>
          <cell r="C1174">
            <v>0</v>
          </cell>
        </row>
        <row r="1175">
          <cell r="A1175">
            <v>903951</v>
          </cell>
          <cell r="B1175" t="str">
            <v>森罗复苏</v>
          </cell>
          <cell r="C1175">
            <v>0</v>
          </cell>
        </row>
        <row r="1176">
          <cell r="A1176">
            <v>904001</v>
          </cell>
          <cell r="B1176" t="str">
            <v>求同存异，天下大同</v>
          </cell>
          <cell r="C1176">
            <v>0</v>
          </cell>
        </row>
        <row r="1177">
          <cell r="A1177">
            <v>904002</v>
          </cell>
          <cell r="B1177" t="str">
            <v>顺我者昌，逆我者亡</v>
          </cell>
          <cell r="C1177">
            <v>0</v>
          </cell>
        </row>
        <row r="1178">
          <cell r="A1178">
            <v>904003</v>
          </cell>
          <cell r="B1178" t="str">
            <v>吾即为法，利即是义</v>
          </cell>
          <cell r="C1178">
            <v>0</v>
          </cell>
        </row>
        <row r="1179">
          <cell r="A1179">
            <v>905001</v>
          </cell>
          <cell r="B1179" t="str">
            <v>受命于天，君敬臣忠</v>
          </cell>
          <cell r="C1179">
            <v>0</v>
          </cell>
        </row>
        <row r="1180">
          <cell r="A1180">
            <v>905002</v>
          </cell>
          <cell r="B1180" t="str">
            <v>乱世天下，能者居之</v>
          </cell>
          <cell r="C1180">
            <v>0</v>
          </cell>
        </row>
        <row r="1181">
          <cell r="A1181">
            <v>905003</v>
          </cell>
          <cell r="B1181" t="str">
            <v>君权神授，契约永存</v>
          </cell>
          <cell r="C1181">
            <v>0</v>
          </cell>
        </row>
        <row r="1182">
          <cell r="A1182">
            <v>906001</v>
          </cell>
          <cell r="B1182" t="str">
            <v>一呼百应</v>
          </cell>
          <cell r="C1182">
            <v>0</v>
          </cell>
        </row>
        <row r="1183">
          <cell r="A1183">
            <v>906002</v>
          </cell>
          <cell r="B1183" t="str">
            <v>精灵之友</v>
          </cell>
          <cell r="C1183">
            <v>0</v>
          </cell>
        </row>
        <row r="1184">
          <cell r="A1184">
            <v>906003</v>
          </cell>
          <cell r="B1184" t="str">
            <v>造山</v>
          </cell>
          <cell r="C1184">
            <v>0</v>
          </cell>
        </row>
        <row r="1185">
          <cell r="A1185">
            <v>906004</v>
          </cell>
          <cell r="B1185" t="str">
            <v>净化瘟疫</v>
          </cell>
          <cell r="C1185">
            <v>0</v>
          </cell>
        </row>
        <row r="1186">
          <cell r="A1186">
            <v>906005</v>
          </cell>
          <cell r="B1186" t="str">
            <v>斩妖除魔</v>
          </cell>
          <cell r="C1186">
            <v>0</v>
          </cell>
        </row>
        <row r="1187">
          <cell r="A1187">
            <v>906006</v>
          </cell>
          <cell r="B1187" t="str">
            <v>召唤5级海盗王</v>
          </cell>
          <cell r="C1187">
            <v>0</v>
          </cell>
        </row>
        <row r="1188">
          <cell r="A1188">
            <v>906007</v>
          </cell>
          <cell r="B1188" t="str">
            <v>召唤10级海盗王</v>
          </cell>
          <cell r="C1188">
            <v>0</v>
          </cell>
        </row>
        <row r="1189">
          <cell r="A1189">
            <v>906008</v>
          </cell>
          <cell r="B1189" t="str">
            <v>召唤5级暗夜收割者</v>
          </cell>
          <cell r="C1189">
            <v>0</v>
          </cell>
        </row>
        <row r="1190">
          <cell r="A1190">
            <v>906009</v>
          </cell>
          <cell r="B1190" t="str">
            <v>召唤10级暗夜收割者</v>
          </cell>
          <cell r="C1190">
            <v>0</v>
          </cell>
        </row>
        <row r="1191">
          <cell r="A1191">
            <v>906010</v>
          </cell>
          <cell r="B1191" t="str">
            <v>魂飞魄散</v>
          </cell>
          <cell r="C1191">
            <v>0</v>
          </cell>
        </row>
        <row r="1192">
          <cell r="A1192">
            <v>906011</v>
          </cell>
          <cell r="B1192" t="str">
            <v>日食</v>
          </cell>
          <cell r="C1192">
            <v>0</v>
          </cell>
        </row>
        <row r="1193">
          <cell r="A1193">
            <v>906012</v>
          </cell>
          <cell r="B1193" t="str">
            <v>干旱</v>
          </cell>
          <cell r="C1193">
            <v>0</v>
          </cell>
        </row>
        <row r="1194">
          <cell r="A1194">
            <v>906013</v>
          </cell>
          <cell r="B1194" t="str">
            <v>结束日食</v>
          </cell>
          <cell r="C1194">
            <v>0</v>
          </cell>
        </row>
        <row r="1195">
          <cell r="A1195">
            <v>906014</v>
          </cell>
          <cell r="B1195" t="str">
            <v>召唤石头人</v>
          </cell>
          <cell r="C1195">
            <v>0</v>
          </cell>
        </row>
        <row r="1196">
          <cell r="A1196">
            <v>906015</v>
          </cell>
          <cell r="B1196" t="str">
            <v>神圣压制</v>
          </cell>
          <cell r="C1196">
            <v>0</v>
          </cell>
        </row>
        <row r="1197">
          <cell r="A1197">
            <v>906016</v>
          </cell>
          <cell r="B1197" t="str">
            <v>黑暗诅咒</v>
          </cell>
          <cell r="C1197">
            <v>0</v>
          </cell>
        </row>
        <row r="1198">
          <cell r="A1198">
            <v>906017</v>
          </cell>
          <cell r="B1198" t="str">
            <v>怪物骚动</v>
          </cell>
          <cell r="C1198">
            <v>0</v>
          </cell>
        </row>
        <row r="1199">
          <cell r="A1199">
            <v>906018</v>
          </cell>
          <cell r="B1199" t="str">
            <v>黑暗指引</v>
          </cell>
          <cell r="C1199">
            <v>0</v>
          </cell>
        </row>
        <row r="1200">
          <cell r="A1200">
            <v>907001</v>
          </cell>
          <cell r="B1200" t="str">
            <v>圣剑光环</v>
          </cell>
          <cell r="C1200">
            <v>0</v>
          </cell>
        </row>
        <row r="1201">
          <cell r="A1201">
            <v>907002</v>
          </cell>
          <cell r="B1201" t="str">
            <v>圣盾光环</v>
          </cell>
          <cell r="C1201">
            <v>0</v>
          </cell>
        </row>
        <row r="1202">
          <cell r="A1202">
            <v>907003</v>
          </cell>
          <cell r="B1202" t="str">
            <v>生命光环</v>
          </cell>
          <cell r="C1202">
            <v>0</v>
          </cell>
        </row>
        <row r="1203">
          <cell r="A1203">
            <v>907004</v>
          </cell>
          <cell r="B1203" t="str">
            <v>无敌金身</v>
          </cell>
          <cell r="C1203">
            <v>0</v>
          </cell>
        </row>
        <row r="1204">
          <cell r="A1204">
            <v>907005</v>
          </cell>
          <cell r="B1204" t="str">
            <v>疾步光环</v>
          </cell>
          <cell r="C1204">
            <v>0</v>
          </cell>
        </row>
        <row r="1205">
          <cell r="A1205">
            <v>907006</v>
          </cell>
          <cell r="B1205" t="str">
            <v>幸运光环</v>
          </cell>
          <cell r="C1205">
            <v>0</v>
          </cell>
        </row>
        <row r="1206">
          <cell r="A1206">
            <v>907007</v>
          </cell>
          <cell r="B1206" t="str">
            <v>黑暗之力</v>
          </cell>
          <cell r="C1206">
            <v>0</v>
          </cell>
        </row>
        <row r="1207">
          <cell r="A1207">
            <v>907008</v>
          </cell>
          <cell r="B1207" t="str">
            <v>磁吸之力</v>
          </cell>
          <cell r="C1207">
            <v>0</v>
          </cell>
        </row>
        <row r="1208">
          <cell r="A1208">
            <v>908001</v>
          </cell>
          <cell r="B1208" t="str">
            <v>正直仁慈</v>
          </cell>
          <cell r="C1208">
            <v>0</v>
          </cell>
        </row>
        <row r="1209">
          <cell r="A1209">
            <v>908002</v>
          </cell>
          <cell r="B1209" t="str">
            <v>务实善良</v>
          </cell>
          <cell r="C1209">
            <v>0</v>
          </cell>
        </row>
        <row r="1210">
          <cell r="A1210">
            <v>908003</v>
          </cell>
          <cell r="B1210" t="str">
            <v>叛逆善良</v>
          </cell>
          <cell r="C1210">
            <v>0</v>
          </cell>
        </row>
        <row r="1211">
          <cell r="A1211">
            <v>908004</v>
          </cell>
          <cell r="B1211" t="str">
            <v>正义客观</v>
          </cell>
          <cell r="C1211">
            <v>0</v>
          </cell>
        </row>
        <row r="1212">
          <cell r="A1212">
            <v>908005</v>
          </cell>
          <cell r="B1212" t="str">
            <v>中立平衡</v>
          </cell>
          <cell r="C1212">
            <v>0</v>
          </cell>
        </row>
        <row r="1213">
          <cell r="A1213">
            <v>908006</v>
          </cell>
          <cell r="B1213" t="str">
            <v>随性自由</v>
          </cell>
          <cell r="C1213">
            <v>0</v>
          </cell>
        </row>
        <row r="1214">
          <cell r="A1214">
            <v>908007</v>
          </cell>
          <cell r="B1214" t="str">
            <v>权谋冷酷</v>
          </cell>
          <cell r="C1214">
            <v>0</v>
          </cell>
        </row>
        <row r="1215">
          <cell r="A1215">
            <v>908008</v>
          </cell>
          <cell r="B1215" t="str">
            <v>自私功利</v>
          </cell>
          <cell r="C1215">
            <v>0</v>
          </cell>
        </row>
        <row r="1216">
          <cell r="A1216">
            <v>908009</v>
          </cell>
          <cell r="B1216" t="str">
            <v>自私残暴</v>
          </cell>
          <cell r="C1216">
            <v>0</v>
          </cell>
        </row>
        <row r="1217">
          <cell r="A1217">
            <v>909001</v>
          </cell>
          <cell r="B1217" t="str">
            <v>拳头</v>
          </cell>
          <cell r="C1217">
            <v>0</v>
          </cell>
        </row>
        <row r="1218">
          <cell r="A1218">
            <v>909002</v>
          </cell>
          <cell r="B1218" t="str">
            <v>医疗区</v>
          </cell>
          <cell r="C1218">
            <v>0</v>
          </cell>
        </row>
        <row r="1219">
          <cell r="A1219">
            <v>909003</v>
          </cell>
          <cell r="B1219" t="str">
            <v>毒液区</v>
          </cell>
          <cell r="C1219">
            <v>0</v>
          </cell>
        </row>
        <row r="1220">
          <cell r="A1220">
            <v>909004</v>
          </cell>
          <cell r="B1220" t="str">
            <v>驻扎点</v>
          </cell>
          <cell r="C1220">
            <v>0</v>
          </cell>
        </row>
        <row r="1221">
          <cell r="A1221">
            <v>909005</v>
          </cell>
          <cell r="B1221" t="str">
            <v>领主点数</v>
          </cell>
          <cell r="C1221">
            <v>0</v>
          </cell>
        </row>
        <row r="1222">
          <cell r="A1222">
            <v>909006</v>
          </cell>
          <cell r="B1222" t="str">
            <v>单个轮盘收益</v>
          </cell>
          <cell r="C1222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08"/>
  <sheetViews>
    <sheetView tabSelected="1" workbookViewId="0">
      <pane ySplit="1" topLeftCell="A74" activePane="bottomLeft" state="frozen"/>
      <selection pane="bottomLeft" activeCell="C10" sqref="C10"/>
    </sheetView>
  </sheetViews>
  <sheetFormatPr defaultRowHeight="13.5" x14ac:dyDescent="0.15"/>
  <cols>
    <col min="1" max="1" width="10.5" customWidth="1"/>
    <col min="2" max="2" width="10.5" style="15" customWidth="1"/>
    <col min="3" max="3" width="8.375" customWidth="1"/>
    <col min="4" max="4" width="12.625" customWidth="1"/>
    <col min="5" max="5" width="7.875" customWidth="1"/>
    <col min="6" max="7" width="6" customWidth="1"/>
    <col min="8" max="8" width="7.125" style="2" customWidth="1"/>
    <col min="9" max="9" width="8.125" customWidth="1"/>
    <col min="10" max="10" width="9.5" customWidth="1"/>
    <col min="13" max="14" width="4" style="3" customWidth="1"/>
    <col min="15" max="15" width="9.125" style="4" customWidth="1"/>
    <col min="16" max="16" width="8.625" customWidth="1"/>
    <col min="17" max="17" width="7.625" customWidth="1"/>
    <col min="18" max="18" width="5.875" customWidth="1"/>
    <col min="19" max="19" width="7.5" style="2" customWidth="1"/>
    <col min="20" max="20" width="8.5" customWidth="1"/>
    <col min="21" max="21" width="5.875" customWidth="1"/>
    <col min="22" max="22" width="5.125" customWidth="1"/>
    <col min="23" max="23" width="5.125" style="2" customWidth="1"/>
    <col min="24" max="24" width="9.125" customWidth="1"/>
    <col min="25" max="25" width="9.375" customWidth="1"/>
    <col min="26" max="26" width="4.75" customWidth="1"/>
    <col min="27" max="27" width="7.125" style="2" customWidth="1"/>
    <col min="28" max="28" width="9.375" customWidth="1"/>
    <col min="29" max="29" width="7.75" customWidth="1"/>
  </cols>
  <sheetData>
    <row r="1" spans="1:30" s="1" customFormat="1" ht="54" x14ac:dyDescent="0.15">
      <c r="A1" s="5" t="s">
        <v>0</v>
      </c>
      <c r="B1" s="9" t="s">
        <v>217</v>
      </c>
      <c r="C1" s="7" t="s">
        <v>1</v>
      </c>
      <c r="D1" s="7" t="s">
        <v>1</v>
      </c>
      <c r="E1" s="8" t="s">
        <v>2</v>
      </c>
      <c r="F1" s="8" t="s">
        <v>233</v>
      </c>
      <c r="G1" s="9" t="s">
        <v>3</v>
      </c>
      <c r="H1" s="10" t="s">
        <v>4</v>
      </c>
      <c r="I1" s="6" t="s">
        <v>5</v>
      </c>
      <c r="J1" s="6" t="s">
        <v>6</v>
      </c>
      <c r="K1" s="6" t="s">
        <v>7</v>
      </c>
      <c r="L1" s="9" t="s">
        <v>242</v>
      </c>
      <c r="M1" s="17" t="s">
        <v>8</v>
      </c>
      <c r="N1" s="18" t="s">
        <v>9</v>
      </c>
      <c r="O1" s="19"/>
      <c r="P1" s="9" t="s">
        <v>10</v>
      </c>
      <c r="Q1" s="9" t="s">
        <v>10</v>
      </c>
      <c r="R1" s="9" t="s">
        <v>11</v>
      </c>
      <c r="S1" s="10" t="s">
        <v>12</v>
      </c>
      <c r="T1" s="6" t="s">
        <v>13</v>
      </c>
      <c r="U1" s="9" t="s">
        <v>13</v>
      </c>
      <c r="V1" s="6" t="s">
        <v>14</v>
      </c>
      <c r="W1" s="10" t="s">
        <v>15</v>
      </c>
      <c r="X1" s="9" t="s">
        <v>16</v>
      </c>
      <c r="Y1" s="9" t="s">
        <v>16</v>
      </c>
      <c r="Z1" s="9" t="s">
        <v>17</v>
      </c>
      <c r="AA1" s="10" t="s">
        <v>18</v>
      </c>
      <c r="AB1" s="30" t="s">
        <v>19</v>
      </c>
      <c r="AC1" s="30" t="s">
        <v>20</v>
      </c>
      <c r="AD1" s="5" t="s">
        <v>240</v>
      </c>
    </row>
    <row r="2" spans="1:30" x14ac:dyDescent="0.15">
      <c r="A2" s="11" t="s">
        <v>21</v>
      </c>
      <c r="B2" s="12" t="s">
        <v>218</v>
      </c>
      <c r="C2" s="13" t="s">
        <v>22</v>
      </c>
      <c r="D2" s="13" t="s">
        <v>23</v>
      </c>
      <c r="E2" s="13" t="s">
        <v>24</v>
      </c>
      <c r="F2" s="13" t="s">
        <v>234</v>
      </c>
      <c r="G2" s="12" t="s">
        <v>25</v>
      </c>
      <c r="H2" s="14" t="s">
        <v>26</v>
      </c>
      <c r="I2" s="12" t="s">
        <v>27</v>
      </c>
      <c r="J2" s="12" t="s">
        <v>28</v>
      </c>
      <c r="K2" s="12" t="s">
        <v>26</v>
      </c>
      <c r="L2" s="12"/>
      <c r="M2" s="20" t="s">
        <v>29</v>
      </c>
      <c r="N2" s="20" t="s">
        <v>30</v>
      </c>
      <c r="O2" s="21" t="s">
        <v>26</v>
      </c>
      <c r="P2" s="22" t="s">
        <v>31</v>
      </c>
      <c r="Q2" s="22" t="s">
        <v>32</v>
      </c>
      <c r="R2" s="12" t="s">
        <v>33</v>
      </c>
      <c r="S2" s="14" t="s">
        <v>32</v>
      </c>
      <c r="T2" s="22" t="s">
        <v>34</v>
      </c>
      <c r="U2" s="22" t="s">
        <v>32</v>
      </c>
      <c r="V2" s="15" t="s">
        <v>35</v>
      </c>
      <c r="W2" s="14" t="s">
        <v>26</v>
      </c>
      <c r="X2" s="22" t="s">
        <v>36</v>
      </c>
      <c r="Y2" s="22" t="s">
        <v>32</v>
      </c>
      <c r="Z2" s="12" t="s">
        <v>37</v>
      </c>
      <c r="AA2" s="14" t="s">
        <v>32</v>
      </c>
      <c r="AB2" s="11" t="s">
        <v>32</v>
      </c>
      <c r="AC2" s="11" t="s">
        <v>32</v>
      </c>
      <c r="AD2" s="11" t="s">
        <v>241</v>
      </c>
    </row>
    <row r="3" spans="1:30" x14ac:dyDescent="0.15">
      <c r="A3" s="41">
        <v>40300300</v>
      </c>
      <c r="B3" s="15">
        <v>0</v>
      </c>
      <c r="C3" s="43">
        <v>105010</v>
      </c>
      <c r="D3" s="12" t="s">
        <v>38</v>
      </c>
      <c r="E3" s="12">
        <v>0</v>
      </c>
      <c r="F3" s="15">
        <v>1</v>
      </c>
      <c r="G3" s="15">
        <v>10</v>
      </c>
      <c r="H3" s="14">
        <f>VLOOKUP(I3,[1]stuff!$A:$C,3,FALSE)</f>
        <v>6</v>
      </c>
      <c r="I3" s="15">
        <v>403003</v>
      </c>
      <c r="J3" s="12" t="s">
        <v>43</v>
      </c>
      <c r="K3" s="15">
        <f>(AC3-AB3)/AB3</f>
        <v>-0.25</v>
      </c>
      <c r="L3" s="15">
        <f>(AC3-AB3-AD3)/AB3</f>
        <v>-0.31944444444444448</v>
      </c>
      <c r="M3" s="23">
        <v>3</v>
      </c>
      <c r="N3" s="23">
        <v>1</v>
      </c>
      <c r="O3" s="24"/>
      <c r="P3" s="12">
        <v>604001</v>
      </c>
      <c r="Q3" s="12" t="s">
        <v>40</v>
      </c>
      <c r="R3" s="12">
        <v>6</v>
      </c>
      <c r="S3" s="14">
        <f>VLOOKUP(P3,[1]stuff!$A:$C,3,FALSE)</f>
        <v>2</v>
      </c>
      <c r="T3" s="15">
        <v>605001</v>
      </c>
      <c r="U3" s="12" t="s">
        <v>44</v>
      </c>
      <c r="V3" s="15">
        <v>3</v>
      </c>
      <c r="W3" s="14">
        <f>VLOOKUP(T3,[1]stuff!$A:$C,3,FALSE)</f>
        <v>4</v>
      </c>
      <c r="X3" s="12"/>
      <c r="Y3" s="12"/>
      <c r="Z3" s="15"/>
      <c r="AA3" s="29"/>
      <c r="AB3">
        <f>R3*S3+V3*W3+Z3*AA3</f>
        <v>24</v>
      </c>
      <c r="AC3">
        <f>H3*M3</f>
        <v>18</v>
      </c>
      <c r="AD3">
        <f>G3/6</f>
        <v>1.6666666666666667</v>
      </c>
    </row>
    <row r="4" spans="1:30" x14ac:dyDescent="0.15">
      <c r="A4" s="41">
        <v>40300100</v>
      </c>
      <c r="B4" s="15">
        <v>0</v>
      </c>
      <c r="C4" s="43">
        <v>105010</v>
      </c>
      <c r="D4" s="12" t="s">
        <v>38</v>
      </c>
      <c r="E4" s="12">
        <v>0</v>
      </c>
      <c r="F4" s="15">
        <v>1</v>
      </c>
      <c r="G4" s="15">
        <v>15</v>
      </c>
      <c r="H4" s="14">
        <f>VLOOKUP(I4,[1]stuff!$A:$C,3,FALSE)</f>
        <v>12</v>
      </c>
      <c r="I4" s="15">
        <v>403001</v>
      </c>
      <c r="J4" s="12" t="s">
        <v>39</v>
      </c>
      <c r="K4" s="15">
        <f t="shared" ref="K4:K47" si="0">(AC4-AB4)/AB4</f>
        <v>0.33333333333333331</v>
      </c>
      <c r="L4" s="15">
        <f t="shared" ref="L4:L76" si="1">(AC4-AB4-AD4)/AB4</f>
        <v>0.24074074074074073</v>
      </c>
      <c r="M4" s="23">
        <v>3</v>
      </c>
      <c r="N4" s="23">
        <v>1</v>
      </c>
      <c r="O4" s="24"/>
      <c r="P4" s="12">
        <v>604001</v>
      </c>
      <c r="Q4" s="12" t="s">
        <v>40</v>
      </c>
      <c r="R4" s="12">
        <v>6</v>
      </c>
      <c r="S4" s="14">
        <f>VLOOKUP(P4,[1]stuff!$A:$C,3,FALSE)</f>
        <v>2</v>
      </c>
      <c r="T4" s="15">
        <v>603001</v>
      </c>
      <c r="U4" s="12" t="s">
        <v>179</v>
      </c>
      <c r="V4" s="15">
        <v>3</v>
      </c>
      <c r="W4" s="14">
        <f>VLOOKUP(T4,[1]stuff!$A:$C,3,FALSE)</f>
        <v>5</v>
      </c>
      <c r="X4" s="15"/>
      <c r="Y4" s="15"/>
      <c r="Z4" s="15"/>
      <c r="AA4" s="29"/>
      <c r="AB4">
        <f t="shared" ref="AB4:AB35" si="2">R4*S4+V4*W4+Z4*AA4</f>
        <v>27</v>
      </c>
      <c r="AC4">
        <f t="shared" ref="AC4:AC35" si="3">H4*M4</f>
        <v>36</v>
      </c>
      <c r="AD4">
        <f t="shared" ref="AD4:AD76" si="4">G4/6</f>
        <v>2.5</v>
      </c>
    </row>
    <row r="5" spans="1:30" x14ac:dyDescent="0.15">
      <c r="A5" s="41">
        <v>40300200</v>
      </c>
      <c r="B5" s="15">
        <v>0</v>
      </c>
      <c r="C5" s="43">
        <v>105010</v>
      </c>
      <c r="D5" s="12" t="s">
        <v>38</v>
      </c>
      <c r="E5" s="12">
        <v>0</v>
      </c>
      <c r="F5" s="15">
        <v>1</v>
      </c>
      <c r="G5" s="15">
        <v>20</v>
      </c>
      <c r="H5" s="14">
        <f>VLOOKUP(I5,[1]stuff!$A:$C,3,FALSE)</f>
        <v>25</v>
      </c>
      <c r="I5" s="15">
        <v>403002</v>
      </c>
      <c r="J5" s="12" t="s">
        <v>41</v>
      </c>
      <c r="K5" s="15">
        <f t="shared" si="0"/>
        <v>0.70454545454545459</v>
      </c>
      <c r="L5" s="15">
        <f t="shared" si="1"/>
        <v>0.62878787878787878</v>
      </c>
      <c r="M5" s="23">
        <v>3</v>
      </c>
      <c r="N5" s="23">
        <v>1</v>
      </c>
      <c r="O5" s="24"/>
      <c r="P5" s="12">
        <v>604001</v>
      </c>
      <c r="Q5" s="12" t="s">
        <v>40</v>
      </c>
      <c r="R5" s="12">
        <v>7</v>
      </c>
      <c r="S5" s="14">
        <f>VLOOKUP(P5,[1]stuff!$A:$C,3,FALSE)</f>
        <v>2</v>
      </c>
      <c r="T5" s="15">
        <v>603001</v>
      </c>
      <c r="U5" s="12" t="s">
        <v>179</v>
      </c>
      <c r="V5" s="15">
        <v>3</v>
      </c>
      <c r="W5" s="14">
        <f>VLOOKUP(T5,[1]stuff!$A:$C,3,FALSE)</f>
        <v>5</v>
      </c>
      <c r="X5" s="15">
        <v>601001</v>
      </c>
      <c r="Y5" s="12" t="s">
        <v>42</v>
      </c>
      <c r="Z5" s="15">
        <v>3</v>
      </c>
      <c r="AA5" s="14">
        <f>VLOOKUP(X5,[1]stuff!$A:$C,3,FALSE)</f>
        <v>5</v>
      </c>
      <c r="AB5">
        <f t="shared" si="2"/>
        <v>44</v>
      </c>
      <c r="AC5">
        <f t="shared" si="3"/>
        <v>75</v>
      </c>
      <c r="AD5">
        <f t="shared" si="4"/>
        <v>3.3333333333333335</v>
      </c>
    </row>
    <row r="6" spans="1:30" x14ac:dyDescent="0.15">
      <c r="A6" s="41">
        <v>40400100</v>
      </c>
      <c r="B6" s="15">
        <v>0</v>
      </c>
      <c r="C6" s="43">
        <v>105011</v>
      </c>
      <c r="D6" s="15" t="s">
        <v>45</v>
      </c>
      <c r="E6" s="12">
        <v>0</v>
      </c>
      <c r="F6" s="15">
        <v>1</v>
      </c>
      <c r="G6" s="16">
        <v>10</v>
      </c>
      <c r="H6" s="14">
        <f>VLOOKUP(I6,[1]stuff!$A:$C,3,FALSE)</f>
        <v>5</v>
      </c>
      <c r="I6" s="15">
        <v>404001</v>
      </c>
      <c r="J6" s="12" t="s">
        <v>46</v>
      </c>
      <c r="K6" s="15">
        <f t="shared" si="0"/>
        <v>0.66666666666666663</v>
      </c>
      <c r="L6" s="15">
        <f t="shared" si="1"/>
        <v>0.38888888888888884</v>
      </c>
      <c r="M6" s="23">
        <v>2</v>
      </c>
      <c r="N6" s="23">
        <v>1</v>
      </c>
      <c r="O6" s="24"/>
      <c r="P6" s="15">
        <v>606001</v>
      </c>
      <c r="Q6" s="12" t="s">
        <v>47</v>
      </c>
      <c r="R6" s="15">
        <v>2</v>
      </c>
      <c r="S6" s="14">
        <f>VLOOKUP(P6,[1]stuff!$A:$C,3,FALSE)</f>
        <v>3</v>
      </c>
      <c r="T6" s="15"/>
      <c r="U6" s="15"/>
      <c r="V6" s="15"/>
      <c r="W6" s="14"/>
      <c r="X6" s="15"/>
      <c r="Y6" s="15"/>
      <c r="Z6" s="15"/>
      <c r="AA6" s="29"/>
      <c r="AB6">
        <f t="shared" si="2"/>
        <v>6</v>
      </c>
      <c r="AC6">
        <f t="shared" si="3"/>
        <v>10</v>
      </c>
      <c r="AD6">
        <f t="shared" si="4"/>
        <v>1.6666666666666667</v>
      </c>
    </row>
    <row r="7" spans="1:30" x14ac:dyDescent="0.15">
      <c r="A7" s="41">
        <v>40400200</v>
      </c>
      <c r="B7" s="15">
        <v>0</v>
      </c>
      <c r="C7" s="43">
        <v>105011</v>
      </c>
      <c r="D7" s="15" t="s">
        <v>45</v>
      </c>
      <c r="E7" s="12">
        <v>0</v>
      </c>
      <c r="F7" s="15">
        <v>1</v>
      </c>
      <c r="G7" s="16">
        <v>15</v>
      </c>
      <c r="H7" s="14">
        <f>VLOOKUP(I7,[1]stuff!$A:$C,3,FALSE)</f>
        <v>5</v>
      </c>
      <c r="I7" s="15">
        <v>404002</v>
      </c>
      <c r="J7" s="12" t="s">
        <v>48</v>
      </c>
      <c r="K7" s="15">
        <f t="shared" si="0"/>
        <v>0.66666666666666663</v>
      </c>
      <c r="L7" s="15">
        <f t="shared" si="1"/>
        <v>0.25</v>
      </c>
      <c r="M7" s="23">
        <v>2</v>
      </c>
      <c r="N7" s="23">
        <v>1</v>
      </c>
      <c r="O7" s="24"/>
      <c r="P7" s="15">
        <v>606002</v>
      </c>
      <c r="Q7" s="12" t="s">
        <v>49</v>
      </c>
      <c r="R7" s="15">
        <v>2</v>
      </c>
      <c r="S7" s="14">
        <f>VLOOKUP(P7,[1]stuff!$A:$C,3,FALSE)</f>
        <v>3</v>
      </c>
      <c r="T7" s="15"/>
      <c r="U7" s="15"/>
      <c r="V7" s="15"/>
      <c r="W7" s="14"/>
      <c r="X7" s="15"/>
      <c r="Y7" s="15"/>
      <c r="Z7" s="15"/>
      <c r="AA7" s="29"/>
      <c r="AB7">
        <f t="shared" si="2"/>
        <v>6</v>
      </c>
      <c r="AC7">
        <f t="shared" si="3"/>
        <v>10</v>
      </c>
      <c r="AD7">
        <f t="shared" si="4"/>
        <v>2.5</v>
      </c>
    </row>
    <row r="8" spans="1:30" x14ac:dyDescent="0.15">
      <c r="A8" s="41">
        <v>40400300</v>
      </c>
      <c r="B8" s="15">
        <v>0</v>
      </c>
      <c r="C8" s="43">
        <v>105011</v>
      </c>
      <c r="D8" s="15" t="s">
        <v>45</v>
      </c>
      <c r="E8" s="12">
        <v>0</v>
      </c>
      <c r="F8" s="15">
        <v>1</v>
      </c>
      <c r="G8" s="16">
        <v>20</v>
      </c>
      <c r="H8" s="14">
        <f>VLOOKUP(I8,[1]stuff!$A:$C,3,FALSE)</f>
        <v>10</v>
      </c>
      <c r="I8" s="15">
        <v>404003</v>
      </c>
      <c r="J8" s="12" t="s">
        <v>50</v>
      </c>
      <c r="K8" s="15">
        <f t="shared" si="0"/>
        <v>0.85185185185185186</v>
      </c>
      <c r="L8" s="15">
        <f t="shared" si="1"/>
        <v>0.72839506172839508</v>
      </c>
      <c r="M8" s="23">
        <v>5</v>
      </c>
      <c r="N8" s="23">
        <v>1</v>
      </c>
      <c r="O8" s="24"/>
      <c r="P8" s="15">
        <v>606001</v>
      </c>
      <c r="Q8" s="12" t="s">
        <v>47</v>
      </c>
      <c r="R8" s="15">
        <v>5</v>
      </c>
      <c r="S8" s="14">
        <f>VLOOKUP(P8,[1]stuff!$A:$C,3,FALSE)</f>
        <v>3</v>
      </c>
      <c r="T8" s="15">
        <v>606002</v>
      </c>
      <c r="U8" s="12" t="s">
        <v>49</v>
      </c>
      <c r="V8" s="15">
        <v>4</v>
      </c>
      <c r="W8" s="14">
        <f>VLOOKUP(T8,[1]stuff!$A:$C,3,FALSE)</f>
        <v>3</v>
      </c>
      <c r="X8" s="15"/>
      <c r="Y8" s="15"/>
      <c r="Z8" s="15"/>
      <c r="AA8" s="29"/>
      <c r="AB8">
        <f t="shared" si="2"/>
        <v>27</v>
      </c>
      <c r="AC8">
        <f t="shared" si="3"/>
        <v>50</v>
      </c>
      <c r="AD8">
        <f t="shared" si="4"/>
        <v>3.3333333333333335</v>
      </c>
    </row>
    <row r="9" spans="1:30" x14ac:dyDescent="0.15">
      <c r="A9" s="41">
        <v>41900101</v>
      </c>
      <c r="B9" s="15">
        <v>0</v>
      </c>
      <c r="C9" s="43">
        <v>105011</v>
      </c>
      <c r="D9" s="15" t="s">
        <v>45</v>
      </c>
      <c r="E9" s="12">
        <v>0</v>
      </c>
      <c r="F9" s="15">
        <v>1</v>
      </c>
      <c r="G9" s="16">
        <v>10</v>
      </c>
      <c r="H9" s="14">
        <f>VLOOKUP(I9,[1]stuff!$A:$C,3,FALSE)</f>
        <v>5</v>
      </c>
      <c r="I9" s="15">
        <v>419001</v>
      </c>
      <c r="J9" s="12" t="s">
        <v>51</v>
      </c>
      <c r="K9" s="15">
        <f t="shared" si="0"/>
        <v>0.5625</v>
      </c>
      <c r="L9" s="15">
        <f t="shared" si="1"/>
        <v>0.51041666666666663</v>
      </c>
      <c r="M9" s="23">
        <v>10</v>
      </c>
      <c r="N9" s="23">
        <v>1</v>
      </c>
      <c r="O9" s="24"/>
      <c r="P9" s="15">
        <v>606001</v>
      </c>
      <c r="Q9" s="12" t="s">
        <v>47</v>
      </c>
      <c r="R9" s="15">
        <v>8</v>
      </c>
      <c r="S9" s="14">
        <f>VLOOKUP(P9,[1]stuff!$A:$C,3,FALSE)</f>
        <v>3</v>
      </c>
      <c r="T9" s="12">
        <v>604001</v>
      </c>
      <c r="U9" s="12" t="s">
        <v>40</v>
      </c>
      <c r="V9" s="12">
        <v>4</v>
      </c>
      <c r="W9" s="14">
        <f>VLOOKUP(T9,[1]stuff!$A:$C,3,FALSE)</f>
        <v>2</v>
      </c>
      <c r="X9" s="15"/>
      <c r="Y9" s="15"/>
      <c r="Z9" s="15"/>
      <c r="AA9" s="29"/>
      <c r="AB9">
        <f t="shared" si="2"/>
        <v>32</v>
      </c>
      <c r="AC9">
        <f t="shared" si="3"/>
        <v>50</v>
      </c>
      <c r="AD9">
        <f t="shared" si="4"/>
        <v>1.6666666666666667</v>
      </c>
    </row>
    <row r="10" spans="1:30" x14ac:dyDescent="0.15">
      <c r="A10" s="41">
        <v>42000101</v>
      </c>
      <c r="B10" s="15">
        <v>0</v>
      </c>
      <c r="C10" s="43">
        <v>105011</v>
      </c>
      <c r="D10" s="15" t="s">
        <v>45</v>
      </c>
      <c r="E10" s="12">
        <v>1</v>
      </c>
      <c r="F10" s="15">
        <v>1</v>
      </c>
      <c r="G10" s="16">
        <v>10</v>
      </c>
      <c r="H10" s="14">
        <f>VLOOKUP(I10,[1]stuff!$A:$C,3,FALSE)</f>
        <v>5</v>
      </c>
      <c r="I10" s="15">
        <v>420001</v>
      </c>
      <c r="J10" s="12" t="s">
        <v>52</v>
      </c>
      <c r="K10" s="15">
        <f t="shared" si="0"/>
        <v>0.66666666666666663</v>
      </c>
      <c r="L10" s="15">
        <f t="shared" si="1"/>
        <v>0.61111111111111105</v>
      </c>
      <c r="M10" s="23">
        <v>10</v>
      </c>
      <c r="N10" s="23">
        <v>1</v>
      </c>
      <c r="O10" s="24"/>
      <c r="P10" s="15">
        <v>606001</v>
      </c>
      <c r="Q10" s="12" t="s">
        <v>47</v>
      </c>
      <c r="R10" s="15">
        <v>10</v>
      </c>
      <c r="S10" s="14">
        <f>VLOOKUP(P10,[1]stuff!$A:$C,3,FALSE)</f>
        <v>3</v>
      </c>
      <c r="T10" s="12"/>
      <c r="U10" s="12"/>
      <c r="V10" s="12"/>
      <c r="W10" s="14"/>
      <c r="X10" s="15"/>
      <c r="Y10" s="15"/>
      <c r="Z10" s="15"/>
      <c r="AA10" s="29"/>
      <c r="AB10">
        <f t="shared" si="2"/>
        <v>30</v>
      </c>
      <c r="AC10">
        <f t="shared" si="3"/>
        <v>50</v>
      </c>
      <c r="AD10">
        <f t="shared" si="4"/>
        <v>1.6666666666666667</v>
      </c>
    </row>
    <row r="11" spans="1:30" x14ac:dyDescent="0.15">
      <c r="A11" s="41">
        <f>I11*100</f>
        <v>61200100</v>
      </c>
      <c r="B11" s="15">
        <v>0</v>
      </c>
      <c r="C11" s="43">
        <v>105010</v>
      </c>
      <c r="D11" s="12" t="s">
        <v>38</v>
      </c>
      <c r="E11" s="12">
        <v>0</v>
      </c>
      <c r="F11" s="15">
        <v>1</v>
      </c>
      <c r="G11" s="15">
        <v>10</v>
      </c>
      <c r="H11" s="14">
        <f>VLOOKUP(I11,[1]stuff!$A:$C,3,FALSE)</f>
        <v>500</v>
      </c>
      <c r="I11" s="15">
        <v>612001</v>
      </c>
      <c r="J11" s="25" t="s">
        <v>53</v>
      </c>
      <c r="K11" s="26">
        <f t="shared" ref="K11:K12" si="5">(AC11-AB11)/AB11</f>
        <v>0.66666666666666663</v>
      </c>
      <c r="L11" s="15">
        <f t="shared" si="1"/>
        <v>0.66111111111111109</v>
      </c>
      <c r="M11" s="23">
        <v>1</v>
      </c>
      <c r="N11" s="23">
        <v>0</v>
      </c>
      <c r="O11" s="24"/>
      <c r="P11" s="15">
        <v>615001</v>
      </c>
      <c r="Q11" s="25" t="s">
        <v>54</v>
      </c>
      <c r="R11" s="12">
        <v>6</v>
      </c>
      <c r="S11" s="14">
        <f>VLOOKUP(P11,[1]stuff!$A:$C,3,FALSE)</f>
        <v>50</v>
      </c>
      <c r="T11" s="15"/>
      <c r="U11" s="12"/>
      <c r="V11" s="15"/>
      <c r="W11" s="14"/>
      <c r="X11" s="15"/>
      <c r="Y11" s="12"/>
      <c r="Z11" s="15"/>
      <c r="AA11" s="29"/>
      <c r="AB11">
        <f t="shared" si="2"/>
        <v>300</v>
      </c>
      <c r="AC11">
        <f t="shared" si="3"/>
        <v>500</v>
      </c>
      <c r="AD11">
        <f t="shared" si="4"/>
        <v>1.6666666666666667</v>
      </c>
    </row>
    <row r="12" spans="1:30" x14ac:dyDescent="0.15">
      <c r="A12" s="41">
        <f>I12*100</f>
        <v>61200200</v>
      </c>
      <c r="B12" s="15">
        <v>0</v>
      </c>
      <c r="C12" s="43">
        <v>105010</v>
      </c>
      <c r="D12" s="12" t="s">
        <v>38</v>
      </c>
      <c r="E12" s="12">
        <v>0</v>
      </c>
      <c r="F12" s="15">
        <v>1</v>
      </c>
      <c r="G12" s="15">
        <v>10</v>
      </c>
      <c r="H12" s="14">
        <f>VLOOKUP(I12,[1]stuff!$A:$C,3,FALSE)</f>
        <v>500</v>
      </c>
      <c r="I12" s="15">
        <v>612002</v>
      </c>
      <c r="J12" s="25" t="s">
        <v>55</v>
      </c>
      <c r="K12" s="26">
        <f t="shared" si="5"/>
        <v>0.66666666666666663</v>
      </c>
      <c r="L12" s="15">
        <f t="shared" si="1"/>
        <v>0.66111111111111109</v>
      </c>
      <c r="M12" s="23">
        <v>1</v>
      </c>
      <c r="N12" s="23">
        <v>0</v>
      </c>
      <c r="O12" s="24"/>
      <c r="P12" s="15">
        <v>615002</v>
      </c>
      <c r="Q12" s="25" t="s">
        <v>56</v>
      </c>
      <c r="R12" s="12">
        <v>6</v>
      </c>
      <c r="S12" s="14">
        <f>VLOOKUP(P12,[1]stuff!$A:$C,3,FALSE)</f>
        <v>50</v>
      </c>
      <c r="T12" s="15"/>
      <c r="U12" s="12"/>
      <c r="V12" s="15"/>
      <c r="W12" s="14"/>
      <c r="X12" s="15"/>
      <c r="Y12" s="12"/>
      <c r="Z12" s="15"/>
      <c r="AA12" s="29"/>
      <c r="AB12">
        <f t="shared" si="2"/>
        <v>300</v>
      </c>
      <c r="AC12">
        <f t="shared" si="3"/>
        <v>500</v>
      </c>
      <c r="AD12">
        <f t="shared" si="4"/>
        <v>1.6666666666666667</v>
      </c>
    </row>
    <row r="13" spans="1:30" x14ac:dyDescent="0.15">
      <c r="A13" s="41">
        <f>I13*100</f>
        <v>61200300</v>
      </c>
      <c r="B13" s="15">
        <v>0</v>
      </c>
      <c r="C13" s="43">
        <v>105010</v>
      </c>
      <c r="D13" s="12" t="s">
        <v>38</v>
      </c>
      <c r="E13" s="12">
        <v>0</v>
      </c>
      <c r="F13" s="15">
        <v>1</v>
      </c>
      <c r="G13" s="15">
        <v>10</v>
      </c>
      <c r="H13" s="14">
        <f>VLOOKUP(I13,[1]stuff!$A:$C,3,FALSE)</f>
        <v>500</v>
      </c>
      <c r="I13" s="15">
        <v>612003</v>
      </c>
      <c r="J13" s="25" t="s">
        <v>57</v>
      </c>
      <c r="K13" s="26">
        <f t="shared" ref="K13:K17" si="6">(AC13-AB13)/AB13</f>
        <v>0.66666666666666663</v>
      </c>
      <c r="L13" s="15">
        <f t="shared" si="1"/>
        <v>0.66111111111111109</v>
      </c>
      <c r="M13" s="23">
        <v>1</v>
      </c>
      <c r="N13" s="23">
        <v>0</v>
      </c>
      <c r="O13" s="24"/>
      <c r="P13" s="15">
        <v>615003</v>
      </c>
      <c r="Q13" s="25" t="s">
        <v>58</v>
      </c>
      <c r="R13" s="12">
        <v>6</v>
      </c>
      <c r="S13" s="14">
        <f>VLOOKUP(P13,[1]stuff!$A:$C,3,FALSE)</f>
        <v>50</v>
      </c>
      <c r="T13" s="15"/>
      <c r="U13" s="12"/>
      <c r="V13" s="15"/>
      <c r="W13" s="14"/>
      <c r="X13" s="15"/>
      <c r="Y13" s="12"/>
      <c r="Z13" s="15"/>
      <c r="AA13" s="29"/>
      <c r="AB13">
        <f t="shared" si="2"/>
        <v>300</v>
      </c>
      <c r="AC13">
        <f t="shared" si="3"/>
        <v>500</v>
      </c>
      <c r="AD13">
        <f t="shared" si="4"/>
        <v>1.6666666666666667</v>
      </c>
    </row>
    <row r="14" spans="1:30" x14ac:dyDescent="0.15">
      <c r="A14" s="41">
        <v>41600100</v>
      </c>
      <c r="B14" s="15">
        <v>0</v>
      </c>
      <c r="C14" s="43">
        <v>105010</v>
      </c>
      <c r="D14" s="12" t="s">
        <v>38</v>
      </c>
      <c r="E14" s="12">
        <v>0</v>
      </c>
      <c r="F14" s="15">
        <v>1</v>
      </c>
      <c r="G14" s="15">
        <v>150</v>
      </c>
      <c r="H14" s="14">
        <f>VLOOKUP(I14,[1]stuff!$A:$C,3,FALSE)</f>
        <v>1000</v>
      </c>
      <c r="I14" s="15">
        <v>416001</v>
      </c>
      <c r="J14" s="21" t="s">
        <v>201</v>
      </c>
      <c r="K14" s="26">
        <f t="shared" si="6"/>
        <v>0.81818181818181823</v>
      </c>
      <c r="L14" s="15">
        <f t="shared" si="1"/>
        <v>0.77272727272727271</v>
      </c>
      <c r="M14" s="23">
        <v>1</v>
      </c>
      <c r="N14" s="23">
        <v>0</v>
      </c>
      <c r="O14" s="24"/>
      <c r="P14" s="12">
        <v>604001</v>
      </c>
      <c r="Q14" s="12" t="s">
        <v>40</v>
      </c>
      <c r="R14" s="12">
        <v>200</v>
      </c>
      <c r="S14" s="14">
        <f>VLOOKUP(P14,[1]stuff!$A:$C,3,FALSE)</f>
        <v>2</v>
      </c>
      <c r="T14" s="15">
        <v>603001</v>
      </c>
      <c r="U14" s="15" t="s">
        <v>179</v>
      </c>
      <c r="V14" s="15">
        <v>10</v>
      </c>
      <c r="W14" s="14">
        <f>VLOOKUP(T14,[1]stuff!$A:$C,3,FALSE)</f>
        <v>5</v>
      </c>
      <c r="X14" s="15">
        <v>601001</v>
      </c>
      <c r="Y14" s="12" t="s">
        <v>42</v>
      </c>
      <c r="Z14" s="15">
        <v>20</v>
      </c>
      <c r="AA14" s="14">
        <f>VLOOKUP(X14,[1]stuff!$A:$C,3,FALSE)</f>
        <v>5</v>
      </c>
      <c r="AB14">
        <f t="shared" si="2"/>
        <v>550</v>
      </c>
      <c r="AC14">
        <f t="shared" si="3"/>
        <v>1000</v>
      </c>
      <c r="AD14">
        <f t="shared" si="4"/>
        <v>25</v>
      </c>
    </row>
    <row r="15" spans="1:30" x14ac:dyDescent="0.15">
      <c r="A15" s="41">
        <v>41600200</v>
      </c>
      <c r="B15" s="15">
        <v>0</v>
      </c>
      <c r="C15" s="43">
        <v>105010</v>
      </c>
      <c r="D15" s="12" t="s">
        <v>38</v>
      </c>
      <c r="E15" s="12">
        <v>0</v>
      </c>
      <c r="F15" s="15">
        <v>1</v>
      </c>
      <c r="G15" s="15">
        <v>200</v>
      </c>
      <c r="H15" s="14">
        <f>VLOOKUP(I15,[1]stuff!$A:$C,3,FALSE)</f>
        <v>2000</v>
      </c>
      <c r="I15" s="15">
        <v>416002</v>
      </c>
      <c r="J15" s="21" t="s">
        <v>59</v>
      </c>
      <c r="K15" s="15">
        <f t="shared" si="6"/>
        <v>0.81818181818181823</v>
      </c>
      <c r="L15" s="15">
        <f t="shared" si="1"/>
        <v>0.78787878787878785</v>
      </c>
      <c r="M15" s="23">
        <v>1</v>
      </c>
      <c r="N15" s="23">
        <v>0</v>
      </c>
      <c r="O15" s="24"/>
      <c r="P15" s="12">
        <v>604001</v>
      </c>
      <c r="Q15" s="12" t="s">
        <v>40</v>
      </c>
      <c r="R15" s="12">
        <v>400</v>
      </c>
      <c r="S15" s="14">
        <f>VLOOKUP(P15,[1]stuff!$A:$C,3,FALSE)</f>
        <v>2</v>
      </c>
      <c r="T15" s="15">
        <v>603001</v>
      </c>
      <c r="U15" s="15" t="s">
        <v>179</v>
      </c>
      <c r="V15" s="15">
        <v>30</v>
      </c>
      <c r="W15" s="14">
        <f>VLOOKUP(T15,[1]stuff!$A:$C,3,FALSE)</f>
        <v>5</v>
      </c>
      <c r="X15" s="15">
        <v>601001</v>
      </c>
      <c r="Y15" s="12" t="s">
        <v>42</v>
      </c>
      <c r="Z15" s="15">
        <v>30</v>
      </c>
      <c r="AA15" s="14">
        <f>VLOOKUP(X15,[1]stuff!$A:$C,3,FALSE)</f>
        <v>5</v>
      </c>
      <c r="AB15">
        <f t="shared" si="2"/>
        <v>1100</v>
      </c>
      <c r="AC15">
        <f t="shared" si="3"/>
        <v>2000</v>
      </c>
      <c r="AD15">
        <f t="shared" si="4"/>
        <v>33.333333333333336</v>
      </c>
    </row>
    <row r="16" spans="1:30" x14ac:dyDescent="0.15">
      <c r="A16" s="41">
        <v>42600100</v>
      </c>
      <c r="B16" s="15">
        <v>0</v>
      </c>
      <c r="C16" s="43">
        <v>105010</v>
      </c>
      <c r="D16" s="12" t="s">
        <v>38</v>
      </c>
      <c r="E16" s="12">
        <v>0</v>
      </c>
      <c r="F16" s="15">
        <v>1</v>
      </c>
      <c r="G16" s="15">
        <v>200</v>
      </c>
      <c r="H16" s="14">
        <f>VLOOKUP(I16,[1]stuff!$A:$C,3,FALSE)</f>
        <v>2000</v>
      </c>
      <c r="I16" s="15">
        <v>426001</v>
      </c>
      <c r="J16" s="12" t="s">
        <v>199</v>
      </c>
      <c r="K16" s="15">
        <f t="shared" si="6"/>
        <v>0.33333333333333331</v>
      </c>
      <c r="L16" s="15">
        <f t="shared" si="1"/>
        <v>0.31111111111111112</v>
      </c>
      <c r="M16" s="23">
        <v>1</v>
      </c>
      <c r="N16" s="23">
        <v>0</v>
      </c>
      <c r="O16" s="24"/>
      <c r="P16" s="15">
        <v>612001</v>
      </c>
      <c r="Q16" s="25" t="s">
        <v>53</v>
      </c>
      <c r="R16" s="12">
        <v>1</v>
      </c>
      <c r="S16" s="14">
        <f>VLOOKUP(P16,[1]stuff!$A:$C,3,FALSE)</f>
        <v>500</v>
      </c>
      <c r="T16" s="15">
        <v>608001</v>
      </c>
      <c r="U16" s="15" t="s">
        <v>195</v>
      </c>
      <c r="V16" s="15">
        <v>1</v>
      </c>
      <c r="W16" s="14">
        <f>VLOOKUP(T16,[1]stuff!$A:$C,3,FALSE)</f>
        <v>1000</v>
      </c>
      <c r="X16" s="15"/>
      <c r="Y16" s="12"/>
      <c r="Z16" s="15"/>
      <c r="AA16" s="14"/>
      <c r="AB16">
        <f t="shared" si="2"/>
        <v>1500</v>
      </c>
      <c r="AC16">
        <f t="shared" si="3"/>
        <v>2000</v>
      </c>
      <c r="AD16">
        <f t="shared" si="4"/>
        <v>33.333333333333336</v>
      </c>
    </row>
    <row r="17" spans="1:30" x14ac:dyDescent="0.15">
      <c r="A17" s="41">
        <v>42700100</v>
      </c>
      <c r="B17" s="15">
        <v>0</v>
      </c>
      <c r="C17" s="43">
        <v>105010</v>
      </c>
      <c r="D17" s="12" t="s">
        <v>38</v>
      </c>
      <c r="E17" s="12">
        <v>0</v>
      </c>
      <c r="F17" s="15">
        <v>1</v>
      </c>
      <c r="G17" s="15">
        <v>200</v>
      </c>
      <c r="H17" s="14">
        <f>VLOOKUP(I17,[1]stuff!$A:$C,3,FALSE)</f>
        <v>2500</v>
      </c>
      <c r="I17" s="15">
        <v>427001</v>
      </c>
      <c r="J17" s="12" t="s">
        <v>200</v>
      </c>
      <c r="K17" s="15">
        <f t="shared" si="6"/>
        <v>0.25</v>
      </c>
      <c r="L17" s="15">
        <f t="shared" si="1"/>
        <v>0.23333333333333334</v>
      </c>
      <c r="M17" s="23">
        <v>1</v>
      </c>
      <c r="N17" s="23">
        <v>0</v>
      </c>
      <c r="O17" s="24"/>
      <c r="P17" s="15">
        <v>612002</v>
      </c>
      <c r="Q17" s="25" t="s">
        <v>55</v>
      </c>
      <c r="R17" s="12">
        <v>1</v>
      </c>
      <c r="S17" s="14">
        <f>VLOOKUP(P17,[1]stuff!$A:$C,3,FALSE)</f>
        <v>500</v>
      </c>
      <c r="T17" s="15">
        <v>612003</v>
      </c>
      <c r="U17" s="25" t="s">
        <v>57</v>
      </c>
      <c r="V17" s="15">
        <v>1</v>
      </c>
      <c r="W17" s="14">
        <f>VLOOKUP(T17,[1]stuff!$A:$C,3,FALSE)</f>
        <v>500</v>
      </c>
      <c r="X17" s="15">
        <v>608001</v>
      </c>
      <c r="Y17" s="15" t="s">
        <v>195</v>
      </c>
      <c r="Z17" s="15">
        <v>1</v>
      </c>
      <c r="AA17" s="14">
        <f>VLOOKUP(X17,[1]stuff!$A:$C,3,FALSE)</f>
        <v>1000</v>
      </c>
      <c r="AB17">
        <f t="shared" si="2"/>
        <v>2000</v>
      </c>
      <c r="AC17">
        <f t="shared" si="3"/>
        <v>2500</v>
      </c>
      <c r="AD17">
        <f t="shared" si="4"/>
        <v>33.333333333333336</v>
      </c>
    </row>
    <row r="18" spans="1:30" x14ac:dyDescent="0.15">
      <c r="A18" s="41">
        <v>42300100</v>
      </c>
      <c r="B18" s="15">
        <v>0</v>
      </c>
      <c r="C18" s="43">
        <v>105010</v>
      </c>
      <c r="D18" s="12" t="s">
        <v>38</v>
      </c>
      <c r="E18" s="12">
        <v>1</v>
      </c>
      <c r="F18" s="15">
        <v>1</v>
      </c>
      <c r="G18" s="15">
        <v>30</v>
      </c>
      <c r="H18" s="14">
        <f>VLOOKUP(I18,[1]stuff!$A:$C,3,FALSE)</f>
        <v>500</v>
      </c>
      <c r="I18" s="15">
        <v>423001</v>
      </c>
      <c r="J18" s="12" t="s">
        <v>60</v>
      </c>
      <c r="K18" s="15">
        <f t="shared" ref="K18" si="7">(AC18-AB18)/AB18</f>
        <v>0.1111111111111111</v>
      </c>
      <c r="L18" s="15">
        <f t="shared" si="1"/>
        <v>0.1</v>
      </c>
      <c r="M18" s="23">
        <v>1</v>
      </c>
      <c r="N18" s="23">
        <v>0</v>
      </c>
      <c r="O18" s="24"/>
      <c r="P18" s="12">
        <v>422001</v>
      </c>
      <c r="Q18" s="12" t="s">
        <v>61</v>
      </c>
      <c r="R18" s="12">
        <v>4</v>
      </c>
      <c r="S18" s="14">
        <f>VLOOKUP(P18,[1]stuff!$A:$C,3,FALSE)</f>
        <v>100</v>
      </c>
      <c r="T18" s="15">
        <v>603001</v>
      </c>
      <c r="U18" s="12" t="s">
        <v>179</v>
      </c>
      <c r="V18" s="15">
        <v>10</v>
      </c>
      <c r="W18" s="14">
        <f>VLOOKUP(T18,[1]stuff!$A:$C,3,FALSE)</f>
        <v>5</v>
      </c>
      <c r="X18" s="15"/>
      <c r="Y18" s="12"/>
      <c r="Z18" s="15"/>
      <c r="AA18" s="14"/>
      <c r="AB18">
        <f t="shared" si="2"/>
        <v>450</v>
      </c>
      <c r="AC18">
        <f t="shared" si="3"/>
        <v>500</v>
      </c>
      <c r="AD18">
        <f t="shared" si="4"/>
        <v>5</v>
      </c>
    </row>
    <row r="19" spans="1:30" x14ac:dyDescent="0.15">
      <c r="A19" s="41">
        <v>42300200</v>
      </c>
      <c r="B19" s="15">
        <v>0</v>
      </c>
      <c r="C19" s="43">
        <v>105010</v>
      </c>
      <c r="D19" s="12" t="s">
        <v>38</v>
      </c>
      <c r="E19" s="12">
        <v>1</v>
      </c>
      <c r="F19" s="15">
        <v>1</v>
      </c>
      <c r="G19" s="15">
        <v>40</v>
      </c>
      <c r="H19" s="14">
        <f>VLOOKUP(I19,[1]stuff!$A:$C,3,FALSE)</f>
        <v>500</v>
      </c>
      <c r="I19" s="15">
        <v>423002</v>
      </c>
      <c r="J19" s="12" t="s">
        <v>214</v>
      </c>
      <c r="K19" s="15">
        <f t="shared" ref="K19" si="8">(AC19-AB19)/AB19</f>
        <v>0.1111111111111111</v>
      </c>
      <c r="L19" s="15">
        <f t="shared" si="1"/>
        <v>9.6296296296296297E-2</v>
      </c>
      <c r="M19" s="23">
        <v>1</v>
      </c>
      <c r="N19" s="23">
        <v>0</v>
      </c>
      <c r="O19" s="24"/>
      <c r="P19" s="12">
        <v>422001</v>
      </c>
      <c r="Q19" s="12" t="s">
        <v>61</v>
      </c>
      <c r="R19" s="12">
        <v>2</v>
      </c>
      <c r="S19" s="14">
        <f>VLOOKUP(P19,[1]stuff!$A:$C,3,FALSE)</f>
        <v>100</v>
      </c>
      <c r="T19" s="15">
        <v>603001</v>
      </c>
      <c r="U19" s="12" t="s">
        <v>179</v>
      </c>
      <c r="V19" s="15">
        <v>50</v>
      </c>
      <c r="W19" s="14">
        <f>VLOOKUP(T19,[1]stuff!$A:$C,3,FALSE)</f>
        <v>5</v>
      </c>
      <c r="X19" s="15"/>
      <c r="Y19" s="12"/>
      <c r="Z19" s="15"/>
      <c r="AA19" s="14"/>
      <c r="AB19">
        <f t="shared" si="2"/>
        <v>450</v>
      </c>
      <c r="AC19">
        <f t="shared" si="3"/>
        <v>500</v>
      </c>
      <c r="AD19">
        <f t="shared" si="4"/>
        <v>6.666666666666667</v>
      </c>
    </row>
    <row r="20" spans="1:30" x14ac:dyDescent="0.15">
      <c r="A20" s="41">
        <v>42300300</v>
      </c>
      <c r="B20" s="15">
        <v>0</v>
      </c>
      <c r="C20" s="43">
        <v>105010</v>
      </c>
      <c r="D20" s="12" t="s">
        <v>38</v>
      </c>
      <c r="E20" s="12">
        <v>1</v>
      </c>
      <c r="F20" s="15">
        <v>1</v>
      </c>
      <c r="G20" s="15">
        <v>50</v>
      </c>
      <c r="H20" s="14">
        <f>VLOOKUP(I20,[1]stuff!$A:$C,3,FALSE)</f>
        <v>5000</v>
      </c>
      <c r="I20" s="15">
        <v>423003</v>
      </c>
      <c r="J20" s="12" t="s">
        <v>62</v>
      </c>
      <c r="K20" s="15">
        <f t="shared" ref="K20" si="9">(AC20-AB20)/AB20</f>
        <v>0.42857142857142855</v>
      </c>
      <c r="L20" s="15">
        <f t="shared" si="1"/>
        <v>0.42619047619047623</v>
      </c>
      <c r="M20" s="23">
        <v>1</v>
      </c>
      <c r="N20" s="23">
        <v>0</v>
      </c>
      <c r="O20" s="24"/>
      <c r="P20" s="12">
        <v>422001</v>
      </c>
      <c r="Q20" s="12" t="s">
        <v>61</v>
      </c>
      <c r="R20" s="12">
        <v>30</v>
      </c>
      <c r="S20" s="14">
        <f>VLOOKUP(P20,[1]stuff!$A:$C,3,FALSE)</f>
        <v>100</v>
      </c>
      <c r="T20" s="15">
        <v>603001</v>
      </c>
      <c r="U20" s="12" t="s">
        <v>179</v>
      </c>
      <c r="V20" s="15">
        <v>100</v>
      </c>
      <c r="W20" s="14">
        <f>VLOOKUP(T20,[1]stuff!$A:$C,3,FALSE)</f>
        <v>5</v>
      </c>
      <c r="X20" s="15"/>
      <c r="Y20" s="12"/>
      <c r="Z20" s="15"/>
      <c r="AA20" s="14"/>
      <c r="AB20">
        <f t="shared" si="2"/>
        <v>3500</v>
      </c>
      <c r="AC20">
        <f t="shared" si="3"/>
        <v>5000</v>
      </c>
      <c r="AD20">
        <f t="shared" si="4"/>
        <v>8.3333333333333339</v>
      </c>
    </row>
    <row r="21" spans="1:30" x14ac:dyDescent="0.15">
      <c r="A21" s="41">
        <v>42800100</v>
      </c>
      <c r="B21" s="15">
        <v>0</v>
      </c>
      <c r="C21" s="43">
        <v>105010</v>
      </c>
      <c r="D21" s="12" t="s">
        <v>38</v>
      </c>
      <c r="E21" s="12">
        <v>1</v>
      </c>
      <c r="F21" s="15">
        <v>1</v>
      </c>
      <c r="G21" s="15">
        <v>5</v>
      </c>
      <c r="H21" s="14">
        <f>VLOOKUP(I21,[1]stuff!$A:$C,3,FALSE)</f>
        <v>70</v>
      </c>
      <c r="I21" s="15">
        <v>428001</v>
      </c>
      <c r="J21" s="12" t="s">
        <v>238</v>
      </c>
      <c r="K21" s="15">
        <f t="shared" ref="K21" si="10">(AC21-AB21)/AB21</f>
        <v>0.36585365853658536</v>
      </c>
      <c r="L21" s="15">
        <f t="shared" si="1"/>
        <v>0.36504065040650407</v>
      </c>
      <c r="M21" s="23">
        <v>20</v>
      </c>
      <c r="N21" s="23">
        <v>0</v>
      </c>
      <c r="O21" s="24"/>
      <c r="P21" s="12">
        <v>422001</v>
      </c>
      <c r="Q21" s="12" t="s">
        <v>61</v>
      </c>
      <c r="R21" s="12">
        <v>10</v>
      </c>
      <c r="S21" s="14">
        <f>VLOOKUP(P21,[1]stuff!$A:$C,3,FALSE)</f>
        <v>100</v>
      </c>
      <c r="T21" s="15">
        <v>603001</v>
      </c>
      <c r="U21" s="12" t="s">
        <v>179</v>
      </c>
      <c r="V21" s="15">
        <v>5</v>
      </c>
      <c r="W21" s="14">
        <f>VLOOKUP(T21,[1]stuff!$A:$C,3,FALSE)</f>
        <v>5</v>
      </c>
      <c r="X21" s="15"/>
      <c r="Y21" s="12"/>
      <c r="Z21" s="15"/>
      <c r="AA21" s="14"/>
      <c r="AB21">
        <f t="shared" ref="AB21" si="11">R21*S21+V21*W21+Z21*AA21</f>
        <v>1025</v>
      </c>
      <c r="AC21">
        <f t="shared" ref="AC21" si="12">H21*M21</f>
        <v>1400</v>
      </c>
      <c r="AD21">
        <f t="shared" si="4"/>
        <v>0.83333333333333337</v>
      </c>
    </row>
    <row r="22" spans="1:30" x14ac:dyDescent="0.15">
      <c r="A22" s="41">
        <f>I22*100</f>
        <v>41300100</v>
      </c>
      <c r="B22" s="15">
        <v>0</v>
      </c>
      <c r="C22" s="43">
        <v>105010</v>
      </c>
      <c r="D22" s="12" t="s">
        <v>38</v>
      </c>
      <c r="E22" s="12">
        <v>0</v>
      </c>
      <c r="F22" s="15">
        <v>1</v>
      </c>
      <c r="G22" s="15">
        <v>5</v>
      </c>
      <c r="H22" s="14">
        <f>VLOOKUP(I22,[1]stuff!$A:$C,3,FALSE)</f>
        <v>10</v>
      </c>
      <c r="I22" s="15">
        <v>413001</v>
      </c>
      <c r="J22" s="27" t="s">
        <v>63</v>
      </c>
      <c r="K22" s="26">
        <f t="shared" si="0"/>
        <v>0.42857142857142855</v>
      </c>
      <c r="L22" s="15">
        <f t="shared" si="1"/>
        <v>0.30952380952380948</v>
      </c>
      <c r="M22" s="23">
        <v>1</v>
      </c>
      <c r="N22" s="23">
        <v>0</v>
      </c>
      <c r="O22" s="24"/>
      <c r="P22" s="12">
        <v>604001</v>
      </c>
      <c r="Q22" s="12" t="s">
        <v>40</v>
      </c>
      <c r="R22" s="12">
        <v>1</v>
      </c>
      <c r="S22" s="14">
        <f>VLOOKUP(P22,[1]stuff!$A:$C,3,FALSE)</f>
        <v>2</v>
      </c>
      <c r="T22" s="15">
        <v>603001</v>
      </c>
      <c r="U22" s="12" t="s">
        <v>179</v>
      </c>
      <c r="V22" s="15">
        <v>1</v>
      </c>
      <c r="W22" s="14">
        <f>VLOOKUP(T22,[1]stuff!$A:$C,3,FALSE)</f>
        <v>5</v>
      </c>
      <c r="X22" s="15"/>
      <c r="Y22" s="12"/>
      <c r="Z22" s="15"/>
      <c r="AA22" s="29"/>
      <c r="AB22">
        <f t="shared" si="2"/>
        <v>7</v>
      </c>
      <c r="AC22">
        <f t="shared" si="3"/>
        <v>10</v>
      </c>
      <c r="AD22">
        <f t="shared" si="4"/>
        <v>0.83333333333333337</v>
      </c>
    </row>
    <row r="23" spans="1:30" x14ac:dyDescent="0.15">
      <c r="A23" s="41">
        <f t="shared" ref="A23:A48" si="13">I23*100</f>
        <v>41300200</v>
      </c>
      <c r="B23" s="15">
        <v>0</v>
      </c>
      <c r="C23" s="43">
        <v>105010</v>
      </c>
      <c r="D23" s="12" t="s">
        <v>38</v>
      </c>
      <c r="E23" s="12">
        <v>1</v>
      </c>
      <c r="F23" s="15">
        <v>1</v>
      </c>
      <c r="G23" s="15">
        <v>6</v>
      </c>
      <c r="H23" s="14">
        <f>VLOOKUP(I23,[1]stuff!$A:$C,3,FALSE)</f>
        <v>50</v>
      </c>
      <c r="I23" s="15">
        <v>413002</v>
      </c>
      <c r="J23" s="27" t="s">
        <v>64</v>
      </c>
      <c r="K23" s="26">
        <f t="shared" si="0"/>
        <v>0.3888888888888889</v>
      </c>
      <c r="L23" s="15">
        <f t="shared" si="1"/>
        <v>0.3611111111111111</v>
      </c>
      <c r="M23" s="23">
        <v>1</v>
      </c>
      <c r="N23" s="23">
        <v>0</v>
      </c>
      <c r="O23" s="24"/>
      <c r="P23" s="12">
        <v>604001</v>
      </c>
      <c r="Q23" s="12" t="s">
        <v>40</v>
      </c>
      <c r="R23" s="12">
        <v>3</v>
      </c>
      <c r="S23" s="14">
        <f>VLOOKUP(P23,[1]stuff!$A:$C,3,FALSE)</f>
        <v>2</v>
      </c>
      <c r="T23" s="15">
        <v>603001</v>
      </c>
      <c r="U23" s="12" t="s">
        <v>179</v>
      </c>
      <c r="V23" s="15">
        <v>5</v>
      </c>
      <c r="W23" s="14">
        <f>VLOOKUP(T23,[1]stuff!$A:$C,3,FALSE)</f>
        <v>5</v>
      </c>
      <c r="X23" s="15">
        <v>601001</v>
      </c>
      <c r="Y23" s="12" t="s">
        <v>42</v>
      </c>
      <c r="Z23" s="15">
        <v>1</v>
      </c>
      <c r="AA23" s="14">
        <f>VLOOKUP(X23,[1]stuff!$A:$C,3,FALSE)</f>
        <v>5</v>
      </c>
      <c r="AB23">
        <f t="shared" si="2"/>
        <v>36</v>
      </c>
      <c r="AC23">
        <f t="shared" si="3"/>
        <v>50</v>
      </c>
      <c r="AD23">
        <f t="shared" si="4"/>
        <v>1</v>
      </c>
    </row>
    <row r="24" spans="1:30" x14ac:dyDescent="0.15">
      <c r="A24" s="41">
        <f t="shared" si="13"/>
        <v>41300300</v>
      </c>
      <c r="B24" s="15">
        <v>0</v>
      </c>
      <c r="C24" s="43">
        <v>105010</v>
      </c>
      <c r="D24" s="12" t="s">
        <v>38</v>
      </c>
      <c r="E24" s="12">
        <v>1</v>
      </c>
      <c r="F24" s="15">
        <v>1</v>
      </c>
      <c r="G24" s="15">
        <v>8</v>
      </c>
      <c r="H24" s="14">
        <f>VLOOKUP(I24,[1]stuff!$A:$C,3,FALSE)</f>
        <v>150</v>
      </c>
      <c r="I24" s="15">
        <v>413003</v>
      </c>
      <c r="J24" s="27" t="s">
        <v>65</v>
      </c>
      <c r="K24" s="26">
        <f t="shared" si="0"/>
        <v>0.3392857142857143</v>
      </c>
      <c r="L24" s="15">
        <f t="shared" si="1"/>
        <v>0.32738095238095238</v>
      </c>
      <c r="M24" s="23">
        <v>1</v>
      </c>
      <c r="N24" s="23">
        <v>0</v>
      </c>
      <c r="O24" s="24"/>
      <c r="P24" s="12">
        <v>604001</v>
      </c>
      <c r="Q24" s="12" t="s">
        <v>40</v>
      </c>
      <c r="R24" s="15">
        <v>6</v>
      </c>
      <c r="S24" s="14">
        <f>VLOOKUP(P24,[1]stuff!$A:$C,3,FALSE)</f>
        <v>2</v>
      </c>
      <c r="T24" s="15">
        <v>603001</v>
      </c>
      <c r="U24" s="12" t="s">
        <v>179</v>
      </c>
      <c r="V24" s="15">
        <v>16</v>
      </c>
      <c r="W24" s="14">
        <f>VLOOKUP(T24,[1]stuff!$A:$C,3,FALSE)</f>
        <v>5</v>
      </c>
      <c r="X24" s="15">
        <v>601001</v>
      </c>
      <c r="Y24" s="12" t="s">
        <v>42</v>
      </c>
      <c r="Z24" s="15">
        <v>4</v>
      </c>
      <c r="AA24" s="14">
        <f>VLOOKUP(X24,[1]stuff!$A:$C,3,FALSE)</f>
        <v>5</v>
      </c>
      <c r="AB24">
        <f t="shared" si="2"/>
        <v>112</v>
      </c>
      <c r="AC24">
        <f t="shared" si="3"/>
        <v>150</v>
      </c>
      <c r="AD24">
        <f t="shared" si="4"/>
        <v>1.3333333333333333</v>
      </c>
    </row>
    <row r="25" spans="1:30" x14ac:dyDescent="0.15">
      <c r="A25" s="41">
        <f t="shared" si="13"/>
        <v>41300400</v>
      </c>
      <c r="B25" s="15">
        <v>0</v>
      </c>
      <c r="C25" s="43">
        <v>105010</v>
      </c>
      <c r="D25" s="12" t="s">
        <v>38</v>
      </c>
      <c r="E25" s="12">
        <v>1</v>
      </c>
      <c r="F25" s="15">
        <v>1</v>
      </c>
      <c r="G25" s="15">
        <v>10</v>
      </c>
      <c r="H25" s="14">
        <f>VLOOKUP(I25,[1]stuff!$A:$C,3,FALSE)</f>
        <v>400</v>
      </c>
      <c r="I25" s="15">
        <v>413004</v>
      </c>
      <c r="J25" s="27" t="s">
        <v>66</v>
      </c>
      <c r="K25" s="26">
        <f t="shared" si="0"/>
        <v>0.31147540983606559</v>
      </c>
      <c r="L25" s="15">
        <f t="shared" si="1"/>
        <v>0.30601092896174864</v>
      </c>
      <c r="M25" s="23">
        <v>1</v>
      </c>
      <c r="N25" s="23">
        <v>0</v>
      </c>
      <c r="O25" s="24"/>
      <c r="P25" s="12">
        <v>604001</v>
      </c>
      <c r="Q25" s="12" t="s">
        <v>40</v>
      </c>
      <c r="R25" s="15">
        <v>15</v>
      </c>
      <c r="S25" s="14">
        <f>VLOOKUP(P25,[1]stuff!$A:$C,3,FALSE)</f>
        <v>2</v>
      </c>
      <c r="T25" s="15">
        <v>603001</v>
      </c>
      <c r="U25" s="12" t="s">
        <v>179</v>
      </c>
      <c r="V25" s="15">
        <v>40</v>
      </c>
      <c r="W25" s="14">
        <f>VLOOKUP(T25,[1]stuff!$A:$C,3,FALSE)</f>
        <v>5</v>
      </c>
      <c r="X25" s="15">
        <v>601001</v>
      </c>
      <c r="Y25" s="12" t="s">
        <v>42</v>
      </c>
      <c r="Z25" s="15">
        <v>15</v>
      </c>
      <c r="AA25" s="14">
        <f>VLOOKUP(X25,[1]stuff!$A:$C,3,FALSE)</f>
        <v>5</v>
      </c>
      <c r="AB25">
        <f t="shared" si="2"/>
        <v>305</v>
      </c>
      <c r="AC25">
        <f t="shared" si="3"/>
        <v>400</v>
      </c>
      <c r="AD25">
        <f t="shared" si="4"/>
        <v>1.6666666666666667</v>
      </c>
    </row>
    <row r="26" spans="1:30" x14ac:dyDescent="0.15">
      <c r="A26" s="41">
        <f t="shared" si="13"/>
        <v>41300500</v>
      </c>
      <c r="B26" s="15">
        <v>0</v>
      </c>
      <c r="C26" s="43">
        <v>105010</v>
      </c>
      <c r="D26" s="12" t="s">
        <v>38</v>
      </c>
      <c r="E26" s="12">
        <v>1</v>
      </c>
      <c r="F26" s="15">
        <v>1</v>
      </c>
      <c r="G26" s="15">
        <v>10</v>
      </c>
      <c r="H26" s="14">
        <f>VLOOKUP(I26,[1]stuff!$A:$C,3,FALSE)</f>
        <v>2000</v>
      </c>
      <c r="I26" s="15">
        <v>413005</v>
      </c>
      <c r="J26" s="27" t="s">
        <v>67</v>
      </c>
      <c r="K26" s="26">
        <f t="shared" si="0"/>
        <v>0.25</v>
      </c>
      <c r="L26" s="15">
        <f t="shared" si="1"/>
        <v>0.24895833333333331</v>
      </c>
      <c r="M26" s="23">
        <v>1</v>
      </c>
      <c r="N26" s="23">
        <v>0</v>
      </c>
      <c r="O26" s="24"/>
      <c r="P26" s="15">
        <v>413004</v>
      </c>
      <c r="Q26" s="27" t="s">
        <v>66</v>
      </c>
      <c r="R26" s="15">
        <v>1</v>
      </c>
      <c r="S26" s="14">
        <f>VLOOKUP(P26,[1]stuff!$A:$C,3,FALSE)</f>
        <v>400</v>
      </c>
      <c r="T26" s="15">
        <v>612001</v>
      </c>
      <c r="U26" s="12" t="s">
        <v>53</v>
      </c>
      <c r="V26" s="15">
        <v>2</v>
      </c>
      <c r="W26" s="14">
        <f>VLOOKUP(T26,[1]stuff!$A:$C,3,FALSE)</f>
        <v>500</v>
      </c>
      <c r="X26" s="15">
        <v>603003</v>
      </c>
      <c r="Y26" s="15" t="s">
        <v>181</v>
      </c>
      <c r="Z26" s="15">
        <v>2</v>
      </c>
      <c r="AA26" s="14">
        <f>VLOOKUP(X26,[1]stuff!$A:$C,3,FALSE)</f>
        <v>100</v>
      </c>
      <c r="AB26">
        <f t="shared" si="2"/>
        <v>1600</v>
      </c>
      <c r="AC26">
        <f t="shared" si="3"/>
        <v>2000</v>
      </c>
      <c r="AD26">
        <f t="shared" si="4"/>
        <v>1.6666666666666667</v>
      </c>
    </row>
    <row r="27" spans="1:30" x14ac:dyDescent="0.15">
      <c r="A27" s="41">
        <f t="shared" si="13"/>
        <v>41300600</v>
      </c>
      <c r="B27" s="15">
        <v>0</v>
      </c>
      <c r="C27" s="43">
        <v>105010</v>
      </c>
      <c r="D27" s="12" t="s">
        <v>38</v>
      </c>
      <c r="E27" s="12">
        <v>1</v>
      </c>
      <c r="F27" s="15">
        <v>1</v>
      </c>
      <c r="G27" s="15">
        <v>15</v>
      </c>
      <c r="H27" s="14">
        <f>VLOOKUP(I27,[1]stuff!$A:$C,3,FALSE)</f>
        <v>4500</v>
      </c>
      <c r="I27" s="15">
        <v>413006</v>
      </c>
      <c r="J27" s="27" t="s">
        <v>69</v>
      </c>
      <c r="K27" s="26">
        <f t="shared" si="0"/>
        <v>0.3235294117647059</v>
      </c>
      <c r="L27" s="15">
        <f t="shared" si="1"/>
        <v>0.32279411764705884</v>
      </c>
      <c r="M27" s="23">
        <v>1</v>
      </c>
      <c r="N27" s="23">
        <v>0</v>
      </c>
      <c r="O27" s="24"/>
      <c r="P27" s="15">
        <v>413004</v>
      </c>
      <c r="Q27" s="27" t="s">
        <v>66</v>
      </c>
      <c r="R27" s="15">
        <v>1</v>
      </c>
      <c r="S27" s="14">
        <f>VLOOKUP(P27,[1]stuff!$A:$C,3,FALSE)</f>
        <v>400</v>
      </c>
      <c r="T27" s="15">
        <v>612001</v>
      </c>
      <c r="U27" s="12" t="s">
        <v>53</v>
      </c>
      <c r="V27" s="15">
        <v>5</v>
      </c>
      <c r="W27" s="14">
        <f>VLOOKUP(T27,[1]stuff!$A:$C,3,FALSE)</f>
        <v>500</v>
      </c>
      <c r="X27" s="15">
        <v>603003</v>
      </c>
      <c r="Y27" s="15" t="s">
        <v>193</v>
      </c>
      <c r="Z27" s="15">
        <v>5</v>
      </c>
      <c r="AA27" s="14">
        <f>VLOOKUP(X27,[1]stuff!$A:$C,3,FALSE)</f>
        <v>100</v>
      </c>
      <c r="AB27">
        <f t="shared" si="2"/>
        <v>3400</v>
      </c>
      <c r="AC27">
        <f t="shared" si="3"/>
        <v>4500</v>
      </c>
      <c r="AD27">
        <f t="shared" si="4"/>
        <v>2.5</v>
      </c>
    </row>
    <row r="28" spans="1:30" x14ac:dyDescent="0.15">
      <c r="A28" s="41">
        <f t="shared" si="13"/>
        <v>41300700</v>
      </c>
      <c r="B28" s="15">
        <v>0</v>
      </c>
      <c r="C28" s="43">
        <v>105010</v>
      </c>
      <c r="D28" s="12" t="s">
        <v>38</v>
      </c>
      <c r="E28" s="12">
        <v>1</v>
      </c>
      <c r="F28" s="15">
        <v>1</v>
      </c>
      <c r="G28" s="15">
        <v>30</v>
      </c>
      <c r="H28" s="14">
        <f>VLOOKUP(I28,[1]stuff!$A:$C,3,FALSE)</f>
        <v>15000</v>
      </c>
      <c r="I28" s="15">
        <v>413007</v>
      </c>
      <c r="J28" s="27" t="s">
        <v>70</v>
      </c>
      <c r="K28" s="26">
        <f t="shared" si="0"/>
        <v>0.26050420168067229</v>
      </c>
      <c r="L28" s="15">
        <f t="shared" si="1"/>
        <v>0.2600840336134454</v>
      </c>
      <c r="M28" s="23">
        <v>1</v>
      </c>
      <c r="N28" s="23">
        <v>0</v>
      </c>
      <c r="O28" s="24"/>
      <c r="P28" s="15">
        <v>413004</v>
      </c>
      <c r="Q28" s="27" t="s">
        <v>66</v>
      </c>
      <c r="R28" s="15">
        <v>1</v>
      </c>
      <c r="S28" s="14">
        <f>VLOOKUP(P28,[1]stuff!$A:$C,3,FALSE)</f>
        <v>400</v>
      </c>
      <c r="T28" s="15">
        <v>612001</v>
      </c>
      <c r="U28" s="12" t="s">
        <v>53</v>
      </c>
      <c r="V28" s="15">
        <v>20</v>
      </c>
      <c r="W28" s="14">
        <f>VLOOKUP(T28,[1]stuff!$A:$C,3,FALSE)</f>
        <v>500</v>
      </c>
      <c r="X28" s="15">
        <v>603003</v>
      </c>
      <c r="Y28" s="15" t="s">
        <v>181</v>
      </c>
      <c r="Z28" s="15">
        <v>15</v>
      </c>
      <c r="AA28" s="14">
        <f>VLOOKUP(X28,[1]stuff!$A:$C,3,FALSE)</f>
        <v>100</v>
      </c>
      <c r="AB28">
        <f t="shared" si="2"/>
        <v>11900</v>
      </c>
      <c r="AC28">
        <f t="shared" si="3"/>
        <v>15000</v>
      </c>
      <c r="AD28">
        <f t="shared" si="4"/>
        <v>5</v>
      </c>
    </row>
    <row r="29" spans="1:30" x14ac:dyDescent="0.15">
      <c r="A29" s="41">
        <f t="shared" si="13"/>
        <v>41300800</v>
      </c>
      <c r="B29" s="15">
        <v>0</v>
      </c>
      <c r="C29" s="43">
        <v>105010</v>
      </c>
      <c r="D29" s="12" t="s">
        <v>38</v>
      </c>
      <c r="E29" s="12">
        <v>1</v>
      </c>
      <c r="F29" s="15">
        <v>1</v>
      </c>
      <c r="G29" s="15">
        <v>60</v>
      </c>
      <c r="H29" s="14">
        <f>VLOOKUP(I29,[1]stuff!$A:$C,3,FALSE)</f>
        <v>40000</v>
      </c>
      <c r="I29" s="15">
        <v>413008</v>
      </c>
      <c r="J29" s="27" t="s">
        <v>71</v>
      </c>
      <c r="K29" s="26">
        <f t="shared" si="0"/>
        <v>0.36054421768707484</v>
      </c>
      <c r="L29" s="15">
        <f t="shared" si="1"/>
        <v>0.36020408163265305</v>
      </c>
      <c r="M29" s="23">
        <v>1</v>
      </c>
      <c r="N29" s="23">
        <v>0</v>
      </c>
      <c r="O29" s="24"/>
      <c r="P29" s="15">
        <v>413004</v>
      </c>
      <c r="Q29" s="27" t="s">
        <v>66</v>
      </c>
      <c r="R29" s="15">
        <v>1</v>
      </c>
      <c r="S29" s="14">
        <f>VLOOKUP(P29,[1]stuff!$A:$C,3,FALSE)</f>
        <v>400</v>
      </c>
      <c r="T29" s="15">
        <v>612001</v>
      </c>
      <c r="U29" s="12" t="s">
        <v>53</v>
      </c>
      <c r="V29" s="15">
        <v>50</v>
      </c>
      <c r="W29" s="14">
        <f>VLOOKUP(T29,[1]stuff!$A:$C,3,FALSE)</f>
        <v>500</v>
      </c>
      <c r="X29" s="15">
        <v>603003</v>
      </c>
      <c r="Y29" s="15" t="s">
        <v>181</v>
      </c>
      <c r="Z29" s="15">
        <v>40</v>
      </c>
      <c r="AA29" s="14">
        <f>VLOOKUP(X29,[1]stuff!$A:$C,3,FALSE)</f>
        <v>100</v>
      </c>
      <c r="AB29">
        <f t="shared" si="2"/>
        <v>29400</v>
      </c>
      <c r="AC29">
        <f t="shared" si="3"/>
        <v>40000</v>
      </c>
      <c r="AD29">
        <f t="shared" si="4"/>
        <v>10</v>
      </c>
    </row>
    <row r="30" spans="1:30" x14ac:dyDescent="0.15">
      <c r="A30" s="41">
        <f t="shared" si="13"/>
        <v>41300900</v>
      </c>
      <c r="B30" s="15">
        <v>0</v>
      </c>
      <c r="C30" s="43">
        <v>105010</v>
      </c>
      <c r="D30" s="12" t="s">
        <v>38</v>
      </c>
      <c r="E30" s="12">
        <v>1</v>
      </c>
      <c r="F30" s="15">
        <v>1</v>
      </c>
      <c r="G30" s="15">
        <v>90</v>
      </c>
      <c r="H30" s="14">
        <f>VLOOKUP(I30,[1]stuff!$A:$C,3,FALSE)</f>
        <v>88888</v>
      </c>
      <c r="I30" s="15">
        <v>413009</v>
      </c>
      <c r="J30" s="27" t="s">
        <v>72</v>
      </c>
      <c r="K30" s="26">
        <f t="shared" si="0"/>
        <v>0.47165562913907283</v>
      </c>
      <c r="L30" s="15">
        <f t="shared" si="1"/>
        <v>0.47140728476821192</v>
      </c>
      <c r="M30" s="23">
        <v>1</v>
      </c>
      <c r="N30" s="23">
        <v>0</v>
      </c>
      <c r="O30" s="24"/>
      <c r="P30" s="15">
        <v>413004</v>
      </c>
      <c r="Q30" s="27" t="s">
        <v>66</v>
      </c>
      <c r="R30" s="15">
        <v>1</v>
      </c>
      <c r="S30" s="14">
        <f>VLOOKUP(P30,[1]stuff!$A:$C,3,FALSE)</f>
        <v>400</v>
      </c>
      <c r="T30" s="15">
        <v>612001</v>
      </c>
      <c r="U30" s="12" t="s">
        <v>53</v>
      </c>
      <c r="V30" s="15">
        <v>100</v>
      </c>
      <c r="W30" s="14">
        <f>VLOOKUP(T30,[1]stuff!$A:$C,3,FALSE)</f>
        <v>500</v>
      </c>
      <c r="X30" s="15">
        <v>603003</v>
      </c>
      <c r="Y30" s="15" t="s">
        <v>181</v>
      </c>
      <c r="Z30" s="15">
        <v>100</v>
      </c>
      <c r="AA30" s="14">
        <f>VLOOKUP(X30,[1]stuff!$A:$C,3,FALSE)</f>
        <v>100</v>
      </c>
      <c r="AB30">
        <f t="shared" si="2"/>
        <v>60400</v>
      </c>
      <c r="AC30">
        <f t="shared" si="3"/>
        <v>88888</v>
      </c>
      <c r="AD30">
        <f t="shared" si="4"/>
        <v>15</v>
      </c>
    </row>
    <row r="31" spans="1:30" x14ac:dyDescent="0.15">
      <c r="A31" s="41">
        <f t="shared" si="13"/>
        <v>41400100</v>
      </c>
      <c r="B31" s="15">
        <v>0</v>
      </c>
      <c r="C31" s="43">
        <v>105010</v>
      </c>
      <c r="D31" s="12" t="s">
        <v>38</v>
      </c>
      <c r="E31" s="12">
        <v>0</v>
      </c>
      <c r="F31" s="15">
        <v>1</v>
      </c>
      <c r="G31" s="15">
        <v>5</v>
      </c>
      <c r="H31" s="14">
        <f>VLOOKUP(I31,[1]stuff!$A:$C,3,FALSE)</f>
        <v>10</v>
      </c>
      <c r="I31" s="15">
        <v>414001</v>
      </c>
      <c r="J31" s="27" t="s">
        <v>73</v>
      </c>
      <c r="K31" s="26">
        <f t="shared" si="0"/>
        <v>0</v>
      </c>
      <c r="L31" s="15">
        <f t="shared" si="1"/>
        <v>-8.3333333333333343E-2</v>
      </c>
      <c r="M31" s="23">
        <v>1</v>
      </c>
      <c r="N31" s="23">
        <v>0</v>
      </c>
      <c r="O31" s="24"/>
      <c r="P31" s="12"/>
      <c r="Q31" s="12"/>
      <c r="R31" s="15"/>
      <c r="S31" s="14"/>
      <c r="T31" s="15">
        <v>603001</v>
      </c>
      <c r="U31" s="12" t="s">
        <v>179</v>
      </c>
      <c r="V31" s="15">
        <v>2</v>
      </c>
      <c r="W31" s="14">
        <f>VLOOKUP(T31,[1]stuff!$A:$C,3,FALSE)</f>
        <v>5</v>
      </c>
      <c r="X31" s="12">
        <v>604001</v>
      </c>
      <c r="Y31" s="12" t="s">
        <v>40</v>
      </c>
      <c r="Z31" s="12">
        <v>3</v>
      </c>
      <c r="AA31" s="29"/>
      <c r="AB31">
        <f t="shared" si="2"/>
        <v>10</v>
      </c>
      <c r="AC31">
        <f t="shared" si="3"/>
        <v>10</v>
      </c>
      <c r="AD31">
        <f t="shared" si="4"/>
        <v>0.83333333333333337</v>
      </c>
    </row>
    <row r="32" spans="1:30" x14ac:dyDescent="0.15">
      <c r="A32" s="41">
        <f t="shared" si="13"/>
        <v>41400200</v>
      </c>
      <c r="B32" s="15">
        <v>0</v>
      </c>
      <c r="C32" s="43">
        <v>105010</v>
      </c>
      <c r="D32" s="12" t="s">
        <v>38</v>
      </c>
      <c r="E32" s="12">
        <v>1</v>
      </c>
      <c r="F32" s="15">
        <v>1</v>
      </c>
      <c r="G32" s="15">
        <v>6</v>
      </c>
      <c r="H32" s="14">
        <f>VLOOKUP(I32,[1]stuff!$A:$C,3,FALSE)</f>
        <v>50</v>
      </c>
      <c r="I32" s="15">
        <v>414002</v>
      </c>
      <c r="J32" s="27" t="s">
        <v>74</v>
      </c>
      <c r="K32" s="26">
        <f t="shared" si="0"/>
        <v>0.25</v>
      </c>
      <c r="L32" s="15">
        <f t="shared" si="1"/>
        <v>0.22500000000000001</v>
      </c>
      <c r="M32" s="23">
        <v>1</v>
      </c>
      <c r="N32" s="23">
        <v>0</v>
      </c>
      <c r="O32" s="24"/>
      <c r="P32" s="12">
        <v>604001</v>
      </c>
      <c r="Q32" s="12" t="s">
        <v>40</v>
      </c>
      <c r="R32" s="12">
        <v>6</v>
      </c>
      <c r="S32" s="14">
        <f>VLOOKUP(P32,[1]stuff!$A:$C,3,FALSE)</f>
        <v>2</v>
      </c>
      <c r="T32" s="15">
        <v>603001</v>
      </c>
      <c r="U32" s="12" t="s">
        <v>179</v>
      </c>
      <c r="V32" s="15">
        <v>5</v>
      </c>
      <c r="W32" s="14">
        <f>VLOOKUP(T32,[1]stuff!$A:$C,3,FALSE)</f>
        <v>5</v>
      </c>
      <c r="X32" s="15">
        <v>606001</v>
      </c>
      <c r="Y32" s="12" t="s">
        <v>47</v>
      </c>
      <c r="Z32" s="15">
        <v>1</v>
      </c>
      <c r="AA32" s="14">
        <f>VLOOKUP(X32,[1]stuff!$A:$C,3,FALSE)</f>
        <v>3</v>
      </c>
      <c r="AB32">
        <f t="shared" si="2"/>
        <v>40</v>
      </c>
      <c r="AC32">
        <f t="shared" si="3"/>
        <v>50</v>
      </c>
      <c r="AD32">
        <f t="shared" si="4"/>
        <v>1</v>
      </c>
    </row>
    <row r="33" spans="1:30" x14ac:dyDescent="0.15">
      <c r="A33" s="41">
        <f t="shared" si="13"/>
        <v>41400300</v>
      </c>
      <c r="B33" s="15">
        <v>0</v>
      </c>
      <c r="C33" s="43">
        <v>105010</v>
      </c>
      <c r="D33" s="12" t="s">
        <v>38</v>
      </c>
      <c r="E33" s="12">
        <v>1</v>
      </c>
      <c r="F33" s="15">
        <v>1</v>
      </c>
      <c r="G33" s="15">
        <v>8</v>
      </c>
      <c r="H33" s="14">
        <f>VLOOKUP(I33,[1]stuff!$A:$C,3,FALSE)</f>
        <v>150</v>
      </c>
      <c r="I33" s="15">
        <v>414003</v>
      </c>
      <c r="J33" s="27" t="s">
        <v>75</v>
      </c>
      <c r="K33" s="26">
        <f t="shared" si="0"/>
        <v>0.31578947368421051</v>
      </c>
      <c r="L33" s="15">
        <f t="shared" si="1"/>
        <v>0.30409356725146197</v>
      </c>
      <c r="M33" s="23">
        <v>1</v>
      </c>
      <c r="N33" s="23">
        <v>0</v>
      </c>
      <c r="O33" s="24"/>
      <c r="P33" s="12">
        <v>604001</v>
      </c>
      <c r="Q33" s="12" t="s">
        <v>40</v>
      </c>
      <c r="R33" s="12">
        <v>15</v>
      </c>
      <c r="S33" s="14">
        <f>VLOOKUP(P33,[1]stuff!$A:$C,3,FALSE)</f>
        <v>2</v>
      </c>
      <c r="T33" s="15">
        <v>603001</v>
      </c>
      <c r="U33" s="12" t="s">
        <v>179</v>
      </c>
      <c r="V33" s="15">
        <v>15</v>
      </c>
      <c r="W33" s="14">
        <f>VLOOKUP(T33,[1]stuff!$A:$C,3,FALSE)</f>
        <v>5</v>
      </c>
      <c r="X33" s="15">
        <v>606001</v>
      </c>
      <c r="Y33" s="12" t="s">
        <v>192</v>
      </c>
      <c r="Z33" s="15">
        <v>3</v>
      </c>
      <c r="AA33" s="14">
        <f>VLOOKUP(X33,[1]stuff!$A:$C,3,FALSE)</f>
        <v>3</v>
      </c>
      <c r="AB33">
        <f t="shared" si="2"/>
        <v>114</v>
      </c>
      <c r="AC33">
        <f t="shared" si="3"/>
        <v>150</v>
      </c>
      <c r="AD33">
        <f t="shared" si="4"/>
        <v>1.3333333333333333</v>
      </c>
    </row>
    <row r="34" spans="1:30" x14ac:dyDescent="0.15">
      <c r="A34" s="41">
        <f t="shared" si="13"/>
        <v>41400400</v>
      </c>
      <c r="B34" s="15">
        <v>0</v>
      </c>
      <c r="C34" s="43">
        <v>105010</v>
      </c>
      <c r="D34" s="12" t="s">
        <v>38</v>
      </c>
      <c r="E34" s="12">
        <v>1</v>
      </c>
      <c r="F34" s="15">
        <v>1</v>
      </c>
      <c r="G34" s="15">
        <v>10</v>
      </c>
      <c r="H34" s="14">
        <f>VLOOKUP(I34,[1]stuff!$A:$C,3,FALSE)</f>
        <v>400</v>
      </c>
      <c r="I34" s="15">
        <v>414004</v>
      </c>
      <c r="J34" s="27" t="s">
        <v>76</v>
      </c>
      <c r="K34" s="26">
        <f t="shared" si="0"/>
        <v>0.34680134680134678</v>
      </c>
      <c r="L34" s="15">
        <f t="shared" si="1"/>
        <v>0.34118967452300786</v>
      </c>
      <c r="M34" s="23">
        <v>1</v>
      </c>
      <c r="N34" s="23">
        <v>0</v>
      </c>
      <c r="O34" s="24"/>
      <c r="P34" s="12">
        <v>604001</v>
      </c>
      <c r="Q34" s="12" t="s">
        <v>40</v>
      </c>
      <c r="R34" s="12">
        <v>35</v>
      </c>
      <c r="S34" s="14">
        <f>VLOOKUP(P34,[1]stuff!$A:$C,3,FALSE)</f>
        <v>2</v>
      </c>
      <c r="T34" s="15">
        <v>603001</v>
      </c>
      <c r="U34" s="12" t="s">
        <v>179</v>
      </c>
      <c r="V34" s="15">
        <v>40</v>
      </c>
      <c r="W34" s="14">
        <f>VLOOKUP(T34,[1]stuff!$A:$C,3,FALSE)</f>
        <v>5</v>
      </c>
      <c r="X34" s="15">
        <v>606001</v>
      </c>
      <c r="Y34" s="12" t="s">
        <v>47</v>
      </c>
      <c r="Z34" s="15">
        <v>9</v>
      </c>
      <c r="AA34" s="14">
        <f>VLOOKUP(X34,[1]stuff!$A:$C,3,FALSE)</f>
        <v>3</v>
      </c>
      <c r="AB34">
        <f t="shared" si="2"/>
        <v>297</v>
      </c>
      <c r="AC34">
        <f t="shared" si="3"/>
        <v>400</v>
      </c>
      <c r="AD34">
        <f t="shared" si="4"/>
        <v>1.6666666666666667</v>
      </c>
    </row>
    <row r="35" spans="1:30" x14ac:dyDescent="0.15">
      <c r="A35" s="41">
        <f t="shared" si="13"/>
        <v>41400500</v>
      </c>
      <c r="B35" s="15">
        <v>0</v>
      </c>
      <c r="C35" s="43">
        <v>105010</v>
      </c>
      <c r="D35" s="12" t="s">
        <v>38</v>
      </c>
      <c r="E35" s="12">
        <v>1</v>
      </c>
      <c r="F35" s="15">
        <v>1</v>
      </c>
      <c r="G35" s="15">
        <v>10</v>
      </c>
      <c r="H35" s="14">
        <f>VLOOKUP(I35,[1]stuff!$A:$C,3,FALSE)</f>
        <v>2000</v>
      </c>
      <c r="I35" s="15">
        <v>414005</v>
      </c>
      <c r="J35" s="27" t="s">
        <v>77</v>
      </c>
      <c r="K35" s="26">
        <f t="shared" si="0"/>
        <v>0.25</v>
      </c>
      <c r="L35" s="15">
        <f t="shared" si="1"/>
        <v>0.24895833333333331</v>
      </c>
      <c r="M35" s="23">
        <v>1</v>
      </c>
      <c r="N35" s="23">
        <v>0</v>
      </c>
      <c r="O35" s="24"/>
      <c r="P35" s="15">
        <v>414004</v>
      </c>
      <c r="Q35" s="27" t="s">
        <v>76</v>
      </c>
      <c r="R35" s="15">
        <v>1</v>
      </c>
      <c r="S35" s="14">
        <f>VLOOKUP(P35,[1]stuff!$A:$C,3,FALSE)</f>
        <v>400</v>
      </c>
      <c r="T35" s="15">
        <v>612003</v>
      </c>
      <c r="U35" s="12" t="s">
        <v>57</v>
      </c>
      <c r="V35" s="15">
        <v>2</v>
      </c>
      <c r="W35" s="14">
        <f>VLOOKUP(T35,[1]stuff!$A:$C,3,FALSE)</f>
        <v>500</v>
      </c>
      <c r="X35" s="15">
        <v>603004</v>
      </c>
      <c r="Y35" s="15" t="s">
        <v>182</v>
      </c>
      <c r="Z35" s="15">
        <v>2</v>
      </c>
      <c r="AA35" s="14">
        <f>VLOOKUP(X35,[1]stuff!$A:$C,3,FALSE)</f>
        <v>100</v>
      </c>
      <c r="AB35">
        <f t="shared" si="2"/>
        <v>1600</v>
      </c>
      <c r="AC35">
        <f t="shared" si="3"/>
        <v>2000</v>
      </c>
      <c r="AD35">
        <f t="shared" si="4"/>
        <v>1.6666666666666667</v>
      </c>
    </row>
    <row r="36" spans="1:30" x14ac:dyDescent="0.15">
      <c r="A36" s="41">
        <f t="shared" si="13"/>
        <v>41400600</v>
      </c>
      <c r="B36" s="15">
        <v>0</v>
      </c>
      <c r="C36" s="43">
        <v>105010</v>
      </c>
      <c r="D36" s="12" t="s">
        <v>38</v>
      </c>
      <c r="E36" s="12">
        <v>1</v>
      </c>
      <c r="F36" s="15">
        <v>1</v>
      </c>
      <c r="G36" s="15">
        <v>15</v>
      </c>
      <c r="H36" s="14">
        <f>VLOOKUP(I36,[1]stuff!$A:$C,3,FALSE)</f>
        <v>4500</v>
      </c>
      <c r="I36" s="15">
        <v>414006</v>
      </c>
      <c r="J36" s="27" t="s">
        <v>78</v>
      </c>
      <c r="K36" s="26">
        <f t="shared" si="0"/>
        <v>0.3235294117647059</v>
      </c>
      <c r="L36" s="15">
        <f t="shared" si="1"/>
        <v>0.32279411764705884</v>
      </c>
      <c r="M36" s="23">
        <v>1</v>
      </c>
      <c r="N36" s="23">
        <v>0</v>
      </c>
      <c r="O36" s="24"/>
      <c r="P36" s="15">
        <v>414004</v>
      </c>
      <c r="Q36" s="27" t="s">
        <v>76</v>
      </c>
      <c r="R36" s="15">
        <v>1</v>
      </c>
      <c r="S36" s="14">
        <f>VLOOKUP(P36,[1]stuff!$A:$C,3,FALSE)</f>
        <v>400</v>
      </c>
      <c r="T36" s="15">
        <v>612003</v>
      </c>
      <c r="U36" s="12" t="s">
        <v>57</v>
      </c>
      <c r="V36" s="15">
        <v>5</v>
      </c>
      <c r="W36" s="14">
        <f>VLOOKUP(T36,[1]stuff!$A:$C,3,FALSE)</f>
        <v>500</v>
      </c>
      <c r="X36" s="15">
        <v>603004</v>
      </c>
      <c r="Y36" s="15" t="s">
        <v>182</v>
      </c>
      <c r="Z36" s="15">
        <v>5</v>
      </c>
      <c r="AA36" s="14">
        <f>VLOOKUP(X36,[1]stuff!$A:$C,3,FALSE)</f>
        <v>100</v>
      </c>
      <c r="AB36">
        <f t="shared" ref="AB36:AB79" si="14">R36*S36+V36*W36+Z36*AA36</f>
        <v>3400</v>
      </c>
      <c r="AC36">
        <f t="shared" ref="AC36:AC79" si="15">H36*M36</f>
        <v>4500</v>
      </c>
      <c r="AD36">
        <f t="shared" si="4"/>
        <v>2.5</v>
      </c>
    </row>
    <row r="37" spans="1:30" x14ac:dyDescent="0.15">
      <c r="A37" s="41">
        <f t="shared" si="13"/>
        <v>41400700</v>
      </c>
      <c r="B37" s="15">
        <v>0</v>
      </c>
      <c r="C37" s="43">
        <v>105010</v>
      </c>
      <c r="D37" s="12" t="s">
        <v>38</v>
      </c>
      <c r="E37" s="12">
        <v>1</v>
      </c>
      <c r="F37" s="15">
        <v>1</v>
      </c>
      <c r="G37" s="15">
        <v>30</v>
      </c>
      <c r="H37" s="14">
        <f>VLOOKUP(I37,[1]stuff!$A:$C,3,FALSE)</f>
        <v>15000</v>
      </c>
      <c r="I37" s="15">
        <v>414007</v>
      </c>
      <c r="J37" s="27" t="s">
        <v>79</v>
      </c>
      <c r="K37" s="26">
        <f t="shared" si="0"/>
        <v>0.26050420168067229</v>
      </c>
      <c r="L37" s="15">
        <f t="shared" si="1"/>
        <v>0.2600840336134454</v>
      </c>
      <c r="M37" s="23">
        <v>1</v>
      </c>
      <c r="N37" s="23">
        <v>0</v>
      </c>
      <c r="O37" s="24"/>
      <c r="P37" s="15">
        <v>414004</v>
      </c>
      <c r="Q37" s="27" t="s">
        <v>76</v>
      </c>
      <c r="R37" s="15">
        <v>1</v>
      </c>
      <c r="S37" s="14">
        <f>VLOOKUP(P37,[1]stuff!$A:$C,3,FALSE)</f>
        <v>400</v>
      </c>
      <c r="T37" s="15">
        <v>612003</v>
      </c>
      <c r="U37" s="12" t="s">
        <v>57</v>
      </c>
      <c r="V37" s="15">
        <v>20</v>
      </c>
      <c r="W37" s="14">
        <f>VLOOKUP(T37,[1]stuff!$A:$C,3,FALSE)</f>
        <v>500</v>
      </c>
      <c r="X37" s="15">
        <v>603004</v>
      </c>
      <c r="Y37" s="15" t="s">
        <v>182</v>
      </c>
      <c r="Z37" s="15">
        <v>15</v>
      </c>
      <c r="AA37" s="14">
        <f>VLOOKUP(X37,[1]stuff!$A:$C,3,FALSE)</f>
        <v>100</v>
      </c>
      <c r="AB37">
        <f t="shared" si="14"/>
        <v>11900</v>
      </c>
      <c r="AC37">
        <f t="shared" si="15"/>
        <v>15000</v>
      </c>
      <c r="AD37">
        <f t="shared" si="4"/>
        <v>5</v>
      </c>
    </row>
    <row r="38" spans="1:30" x14ac:dyDescent="0.15">
      <c r="A38" s="41">
        <f t="shared" si="13"/>
        <v>41400800</v>
      </c>
      <c r="B38" s="15">
        <v>0</v>
      </c>
      <c r="C38" s="43">
        <v>105010</v>
      </c>
      <c r="D38" s="12" t="s">
        <v>38</v>
      </c>
      <c r="E38" s="12">
        <v>1</v>
      </c>
      <c r="F38" s="15">
        <v>1</v>
      </c>
      <c r="G38" s="15">
        <v>60</v>
      </c>
      <c r="H38" s="14">
        <f>VLOOKUP(I38,[1]stuff!$A:$C,3,FALSE)</f>
        <v>40000</v>
      </c>
      <c r="I38" s="15">
        <v>414008</v>
      </c>
      <c r="J38" s="27" t="s">
        <v>80</v>
      </c>
      <c r="K38" s="26">
        <f t="shared" si="0"/>
        <v>0.36054421768707484</v>
      </c>
      <c r="L38" s="15">
        <f t="shared" si="1"/>
        <v>0.36020408163265305</v>
      </c>
      <c r="M38" s="23">
        <v>1</v>
      </c>
      <c r="N38" s="23">
        <v>0</v>
      </c>
      <c r="O38" s="24"/>
      <c r="P38" s="15">
        <v>414004</v>
      </c>
      <c r="Q38" s="27" t="s">
        <v>76</v>
      </c>
      <c r="R38" s="15">
        <v>1</v>
      </c>
      <c r="S38" s="14">
        <f>VLOOKUP(P38,[1]stuff!$A:$C,3,FALSE)</f>
        <v>400</v>
      </c>
      <c r="T38" s="15">
        <v>612003</v>
      </c>
      <c r="U38" s="12" t="s">
        <v>57</v>
      </c>
      <c r="V38" s="15">
        <v>50</v>
      </c>
      <c r="W38" s="14">
        <f>VLOOKUP(T38,[1]stuff!$A:$C,3,FALSE)</f>
        <v>500</v>
      </c>
      <c r="X38" s="15">
        <v>603004</v>
      </c>
      <c r="Y38" s="15" t="s">
        <v>182</v>
      </c>
      <c r="Z38" s="15">
        <v>40</v>
      </c>
      <c r="AA38" s="14">
        <f>VLOOKUP(X38,[1]stuff!$A:$C,3,FALSE)</f>
        <v>100</v>
      </c>
      <c r="AB38">
        <f t="shared" si="14"/>
        <v>29400</v>
      </c>
      <c r="AC38">
        <f t="shared" si="15"/>
        <v>40000</v>
      </c>
      <c r="AD38">
        <f t="shared" si="4"/>
        <v>10</v>
      </c>
    </row>
    <row r="39" spans="1:30" x14ac:dyDescent="0.15">
      <c r="A39" s="41">
        <f t="shared" si="13"/>
        <v>41400900</v>
      </c>
      <c r="B39" s="15">
        <v>0</v>
      </c>
      <c r="C39" s="43">
        <v>105010</v>
      </c>
      <c r="D39" s="12" t="s">
        <v>38</v>
      </c>
      <c r="E39" s="12">
        <v>1</v>
      </c>
      <c r="F39" s="15">
        <v>1</v>
      </c>
      <c r="G39" s="15">
        <v>90</v>
      </c>
      <c r="H39" s="14">
        <f>VLOOKUP(I39,[1]stuff!$A:$C,3,FALSE)</f>
        <v>88888</v>
      </c>
      <c r="I39" s="15">
        <v>414009</v>
      </c>
      <c r="J39" s="27" t="s">
        <v>81</v>
      </c>
      <c r="K39" s="26">
        <f t="shared" si="0"/>
        <v>0.47165562913907283</v>
      </c>
      <c r="L39" s="15">
        <f t="shared" si="1"/>
        <v>0.47140728476821192</v>
      </c>
      <c r="M39" s="23">
        <v>1</v>
      </c>
      <c r="N39" s="23">
        <v>0</v>
      </c>
      <c r="O39" s="24"/>
      <c r="P39" s="15">
        <v>414004</v>
      </c>
      <c r="Q39" s="27" t="s">
        <v>76</v>
      </c>
      <c r="R39" s="15">
        <v>1</v>
      </c>
      <c r="S39" s="14">
        <f>VLOOKUP(P39,[1]stuff!$A:$C,3,FALSE)</f>
        <v>400</v>
      </c>
      <c r="T39" s="15">
        <v>612003</v>
      </c>
      <c r="U39" s="12" t="s">
        <v>57</v>
      </c>
      <c r="V39" s="15">
        <v>100</v>
      </c>
      <c r="W39" s="14">
        <f>VLOOKUP(T39,[1]stuff!$A:$C,3,FALSE)</f>
        <v>500</v>
      </c>
      <c r="X39" s="15">
        <v>603004</v>
      </c>
      <c r="Y39" s="15" t="s">
        <v>182</v>
      </c>
      <c r="Z39" s="15">
        <v>100</v>
      </c>
      <c r="AA39" s="14">
        <f>VLOOKUP(X39,[1]stuff!$A:$C,3,FALSE)</f>
        <v>100</v>
      </c>
      <c r="AB39">
        <f t="shared" si="14"/>
        <v>60400</v>
      </c>
      <c r="AC39">
        <f t="shared" si="15"/>
        <v>88888</v>
      </c>
      <c r="AD39">
        <f t="shared" si="4"/>
        <v>15</v>
      </c>
    </row>
    <row r="40" spans="1:30" x14ac:dyDescent="0.15">
      <c r="A40" s="41">
        <f t="shared" si="13"/>
        <v>41500100</v>
      </c>
      <c r="B40" s="15">
        <v>0</v>
      </c>
      <c r="C40" s="43">
        <v>105010</v>
      </c>
      <c r="D40" s="12" t="s">
        <v>38</v>
      </c>
      <c r="E40" s="12">
        <v>0</v>
      </c>
      <c r="F40" s="15">
        <v>1</v>
      </c>
      <c r="G40" s="15">
        <v>5</v>
      </c>
      <c r="H40" s="14">
        <f>VLOOKUP(I40,[1]stuff!$A:$C,3,FALSE)</f>
        <v>10</v>
      </c>
      <c r="I40" s="15">
        <v>415001</v>
      </c>
      <c r="J40" s="27" t="s">
        <v>82</v>
      </c>
      <c r="K40" s="26">
        <f t="shared" si="0"/>
        <v>0</v>
      </c>
      <c r="L40" s="15">
        <f t="shared" si="1"/>
        <v>-8.3333333333333343E-2</v>
      </c>
      <c r="M40" s="23">
        <v>1</v>
      </c>
      <c r="N40" s="23">
        <v>0</v>
      </c>
      <c r="O40" s="24"/>
      <c r="P40" s="12"/>
      <c r="Q40" s="12"/>
      <c r="R40" s="15"/>
      <c r="S40" s="14"/>
      <c r="T40" s="15">
        <v>603001</v>
      </c>
      <c r="U40" s="12" t="s">
        <v>179</v>
      </c>
      <c r="V40" s="15">
        <v>2</v>
      </c>
      <c r="W40" s="14">
        <f>VLOOKUP(T40,[1]stuff!$A:$C,3,FALSE)</f>
        <v>5</v>
      </c>
      <c r="X40" s="12">
        <v>604001</v>
      </c>
      <c r="Y40" s="12" t="s">
        <v>40</v>
      </c>
      <c r="Z40" s="12">
        <v>2</v>
      </c>
      <c r="AA40" s="29"/>
      <c r="AB40">
        <f t="shared" si="14"/>
        <v>10</v>
      </c>
      <c r="AC40">
        <f t="shared" si="15"/>
        <v>10</v>
      </c>
      <c r="AD40">
        <f t="shared" si="4"/>
        <v>0.83333333333333337</v>
      </c>
    </row>
    <row r="41" spans="1:30" x14ac:dyDescent="0.15">
      <c r="A41" s="41">
        <f t="shared" si="13"/>
        <v>41500200</v>
      </c>
      <c r="B41" s="15">
        <v>0</v>
      </c>
      <c r="C41" s="43">
        <v>105010</v>
      </c>
      <c r="D41" s="12" t="s">
        <v>38</v>
      </c>
      <c r="E41" s="12">
        <v>1</v>
      </c>
      <c r="F41" s="15">
        <v>1</v>
      </c>
      <c r="G41" s="15">
        <v>6</v>
      </c>
      <c r="H41" s="14">
        <f>VLOOKUP(I41,[1]stuff!$A:$C,3,FALSE)</f>
        <v>50</v>
      </c>
      <c r="I41" s="15">
        <v>415002</v>
      </c>
      <c r="J41" s="27" t="s">
        <v>83</v>
      </c>
      <c r="K41" s="26">
        <f t="shared" si="0"/>
        <v>0.25</v>
      </c>
      <c r="L41" s="15">
        <f t="shared" si="1"/>
        <v>0.22500000000000001</v>
      </c>
      <c r="M41" s="23">
        <v>1</v>
      </c>
      <c r="N41" s="23">
        <v>0</v>
      </c>
      <c r="O41" s="24"/>
      <c r="P41" s="12">
        <v>604001</v>
      </c>
      <c r="Q41" s="12" t="s">
        <v>40</v>
      </c>
      <c r="R41" s="12">
        <v>6</v>
      </c>
      <c r="S41" s="14">
        <f>VLOOKUP(P41,[1]stuff!$A:$C,3,FALSE)</f>
        <v>2</v>
      </c>
      <c r="T41" s="15">
        <v>603001</v>
      </c>
      <c r="U41" s="12" t="s">
        <v>179</v>
      </c>
      <c r="V41" s="15">
        <v>5</v>
      </c>
      <c r="W41" s="14">
        <f>VLOOKUP(T41,[1]stuff!$A:$C,3,FALSE)</f>
        <v>5</v>
      </c>
      <c r="X41" s="15">
        <v>606001</v>
      </c>
      <c r="Y41" s="12" t="s">
        <v>47</v>
      </c>
      <c r="Z41" s="15">
        <v>1</v>
      </c>
      <c r="AA41" s="14">
        <f>VLOOKUP(X41,[1]stuff!$A:$C,3,FALSE)</f>
        <v>3</v>
      </c>
      <c r="AB41">
        <f t="shared" si="14"/>
        <v>40</v>
      </c>
      <c r="AC41">
        <f t="shared" si="15"/>
        <v>50</v>
      </c>
      <c r="AD41">
        <f t="shared" si="4"/>
        <v>1</v>
      </c>
    </row>
    <row r="42" spans="1:30" x14ac:dyDescent="0.15">
      <c r="A42" s="41">
        <f t="shared" si="13"/>
        <v>41500300</v>
      </c>
      <c r="B42" s="15">
        <v>0</v>
      </c>
      <c r="C42" s="43">
        <v>105010</v>
      </c>
      <c r="D42" s="12" t="s">
        <v>38</v>
      </c>
      <c r="E42" s="12">
        <v>1</v>
      </c>
      <c r="F42" s="15">
        <v>1</v>
      </c>
      <c r="G42" s="15">
        <v>8</v>
      </c>
      <c r="H42" s="14">
        <f>VLOOKUP(I42,[1]stuff!$A:$C,3,FALSE)</f>
        <v>150</v>
      </c>
      <c r="I42" s="15">
        <v>415003</v>
      </c>
      <c r="J42" s="27" t="s">
        <v>84</v>
      </c>
      <c r="K42" s="26">
        <f t="shared" si="0"/>
        <v>0.31578947368421051</v>
      </c>
      <c r="L42" s="15">
        <f t="shared" si="1"/>
        <v>0.30409356725146197</v>
      </c>
      <c r="M42" s="23">
        <v>1</v>
      </c>
      <c r="N42" s="23">
        <v>0</v>
      </c>
      <c r="O42" s="24"/>
      <c r="P42" s="12">
        <v>604001</v>
      </c>
      <c r="Q42" s="12" t="s">
        <v>40</v>
      </c>
      <c r="R42" s="12">
        <v>15</v>
      </c>
      <c r="S42" s="14">
        <f>VLOOKUP(P42,[1]stuff!$A:$C,3,FALSE)</f>
        <v>2</v>
      </c>
      <c r="T42" s="15">
        <v>603001</v>
      </c>
      <c r="U42" s="12" t="s">
        <v>179</v>
      </c>
      <c r="V42" s="15">
        <v>15</v>
      </c>
      <c r="W42" s="14">
        <f>VLOOKUP(T42,[1]stuff!$A:$C,3,FALSE)</f>
        <v>5</v>
      </c>
      <c r="X42" s="15">
        <v>606001</v>
      </c>
      <c r="Y42" s="12" t="s">
        <v>47</v>
      </c>
      <c r="Z42" s="15">
        <v>3</v>
      </c>
      <c r="AA42" s="14">
        <f>VLOOKUP(X42,[1]stuff!$A:$C,3,FALSE)</f>
        <v>3</v>
      </c>
      <c r="AB42">
        <f t="shared" si="14"/>
        <v>114</v>
      </c>
      <c r="AC42">
        <f t="shared" si="15"/>
        <v>150</v>
      </c>
      <c r="AD42">
        <f t="shared" si="4"/>
        <v>1.3333333333333333</v>
      </c>
    </row>
    <row r="43" spans="1:30" x14ac:dyDescent="0.15">
      <c r="A43" s="41">
        <f t="shared" si="13"/>
        <v>41500400</v>
      </c>
      <c r="B43" s="15">
        <v>0</v>
      </c>
      <c r="C43" s="43">
        <v>105010</v>
      </c>
      <c r="D43" s="12" t="s">
        <v>38</v>
      </c>
      <c r="E43" s="12">
        <v>1</v>
      </c>
      <c r="F43" s="15">
        <v>1</v>
      </c>
      <c r="G43" s="15">
        <v>10</v>
      </c>
      <c r="H43" s="14">
        <f>VLOOKUP(I43,[1]stuff!$A:$C,3,FALSE)</f>
        <v>400</v>
      </c>
      <c r="I43" s="15">
        <v>415004</v>
      </c>
      <c r="J43" s="27" t="s">
        <v>85</v>
      </c>
      <c r="K43" s="26">
        <f t="shared" si="0"/>
        <v>0.34680134680134678</v>
      </c>
      <c r="L43" s="15">
        <f t="shared" si="1"/>
        <v>0.34118967452300786</v>
      </c>
      <c r="M43" s="23">
        <v>1</v>
      </c>
      <c r="N43" s="23">
        <v>0</v>
      </c>
      <c r="O43" s="24"/>
      <c r="P43" s="12">
        <v>604001</v>
      </c>
      <c r="Q43" s="12" t="s">
        <v>40</v>
      </c>
      <c r="R43" s="12">
        <v>35</v>
      </c>
      <c r="S43" s="14">
        <f>VLOOKUP(P43,[1]stuff!$A:$C,3,FALSE)</f>
        <v>2</v>
      </c>
      <c r="T43" s="15">
        <v>603001</v>
      </c>
      <c r="U43" s="12" t="s">
        <v>179</v>
      </c>
      <c r="V43" s="15">
        <v>40</v>
      </c>
      <c r="W43" s="14">
        <f>VLOOKUP(T43,[1]stuff!$A:$C,3,FALSE)</f>
        <v>5</v>
      </c>
      <c r="X43" s="15">
        <v>606001</v>
      </c>
      <c r="Y43" s="12" t="s">
        <v>47</v>
      </c>
      <c r="Z43" s="15">
        <v>9</v>
      </c>
      <c r="AA43" s="14">
        <f>VLOOKUP(X43,[1]stuff!$A:$C,3,FALSE)</f>
        <v>3</v>
      </c>
      <c r="AB43">
        <f t="shared" si="14"/>
        <v>297</v>
      </c>
      <c r="AC43">
        <f t="shared" si="15"/>
        <v>400</v>
      </c>
      <c r="AD43">
        <f t="shared" si="4"/>
        <v>1.6666666666666667</v>
      </c>
    </row>
    <row r="44" spans="1:30" x14ac:dyDescent="0.15">
      <c r="A44" s="41">
        <f t="shared" si="13"/>
        <v>41500500</v>
      </c>
      <c r="B44" s="15">
        <v>0</v>
      </c>
      <c r="C44" s="43">
        <v>105010</v>
      </c>
      <c r="D44" s="12" t="s">
        <v>38</v>
      </c>
      <c r="E44" s="12">
        <v>1</v>
      </c>
      <c r="F44" s="15">
        <v>1</v>
      </c>
      <c r="G44" s="15">
        <v>10</v>
      </c>
      <c r="H44" s="14">
        <f>VLOOKUP(I44,[1]stuff!$A:$C,3,FALSE)</f>
        <v>2000</v>
      </c>
      <c r="I44" s="15">
        <v>415005</v>
      </c>
      <c r="J44" s="27" t="s">
        <v>239</v>
      </c>
      <c r="K44" s="26">
        <f t="shared" si="0"/>
        <v>0.25</v>
      </c>
      <c r="L44" s="15">
        <f t="shared" si="1"/>
        <v>0.24895833333333331</v>
      </c>
      <c r="M44" s="23">
        <v>1</v>
      </c>
      <c r="N44" s="23">
        <v>0</v>
      </c>
      <c r="O44" s="24"/>
      <c r="P44" s="15">
        <v>415004</v>
      </c>
      <c r="Q44" s="27" t="s">
        <v>85</v>
      </c>
      <c r="R44" s="15">
        <v>1</v>
      </c>
      <c r="S44" s="14">
        <f>VLOOKUP(P44,[1]stuff!$A:$C,3,FALSE)</f>
        <v>400</v>
      </c>
      <c r="T44" s="15">
        <v>612002</v>
      </c>
      <c r="U44" s="12" t="s">
        <v>55</v>
      </c>
      <c r="V44" s="15">
        <v>2</v>
      </c>
      <c r="W44" s="14">
        <f>VLOOKUP(T44,[1]stuff!$A:$C,3,FALSE)</f>
        <v>500</v>
      </c>
      <c r="X44" s="15">
        <v>603002</v>
      </c>
      <c r="Y44" s="15" t="s">
        <v>180</v>
      </c>
      <c r="Z44" s="15">
        <v>2</v>
      </c>
      <c r="AA44" s="14">
        <f>VLOOKUP(X44,[1]stuff!$A:$C,3,FALSE)</f>
        <v>100</v>
      </c>
      <c r="AB44">
        <f t="shared" si="14"/>
        <v>1600</v>
      </c>
      <c r="AC44">
        <f t="shared" si="15"/>
        <v>2000</v>
      </c>
      <c r="AD44">
        <f t="shared" si="4"/>
        <v>1.6666666666666667</v>
      </c>
    </row>
    <row r="45" spans="1:30" x14ac:dyDescent="0.15">
      <c r="A45" s="41">
        <f t="shared" si="13"/>
        <v>41500600</v>
      </c>
      <c r="B45" s="15">
        <v>0</v>
      </c>
      <c r="C45" s="43">
        <v>105010</v>
      </c>
      <c r="D45" s="12" t="s">
        <v>38</v>
      </c>
      <c r="E45" s="12">
        <v>1</v>
      </c>
      <c r="F45" s="15">
        <v>1</v>
      </c>
      <c r="G45" s="15">
        <v>15</v>
      </c>
      <c r="H45" s="14">
        <f>VLOOKUP(I45,[1]stuff!$A:$C,3,FALSE)</f>
        <v>4500</v>
      </c>
      <c r="I45" s="15">
        <v>415006</v>
      </c>
      <c r="J45" s="27" t="s">
        <v>86</v>
      </c>
      <c r="K45" s="26">
        <f t="shared" si="0"/>
        <v>0.3235294117647059</v>
      </c>
      <c r="L45" s="15">
        <f t="shared" si="1"/>
        <v>0.32279411764705884</v>
      </c>
      <c r="M45" s="23">
        <v>1</v>
      </c>
      <c r="N45" s="23">
        <v>0</v>
      </c>
      <c r="O45" s="24"/>
      <c r="P45" s="15">
        <v>415004</v>
      </c>
      <c r="Q45" s="27" t="s">
        <v>85</v>
      </c>
      <c r="R45" s="15">
        <v>1</v>
      </c>
      <c r="S45" s="14">
        <f>VLOOKUP(P45,[1]stuff!$A:$C,3,FALSE)</f>
        <v>400</v>
      </c>
      <c r="T45" s="15">
        <v>612002</v>
      </c>
      <c r="U45" s="12" t="s">
        <v>55</v>
      </c>
      <c r="V45" s="15">
        <v>5</v>
      </c>
      <c r="W45" s="14">
        <f>VLOOKUP(T45,[1]stuff!$A:$C,3,FALSE)</f>
        <v>500</v>
      </c>
      <c r="X45" s="15">
        <v>603002</v>
      </c>
      <c r="Y45" s="15" t="s">
        <v>180</v>
      </c>
      <c r="Z45" s="15">
        <v>5</v>
      </c>
      <c r="AA45" s="14">
        <f>VLOOKUP(X45,[1]stuff!$A:$C,3,FALSE)</f>
        <v>100</v>
      </c>
      <c r="AB45">
        <f t="shared" si="14"/>
        <v>3400</v>
      </c>
      <c r="AC45">
        <f t="shared" si="15"/>
        <v>4500</v>
      </c>
      <c r="AD45">
        <f t="shared" si="4"/>
        <v>2.5</v>
      </c>
    </row>
    <row r="46" spans="1:30" x14ac:dyDescent="0.15">
      <c r="A46" s="41">
        <f t="shared" si="13"/>
        <v>41500700</v>
      </c>
      <c r="B46" s="15">
        <v>0</v>
      </c>
      <c r="C46" s="43">
        <v>105010</v>
      </c>
      <c r="D46" s="12" t="s">
        <v>38</v>
      </c>
      <c r="E46" s="12">
        <v>1</v>
      </c>
      <c r="F46" s="15">
        <v>1</v>
      </c>
      <c r="G46" s="15">
        <v>30</v>
      </c>
      <c r="H46" s="14">
        <f>VLOOKUP(I46,[1]stuff!$A:$C,3,FALSE)</f>
        <v>15000</v>
      </c>
      <c r="I46" s="15">
        <v>415007</v>
      </c>
      <c r="J46" s="27" t="s">
        <v>87</v>
      </c>
      <c r="K46" s="26">
        <f t="shared" si="0"/>
        <v>0.26050420168067229</v>
      </c>
      <c r="L46" s="15">
        <f t="shared" si="1"/>
        <v>0.2600840336134454</v>
      </c>
      <c r="M46" s="23">
        <v>1</v>
      </c>
      <c r="N46" s="23">
        <v>0</v>
      </c>
      <c r="O46" s="24"/>
      <c r="P46" s="15">
        <v>415004</v>
      </c>
      <c r="Q46" s="27" t="s">
        <v>85</v>
      </c>
      <c r="R46" s="15">
        <v>1</v>
      </c>
      <c r="S46" s="14">
        <f>VLOOKUP(P46,[1]stuff!$A:$C,3,FALSE)</f>
        <v>400</v>
      </c>
      <c r="T46" s="15">
        <v>612002</v>
      </c>
      <c r="U46" s="12" t="s">
        <v>55</v>
      </c>
      <c r="V46" s="15">
        <v>20</v>
      </c>
      <c r="W46" s="14">
        <f>VLOOKUP(T46,[1]stuff!$A:$C,3,FALSE)</f>
        <v>500</v>
      </c>
      <c r="X46" s="15">
        <v>603002</v>
      </c>
      <c r="Y46" s="15" t="s">
        <v>180</v>
      </c>
      <c r="Z46" s="15">
        <v>15</v>
      </c>
      <c r="AA46" s="14">
        <f>VLOOKUP(X46,[1]stuff!$A:$C,3,FALSE)</f>
        <v>100</v>
      </c>
      <c r="AB46">
        <f t="shared" si="14"/>
        <v>11900</v>
      </c>
      <c r="AC46">
        <f t="shared" si="15"/>
        <v>15000</v>
      </c>
      <c r="AD46">
        <f t="shared" si="4"/>
        <v>5</v>
      </c>
    </row>
    <row r="47" spans="1:30" x14ac:dyDescent="0.15">
      <c r="A47" s="41">
        <f t="shared" si="13"/>
        <v>41500800</v>
      </c>
      <c r="B47" s="15">
        <v>0</v>
      </c>
      <c r="C47" s="43">
        <v>105010</v>
      </c>
      <c r="D47" s="12" t="s">
        <v>38</v>
      </c>
      <c r="E47" s="12">
        <v>1</v>
      </c>
      <c r="F47" s="15">
        <v>1</v>
      </c>
      <c r="G47" s="15">
        <v>60</v>
      </c>
      <c r="H47" s="14">
        <f>VLOOKUP(I47,[1]stuff!$A:$C,3,FALSE)</f>
        <v>40000</v>
      </c>
      <c r="I47" s="15">
        <v>415008</v>
      </c>
      <c r="J47" s="27" t="s">
        <v>88</v>
      </c>
      <c r="K47" s="26">
        <f t="shared" si="0"/>
        <v>0.36054421768707484</v>
      </c>
      <c r="L47" s="15">
        <f t="shared" si="1"/>
        <v>0.36020408163265305</v>
      </c>
      <c r="M47" s="23">
        <v>1</v>
      </c>
      <c r="N47" s="23">
        <v>0</v>
      </c>
      <c r="O47" s="24"/>
      <c r="P47" s="15">
        <v>415004</v>
      </c>
      <c r="Q47" s="27" t="s">
        <v>85</v>
      </c>
      <c r="R47" s="15">
        <v>1</v>
      </c>
      <c r="S47" s="14">
        <f>VLOOKUP(P47,[1]stuff!$A:$C,3,FALSE)</f>
        <v>400</v>
      </c>
      <c r="T47" s="15">
        <v>612002</v>
      </c>
      <c r="U47" s="12" t="s">
        <v>55</v>
      </c>
      <c r="V47" s="15">
        <v>50</v>
      </c>
      <c r="W47" s="14">
        <f>VLOOKUP(T47,[1]stuff!$A:$C,3,FALSE)</f>
        <v>500</v>
      </c>
      <c r="X47" s="15">
        <v>603002</v>
      </c>
      <c r="Y47" s="15" t="s">
        <v>180</v>
      </c>
      <c r="Z47" s="15">
        <v>40</v>
      </c>
      <c r="AA47" s="14">
        <f>VLOOKUP(X47,[1]stuff!$A:$C,3,FALSE)</f>
        <v>100</v>
      </c>
      <c r="AB47">
        <f t="shared" si="14"/>
        <v>29400</v>
      </c>
      <c r="AC47">
        <f t="shared" si="15"/>
        <v>40000</v>
      </c>
      <c r="AD47">
        <f t="shared" si="4"/>
        <v>10</v>
      </c>
    </row>
    <row r="48" spans="1:30" x14ac:dyDescent="0.15">
      <c r="A48" s="41">
        <f t="shared" si="13"/>
        <v>41500900</v>
      </c>
      <c r="B48" s="15">
        <v>0</v>
      </c>
      <c r="C48" s="43">
        <v>105010</v>
      </c>
      <c r="D48" s="12" t="s">
        <v>38</v>
      </c>
      <c r="E48" s="12">
        <v>1</v>
      </c>
      <c r="F48" s="15">
        <v>1</v>
      </c>
      <c r="G48" s="15">
        <v>90</v>
      </c>
      <c r="H48" s="14">
        <f>VLOOKUP(I48,[1]stuff!$A:$C,3,FALSE)</f>
        <v>88888</v>
      </c>
      <c r="I48" s="15">
        <v>415009</v>
      </c>
      <c r="J48" s="27" t="s">
        <v>89</v>
      </c>
      <c r="K48" s="26">
        <f t="shared" ref="K48:K88" si="16">(AC48-AB48)/AB48</f>
        <v>0.47165562913907283</v>
      </c>
      <c r="L48" s="15">
        <f t="shared" si="1"/>
        <v>0.47140728476821192</v>
      </c>
      <c r="M48" s="23">
        <v>1</v>
      </c>
      <c r="N48" s="23">
        <v>0</v>
      </c>
      <c r="O48" s="24"/>
      <c r="P48" s="15">
        <v>415004</v>
      </c>
      <c r="Q48" s="27" t="s">
        <v>85</v>
      </c>
      <c r="R48" s="15">
        <v>1</v>
      </c>
      <c r="S48" s="14">
        <f>VLOOKUP(P48,[1]stuff!$A:$C,3,FALSE)</f>
        <v>400</v>
      </c>
      <c r="T48" s="15">
        <v>612002</v>
      </c>
      <c r="U48" s="12" t="s">
        <v>55</v>
      </c>
      <c r="V48" s="15">
        <v>100</v>
      </c>
      <c r="W48" s="14">
        <f>VLOOKUP(T48,[1]stuff!$A:$C,3,FALSE)</f>
        <v>500</v>
      </c>
      <c r="X48" s="15">
        <v>603002</v>
      </c>
      <c r="Y48" s="15" t="s">
        <v>180</v>
      </c>
      <c r="Z48" s="15">
        <v>100</v>
      </c>
      <c r="AA48" s="14">
        <f>VLOOKUP(X48,[1]stuff!$A:$C,3,FALSE)</f>
        <v>100</v>
      </c>
      <c r="AB48">
        <f t="shared" si="14"/>
        <v>60400</v>
      </c>
      <c r="AC48">
        <f t="shared" si="15"/>
        <v>88888</v>
      </c>
      <c r="AD48">
        <f t="shared" si="4"/>
        <v>15</v>
      </c>
    </row>
    <row r="49" spans="1:30" x14ac:dyDescent="0.15">
      <c r="A49" s="41">
        <v>40200100</v>
      </c>
      <c r="B49" s="15">
        <v>0</v>
      </c>
      <c r="C49" s="43">
        <v>105007</v>
      </c>
      <c r="D49" s="12" t="s">
        <v>90</v>
      </c>
      <c r="E49" s="12">
        <v>0</v>
      </c>
      <c r="F49" s="15">
        <v>1</v>
      </c>
      <c r="G49" s="16">
        <v>2</v>
      </c>
      <c r="H49" s="14">
        <f>VLOOKUP(I49,[1]stuff!$A:$C,3,FALSE)</f>
        <v>1</v>
      </c>
      <c r="I49" s="15">
        <v>402001</v>
      </c>
      <c r="J49" s="12" t="s">
        <v>91</v>
      </c>
      <c r="K49" s="15">
        <f t="shared" si="16"/>
        <v>0.5</v>
      </c>
      <c r="L49" s="15">
        <f t="shared" si="1"/>
        <v>0.33333333333333337</v>
      </c>
      <c r="M49" s="23">
        <v>3</v>
      </c>
      <c r="N49" s="23">
        <v>3</v>
      </c>
      <c r="O49" s="24"/>
      <c r="P49" s="12">
        <v>604001</v>
      </c>
      <c r="Q49" s="12" t="s">
        <v>40</v>
      </c>
      <c r="R49" s="12">
        <v>1</v>
      </c>
      <c r="S49" s="14">
        <f>VLOOKUP(P49,[1]stuff!$A:$C,3,FALSE)</f>
        <v>2</v>
      </c>
      <c r="T49" s="15"/>
      <c r="U49" s="15"/>
      <c r="V49" s="15"/>
      <c r="W49" s="29"/>
      <c r="X49" s="15"/>
      <c r="Y49" s="15"/>
      <c r="Z49" s="15"/>
      <c r="AA49" s="29"/>
      <c r="AB49">
        <f t="shared" si="14"/>
        <v>2</v>
      </c>
      <c r="AC49">
        <f t="shared" si="15"/>
        <v>3</v>
      </c>
      <c r="AD49">
        <f t="shared" si="4"/>
        <v>0.33333333333333331</v>
      </c>
    </row>
    <row r="50" spans="1:30" x14ac:dyDescent="0.15">
      <c r="A50" s="41">
        <v>40100100</v>
      </c>
      <c r="B50" s="15">
        <v>0</v>
      </c>
      <c r="C50" s="43">
        <v>105012</v>
      </c>
      <c r="D50" s="12" t="s">
        <v>92</v>
      </c>
      <c r="E50" s="12">
        <v>0</v>
      </c>
      <c r="F50" s="15">
        <v>1</v>
      </c>
      <c r="G50" s="15">
        <v>15</v>
      </c>
      <c r="H50" s="14">
        <f>VLOOKUP(I50,[1]stuff!$A:$C,3,FALSE)</f>
        <v>5</v>
      </c>
      <c r="I50" s="15">
        <v>401001</v>
      </c>
      <c r="J50" s="12" t="s">
        <v>93</v>
      </c>
      <c r="K50" s="15">
        <f t="shared" si="16"/>
        <v>0.66666666666666663</v>
      </c>
      <c r="L50" s="15">
        <f t="shared" si="1"/>
        <v>0.3888888888888889</v>
      </c>
      <c r="M50" s="23">
        <v>3</v>
      </c>
      <c r="N50" s="23">
        <v>1</v>
      </c>
      <c r="O50" s="24"/>
      <c r="P50" s="15">
        <v>302003</v>
      </c>
      <c r="Q50" s="12" t="s">
        <v>94</v>
      </c>
      <c r="R50" s="12">
        <v>9</v>
      </c>
      <c r="S50" s="14">
        <f>VLOOKUP(P50,[1]stuff!$A:$C,3,FALSE)</f>
        <v>1</v>
      </c>
      <c r="T50" s="15">
        <v>803001</v>
      </c>
      <c r="U50" s="12" t="s">
        <v>95</v>
      </c>
      <c r="V50" s="15">
        <v>3</v>
      </c>
      <c r="W50" s="29"/>
      <c r="X50" s="15"/>
      <c r="Y50" s="15"/>
      <c r="Z50" s="15"/>
      <c r="AA50" s="29"/>
      <c r="AB50">
        <f t="shared" si="14"/>
        <v>9</v>
      </c>
      <c r="AC50">
        <f t="shared" si="15"/>
        <v>15</v>
      </c>
      <c r="AD50">
        <f t="shared" si="4"/>
        <v>2.5</v>
      </c>
    </row>
    <row r="51" spans="1:30" x14ac:dyDescent="0.15">
      <c r="A51" s="41">
        <v>40100101</v>
      </c>
      <c r="B51" s="15">
        <v>0</v>
      </c>
      <c r="C51" s="43">
        <v>105012</v>
      </c>
      <c r="D51" s="12" t="s">
        <v>92</v>
      </c>
      <c r="E51" s="12">
        <v>0</v>
      </c>
      <c r="F51" s="15">
        <v>1</v>
      </c>
      <c r="G51" s="15">
        <v>15</v>
      </c>
      <c r="H51" s="14">
        <f>VLOOKUP(I51,[1]stuff!$A:$C,3,FALSE)</f>
        <v>5</v>
      </c>
      <c r="I51" s="15">
        <v>401001</v>
      </c>
      <c r="J51" s="12" t="s">
        <v>93</v>
      </c>
      <c r="K51" s="15">
        <f t="shared" si="16"/>
        <v>0.66666666666666663</v>
      </c>
      <c r="L51" s="15">
        <f t="shared" si="1"/>
        <v>0.3888888888888889</v>
      </c>
      <c r="M51" s="23">
        <v>3</v>
      </c>
      <c r="N51" s="23">
        <v>1</v>
      </c>
      <c r="O51" s="24"/>
      <c r="P51" s="15">
        <v>303006</v>
      </c>
      <c r="Q51" s="12" t="s">
        <v>96</v>
      </c>
      <c r="R51" s="12">
        <v>9</v>
      </c>
      <c r="S51" s="14">
        <f>VLOOKUP(P51,[1]stuff!$A:$C,3,FALSE)</f>
        <v>1</v>
      </c>
      <c r="T51" s="15">
        <v>803001</v>
      </c>
      <c r="U51" s="12" t="s">
        <v>95</v>
      </c>
      <c r="V51" s="15">
        <v>3</v>
      </c>
      <c r="W51" s="29"/>
      <c r="X51" s="15"/>
      <c r="Y51" s="15"/>
      <c r="Z51" s="15"/>
      <c r="AA51" s="29"/>
      <c r="AB51">
        <f t="shared" si="14"/>
        <v>9</v>
      </c>
      <c r="AC51">
        <f t="shared" si="15"/>
        <v>15</v>
      </c>
      <c r="AD51">
        <f t="shared" si="4"/>
        <v>2.5</v>
      </c>
    </row>
    <row r="52" spans="1:30" x14ac:dyDescent="0.15">
      <c r="A52" s="41">
        <v>40100200</v>
      </c>
      <c r="B52" s="15">
        <v>0</v>
      </c>
      <c r="C52" s="43">
        <v>105012</v>
      </c>
      <c r="D52" s="12" t="s">
        <v>92</v>
      </c>
      <c r="E52" s="12">
        <v>0</v>
      </c>
      <c r="F52" s="15">
        <v>1</v>
      </c>
      <c r="G52" s="15">
        <v>15</v>
      </c>
      <c r="H52" s="14">
        <f>VLOOKUP(I52,[1]stuff!$A:$C,3,FALSE)</f>
        <v>5</v>
      </c>
      <c r="I52" s="15">
        <v>401002</v>
      </c>
      <c r="J52" s="12" t="s">
        <v>97</v>
      </c>
      <c r="K52" s="15">
        <f t="shared" si="16"/>
        <v>0.66666666666666663</v>
      </c>
      <c r="L52" s="15">
        <f t="shared" si="1"/>
        <v>0.3888888888888889</v>
      </c>
      <c r="M52" s="23">
        <v>3</v>
      </c>
      <c r="N52" s="23">
        <v>1</v>
      </c>
      <c r="O52" s="24"/>
      <c r="P52" s="15">
        <v>303009</v>
      </c>
      <c r="Q52" s="12" t="s">
        <v>98</v>
      </c>
      <c r="R52" s="12">
        <v>9</v>
      </c>
      <c r="S52" s="14">
        <f>VLOOKUP(P52,[1]stuff!$A:$C,3,FALSE)</f>
        <v>1</v>
      </c>
      <c r="T52" s="15">
        <v>803001</v>
      </c>
      <c r="U52" s="12" t="s">
        <v>95</v>
      </c>
      <c r="V52" s="15">
        <v>6</v>
      </c>
      <c r="W52" s="29"/>
      <c r="X52" s="15"/>
      <c r="Y52" s="15"/>
      <c r="Z52" s="15"/>
      <c r="AA52" s="29"/>
      <c r="AB52">
        <f t="shared" si="14"/>
        <v>9</v>
      </c>
      <c r="AC52">
        <f t="shared" si="15"/>
        <v>15</v>
      </c>
      <c r="AD52">
        <f t="shared" si="4"/>
        <v>2.5</v>
      </c>
    </row>
    <row r="53" spans="1:30" x14ac:dyDescent="0.15">
      <c r="A53" s="41">
        <v>40100201</v>
      </c>
      <c r="B53" s="15">
        <v>0</v>
      </c>
      <c r="C53" s="43">
        <v>105012</v>
      </c>
      <c r="D53" s="12" t="s">
        <v>92</v>
      </c>
      <c r="E53" s="12">
        <v>0</v>
      </c>
      <c r="F53" s="15">
        <v>1</v>
      </c>
      <c r="G53" s="15">
        <v>15</v>
      </c>
      <c r="H53" s="14">
        <f>VLOOKUP(I53,[1]stuff!$A:$C,3,FALSE)</f>
        <v>5</v>
      </c>
      <c r="I53" s="15">
        <v>401002</v>
      </c>
      <c r="J53" s="12" t="s">
        <v>97</v>
      </c>
      <c r="K53" s="15">
        <f t="shared" si="16"/>
        <v>0.66666666666666663</v>
      </c>
      <c r="L53" s="15">
        <f t="shared" si="1"/>
        <v>0.3888888888888889</v>
      </c>
      <c r="M53" s="23">
        <v>3</v>
      </c>
      <c r="N53" s="23">
        <v>1</v>
      </c>
      <c r="O53" s="24"/>
      <c r="P53" s="15">
        <v>303002</v>
      </c>
      <c r="Q53" s="12" t="s">
        <v>99</v>
      </c>
      <c r="R53" s="12">
        <v>9</v>
      </c>
      <c r="S53" s="14">
        <f>VLOOKUP(P53,[1]stuff!$A:$C,3,FALSE)</f>
        <v>1</v>
      </c>
      <c r="T53" s="15">
        <v>803001</v>
      </c>
      <c r="U53" s="12" t="s">
        <v>95</v>
      </c>
      <c r="V53" s="15">
        <v>6</v>
      </c>
      <c r="W53" s="29"/>
      <c r="X53" s="15"/>
      <c r="Y53" s="15"/>
      <c r="Z53" s="15"/>
      <c r="AA53" s="29"/>
      <c r="AB53">
        <f t="shared" si="14"/>
        <v>9</v>
      </c>
      <c r="AC53">
        <f t="shared" si="15"/>
        <v>15</v>
      </c>
      <c r="AD53">
        <f t="shared" si="4"/>
        <v>2.5</v>
      </c>
    </row>
    <row r="54" spans="1:30" x14ac:dyDescent="0.15">
      <c r="A54" s="41">
        <v>40100202</v>
      </c>
      <c r="B54" s="15">
        <v>0</v>
      </c>
      <c r="C54" s="43">
        <v>105012</v>
      </c>
      <c r="D54" s="12" t="s">
        <v>92</v>
      </c>
      <c r="E54" s="12">
        <v>0</v>
      </c>
      <c r="F54" s="15">
        <v>1</v>
      </c>
      <c r="G54" s="15">
        <v>15</v>
      </c>
      <c r="H54" s="14">
        <f>VLOOKUP(I54,[1]stuff!$A:$C,3,FALSE)</f>
        <v>5</v>
      </c>
      <c r="I54" s="15">
        <v>401002</v>
      </c>
      <c r="J54" s="12" t="s">
        <v>97</v>
      </c>
      <c r="K54" s="15">
        <f t="shared" si="16"/>
        <v>0.66666666666666663</v>
      </c>
      <c r="L54" s="15">
        <f t="shared" si="1"/>
        <v>0.3888888888888889</v>
      </c>
      <c r="M54" s="23">
        <v>3</v>
      </c>
      <c r="N54" s="23">
        <v>1</v>
      </c>
      <c r="O54" s="24"/>
      <c r="P54" s="15">
        <v>303001</v>
      </c>
      <c r="Q54" s="12" t="s">
        <v>251</v>
      </c>
      <c r="R54" s="12">
        <v>9</v>
      </c>
      <c r="S54" s="14">
        <f>VLOOKUP(P54,[1]stuff!$A:$C,3,FALSE)</f>
        <v>1</v>
      </c>
      <c r="T54" s="15">
        <v>803001</v>
      </c>
      <c r="U54" s="12" t="s">
        <v>95</v>
      </c>
      <c r="V54" s="15">
        <v>6</v>
      </c>
      <c r="W54" s="29"/>
      <c r="X54" s="15"/>
      <c r="Y54" s="15"/>
      <c r="Z54" s="15"/>
      <c r="AA54" s="29"/>
      <c r="AB54">
        <f t="shared" si="14"/>
        <v>9</v>
      </c>
      <c r="AC54">
        <f t="shared" si="15"/>
        <v>15</v>
      </c>
      <c r="AD54">
        <f t="shared" si="4"/>
        <v>2.5</v>
      </c>
    </row>
    <row r="55" spans="1:30" x14ac:dyDescent="0.15">
      <c r="A55" s="41">
        <v>40100300</v>
      </c>
      <c r="B55" s="15">
        <v>0</v>
      </c>
      <c r="C55" s="43">
        <v>105012</v>
      </c>
      <c r="D55" s="12" t="s">
        <v>92</v>
      </c>
      <c r="E55" s="12">
        <v>0</v>
      </c>
      <c r="F55" s="15">
        <v>1</v>
      </c>
      <c r="G55" s="15">
        <v>15</v>
      </c>
      <c r="H55" s="14">
        <f>VLOOKUP(I55,[1]stuff!$A:$C,3,FALSE)</f>
        <v>6</v>
      </c>
      <c r="I55" s="15">
        <v>401003</v>
      </c>
      <c r="J55" s="12" t="s">
        <v>249</v>
      </c>
      <c r="K55" s="15">
        <f t="shared" ref="K55" si="17">(AC55-AB55)/AB55</f>
        <v>0.5</v>
      </c>
      <c r="L55" s="15">
        <f t="shared" ref="L55" si="18">(AC55-AB55-AD55)/AB55</f>
        <v>0.29166666666666669</v>
      </c>
      <c r="M55" s="23">
        <v>3</v>
      </c>
      <c r="N55" s="23">
        <v>1</v>
      </c>
      <c r="O55" s="24"/>
      <c r="P55" s="15">
        <v>306001</v>
      </c>
      <c r="Q55" s="12" t="s">
        <v>250</v>
      </c>
      <c r="R55" s="12">
        <v>4</v>
      </c>
      <c r="S55" s="14">
        <f>VLOOKUP(P55,[1]stuff!$A:$C,3,FALSE)</f>
        <v>3</v>
      </c>
      <c r="T55" s="15">
        <v>803001</v>
      </c>
      <c r="U55" s="12" t="s">
        <v>95</v>
      </c>
      <c r="V55" s="15">
        <v>6</v>
      </c>
      <c r="W55" s="29"/>
      <c r="X55" s="15"/>
      <c r="Y55" s="15"/>
      <c r="Z55" s="15"/>
      <c r="AA55" s="29"/>
      <c r="AB55">
        <f t="shared" ref="AB55" si="19">R55*S55+V55*W55+Z55*AA55</f>
        <v>12</v>
      </c>
      <c r="AC55">
        <f t="shared" ref="AC55" si="20">H55*M55</f>
        <v>18</v>
      </c>
      <c r="AD55">
        <f t="shared" ref="AD55" si="21">G55/6</f>
        <v>2.5</v>
      </c>
    </row>
    <row r="56" spans="1:30" x14ac:dyDescent="0.15">
      <c r="A56" s="41">
        <v>42100100</v>
      </c>
      <c r="B56" s="15">
        <v>0</v>
      </c>
      <c r="C56" s="43">
        <v>105012</v>
      </c>
      <c r="D56" s="12" t="s">
        <v>92</v>
      </c>
      <c r="E56" s="12">
        <v>1</v>
      </c>
      <c r="F56" s="15">
        <v>1</v>
      </c>
      <c r="G56" s="15">
        <v>15</v>
      </c>
      <c r="H56" s="14">
        <f>VLOOKUP(I56,[1]stuff!$A:$C,3,FALSE)</f>
        <v>10</v>
      </c>
      <c r="I56" s="15">
        <v>421001</v>
      </c>
      <c r="J56" s="12" t="s">
        <v>100</v>
      </c>
      <c r="K56" s="15">
        <f t="shared" ref="K56" si="22">(AC56-AB56)/AB56</f>
        <v>-9.0909090909090912E-2</v>
      </c>
      <c r="L56" s="15">
        <f t="shared" si="1"/>
        <v>-0.13636363636363635</v>
      </c>
      <c r="M56" s="23">
        <v>5</v>
      </c>
      <c r="N56" s="23">
        <v>1</v>
      </c>
      <c r="O56" s="24"/>
      <c r="P56" s="15">
        <v>306001</v>
      </c>
      <c r="Q56" s="12" t="s">
        <v>101</v>
      </c>
      <c r="R56" s="12">
        <v>10</v>
      </c>
      <c r="S56" s="14">
        <f>VLOOKUP(P56,[1]stuff!$A:$C,3,FALSE)</f>
        <v>3</v>
      </c>
      <c r="T56" s="15">
        <v>803001</v>
      </c>
      <c r="U56" s="12" t="s">
        <v>95</v>
      </c>
      <c r="V56" s="15">
        <v>100</v>
      </c>
      <c r="W56" s="29"/>
      <c r="X56" s="15">
        <v>602001</v>
      </c>
      <c r="Y56" s="12" t="s">
        <v>102</v>
      </c>
      <c r="Z56" s="15">
        <v>5</v>
      </c>
      <c r="AA56" s="14">
        <f>VLOOKUP(X56,[1]stuff!$A:$C,3,FALSE)</f>
        <v>5</v>
      </c>
      <c r="AB56">
        <f t="shared" si="14"/>
        <v>55</v>
      </c>
      <c r="AC56">
        <f t="shared" si="15"/>
        <v>50</v>
      </c>
      <c r="AD56">
        <f t="shared" si="4"/>
        <v>2.5</v>
      </c>
    </row>
    <row r="57" spans="1:30" x14ac:dyDescent="0.15">
      <c r="A57" s="41">
        <v>42100101</v>
      </c>
      <c r="B57" s="15">
        <v>0</v>
      </c>
      <c r="C57" s="43">
        <v>105012</v>
      </c>
      <c r="D57" s="12" t="s">
        <v>92</v>
      </c>
      <c r="E57" s="12">
        <v>1</v>
      </c>
      <c r="F57" s="15">
        <v>1</v>
      </c>
      <c r="G57" s="15">
        <v>15</v>
      </c>
      <c r="H57" s="14">
        <f>VLOOKUP(I57,[1]stuff!$A:$C,3,FALSE)</f>
        <v>10</v>
      </c>
      <c r="I57" s="15">
        <v>421001</v>
      </c>
      <c r="J57" s="12" t="s">
        <v>100</v>
      </c>
      <c r="K57" s="15">
        <f t="shared" ref="K57" si="23">(AC57-AB57)/AB57</f>
        <v>-0.15254237288135594</v>
      </c>
      <c r="L57" s="15">
        <f t="shared" ref="L57" si="24">(AC57-AB57-AD57)/AB57</f>
        <v>-0.19491525423728814</v>
      </c>
      <c r="M57" s="23">
        <v>5</v>
      </c>
      <c r="N57" s="23">
        <v>1</v>
      </c>
      <c r="O57" s="24"/>
      <c r="P57" s="15">
        <v>306001</v>
      </c>
      <c r="Q57" s="12" t="s">
        <v>252</v>
      </c>
      <c r="R57" s="12">
        <v>3</v>
      </c>
      <c r="S57" s="14">
        <f>VLOOKUP(P57,[1]stuff!$A:$C,3,FALSE)</f>
        <v>3</v>
      </c>
      <c r="T57" s="15">
        <v>803001</v>
      </c>
      <c r="U57" s="12" t="s">
        <v>95</v>
      </c>
      <c r="V57" s="15">
        <v>100</v>
      </c>
      <c r="W57" s="29"/>
      <c r="X57" s="15">
        <v>602004</v>
      </c>
      <c r="Y57" s="12" t="s">
        <v>246</v>
      </c>
      <c r="Z57" s="15">
        <v>1</v>
      </c>
      <c r="AA57" s="14">
        <f>VLOOKUP(X57,[1]stuff!$A:$C,3,FALSE)</f>
        <v>50</v>
      </c>
      <c r="AB57">
        <f t="shared" ref="AB57" si="25">R57*S57+V57*W57+Z57*AA57</f>
        <v>59</v>
      </c>
      <c r="AC57">
        <f t="shared" ref="AC57" si="26">H57*M57</f>
        <v>50</v>
      </c>
      <c r="AD57">
        <f t="shared" ref="AD57" si="27">G57/6</f>
        <v>2.5</v>
      </c>
    </row>
    <row r="58" spans="1:30" x14ac:dyDescent="0.15">
      <c r="A58" s="41">
        <v>60200201</v>
      </c>
      <c r="B58" s="15">
        <v>0</v>
      </c>
      <c r="C58" s="44">
        <v>105025</v>
      </c>
      <c r="D58" s="12" t="s">
        <v>103</v>
      </c>
      <c r="E58" s="12">
        <v>0</v>
      </c>
      <c r="F58" s="15">
        <v>1</v>
      </c>
      <c r="G58" s="15">
        <v>30</v>
      </c>
      <c r="H58" s="14">
        <f>VLOOKUP(I58,[1]stuff!$A:$C,3,FALSE)</f>
        <v>15</v>
      </c>
      <c r="I58" s="15">
        <v>602002</v>
      </c>
      <c r="J58" s="12" t="s">
        <v>104</v>
      </c>
      <c r="K58" s="15">
        <f t="shared" si="16"/>
        <v>0.5</v>
      </c>
      <c r="L58" s="15">
        <f t="shared" si="1"/>
        <v>0.45</v>
      </c>
      <c r="M58" s="23">
        <v>10</v>
      </c>
      <c r="N58" s="23">
        <v>2</v>
      </c>
      <c r="O58" s="24"/>
      <c r="P58" s="15">
        <v>602001</v>
      </c>
      <c r="Q58" s="12" t="s">
        <v>102</v>
      </c>
      <c r="R58" s="12">
        <v>20</v>
      </c>
      <c r="S58" s="14">
        <f>VLOOKUP(P58,[1]stuff!$A:$C,3,FALSE)</f>
        <v>5</v>
      </c>
      <c r="T58" s="15">
        <v>803001</v>
      </c>
      <c r="U58" s="12" t="s">
        <v>95</v>
      </c>
      <c r="V58" s="15">
        <v>100</v>
      </c>
      <c r="W58" s="29"/>
      <c r="X58" s="15"/>
      <c r="Y58" s="15"/>
      <c r="Z58" s="15"/>
      <c r="AA58" s="29"/>
      <c r="AB58">
        <f t="shared" si="14"/>
        <v>100</v>
      </c>
      <c r="AC58">
        <f t="shared" si="15"/>
        <v>150</v>
      </c>
      <c r="AD58">
        <f t="shared" si="4"/>
        <v>5</v>
      </c>
    </row>
    <row r="59" spans="1:30" x14ac:dyDescent="0.15">
      <c r="A59" s="41">
        <v>60200202</v>
      </c>
      <c r="B59" s="15">
        <v>0</v>
      </c>
      <c r="C59" s="44">
        <v>105025</v>
      </c>
      <c r="D59" s="12" t="s">
        <v>103</v>
      </c>
      <c r="E59" s="12">
        <v>0</v>
      </c>
      <c r="F59" s="15">
        <v>1</v>
      </c>
      <c r="G59" s="15">
        <v>30</v>
      </c>
      <c r="H59" s="14">
        <f>VLOOKUP(I59,[1]stuff!$A:$C,3,FALSE)</f>
        <v>15</v>
      </c>
      <c r="I59" s="15">
        <v>602002</v>
      </c>
      <c r="J59" s="12" t="s">
        <v>104</v>
      </c>
      <c r="K59" s="15">
        <f t="shared" ref="K59" si="28">(AC59-AB59)/AB59</f>
        <v>0.5</v>
      </c>
      <c r="L59" s="15">
        <f t="shared" ref="L59" si="29">(AC59-AB59-AD59)/AB59</f>
        <v>0.45</v>
      </c>
      <c r="M59" s="23">
        <v>10</v>
      </c>
      <c r="N59" s="23">
        <v>2</v>
      </c>
      <c r="O59" s="24"/>
      <c r="P59" s="15">
        <v>602003</v>
      </c>
      <c r="Q59" s="12" t="s">
        <v>245</v>
      </c>
      <c r="R59" s="12">
        <v>2</v>
      </c>
      <c r="S59" s="14">
        <f>VLOOKUP(P59,[1]stuff!$A:$C,3,FALSE)</f>
        <v>50</v>
      </c>
      <c r="T59" s="15">
        <v>803001</v>
      </c>
      <c r="U59" s="12" t="s">
        <v>95</v>
      </c>
      <c r="V59" s="15">
        <v>100</v>
      </c>
      <c r="W59" s="29"/>
      <c r="X59" s="15"/>
      <c r="Y59" s="15"/>
      <c r="Z59" s="15"/>
      <c r="AA59" s="29"/>
      <c r="AB59">
        <f t="shared" ref="AB59" si="30">R59*S59+V59*W59+Z59*AA59</f>
        <v>100</v>
      </c>
      <c r="AC59">
        <f t="shared" ref="AC59" si="31">H59*M59</f>
        <v>150</v>
      </c>
      <c r="AD59">
        <f t="shared" ref="AD59" si="32">G59/6</f>
        <v>5</v>
      </c>
    </row>
    <row r="60" spans="1:30" x14ac:dyDescent="0.15">
      <c r="A60" s="41">
        <v>41800101</v>
      </c>
      <c r="B60" s="15">
        <v>0</v>
      </c>
      <c r="C60" s="44">
        <v>105025</v>
      </c>
      <c r="D60" s="12" t="s">
        <v>103</v>
      </c>
      <c r="E60" s="12">
        <v>1</v>
      </c>
      <c r="F60" s="15">
        <v>1</v>
      </c>
      <c r="G60" s="15">
        <v>49</v>
      </c>
      <c r="H60" s="14">
        <f>VLOOKUP(I60,[1]stuff!$A:$C,3,FALSE)</f>
        <v>500</v>
      </c>
      <c r="I60" s="15">
        <v>418001</v>
      </c>
      <c r="J60" s="12" t="s">
        <v>105</v>
      </c>
      <c r="K60" s="15">
        <f t="shared" si="16"/>
        <v>-0.33333333333333331</v>
      </c>
      <c r="L60" s="15">
        <f t="shared" si="1"/>
        <v>-0.34422222222222226</v>
      </c>
      <c r="M60" s="23">
        <v>1</v>
      </c>
      <c r="N60" s="23">
        <v>0</v>
      </c>
      <c r="O60" s="24"/>
      <c r="P60" s="15">
        <v>301006</v>
      </c>
      <c r="Q60" s="15" t="s">
        <v>106</v>
      </c>
      <c r="R60" s="12">
        <v>500</v>
      </c>
      <c r="S60" s="14">
        <f>VLOOKUP(P60,[1]stuff!$A:$C,3,FALSE)</f>
        <v>1</v>
      </c>
      <c r="T60" s="15">
        <v>803001</v>
      </c>
      <c r="U60" s="12" t="s">
        <v>95</v>
      </c>
      <c r="V60" s="15">
        <v>500</v>
      </c>
      <c r="W60" s="29"/>
      <c r="X60" s="15">
        <v>602001</v>
      </c>
      <c r="Y60" s="12" t="s">
        <v>102</v>
      </c>
      <c r="Z60" s="12">
        <v>50</v>
      </c>
      <c r="AA60" s="14">
        <f>VLOOKUP(X60,[1]stuff!$A:$C,3,FALSE)</f>
        <v>5</v>
      </c>
      <c r="AB60">
        <f t="shared" si="14"/>
        <v>750</v>
      </c>
      <c r="AC60">
        <f t="shared" si="15"/>
        <v>500</v>
      </c>
      <c r="AD60">
        <f t="shared" si="4"/>
        <v>8.1666666666666661</v>
      </c>
    </row>
    <row r="61" spans="1:30" x14ac:dyDescent="0.15">
      <c r="A61" s="41">
        <v>41800201</v>
      </c>
      <c r="B61" s="15">
        <v>0</v>
      </c>
      <c r="C61" s="44">
        <v>105025</v>
      </c>
      <c r="D61" s="12" t="s">
        <v>103</v>
      </c>
      <c r="E61" s="12">
        <v>1</v>
      </c>
      <c r="F61" s="15">
        <v>1</v>
      </c>
      <c r="G61" s="15">
        <v>49</v>
      </c>
      <c r="H61" s="14">
        <f>VLOOKUP(I61,[1]stuff!$A:$C,3,FALSE)</f>
        <v>1000</v>
      </c>
      <c r="I61" s="15">
        <v>418002</v>
      </c>
      <c r="J61" s="12" t="s">
        <v>107</v>
      </c>
      <c r="K61" s="15">
        <f t="shared" ref="K61" si="33">(AC61-AB61)/AB61</f>
        <v>-4.7619047619047616E-2</v>
      </c>
      <c r="L61" s="15">
        <f t="shared" si="1"/>
        <v>-5.5396825396825396E-2</v>
      </c>
      <c r="M61" s="23">
        <v>1</v>
      </c>
      <c r="N61" s="23">
        <v>0</v>
      </c>
      <c r="O61" s="24"/>
      <c r="P61" s="15">
        <v>602001</v>
      </c>
      <c r="Q61" s="12" t="s">
        <v>102</v>
      </c>
      <c r="R61" s="12">
        <v>50</v>
      </c>
      <c r="S61" s="14">
        <f>VLOOKUP(P61,[1]stuff!$A:$C,3,FALSE)</f>
        <v>5</v>
      </c>
      <c r="T61" s="15">
        <v>803001</v>
      </c>
      <c r="U61" s="12" t="s">
        <v>95</v>
      </c>
      <c r="V61" s="15">
        <v>500</v>
      </c>
      <c r="W61" s="29"/>
      <c r="X61" s="15">
        <v>614001</v>
      </c>
      <c r="Y61" s="25" t="s">
        <v>108</v>
      </c>
      <c r="Z61" s="12">
        <v>1</v>
      </c>
      <c r="AA61" s="14">
        <f>VLOOKUP(X61,[1]stuff!$A:$C,3,FALSE)</f>
        <v>800</v>
      </c>
      <c r="AB61">
        <f t="shared" si="14"/>
        <v>1050</v>
      </c>
      <c r="AC61">
        <f t="shared" si="15"/>
        <v>1000</v>
      </c>
      <c r="AD61">
        <f t="shared" si="4"/>
        <v>8.1666666666666661</v>
      </c>
    </row>
    <row r="62" spans="1:30" x14ac:dyDescent="0.15">
      <c r="A62" s="41">
        <v>41200301</v>
      </c>
      <c r="B62" s="15">
        <v>0</v>
      </c>
      <c r="C62" s="44">
        <v>105025</v>
      </c>
      <c r="D62" s="12" t="s">
        <v>103</v>
      </c>
      <c r="E62" s="12">
        <v>1</v>
      </c>
      <c r="F62" s="15">
        <v>1</v>
      </c>
      <c r="G62" s="15">
        <v>30</v>
      </c>
      <c r="H62" s="14">
        <f>VLOOKUP(I62,[1]stuff!$A:$C,3,FALSE)</f>
        <v>10</v>
      </c>
      <c r="I62" s="15">
        <v>412003</v>
      </c>
      <c r="J62" s="12" t="s">
        <v>220</v>
      </c>
      <c r="K62" s="15">
        <f t="shared" ref="K62:K69" si="34">(AC62-AB62)/AB62</f>
        <v>0.5</v>
      </c>
      <c r="L62" s="15">
        <f t="shared" si="1"/>
        <v>0.45</v>
      </c>
      <c r="M62" s="23">
        <v>15</v>
      </c>
      <c r="N62" s="23">
        <v>1</v>
      </c>
      <c r="O62" s="24"/>
      <c r="P62" s="15">
        <v>611003</v>
      </c>
      <c r="Q62" s="15" t="s">
        <v>194</v>
      </c>
      <c r="R62" s="12">
        <v>100</v>
      </c>
      <c r="S62" s="14">
        <f>VLOOKUP(P62,[1]stuff!$A:$C,3,FALSE)</f>
        <v>1</v>
      </c>
      <c r="T62" s="15">
        <v>803001</v>
      </c>
      <c r="U62" s="12" t="s">
        <v>95</v>
      </c>
      <c r="V62" s="15">
        <v>60</v>
      </c>
      <c r="W62" s="29"/>
      <c r="X62" s="15"/>
      <c r="Y62" s="12"/>
      <c r="Z62" s="12"/>
      <c r="AA62" s="14"/>
      <c r="AB62">
        <f t="shared" si="14"/>
        <v>100</v>
      </c>
      <c r="AC62">
        <f t="shared" si="15"/>
        <v>150</v>
      </c>
      <c r="AD62">
        <f t="shared" si="4"/>
        <v>5</v>
      </c>
    </row>
    <row r="63" spans="1:30" x14ac:dyDescent="0.15">
      <c r="A63" s="41">
        <v>42900100</v>
      </c>
      <c r="B63" s="15">
        <v>0</v>
      </c>
      <c r="C63" s="44">
        <v>105025</v>
      </c>
      <c r="D63" s="12" t="s">
        <v>103</v>
      </c>
      <c r="E63" s="12">
        <v>1</v>
      </c>
      <c r="F63" s="15">
        <v>1</v>
      </c>
      <c r="G63" s="15">
        <v>30</v>
      </c>
      <c r="H63" s="14">
        <f>VLOOKUP(I63,[1]stuff!$A:$C,3,FALSE)</f>
        <v>10</v>
      </c>
      <c r="I63" s="15">
        <v>429001</v>
      </c>
      <c r="J63" s="12" t="s">
        <v>253</v>
      </c>
      <c r="K63" s="15">
        <f t="shared" si="34"/>
        <v>0.53846153846153844</v>
      </c>
      <c r="L63" s="15">
        <f t="shared" si="1"/>
        <v>0.53076923076923077</v>
      </c>
      <c r="M63" s="23">
        <v>100</v>
      </c>
      <c r="N63" s="23">
        <v>5</v>
      </c>
      <c r="O63" s="24"/>
      <c r="P63" s="15">
        <v>620001</v>
      </c>
      <c r="Q63" s="12" t="s">
        <v>256</v>
      </c>
      <c r="R63" s="12">
        <v>5</v>
      </c>
      <c r="S63" s="14">
        <f>VLOOKUP(P63,[1]stuff!$A:$C,3,FALSE)</f>
        <v>50</v>
      </c>
      <c r="T63" s="15">
        <v>803001</v>
      </c>
      <c r="U63" s="12" t="s">
        <v>95</v>
      </c>
      <c r="V63" s="15">
        <v>100</v>
      </c>
      <c r="W63" s="29"/>
      <c r="X63" s="15">
        <v>611005</v>
      </c>
      <c r="Y63" s="12" t="s">
        <v>221</v>
      </c>
      <c r="Z63" s="12">
        <v>200</v>
      </c>
      <c r="AA63" s="14">
        <f>VLOOKUP(X63,[1]stuff!$A:$C,3,FALSE)</f>
        <v>2</v>
      </c>
      <c r="AB63">
        <f t="shared" si="14"/>
        <v>650</v>
      </c>
      <c r="AC63">
        <f t="shared" si="15"/>
        <v>1000</v>
      </c>
      <c r="AD63">
        <f t="shared" si="4"/>
        <v>5</v>
      </c>
    </row>
    <row r="64" spans="1:30" x14ac:dyDescent="0.15">
      <c r="A64" s="41">
        <v>42900101</v>
      </c>
      <c r="B64" s="15">
        <v>0</v>
      </c>
      <c r="C64" s="44">
        <v>105025</v>
      </c>
      <c r="D64" s="12" t="s">
        <v>103</v>
      </c>
      <c r="E64" s="12">
        <v>1</v>
      </c>
      <c r="F64" s="15">
        <v>1</v>
      </c>
      <c r="G64" s="15">
        <v>30</v>
      </c>
      <c r="H64" s="14">
        <f>VLOOKUP(I64,[1]stuff!$A:$C,3,FALSE)</f>
        <v>10</v>
      </c>
      <c r="I64" s="15">
        <v>429001</v>
      </c>
      <c r="J64" s="12" t="s">
        <v>253</v>
      </c>
      <c r="K64" s="15">
        <f t="shared" ref="K64" si="35">(AC64-AB64)/AB64</f>
        <v>0.53846153846153844</v>
      </c>
      <c r="L64" s="15">
        <f t="shared" ref="L64" si="36">(AC64-AB64-AD64)/AB64</f>
        <v>0.53076923076923077</v>
      </c>
      <c r="M64" s="23">
        <v>100</v>
      </c>
      <c r="N64" s="23">
        <v>5</v>
      </c>
      <c r="O64" s="24"/>
      <c r="P64" s="15">
        <v>620002</v>
      </c>
      <c r="Q64" s="12" t="s">
        <v>258</v>
      </c>
      <c r="R64" s="12">
        <v>10</v>
      </c>
      <c r="S64" s="14">
        <f>VLOOKUP(P64,[1]stuff!$A:$C,3,FALSE)</f>
        <v>25</v>
      </c>
      <c r="T64" s="15">
        <v>803001</v>
      </c>
      <c r="U64" s="12" t="s">
        <v>95</v>
      </c>
      <c r="V64" s="15">
        <v>100</v>
      </c>
      <c r="W64" s="29"/>
      <c r="X64" s="15">
        <v>611005</v>
      </c>
      <c r="Y64" s="12" t="s">
        <v>221</v>
      </c>
      <c r="Z64" s="12">
        <v>200</v>
      </c>
      <c r="AA64" s="14">
        <f>VLOOKUP(X64,[1]stuff!$A:$C,3,FALSE)</f>
        <v>2</v>
      </c>
      <c r="AB64">
        <f t="shared" ref="AB64" si="37">R64*S64+V64*W64+Z64*AA64</f>
        <v>650</v>
      </c>
      <c r="AC64">
        <f t="shared" ref="AC64" si="38">H64*M64</f>
        <v>1000</v>
      </c>
      <c r="AD64">
        <f t="shared" ref="AD64" si="39">G64/6</f>
        <v>5</v>
      </c>
    </row>
    <row r="65" spans="1:30" x14ac:dyDescent="0.15">
      <c r="A65" s="15">
        <v>42900200</v>
      </c>
      <c r="B65" s="15">
        <v>0</v>
      </c>
      <c r="C65" s="44">
        <v>105025</v>
      </c>
      <c r="D65" s="12" t="s">
        <v>103</v>
      </c>
      <c r="E65" s="12">
        <v>1</v>
      </c>
      <c r="F65" s="15">
        <v>1</v>
      </c>
      <c r="G65" s="15">
        <v>30</v>
      </c>
      <c r="H65" s="14">
        <f>VLOOKUP(I65,[1]stuff!$A:$C,3,FALSE)</f>
        <v>10</v>
      </c>
      <c r="I65" s="15">
        <v>429002</v>
      </c>
      <c r="J65" s="12" t="s">
        <v>254</v>
      </c>
      <c r="K65" s="15">
        <f t="shared" si="34"/>
        <v>0.1111111111111111</v>
      </c>
      <c r="L65" s="15">
        <f t="shared" si="1"/>
        <v>0.10555555555555556</v>
      </c>
      <c r="M65" s="23">
        <v>100</v>
      </c>
      <c r="N65" s="23">
        <v>5</v>
      </c>
      <c r="O65" s="24"/>
      <c r="P65" s="15">
        <v>620001</v>
      </c>
      <c r="Q65" s="12" t="s">
        <v>256</v>
      </c>
      <c r="R65" s="12">
        <v>2</v>
      </c>
      <c r="S65" s="14">
        <f>VLOOKUP(P65,[1]stuff!$A:$C,3,FALSE)</f>
        <v>50</v>
      </c>
      <c r="T65" s="15">
        <v>803001</v>
      </c>
      <c r="U65" s="12" t="s">
        <v>95</v>
      </c>
      <c r="V65" s="15">
        <v>100</v>
      </c>
      <c r="W65" s="29"/>
      <c r="X65" s="15">
        <v>614001</v>
      </c>
      <c r="Y65" s="25" t="s">
        <v>257</v>
      </c>
      <c r="Z65" s="12">
        <v>1</v>
      </c>
      <c r="AA65" s="14">
        <f>VLOOKUP(X65,[1]stuff!$A:$C,3,FALSE)</f>
        <v>800</v>
      </c>
      <c r="AB65">
        <f t="shared" si="14"/>
        <v>900</v>
      </c>
      <c r="AC65">
        <f t="shared" si="15"/>
        <v>1000</v>
      </c>
      <c r="AD65">
        <f t="shared" si="4"/>
        <v>5</v>
      </c>
    </row>
    <row r="66" spans="1:30" x14ac:dyDescent="0.15">
      <c r="A66" s="15">
        <v>42900201</v>
      </c>
      <c r="B66" s="15">
        <v>0</v>
      </c>
      <c r="C66" s="44">
        <v>105025</v>
      </c>
      <c r="D66" s="12" t="s">
        <v>103</v>
      </c>
      <c r="E66" s="12">
        <v>1</v>
      </c>
      <c r="F66" s="15">
        <v>1</v>
      </c>
      <c r="G66" s="15">
        <v>30</v>
      </c>
      <c r="H66" s="14">
        <f>VLOOKUP(I66,[1]stuff!$A:$C,3,FALSE)</f>
        <v>10</v>
      </c>
      <c r="I66" s="15">
        <v>429002</v>
      </c>
      <c r="J66" s="12" t="s">
        <v>254</v>
      </c>
      <c r="K66" s="15">
        <f t="shared" ref="K66" si="40">(AC66-AB66)/AB66</f>
        <v>0.1111111111111111</v>
      </c>
      <c r="L66" s="15">
        <f t="shared" ref="L66" si="41">(AC66-AB66-AD66)/AB66</f>
        <v>0.10555555555555556</v>
      </c>
      <c r="M66" s="23">
        <v>100</v>
      </c>
      <c r="N66" s="23">
        <v>5</v>
      </c>
      <c r="O66" s="24"/>
      <c r="P66" s="15">
        <v>620002</v>
      </c>
      <c r="Q66" s="12" t="s">
        <v>258</v>
      </c>
      <c r="R66" s="12">
        <v>4</v>
      </c>
      <c r="S66" s="14">
        <f>VLOOKUP(P66,[1]stuff!$A:$C,3,FALSE)</f>
        <v>25</v>
      </c>
      <c r="T66" s="15">
        <v>803001</v>
      </c>
      <c r="U66" s="12" t="s">
        <v>95</v>
      </c>
      <c r="V66" s="15">
        <v>100</v>
      </c>
      <c r="W66" s="29"/>
      <c r="X66" s="15">
        <v>614001</v>
      </c>
      <c r="Y66" s="25" t="s">
        <v>257</v>
      </c>
      <c r="Z66" s="12">
        <v>1</v>
      </c>
      <c r="AA66" s="14">
        <f>VLOOKUP(X66,[1]stuff!$A:$C,3,FALSE)</f>
        <v>800</v>
      </c>
      <c r="AB66">
        <f t="shared" ref="AB66" si="42">R66*S66+V66*W66+Z66*AA66</f>
        <v>900</v>
      </c>
      <c r="AC66">
        <f t="shared" ref="AC66" si="43">H66*M66</f>
        <v>1000</v>
      </c>
      <c r="AD66">
        <f t="shared" ref="AD66" si="44">G66/6</f>
        <v>5</v>
      </c>
    </row>
    <row r="67" spans="1:30" x14ac:dyDescent="0.15">
      <c r="A67" s="15">
        <v>42900300</v>
      </c>
      <c r="B67" s="15">
        <v>0</v>
      </c>
      <c r="C67" s="44">
        <v>105025</v>
      </c>
      <c r="D67" s="12" t="s">
        <v>103</v>
      </c>
      <c r="E67" s="12">
        <v>1</v>
      </c>
      <c r="F67" s="15">
        <v>1</v>
      </c>
      <c r="G67" s="15">
        <v>30</v>
      </c>
      <c r="H67" s="14">
        <f>VLOOKUP(I67,[1]stuff!$A:$C,3,FALSE)</f>
        <v>10</v>
      </c>
      <c r="I67" s="15">
        <v>429003</v>
      </c>
      <c r="J67" s="12" t="s">
        <v>255</v>
      </c>
      <c r="K67" s="15">
        <f t="shared" si="34"/>
        <v>0.1111111111111111</v>
      </c>
      <c r="L67" s="15">
        <f t="shared" si="1"/>
        <v>0.10555555555555556</v>
      </c>
      <c r="M67" s="23">
        <v>100</v>
      </c>
      <c r="N67" s="23">
        <v>5</v>
      </c>
      <c r="O67" s="24"/>
      <c r="P67" s="15">
        <v>620001</v>
      </c>
      <c r="Q67" s="12" t="s">
        <v>256</v>
      </c>
      <c r="R67" s="12">
        <v>10</v>
      </c>
      <c r="S67" s="14">
        <f>VLOOKUP(P67,[1]stuff!$A:$C,3,FALSE)</f>
        <v>50</v>
      </c>
      <c r="T67" s="15">
        <v>803001</v>
      </c>
      <c r="U67" s="12" t="s">
        <v>95</v>
      </c>
      <c r="V67" s="15">
        <v>100</v>
      </c>
      <c r="W67" s="29"/>
      <c r="X67" s="15">
        <v>412003</v>
      </c>
      <c r="Y67" s="12" t="s">
        <v>220</v>
      </c>
      <c r="Z67" s="12">
        <v>40</v>
      </c>
      <c r="AA67" s="14">
        <f>VLOOKUP(X67,[1]stuff!$A:$C,3,FALSE)</f>
        <v>10</v>
      </c>
      <c r="AB67">
        <f t="shared" si="14"/>
        <v>900</v>
      </c>
      <c r="AC67">
        <f t="shared" si="15"/>
        <v>1000</v>
      </c>
      <c r="AD67">
        <f t="shared" si="4"/>
        <v>5</v>
      </c>
    </row>
    <row r="68" spans="1:30" x14ac:dyDescent="0.15">
      <c r="A68" s="15">
        <v>42900301</v>
      </c>
      <c r="B68" s="15">
        <v>0</v>
      </c>
      <c r="C68" s="44">
        <v>105025</v>
      </c>
      <c r="D68" s="12" t="s">
        <v>103</v>
      </c>
      <c r="E68" s="12">
        <v>1</v>
      </c>
      <c r="F68" s="15">
        <v>1</v>
      </c>
      <c r="G68" s="15">
        <v>30</v>
      </c>
      <c r="H68" s="14">
        <f>VLOOKUP(I68,[1]stuff!$A:$C,3,FALSE)</f>
        <v>10</v>
      </c>
      <c r="I68" s="15">
        <v>429003</v>
      </c>
      <c r="J68" s="12" t="s">
        <v>255</v>
      </c>
      <c r="K68" s="15">
        <f t="shared" ref="K68" si="45">(AC68-AB68)/AB68</f>
        <v>0.1111111111111111</v>
      </c>
      <c r="L68" s="15">
        <f t="shared" ref="L68" si="46">(AC68-AB68-AD68)/AB68</f>
        <v>0.10555555555555556</v>
      </c>
      <c r="M68" s="23">
        <v>100</v>
      </c>
      <c r="N68" s="23">
        <v>5</v>
      </c>
      <c r="O68" s="24"/>
      <c r="P68" s="15">
        <v>620002</v>
      </c>
      <c r="Q68" s="12" t="s">
        <v>258</v>
      </c>
      <c r="R68" s="12">
        <v>20</v>
      </c>
      <c r="S68" s="14">
        <f>VLOOKUP(P68,[1]stuff!$A:$C,3,FALSE)</f>
        <v>25</v>
      </c>
      <c r="T68" s="15">
        <v>803001</v>
      </c>
      <c r="U68" s="12" t="s">
        <v>95</v>
      </c>
      <c r="V68" s="15">
        <v>100</v>
      </c>
      <c r="W68" s="29"/>
      <c r="X68" s="15">
        <v>412003</v>
      </c>
      <c r="Y68" s="12" t="s">
        <v>220</v>
      </c>
      <c r="Z68" s="12">
        <v>40</v>
      </c>
      <c r="AA68" s="14">
        <f>VLOOKUP(X68,[1]stuff!$A:$C,3,FALSE)</f>
        <v>10</v>
      </c>
      <c r="AB68">
        <f t="shared" ref="AB68" si="47">R68*S68+V68*W68+Z68*AA68</f>
        <v>900</v>
      </c>
      <c r="AC68">
        <f t="shared" ref="AC68" si="48">H68*M68</f>
        <v>1000</v>
      </c>
      <c r="AD68">
        <f t="shared" ref="AD68" si="49">G68/6</f>
        <v>5</v>
      </c>
    </row>
    <row r="69" spans="1:30" x14ac:dyDescent="0.15">
      <c r="A69" s="41">
        <v>61100501</v>
      </c>
      <c r="B69" s="15">
        <v>0</v>
      </c>
      <c r="C69" s="15">
        <v>105029</v>
      </c>
      <c r="D69" s="12" t="s">
        <v>219</v>
      </c>
      <c r="E69" s="12">
        <v>0</v>
      </c>
      <c r="F69" s="15">
        <v>1</v>
      </c>
      <c r="G69" s="15">
        <v>30</v>
      </c>
      <c r="H69" s="14">
        <f>VLOOKUP(I69,[1]stuff!$A:$C,3,FALSE)</f>
        <v>2</v>
      </c>
      <c r="I69" s="15">
        <v>611005</v>
      </c>
      <c r="J69" s="12" t="s">
        <v>221</v>
      </c>
      <c r="K69" s="15">
        <f t="shared" si="34"/>
        <v>0.33333333333333331</v>
      </c>
      <c r="L69" s="15">
        <f t="shared" si="1"/>
        <v>0.32222222222222224</v>
      </c>
      <c r="M69" s="23">
        <v>300</v>
      </c>
      <c r="N69" s="23">
        <v>0</v>
      </c>
      <c r="O69" s="24"/>
      <c r="P69" s="15">
        <v>302003</v>
      </c>
      <c r="Q69" s="15" t="s">
        <v>94</v>
      </c>
      <c r="R69" s="12">
        <v>450</v>
      </c>
      <c r="S69" s="14">
        <f>VLOOKUP(P69,[1]stuff!$A:$C,3,FALSE)</f>
        <v>1</v>
      </c>
      <c r="T69" s="15"/>
      <c r="U69" s="12"/>
      <c r="V69" s="15"/>
      <c r="W69" s="29"/>
      <c r="X69" s="15"/>
      <c r="Y69" s="12"/>
      <c r="Z69" s="12"/>
      <c r="AA69" s="14"/>
      <c r="AB69">
        <f t="shared" si="14"/>
        <v>450</v>
      </c>
      <c r="AC69">
        <f t="shared" si="15"/>
        <v>600</v>
      </c>
      <c r="AD69">
        <f t="shared" si="4"/>
        <v>5</v>
      </c>
    </row>
    <row r="70" spans="1:30" x14ac:dyDescent="0.15">
      <c r="A70" s="41">
        <v>61100502</v>
      </c>
      <c r="B70" s="15">
        <v>0</v>
      </c>
      <c r="C70" s="15">
        <v>105029</v>
      </c>
      <c r="D70" s="12" t="s">
        <v>219</v>
      </c>
      <c r="E70" s="12">
        <v>0</v>
      </c>
      <c r="F70" s="15">
        <v>1</v>
      </c>
      <c r="G70" s="15">
        <v>30</v>
      </c>
      <c r="H70" s="14">
        <f>VLOOKUP(I70,[1]stuff!$A:$C,3,FALSE)</f>
        <v>2</v>
      </c>
      <c r="I70" s="15">
        <v>611005</v>
      </c>
      <c r="J70" s="12" t="s">
        <v>221</v>
      </c>
      <c r="K70" s="15">
        <f t="shared" ref="K70:K71" si="50">(AC70-AB70)/AB70</f>
        <v>0.42857142857142855</v>
      </c>
      <c r="L70" s="15">
        <f t="shared" si="1"/>
        <v>0.41666666666666669</v>
      </c>
      <c r="M70" s="23">
        <v>300</v>
      </c>
      <c r="N70" s="23">
        <v>0</v>
      </c>
      <c r="O70" s="24"/>
      <c r="P70" s="15">
        <v>302001</v>
      </c>
      <c r="Q70" s="15" t="s">
        <v>222</v>
      </c>
      <c r="R70" s="12">
        <v>420</v>
      </c>
      <c r="S70" s="14">
        <f>VLOOKUP(P70,[1]stuff!$A:$C,3,FALSE)</f>
        <v>1</v>
      </c>
      <c r="T70" s="15"/>
      <c r="U70" s="12"/>
      <c r="V70" s="15"/>
      <c r="W70" s="29"/>
      <c r="X70" s="15"/>
      <c r="Y70" s="12"/>
      <c r="Z70" s="12"/>
      <c r="AA70" s="14"/>
      <c r="AB70">
        <f t="shared" si="14"/>
        <v>420</v>
      </c>
      <c r="AC70">
        <f t="shared" si="15"/>
        <v>600</v>
      </c>
      <c r="AD70">
        <f t="shared" si="4"/>
        <v>5</v>
      </c>
    </row>
    <row r="71" spans="1:30" x14ac:dyDescent="0.15">
      <c r="A71" s="41">
        <v>61100503</v>
      </c>
      <c r="B71" s="15">
        <v>0</v>
      </c>
      <c r="C71" s="15">
        <v>105032</v>
      </c>
      <c r="D71" s="12" t="s">
        <v>219</v>
      </c>
      <c r="E71" s="12">
        <v>0</v>
      </c>
      <c r="F71" s="15">
        <v>1</v>
      </c>
      <c r="G71" s="15">
        <v>1</v>
      </c>
      <c r="H71" s="14">
        <f>VLOOKUP(I71,[1]stuff!$A:$C,3,FALSE)</f>
        <v>2</v>
      </c>
      <c r="I71" s="15">
        <v>611005</v>
      </c>
      <c r="J71" s="12" t="s">
        <v>221</v>
      </c>
      <c r="K71" s="15">
        <f t="shared" si="50"/>
        <v>0.33333333333333331</v>
      </c>
      <c r="L71" s="15">
        <f t="shared" si="1"/>
        <v>0.33111111111111108</v>
      </c>
      <c r="M71" s="23">
        <v>50</v>
      </c>
      <c r="N71" s="23">
        <v>2</v>
      </c>
      <c r="O71" s="24"/>
      <c r="P71" s="15">
        <v>302003</v>
      </c>
      <c r="Q71" s="15" t="s">
        <v>94</v>
      </c>
      <c r="R71" s="12">
        <v>75</v>
      </c>
      <c r="S71" s="14">
        <f>VLOOKUP(P71,[1]stuff!$A:$C,3,FALSE)</f>
        <v>1</v>
      </c>
      <c r="T71" s="15"/>
      <c r="U71" s="12"/>
      <c r="V71" s="15"/>
      <c r="W71" s="29"/>
      <c r="X71" s="15"/>
      <c r="Y71" s="12"/>
      <c r="Z71" s="12"/>
      <c r="AA71" s="14"/>
      <c r="AB71">
        <f t="shared" ref="AB71:AB72" si="51">R71*S71+V71*W71+Z71*AA71</f>
        <v>75</v>
      </c>
      <c r="AC71">
        <f t="shared" ref="AC71:AC72" si="52">H71*M71</f>
        <v>100</v>
      </c>
      <c r="AD71">
        <f t="shared" si="4"/>
        <v>0.16666666666666666</v>
      </c>
    </row>
    <row r="72" spans="1:30" x14ac:dyDescent="0.15">
      <c r="A72" s="41">
        <v>61100504</v>
      </c>
      <c r="B72" s="15">
        <v>0</v>
      </c>
      <c r="C72" s="15">
        <v>105032</v>
      </c>
      <c r="D72" s="12" t="s">
        <v>219</v>
      </c>
      <c r="E72" s="12">
        <v>0</v>
      </c>
      <c r="F72" s="15">
        <v>1</v>
      </c>
      <c r="G72" s="15">
        <v>1</v>
      </c>
      <c r="H72" s="14">
        <f>VLOOKUP(I72,[1]stuff!$A:$C,3,FALSE)</f>
        <v>2</v>
      </c>
      <c r="I72" s="15">
        <v>611005</v>
      </c>
      <c r="J72" s="12" t="s">
        <v>221</v>
      </c>
      <c r="K72" s="15">
        <f t="shared" ref="K72" si="53">(AC72-AB72)/AB72</f>
        <v>0.42857142857142855</v>
      </c>
      <c r="L72" s="15">
        <f t="shared" si="1"/>
        <v>0.42619047619047618</v>
      </c>
      <c r="M72" s="23">
        <v>50</v>
      </c>
      <c r="N72" s="23">
        <v>2</v>
      </c>
      <c r="O72" s="24"/>
      <c r="P72" s="15">
        <v>302001</v>
      </c>
      <c r="Q72" s="15" t="s">
        <v>222</v>
      </c>
      <c r="R72" s="12">
        <v>70</v>
      </c>
      <c r="S72" s="14">
        <f>VLOOKUP(P72,[1]stuff!$A:$C,3,FALSE)</f>
        <v>1</v>
      </c>
      <c r="T72" s="15"/>
      <c r="U72" s="12"/>
      <c r="V72" s="15"/>
      <c r="W72" s="29"/>
      <c r="X72" s="15"/>
      <c r="Y72" s="12"/>
      <c r="Z72" s="12"/>
      <c r="AA72" s="14"/>
      <c r="AB72">
        <f t="shared" si="51"/>
        <v>70</v>
      </c>
      <c r="AC72">
        <f t="shared" si="52"/>
        <v>100</v>
      </c>
      <c r="AD72">
        <f t="shared" si="4"/>
        <v>0.16666666666666666</v>
      </c>
    </row>
    <row r="73" spans="1:30" x14ac:dyDescent="0.15">
      <c r="A73" s="41">
        <v>30100601</v>
      </c>
      <c r="B73" s="15">
        <v>0</v>
      </c>
      <c r="C73" s="15">
        <v>105030</v>
      </c>
      <c r="D73" s="12" t="s">
        <v>229</v>
      </c>
      <c r="E73" s="12">
        <v>0</v>
      </c>
      <c r="F73" s="15">
        <v>1</v>
      </c>
      <c r="G73" s="15">
        <v>90</v>
      </c>
      <c r="H73" s="14">
        <f>VLOOKUP(I73,[1]stuff!$A:$C,3,FALSE)</f>
        <v>1</v>
      </c>
      <c r="I73" s="39">
        <v>301006</v>
      </c>
      <c r="J73" s="39" t="s">
        <v>106</v>
      </c>
      <c r="K73" s="15">
        <f t="shared" ref="K73" si="54">(AC73-AB73)/AB73</f>
        <v>1.2222222222222223</v>
      </c>
      <c r="L73" s="15">
        <f t="shared" si="1"/>
        <v>-0.44444444444444442</v>
      </c>
      <c r="M73" s="23">
        <v>20</v>
      </c>
      <c r="N73" s="23">
        <v>1</v>
      </c>
      <c r="O73" s="24"/>
      <c r="P73" s="12">
        <v>604001</v>
      </c>
      <c r="Q73" s="12" t="s">
        <v>40</v>
      </c>
      <c r="R73" s="12">
        <v>3</v>
      </c>
      <c r="S73" s="14">
        <f>VLOOKUP(P73,[1]stuff!$A:$C,3,FALSE)</f>
        <v>2</v>
      </c>
      <c r="T73" s="15">
        <v>803001</v>
      </c>
      <c r="U73" s="12" t="s">
        <v>95</v>
      </c>
      <c r="V73" s="15">
        <v>10</v>
      </c>
      <c r="W73" s="29"/>
      <c r="X73" s="15">
        <v>609001</v>
      </c>
      <c r="Y73" s="15" t="s">
        <v>142</v>
      </c>
      <c r="Z73" s="12">
        <v>3</v>
      </c>
      <c r="AA73" s="14">
        <f>VLOOKUP(X73,[1]stuff!$A:$C,3,FALSE)</f>
        <v>1</v>
      </c>
      <c r="AB73">
        <f t="shared" ref="AB73" si="55">R73*S73+V73*W73+Z73*AA73</f>
        <v>9</v>
      </c>
      <c r="AC73">
        <f t="shared" ref="AC73" si="56">H73*M73</f>
        <v>20</v>
      </c>
      <c r="AD73">
        <f t="shared" si="4"/>
        <v>15</v>
      </c>
    </row>
    <row r="74" spans="1:30" x14ac:dyDescent="0.15">
      <c r="A74" s="41">
        <v>30500401</v>
      </c>
      <c r="B74" s="15">
        <v>0</v>
      </c>
      <c r="C74" s="43">
        <v>105016</v>
      </c>
      <c r="D74" s="15" t="s">
        <v>109</v>
      </c>
      <c r="E74" s="12">
        <v>0</v>
      </c>
      <c r="F74" s="15">
        <v>1</v>
      </c>
      <c r="G74" s="16">
        <v>8</v>
      </c>
      <c r="H74" s="14">
        <f>VLOOKUP(I74,[1]stuff!$A:$C,3,FALSE)</f>
        <v>1</v>
      </c>
      <c r="I74" s="15">
        <v>305004</v>
      </c>
      <c r="J74" s="25" t="s">
        <v>110</v>
      </c>
      <c r="K74" s="15">
        <f t="shared" si="16"/>
        <v>0.42857142857142855</v>
      </c>
      <c r="L74" s="15">
        <f t="shared" si="1"/>
        <v>0.40952380952380957</v>
      </c>
      <c r="M74" s="23">
        <v>100</v>
      </c>
      <c r="N74" s="23">
        <v>10</v>
      </c>
      <c r="O74" s="24"/>
      <c r="P74" s="15">
        <v>302</v>
      </c>
      <c r="Q74" s="12" t="s">
        <v>111</v>
      </c>
      <c r="R74" s="15">
        <v>70</v>
      </c>
      <c r="S74" s="14">
        <v>1</v>
      </c>
      <c r="T74" s="15"/>
      <c r="U74" s="15"/>
      <c r="V74" s="15"/>
      <c r="W74" s="29"/>
      <c r="X74" s="15"/>
      <c r="Y74" s="15"/>
      <c r="Z74" s="15"/>
      <c r="AA74" s="29"/>
      <c r="AB74">
        <f t="shared" si="14"/>
        <v>70</v>
      </c>
      <c r="AC74">
        <f t="shared" si="15"/>
        <v>100</v>
      </c>
      <c r="AD74">
        <f t="shared" si="4"/>
        <v>1.3333333333333333</v>
      </c>
    </row>
    <row r="75" spans="1:30" x14ac:dyDescent="0.15">
      <c r="A75" s="41">
        <v>30500402</v>
      </c>
      <c r="B75" s="15">
        <v>0</v>
      </c>
      <c r="C75" s="43">
        <v>105016</v>
      </c>
      <c r="D75" s="15" t="s">
        <v>109</v>
      </c>
      <c r="E75" s="12">
        <v>0</v>
      </c>
      <c r="F75" s="15">
        <v>1</v>
      </c>
      <c r="G75" s="16">
        <v>8</v>
      </c>
      <c r="H75" s="14">
        <f>VLOOKUP(I75,[1]stuff!$A:$C,3,FALSE)</f>
        <v>1</v>
      </c>
      <c r="I75" s="15">
        <v>305004</v>
      </c>
      <c r="J75" s="25" t="s">
        <v>110</v>
      </c>
      <c r="K75" s="15">
        <f t="shared" si="16"/>
        <v>0.25</v>
      </c>
      <c r="L75" s="15">
        <f t="shared" si="1"/>
        <v>0.23333333333333334</v>
      </c>
      <c r="M75" s="23">
        <v>100</v>
      </c>
      <c r="N75" s="23">
        <v>10</v>
      </c>
      <c r="O75" s="24"/>
      <c r="P75" s="15">
        <v>301</v>
      </c>
      <c r="Q75" s="12" t="s">
        <v>112</v>
      </c>
      <c r="R75" s="15">
        <v>80</v>
      </c>
      <c r="S75" s="14">
        <v>1</v>
      </c>
      <c r="T75" s="15"/>
      <c r="U75" s="15"/>
      <c r="V75" s="15"/>
      <c r="W75" s="29"/>
      <c r="X75" s="15"/>
      <c r="Y75" s="15"/>
      <c r="Z75" s="15"/>
      <c r="AA75" s="29"/>
      <c r="AB75">
        <f t="shared" si="14"/>
        <v>80</v>
      </c>
      <c r="AC75">
        <f t="shared" si="15"/>
        <v>100</v>
      </c>
      <c r="AD75">
        <f t="shared" si="4"/>
        <v>1.3333333333333333</v>
      </c>
    </row>
    <row r="76" spans="1:30" x14ac:dyDescent="0.15">
      <c r="A76" s="41">
        <v>30500403</v>
      </c>
      <c r="B76" s="15">
        <v>0</v>
      </c>
      <c r="C76" s="43">
        <v>105016</v>
      </c>
      <c r="D76" s="15" t="s">
        <v>109</v>
      </c>
      <c r="E76" s="12">
        <v>0</v>
      </c>
      <c r="F76" s="15">
        <v>1</v>
      </c>
      <c r="G76" s="16">
        <v>8</v>
      </c>
      <c r="H76" s="14">
        <f>VLOOKUP(I76,[1]stuff!$A:$C,3,FALSE)</f>
        <v>1</v>
      </c>
      <c r="I76" s="15">
        <v>305004</v>
      </c>
      <c r="J76" s="25" t="s">
        <v>110</v>
      </c>
      <c r="K76" s="15">
        <f t="shared" si="16"/>
        <v>0.25</v>
      </c>
      <c r="L76" s="15">
        <f t="shared" si="1"/>
        <v>0.23333333333333334</v>
      </c>
      <c r="M76" s="23">
        <v>100</v>
      </c>
      <c r="N76" s="23">
        <v>10</v>
      </c>
      <c r="O76" s="24"/>
      <c r="P76" s="15">
        <v>303</v>
      </c>
      <c r="Q76" s="12" t="s">
        <v>113</v>
      </c>
      <c r="R76" s="15">
        <v>80</v>
      </c>
      <c r="S76" s="14">
        <v>1</v>
      </c>
      <c r="T76" s="15"/>
      <c r="U76" s="15"/>
      <c r="V76" s="15"/>
      <c r="W76" s="29"/>
      <c r="X76" s="15"/>
      <c r="Y76" s="15"/>
      <c r="Z76" s="15"/>
      <c r="AA76" s="29"/>
      <c r="AB76">
        <f t="shared" si="14"/>
        <v>80</v>
      </c>
      <c r="AC76">
        <f t="shared" si="15"/>
        <v>100</v>
      </c>
      <c r="AD76">
        <f t="shared" si="4"/>
        <v>1.3333333333333333</v>
      </c>
    </row>
    <row r="77" spans="1:30" x14ac:dyDescent="0.15">
      <c r="A77" s="41">
        <v>30500101</v>
      </c>
      <c r="B77" s="15">
        <v>0</v>
      </c>
      <c r="C77" s="43">
        <v>105016</v>
      </c>
      <c r="D77" s="15" t="s">
        <v>109</v>
      </c>
      <c r="E77" s="12">
        <v>0</v>
      </c>
      <c r="F77" s="15">
        <v>1</v>
      </c>
      <c r="G77" s="16">
        <v>10</v>
      </c>
      <c r="H77" s="14">
        <f>VLOOKUP(I77,[1]stuff!$A:$C,3,FALSE)</f>
        <v>2</v>
      </c>
      <c r="I77" s="15">
        <v>305001</v>
      </c>
      <c r="J77" s="28" t="s">
        <v>114</v>
      </c>
      <c r="K77" s="15">
        <f t="shared" si="16"/>
        <v>0.53846153846153844</v>
      </c>
      <c r="L77" s="15">
        <f t="shared" ref="L77:L148" si="57">(AC77-AB77-AD77)/AB77</f>
        <v>0.52564102564102555</v>
      </c>
      <c r="M77" s="23">
        <v>100</v>
      </c>
      <c r="N77" s="23">
        <v>10</v>
      </c>
      <c r="O77" s="24"/>
      <c r="P77" s="15">
        <v>302</v>
      </c>
      <c r="Q77" s="12" t="s">
        <v>111</v>
      </c>
      <c r="R77" s="15">
        <v>30</v>
      </c>
      <c r="S77" s="14">
        <v>1</v>
      </c>
      <c r="T77" s="15">
        <v>304</v>
      </c>
      <c r="U77" s="12" t="s">
        <v>115</v>
      </c>
      <c r="V77" s="15">
        <v>50</v>
      </c>
      <c r="W77" s="29">
        <v>2</v>
      </c>
      <c r="X77" s="15"/>
      <c r="Y77" s="15"/>
      <c r="Z77" s="15"/>
      <c r="AA77" s="29"/>
      <c r="AB77">
        <f t="shared" si="14"/>
        <v>130</v>
      </c>
      <c r="AC77">
        <f t="shared" si="15"/>
        <v>200</v>
      </c>
      <c r="AD77">
        <f t="shared" ref="AD77:AD148" si="58">G77/6</f>
        <v>1.6666666666666667</v>
      </c>
    </row>
    <row r="78" spans="1:30" x14ac:dyDescent="0.15">
      <c r="A78" s="41">
        <v>30500102</v>
      </c>
      <c r="B78" s="15">
        <v>0</v>
      </c>
      <c r="C78" s="43">
        <v>105016</v>
      </c>
      <c r="D78" s="15" t="s">
        <v>109</v>
      </c>
      <c r="E78" s="12">
        <v>0</v>
      </c>
      <c r="F78" s="15">
        <v>1</v>
      </c>
      <c r="G78" s="16">
        <v>10</v>
      </c>
      <c r="H78" s="14">
        <f>VLOOKUP(I78,[1]stuff!$A:$C,3,FALSE)</f>
        <v>2</v>
      </c>
      <c r="I78" s="15">
        <v>305001</v>
      </c>
      <c r="J78" s="28" t="s">
        <v>114</v>
      </c>
      <c r="K78" s="15">
        <f t="shared" si="16"/>
        <v>0.1111111111111111</v>
      </c>
      <c r="L78" s="15">
        <f t="shared" si="57"/>
        <v>0.10185185185185185</v>
      </c>
      <c r="M78" s="23">
        <v>100</v>
      </c>
      <c r="N78" s="23">
        <v>10</v>
      </c>
      <c r="O78" s="24"/>
      <c r="P78" s="15"/>
      <c r="Q78" s="15"/>
      <c r="R78" s="15"/>
      <c r="S78" s="14"/>
      <c r="T78" s="15">
        <v>304</v>
      </c>
      <c r="U78" s="12" t="s">
        <v>115</v>
      </c>
      <c r="V78" s="15">
        <v>90</v>
      </c>
      <c r="W78" s="29">
        <v>2</v>
      </c>
      <c r="X78" s="15"/>
      <c r="Y78" s="15"/>
      <c r="Z78" s="15"/>
      <c r="AA78" s="29"/>
      <c r="AB78">
        <f t="shared" si="14"/>
        <v>180</v>
      </c>
      <c r="AC78">
        <f t="shared" si="15"/>
        <v>200</v>
      </c>
      <c r="AD78">
        <f t="shared" si="58"/>
        <v>1.6666666666666667</v>
      </c>
    </row>
    <row r="79" spans="1:30" x14ac:dyDescent="0.15">
      <c r="A79" s="41">
        <v>30500103</v>
      </c>
      <c r="B79" s="15">
        <v>0</v>
      </c>
      <c r="C79" s="43">
        <v>105016</v>
      </c>
      <c r="D79" s="15" t="s">
        <v>109</v>
      </c>
      <c r="E79" s="12">
        <v>0</v>
      </c>
      <c r="F79" s="15">
        <v>1</v>
      </c>
      <c r="G79" s="16">
        <v>10</v>
      </c>
      <c r="H79" s="14">
        <f>VLOOKUP(I79,[1]stuff!$A:$C,3,FALSE)</f>
        <v>2</v>
      </c>
      <c r="I79" s="15">
        <v>305001</v>
      </c>
      <c r="J79" s="28" t="s">
        <v>114</v>
      </c>
      <c r="K79" s="15">
        <f t="shared" si="16"/>
        <v>0.42857142857142855</v>
      </c>
      <c r="L79" s="15">
        <f t="shared" si="57"/>
        <v>0.41666666666666669</v>
      </c>
      <c r="M79" s="23">
        <v>100</v>
      </c>
      <c r="N79" s="23">
        <v>10</v>
      </c>
      <c r="O79" s="24"/>
      <c r="P79" s="15">
        <v>301</v>
      </c>
      <c r="Q79" s="12" t="s">
        <v>112</v>
      </c>
      <c r="R79" s="15">
        <v>40</v>
      </c>
      <c r="S79" s="14">
        <v>1</v>
      </c>
      <c r="T79" s="15">
        <v>304</v>
      </c>
      <c r="U79" s="12" t="s">
        <v>115</v>
      </c>
      <c r="V79" s="15">
        <v>50</v>
      </c>
      <c r="W79" s="29">
        <v>2</v>
      </c>
      <c r="X79" s="15"/>
      <c r="Y79" s="15"/>
      <c r="Z79" s="15"/>
      <c r="AA79" s="29"/>
      <c r="AB79">
        <f t="shared" si="14"/>
        <v>140</v>
      </c>
      <c r="AC79">
        <f t="shared" si="15"/>
        <v>200</v>
      </c>
      <c r="AD79">
        <f t="shared" si="58"/>
        <v>1.6666666666666667</v>
      </c>
    </row>
    <row r="80" spans="1:30" x14ac:dyDescent="0.15">
      <c r="A80" s="41">
        <v>30500104</v>
      </c>
      <c r="B80" s="15">
        <v>0</v>
      </c>
      <c r="C80" s="43">
        <v>105016</v>
      </c>
      <c r="D80" s="15" t="s">
        <v>109</v>
      </c>
      <c r="E80" s="12">
        <v>0</v>
      </c>
      <c r="F80" s="15">
        <v>1</v>
      </c>
      <c r="G80" s="16">
        <v>10</v>
      </c>
      <c r="H80" s="14">
        <f>VLOOKUP(I80,[1]stuff!$A:$C,3,FALSE)</f>
        <v>2</v>
      </c>
      <c r="I80" s="15">
        <v>305001</v>
      </c>
      <c r="J80" s="28" t="s">
        <v>114</v>
      </c>
      <c r="K80" s="15">
        <f t="shared" si="16"/>
        <v>0.42857142857142855</v>
      </c>
      <c r="L80" s="15">
        <f t="shared" si="57"/>
        <v>0.41666666666666669</v>
      </c>
      <c r="M80" s="23">
        <v>100</v>
      </c>
      <c r="N80" s="23">
        <v>10</v>
      </c>
      <c r="O80" s="24"/>
      <c r="P80" s="15">
        <v>303</v>
      </c>
      <c r="Q80" s="12" t="s">
        <v>113</v>
      </c>
      <c r="R80" s="15">
        <v>40</v>
      </c>
      <c r="S80" s="14">
        <v>1</v>
      </c>
      <c r="T80" s="15">
        <v>304</v>
      </c>
      <c r="U80" s="12" t="s">
        <v>115</v>
      </c>
      <c r="V80" s="15">
        <v>50</v>
      </c>
      <c r="W80" s="29">
        <v>2</v>
      </c>
      <c r="X80" s="15"/>
      <c r="Y80" s="15"/>
      <c r="Z80" s="15"/>
      <c r="AA80" s="29"/>
      <c r="AB80">
        <f t="shared" ref="AB80:AB86" si="59">R80*S80+V80*W80+Z80*AA80</f>
        <v>140</v>
      </c>
      <c r="AC80">
        <f t="shared" ref="AC80:AC106" si="60">H80*M80</f>
        <v>200</v>
      </c>
      <c r="AD80">
        <f t="shared" si="58"/>
        <v>1.6666666666666667</v>
      </c>
    </row>
    <row r="81" spans="1:30" x14ac:dyDescent="0.15">
      <c r="A81" s="41">
        <v>30500105</v>
      </c>
      <c r="B81" s="15">
        <v>0</v>
      </c>
      <c r="C81" s="43">
        <v>105016</v>
      </c>
      <c r="D81" s="15" t="s">
        <v>109</v>
      </c>
      <c r="E81" s="12">
        <v>0</v>
      </c>
      <c r="F81" s="15">
        <v>1</v>
      </c>
      <c r="G81" s="16">
        <v>10</v>
      </c>
      <c r="H81" s="14">
        <f>VLOOKUP(I81,[1]stuff!$A:$C,3,FALSE)</f>
        <v>2</v>
      </c>
      <c r="I81" s="15">
        <v>305001</v>
      </c>
      <c r="J81" s="28" t="s">
        <v>114</v>
      </c>
      <c r="K81" s="15">
        <f t="shared" ref="K81:K82" si="61">(AC81-AB81)/AB81</f>
        <v>0.1111111111111111</v>
      </c>
      <c r="L81" s="15">
        <f t="shared" si="57"/>
        <v>0.10185185185185185</v>
      </c>
      <c r="M81" s="23">
        <v>100</v>
      </c>
      <c r="N81" s="23">
        <v>10</v>
      </c>
      <c r="O81" s="24"/>
      <c r="P81" s="15">
        <v>611005</v>
      </c>
      <c r="Q81" s="12" t="s">
        <v>221</v>
      </c>
      <c r="R81" s="15">
        <v>90</v>
      </c>
      <c r="S81" s="14">
        <f>VLOOKUP(P81,[1]stuff!$A:$C,3,FALSE)</f>
        <v>2</v>
      </c>
      <c r="T81" s="15"/>
      <c r="U81" s="12"/>
      <c r="V81" s="15"/>
      <c r="W81" s="29"/>
      <c r="X81" s="15"/>
      <c r="Y81" s="15"/>
      <c r="Z81" s="15"/>
      <c r="AA81" s="29"/>
      <c r="AB81">
        <f t="shared" ref="AB81:AB82" si="62">R81*S81+V81*W81+Z81*AA81</f>
        <v>180</v>
      </c>
      <c r="AC81">
        <f t="shared" ref="AC81:AC82" si="63">H81*M81</f>
        <v>200</v>
      </c>
      <c r="AD81">
        <f t="shared" si="58"/>
        <v>1.6666666666666667</v>
      </c>
    </row>
    <row r="82" spans="1:30" x14ac:dyDescent="0.15">
      <c r="A82" s="41">
        <v>30500106</v>
      </c>
      <c r="B82" s="15">
        <v>0</v>
      </c>
      <c r="C82" s="43">
        <v>105016</v>
      </c>
      <c r="D82" s="15" t="s">
        <v>109</v>
      </c>
      <c r="E82" s="12">
        <v>0</v>
      </c>
      <c r="F82" s="15">
        <v>1</v>
      </c>
      <c r="G82" s="16">
        <v>10</v>
      </c>
      <c r="H82" s="14">
        <f>VLOOKUP(I82,[1]stuff!$A:$C,3,FALSE)</f>
        <v>2</v>
      </c>
      <c r="I82" s="15">
        <v>305001</v>
      </c>
      <c r="J82" s="28" t="s">
        <v>114</v>
      </c>
      <c r="K82" s="15">
        <f t="shared" si="61"/>
        <v>0.48148148148148145</v>
      </c>
      <c r="L82" s="15">
        <f t="shared" ref="L82" si="64">(AC82-AB82-AD82)/AB82</f>
        <v>0.46913580246913583</v>
      </c>
      <c r="M82" s="23">
        <v>100</v>
      </c>
      <c r="N82" s="23">
        <v>10</v>
      </c>
      <c r="O82" s="24"/>
      <c r="P82" s="15">
        <v>303</v>
      </c>
      <c r="Q82" s="12" t="s">
        <v>113</v>
      </c>
      <c r="R82" s="15">
        <v>40</v>
      </c>
      <c r="S82" s="14">
        <v>1</v>
      </c>
      <c r="T82" s="15">
        <v>301</v>
      </c>
      <c r="U82" s="12" t="s">
        <v>112</v>
      </c>
      <c r="V82" s="15">
        <v>40</v>
      </c>
      <c r="W82" s="29">
        <v>2</v>
      </c>
      <c r="X82" s="15">
        <v>306001</v>
      </c>
      <c r="Y82" s="12" t="s">
        <v>101</v>
      </c>
      <c r="Z82" s="15">
        <v>5</v>
      </c>
      <c r="AA82" s="14">
        <f>VLOOKUP(X82,[1]stuff!$A:$C,3,FALSE)</f>
        <v>3</v>
      </c>
      <c r="AB82">
        <f t="shared" si="62"/>
        <v>135</v>
      </c>
      <c r="AC82">
        <f t="shared" si="63"/>
        <v>200</v>
      </c>
      <c r="AD82">
        <f t="shared" ref="AD82" si="65">G82/6</f>
        <v>1.6666666666666667</v>
      </c>
    </row>
    <row r="83" spans="1:30" x14ac:dyDescent="0.15">
      <c r="A83" s="41">
        <v>30500107</v>
      </c>
      <c r="B83" s="15">
        <v>0</v>
      </c>
      <c r="C83" s="43">
        <v>105016</v>
      </c>
      <c r="D83" s="15" t="s">
        <v>109</v>
      </c>
      <c r="E83" s="12">
        <v>0</v>
      </c>
      <c r="F83" s="15">
        <v>1</v>
      </c>
      <c r="G83" s="16">
        <v>10</v>
      </c>
      <c r="H83" s="14">
        <f>VLOOKUP(I83,[1]stuff!$A:$C,3,FALSE)</f>
        <v>2</v>
      </c>
      <c r="I83" s="15">
        <v>305001</v>
      </c>
      <c r="J83" s="28" t="s">
        <v>260</v>
      </c>
      <c r="K83" s="15">
        <f t="shared" ref="K83:K84" si="66">(AC83-AB83)/AB83</f>
        <v>0.42857142857142855</v>
      </c>
      <c r="L83" s="15">
        <f t="shared" ref="L83:L84" si="67">(AC83-AB83-AD83)/AB83</f>
        <v>0.41666666666666669</v>
      </c>
      <c r="M83" s="23">
        <v>100</v>
      </c>
      <c r="N83" s="23">
        <v>10</v>
      </c>
      <c r="O83" s="24"/>
      <c r="P83" s="15">
        <v>305004</v>
      </c>
      <c r="Q83" s="25" t="s">
        <v>261</v>
      </c>
      <c r="R83" s="15">
        <v>80</v>
      </c>
      <c r="S83" s="14">
        <v>1</v>
      </c>
      <c r="T83" s="15">
        <v>412003</v>
      </c>
      <c r="U83" s="12" t="s">
        <v>220</v>
      </c>
      <c r="V83" s="15">
        <v>6</v>
      </c>
      <c r="W83" s="14">
        <f>VLOOKUP(T83,[1]stuff!$A:$C,3,FALSE)</f>
        <v>10</v>
      </c>
      <c r="X83" s="15"/>
      <c r="Y83" s="12"/>
      <c r="Z83" s="15"/>
      <c r="AA83" s="14"/>
      <c r="AB83">
        <f t="shared" ref="AB83:AB84" si="68">R83*S83+V83*W83+Z83*AA83</f>
        <v>140</v>
      </c>
      <c r="AC83">
        <f t="shared" ref="AC83:AC84" si="69">H83*M83</f>
        <v>200</v>
      </c>
      <c r="AD83">
        <f t="shared" ref="AD83:AD84" si="70">G83/6</f>
        <v>1.6666666666666667</v>
      </c>
    </row>
    <row r="84" spans="1:30" x14ac:dyDescent="0.15">
      <c r="A84" s="41">
        <v>30500108</v>
      </c>
      <c r="B84" s="15">
        <v>0</v>
      </c>
      <c r="C84" s="43">
        <v>105016</v>
      </c>
      <c r="D84" s="15" t="s">
        <v>109</v>
      </c>
      <c r="E84" s="12">
        <v>0</v>
      </c>
      <c r="F84" s="15">
        <v>1</v>
      </c>
      <c r="G84" s="16">
        <v>10</v>
      </c>
      <c r="H84" s="14">
        <f>VLOOKUP(I84,[1]stuff!$A:$C,3,FALSE)</f>
        <v>2</v>
      </c>
      <c r="I84" s="15">
        <v>305001</v>
      </c>
      <c r="J84" s="28" t="s">
        <v>263</v>
      </c>
      <c r="K84" s="15">
        <f t="shared" si="66"/>
        <v>1.2222222222222223</v>
      </c>
      <c r="L84" s="15">
        <f t="shared" si="67"/>
        <v>1.2037037037037037</v>
      </c>
      <c r="M84" s="23">
        <v>100</v>
      </c>
      <c r="N84" s="23">
        <v>10</v>
      </c>
      <c r="O84" s="24"/>
      <c r="P84" s="15">
        <v>302</v>
      </c>
      <c r="Q84" s="12" t="s">
        <v>111</v>
      </c>
      <c r="R84" s="15">
        <v>40</v>
      </c>
      <c r="S84" s="14">
        <v>1</v>
      </c>
      <c r="T84" s="15">
        <v>303007</v>
      </c>
      <c r="U84" s="15" t="s">
        <v>262</v>
      </c>
      <c r="V84" s="15">
        <v>50</v>
      </c>
      <c r="W84" s="29">
        <v>1</v>
      </c>
      <c r="X84" s="15"/>
      <c r="Y84" s="15"/>
      <c r="Z84" s="15"/>
      <c r="AA84" s="29"/>
      <c r="AB84">
        <f t="shared" si="68"/>
        <v>90</v>
      </c>
      <c r="AC84">
        <f t="shared" si="69"/>
        <v>200</v>
      </c>
      <c r="AD84">
        <f t="shared" si="70"/>
        <v>1.6666666666666667</v>
      </c>
    </row>
    <row r="85" spans="1:30" x14ac:dyDescent="0.15">
      <c r="A85" s="41">
        <v>30500201</v>
      </c>
      <c r="B85" s="15">
        <v>0</v>
      </c>
      <c r="C85" s="43">
        <v>105016</v>
      </c>
      <c r="D85" s="15" t="s">
        <v>109</v>
      </c>
      <c r="E85" s="12">
        <v>0</v>
      </c>
      <c r="F85" s="15">
        <v>1</v>
      </c>
      <c r="G85" s="16">
        <v>12</v>
      </c>
      <c r="H85" s="14">
        <f>VLOOKUP(I85,[1]stuff!$A:$C,3,FALSE)</f>
        <v>4</v>
      </c>
      <c r="I85" s="15">
        <v>305002</v>
      </c>
      <c r="J85" s="27" t="s">
        <v>116</v>
      </c>
      <c r="K85" s="15">
        <f t="shared" si="16"/>
        <v>0.66666666666666663</v>
      </c>
      <c r="L85" s="15">
        <f t="shared" si="57"/>
        <v>0.65833333333333333</v>
      </c>
      <c r="M85" s="23">
        <v>100</v>
      </c>
      <c r="N85" s="23">
        <v>10</v>
      </c>
      <c r="O85" s="24"/>
      <c r="P85" s="15">
        <v>302</v>
      </c>
      <c r="Q85" s="12" t="s">
        <v>111</v>
      </c>
      <c r="R85" s="15">
        <v>30</v>
      </c>
      <c r="S85" s="14">
        <v>1</v>
      </c>
      <c r="T85" s="15">
        <v>304</v>
      </c>
      <c r="U85" s="12" t="s">
        <v>115</v>
      </c>
      <c r="V85" s="15">
        <v>80</v>
      </c>
      <c r="W85" s="29">
        <v>2</v>
      </c>
      <c r="X85" s="15">
        <v>301</v>
      </c>
      <c r="Y85" s="12" t="s">
        <v>112</v>
      </c>
      <c r="Z85" s="15">
        <v>50</v>
      </c>
      <c r="AA85" s="29">
        <v>1</v>
      </c>
      <c r="AB85">
        <f t="shared" si="59"/>
        <v>240</v>
      </c>
      <c r="AC85">
        <f t="shared" si="60"/>
        <v>400</v>
      </c>
      <c r="AD85">
        <f t="shared" si="58"/>
        <v>2</v>
      </c>
    </row>
    <row r="86" spans="1:30" x14ac:dyDescent="0.15">
      <c r="A86" s="41">
        <v>30500202</v>
      </c>
      <c r="B86" s="15">
        <v>0</v>
      </c>
      <c r="C86" s="43">
        <v>105016</v>
      </c>
      <c r="D86" s="15" t="s">
        <v>109</v>
      </c>
      <c r="E86" s="12">
        <v>0</v>
      </c>
      <c r="F86" s="15">
        <v>1</v>
      </c>
      <c r="G86" s="16">
        <v>12</v>
      </c>
      <c r="H86" s="14">
        <f>VLOOKUP(I86,[1]stuff!$A:$C,3,FALSE)</f>
        <v>4</v>
      </c>
      <c r="I86" s="15">
        <v>305002</v>
      </c>
      <c r="J86" s="27" t="s">
        <v>116</v>
      </c>
      <c r="K86" s="15">
        <f t="shared" si="16"/>
        <v>0.66666666666666663</v>
      </c>
      <c r="L86" s="15">
        <f t="shared" si="57"/>
        <v>0.65833333333333333</v>
      </c>
      <c r="M86" s="23">
        <v>100</v>
      </c>
      <c r="N86" s="23">
        <v>10</v>
      </c>
      <c r="O86" s="24"/>
      <c r="P86" s="15">
        <v>302</v>
      </c>
      <c r="Q86" s="12" t="s">
        <v>111</v>
      </c>
      <c r="R86" s="15">
        <v>30</v>
      </c>
      <c r="S86" s="14">
        <v>1</v>
      </c>
      <c r="T86" s="15">
        <v>304</v>
      </c>
      <c r="U86" s="12" t="s">
        <v>115</v>
      </c>
      <c r="V86" s="15">
        <v>80</v>
      </c>
      <c r="W86" s="29">
        <v>2</v>
      </c>
      <c r="X86" s="15">
        <v>303</v>
      </c>
      <c r="Y86" s="12" t="s">
        <v>113</v>
      </c>
      <c r="Z86" s="15">
        <v>50</v>
      </c>
      <c r="AA86" s="29">
        <v>1</v>
      </c>
      <c r="AB86">
        <f t="shared" si="59"/>
        <v>240</v>
      </c>
      <c r="AC86">
        <f t="shared" si="60"/>
        <v>400</v>
      </c>
      <c r="AD86">
        <f t="shared" si="58"/>
        <v>2</v>
      </c>
    </row>
    <row r="87" spans="1:30" x14ac:dyDescent="0.15">
      <c r="A87" s="41">
        <v>30500203</v>
      </c>
      <c r="B87" s="15">
        <v>0</v>
      </c>
      <c r="C87" s="43">
        <v>105016</v>
      </c>
      <c r="D87" s="15" t="s">
        <v>109</v>
      </c>
      <c r="E87" s="12">
        <v>0</v>
      </c>
      <c r="F87" s="15">
        <v>1</v>
      </c>
      <c r="G87" s="16">
        <v>12</v>
      </c>
      <c r="H87" s="14">
        <f>VLOOKUP(I87,[1]stuff!$A:$C,3,FALSE)</f>
        <v>4</v>
      </c>
      <c r="I87" s="15">
        <v>305002</v>
      </c>
      <c r="J87" s="27" t="s">
        <v>116</v>
      </c>
      <c r="K87" s="15">
        <f t="shared" si="16"/>
        <v>0.6</v>
      </c>
      <c r="L87" s="15">
        <f t="shared" si="57"/>
        <v>0.59199999999999997</v>
      </c>
      <c r="M87" s="23">
        <v>100</v>
      </c>
      <c r="N87" s="23">
        <v>10</v>
      </c>
      <c r="O87" s="24"/>
      <c r="P87" s="15">
        <v>305001</v>
      </c>
      <c r="Q87" s="12" t="s">
        <v>114</v>
      </c>
      <c r="R87" s="15">
        <v>80</v>
      </c>
      <c r="S87" s="14">
        <f>VLOOKUP(P87,[1]stuff!$A:$C,3,FALSE)</f>
        <v>2</v>
      </c>
      <c r="T87" s="15">
        <v>306001</v>
      </c>
      <c r="U87" s="12" t="s">
        <v>101</v>
      </c>
      <c r="V87" s="15">
        <v>30</v>
      </c>
      <c r="W87" s="14">
        <f>VLOOKUP(T87,[1]stuff!$A:$C,3,FALSE)</f>
        <v>3</v>
      </c>
      <c r="X87" s="15"/>
      <c r="Y87" s="12"/>
      <c r="Z87" s="15"/>
      <c r="AA87" s="14"/>
      <c r="AB87">
        <f>Z87*AA87+V87*W87+R87*S87</f>
        <v>250</v>
      </c>
      <c r="AC87">
        <f t="shared" si="60"/>
        <v>400</v>
      </c>
      <c r="AD87">
        <f t="shared" si="58"/>
        <v>2</v>
      </c>
    </row>
    <row r="88" spans="1:30" x14ac:dyDescent="0.15">
      <c r="A88" s="41">
        <v>30500301</v>
      </c>
      <c r="B88" s="15">
        <v>0</v>
      </c>
      <c r="C88" s="43">
        <v>105016</v>
      </c>
      <c r="D88" s="15" t="s">
        <v>109</v>
      </c>
      <c r="E88" s="12">
        <v>0</v>
      </c>
      <c r="F88" s="15">
        <v>1</v>
      </c>
      <c r="G88" s="16">
        <v>10</v>
      </c>
      <c r="H88" s="14">
        <f>VLOOKUP(I88,[1]stuff!$A:$C,3,FALSE)</f>
        <v>2</v>
      </c>
      <c r="I88" s="15">
        <v>305003</v>
      </c>
      <c r="J88" s="25" t="s">
        <v>117</v>
      </c>
      <c r="K88" s="15">
        <f t="shared" si="16"/>
        <v>0.73913043478260865</v>
      </c>
      <c r="L88" s="15">
        <f t="shared" si="57"/>
        <v>0.72463768115942029</v>
      </c>
      <c r="M88" s="23">
        <v>100</v>
      </c>
      <c r="N88" s="23">
        <v>10</v>
      </c>
      <c r="O88" s="24"/>
      <c r="P88" s="15">
        <v>610002</v>
      </c>
      <c r="Q88" s="12" t="s">
        <v>118</v>
      </c>
      <c r="R88" s="15">
        <v>55</v>
      </c>
      <c r="S88" s="14">
        <v>1</v>
      </c>
      <c r="T88" s="15">
        <v>306001</v>
      </c>
      <c r="U88" s="12" t="s">
        <v>101</v>
      </c>
      <c r="V88" s="15">
        <v>20</v>
      </c>
      <c r="W88" s="14">
        <f>VLOOKUP(T88,[1]stuff!$A:$C,3,FALSE)</f>
        <v>3</v>
      </c>
      <c r="X88" s="15"/>
      <c r="Y88" s="12"/>
      <c r="Z88" s="15"/>
      <c r="AA88" s="14"/>
      <c r="AB88">
        <f>Z88*AA88+V88*W88+R88*S88</f>
        <v>115</v>
      </c>
      <c r="AC88">
        <f t="shared" si="60"/>
        <v>200</v>
      </c>
      <c r="AD88">
        <f t="shared" si="58"/>
        <v>1.6666666666666667</v>
      </c>
    </row>
    <row r="89" spans="1:30" x14ac:dyDescent="0.15">
      <c r="A89" s="41">
        <v>41200100</v>
      </c>
      <c r="B89" s="15">
        <v>0</v>
      </c>
      <c r="C89" s="43">
        <v>105016</v>
      </c>
      <c r="D89" s="15" t="s">
        <v>109</v>
      </c>
      <c r="E89" s="12">
        <v>1</v>
      </c>
      <c r="F89" s="15">
        <v>1</v>
      </c>
      <c r="G89" s="16">
        <v>5</v>
      </c>
      <c r="H89" s="14">
        <f>VLOOKUP(I89,[1]stuff!$A:$C,3,FALSE)</f>
        <v>10</v>
      </c>
      <c r="I89" s="15">
        <v>412001</v>
      </c>
      <c r="J89" s="12" t="s">
        <v>119</v>
      </c>
      <c r="K89" s="15">
        <f t="shared" ref="K89:K133" si="71">(AC89-AB89)/AB89</f>
        <v>0.53846153846153844</v>
      </c>
      <c r="L89" s="15">
        <f t="shared" si="57"/>
        <v>0.52564102564102555</v>
      </c>
      <c r="M89" s="23">
        <v>10</v>
      </c>
      <c r="N89" s="23">
        <v>2</v>
      </c>
      <c r="O89" s="24"/>
      <c r="P89" s="15">
        <v>611001</v>
      </c>
      <c r="Q89" s="12" t="s">
        <v>120</v>
      </c>
      <c r="R89" s="15">
        <v>13</v>
      </c>
      <c r="S89" s="14">
        <f>VLOOKUP(P89,[1]stuff!$A:$C,3,FALSE)</f>
        <v>5</v>
      </c>
      <c r="T89" s="15"/>
      <c r="U89" s="15"/>
      <c r="V89" s="15"/>
      <c r="W89" s="29"/>
      <c r="X89" s="15"/>
      <c r="Y89" s="15"/>
      <c r="Z89" s="15"/>
      <c r="AA89" s="29"/>
      <c r="AB89">
        <f t="shared" ref="AB89:AB106" si="72">R89*S89+V89*W89+Z89*AA89</f>
        <v>65</v>
      </c>
      <c r="AC89">
        <f t="shared" si="60"/>
        <v>100</v>
      </c>
      <c r="AD89">
        <f t="shared" si="58"/>
        <v>0.83333333333333337</v>
      </c>
    </row>
    <row r="90" spans="1:30" x14ac:dyDescent="0.15">
      <c r="A90" s="41">
        <v>41200200</v>
      </c>
      <c r="B90" s="15">
        <v>0</v>
      </c>
      <c r="C90" s="43">
        <v>105016</v>
      </c>
      <c r="D90" s="12" t="s">
        <v>109</v>
      </c>
      <c r="E90" s="12">
        <v>1</v>
      </c>
      <c r="F90" s="15">
        <v>1</v>
      </c>
      <c r="G90" s="16">
        <v>5</v>
      </c>
      <c r="H90" s="14">
        <f>VLOOKUP(I90,[1]stuff!$A:$C,3,FALSE)</f>
        <v>10</v>
      </c>
      <c r="I90" s="15">
        <v>412002</v>
      </c>
      <c r="J90" s="12" t="s">
        <v>121</v>
      </c>
      <c r="K90" s="15">
        <f t="shared" si="71"/>
        <v>0.53846153846153844</v>
      </c>
      <c r="L90" s="15">
        <f t="shared" si="57"/>
        <v>0.52564102564102555</v>
      </c>
      <c r="M90" s="23">
        <v>10</v>
      </c>
      <c r="N90" s="23">
        <v>2</v>
      </c>
      <c r="O90" s="24"/>
      <c r="P90" s="15">
        <v>611002</v>
      </c>
      <c r="Q90" s="12" t="s">
        <v>122</v>
      </c>
      <c r="R90" s="15">
        <v>13</v>
      </c>
      <c r="S90" s="14">
        <f>VLOOKUP(P90,[1]stuff!$A:$C,3,FALSE)</f>
        <v>5</v>
      </c>
      <c r="T90" s="15"/>
      <c r="U90" s="15"/>
      <c r="V90" s="15"/>
      <c r="W90" s="29"/>
      <c r="X90" s="15"/>
      <c r="Y90" s="15"/>
      <c r="Z90" s="15"/>
      <c r="AA90" s="29"/>
      <c r="AB90">
        <f t="shared" si="72"/>
        <v>65</v>
      </c>
      <c r="AC90">
        <f t="shared" si="60"/>
        <v>100</v>
      </c>
      <c r="AD90">
        <f t="shared" si="58"/>
        <v>0.83333333333333337</v>
      </c>
    </row>
    <row r="91" spans="1:30" x14ac:dyDescent="0.15">
      <c r="A91" s="15">
        <v>30400901</v>
      </c>
      <c r="B91" s="15">
        <v>0</v>
      </c>
      <c r="C91" s="43">
        <v>105016</v>
      </c>
      <c r="D91" s="15" t="s">
        <v>109</v>
      </c>
      <c r="E91" s="12">
        <v>1</v>
      </c>
      <c r="F91" s="15">
        <v>1</v>
      </c>
      <c r="G91" s="16">
        <v>5</v>
      </c>
      <c r="H91" s="14">
        <f>VLOOKUP(I91,[1]stuff!$A:$C,3,FALSE)</f>
        <v>2</v>
      </c>
      <c r="I91" s="15">
        <v>304009</v>
      </c>
      <c r="J91" s="12" t="s">
        <v>264</v>
      </c>
      <c r="K91" s="15">
        <f>(AC91-AB91)/AB91</f>
        <v>-0.05</v>
      </c>
      <c r="L91" s="15">
        <f>(AC91-AB91-AD91)/AB91</f>
        <v>-5.4166666666666669E-2</v>
      </c>
      <c r="M91" s="23">
        <v>95</v>
      </c>
      <c r="N91" s="23">
        <v>2</v>
      </c>
      <c r="O91" s="24"/>
      <c r="P91" s="15">
        <v>304001</v>
      </c>
      <c r="Q91" s="12" t="s">
        <v>266</v>
      </c>
      <c r="R91" s="15">
        <v>100</v>
      </c>
      <c r="S91" s="14">
        <f>VLOOKUP(P91,[1]stuff!$A:$C,3,FALSE)</f>
        <v>2</v>
      </c>
      <c r="T91" s="15"/>
      <c r="U91" s="12"/>
      <c r="V91" s="15"/>
      <c r="W91" s="14"/>
      <c r="X91" s="15"/>
      <c r="Y91" s="12"/>
      <c r="Z91" s="15"/>
      <c r="AA91" s="14"/>
      <c r="AB91">
        <f>Z91*AA91+V91*W91+R91*S91</f>
        <v>200</v>
      </c>
      <c r="AC91">
        <f>H91*M91</f>
        <v>190</v>
      </c>
      <c r="AD91">
        <f>G91/6</f>
        <v>0.83333333333333337</v>
      </c>
    </row>
    <row r="92" spans="1:30" x14ac:dyDescent="0.15">
      <c r="A92" s="15">
        <v>30401001</v>
      </c>
      <c r="B92" s="15">
        <v>0</v>
      </c>
      <c r="C92" s="43">
        <v>105016</v>
      </c>
      <c r="D92" s="15" t="s">
        <v>109</v>
      </c>
      <c r="E92" s="12">
        <v>1</v>
      </c>
      <c r="F92" s="15">
        <v>1</v>
      </c>
      <c r="G92" s="16">
        <v>5</v>
      </c>
      <c r="H92" s="14">
        <f>VLOOKUP(I92,[1]stuff!$A:$C,3,FALSE)</f>
        <v>2</v>
      </c>
      <c r="I92" s="15">
        <v>304010</v>
      </c>
      <c r="J92" s="12" t="s">
        <v>265</v>
      </c>
      <c r="K92" s="15">
        <f>(AC92-AB92)/AB92</f>
        <v>-0.05</v>
      </c>
      <c r="L92" s="15">
        <f>(AC92-AB92-AD92)/AB92</f>
        <v>-5.4166666666666669E-2</v>
      </c>
      <c r="M92" s="23">
        <v>95</v>
      </c>
      <c r="N92" s="23">
        <v>2</v>
      </c>
      <c r="O92" s="24"/>
      <c r="P92" s="15">
        <v>304002</v>
      </c>
      <c r="Q92" s="15" t="s">
        <v>135</v>
      </c>
      <c r="R92" s="15">
        <v>100</v>
      </c>
      <c r="S92" s="14">
        <f>VLOOKUP(P92,[1]stuff!$A:$C,3,FALSE)</f>
        <v>2</v>
      </c>
      <c r="T92" s="15"/>
      <c r="U92" s="12"/>
      <c r="V92" s="15"/>
      <c r="W92" s="14"/>
      <c r="X92" s="15"/>
      <c r="Y92" s="12"/>
      <c r="Z92" s="15"/>
      <c r="AA92" s="14"/>
      <c r="AB92">
        <f>Z92*AA92+V92*W92+R92*S92</f>
        <v>200</v>
      </c>
      <c r="AC92">
        <f>H92*M92</f>
        <v>190</v>
      </c>
      <c r="AD92">
        <f>G92/6</f>
        <v>0.83333333333333337</v>
      </c>
    </row>
    <row r="93" spans="1:30" x14ac:dyDescent="0.15">
      <c r="A93" s="41">
        <v>30500600</v>
      </c>
      <c r="B93" s="15">
        <v>0</v>
      </c>
      <c r="C93" s="43">
        <v>105016</v>
      </c>
      <c r="D93" s="12" t="s">
        <v>109</v>
      </c>
      <c r="E93" s="12">
        <v>1</v>
      </c>
      <c r="F93" s="15">
        <v>1</v>
      </c>
      <c r="G93" s="16">
        <v>5</v>
      </c>
      <c r="H93" s="14">
        <f>VLOOKUP(I93,[1]stuff!$A:$C,3,FALSE)</f>
        <v>10</v>
      </c>
      <c r="I93" s="15">
        <v>305006</v>
      </c>
      <c r="J93" s="38" t="s">
        <v>224</v>
      </c>
      <c r="K93" s="15">
        <f>(AC93-AB93)/AB93</f>
        <v>0.66666666666666663</v>
      </c>
      <c r="L93" s="15">
        <f>(AC93-AB93-AD93)/AB93</f>
        <v>0.65277777777777779</v>
      </c>
      <c r="M93" s="23">
        <v>10</v>
      </c>
      <c r="N93" s="23">
        <v>1</v>
      </c>
      <c r="O93" s="24"/>
      <c r="P93" s="15">
        <v>611005</v>
      </c>
      <c r="Q93" s="12" t="s">
        <v>221</v>
      </c>
      <c r="R93" s="15">
        <v>20</v>
      </c>
      <c r="S93" s="14">
        <f>VLOOKUP(P93,[1]stuff!$A:$C,3,FALSE)</f>
        <v>2</v>
      </c>
      <c r="T93" s="15">
        <v>611004</v>
      </c>
      <c r="U93" s="12" t="s">
        <v>225</v>
      </c>
      <c r="V93" s="15">
        <v>5</v>
      </c>
      <c r="W93" s="14">
        <f>VLOOKUP(T93,[1]stuff!$A:$C,3,FALSE)</f>
        <v>2</v>
      </c>
      <c r="X93" s="15">
        <v>304005</v>
      </c>
      <c r="Y93" s="15" t="s">
        <v>226</v>
      </c>
      <c r="Z93" s="15">
        <v>5</v>
      </c>
      <c r="AA93" s="14">
        <f>VLOOKUP(X93,[1]stuff!$A:$C,3,FALSE)</f>
        <v>2</v>
      </c>
      <c r="AB93">
        <f>R93*S93+V93*W93+Z93*AA93</f>
        <v>60</v>
      </c>
      <c r="AC93">
        <f>H93*M93</f>
        <v>100</v>
      </c>
      <c r="AD93">
        <f>G93/6</f>
        <v>0.83333333333333337</v>
      </c>
    </row>
    <row r="94" spans="1:30" x14ac:dyDescent="0.15">
      <c r="A94" s="38">
        <v>30500500</v>
      </c>
      <c r="B94" s="15">
        <v>0</v>
      </c>
      <c r="C94" s="43">
        <v>105016</v>
      </c>
      <c r="D94" s="12" t="s">
        <v>227</v>
      </c>
      <c r="E94" s="12">
        <v>1</v>
      </c>
      <c r="F94" s="15">
        <v>1</v>
      </c>
      <c r="G94" s="16">
        <v>5</v>
      </c>
      <c r="H94" s="14">
        <f>VLOOKUP(I94,[1]stuff!$A:$C,3,FALSE)</f>
        <v>5</v>
      </c>
      <c r="I94" s="15">
        <v>305005</v>
      </c>
      <c r="J94" s="25" t="s">
        <v>223</v>
      </c>
      <c r="K94" s="15">
        <f t="shared" si="71"/>
        <v>0.72413793103448276</v>
      </c>
      <c r="L94" s="15">
        <f t="shared" si="57"/>
        <v>0.71839080459770122</v>
      </c>
      <c r="M94" s="23">
        <v>50</v>
      </c>
      <c r="N94" s="23">
        <v>10</v>
      </c>
      <c r="O94" s="24"/>
      <c r="P94" s="15">
        <v>611005</v>
      </c>
      <c r="Q94" s="12" t="s">
        <v>221</v>
      </c>
      <c r="R94" s="15">
        <v>60</v>
      </c>
      <c r="S94" s="14">
        <f>VLOOKUP(P94,[1]stuff!$A:$C,3,FALSE)</f>
        <v>2</v>
      </c>
      <c r="T94" s="15">
        <v>611004</v>
      </c>
      <c r="U94" s="12" t="s">
        <v>225</v>
      </c>
      <c r="V94" s="15">
        <v>5</v>
      </c>
      <c r="W94" s="14">
        <f>VLOOKUP(T94,[1]stuff!$A:$C,3,FALSE)</f>
        <v>2</v>
      </c>
      <c r="X94" s="15">
        <v>301</v>
      </c>
      <c r="Y94" s="12" t="s">
        <v>112</v>
      </c>
      <c r="Z94" s="15">
        <v>15</v>
      </c>
      <c r="AA94" s="14">
        <v>1</v>
      </c>
      <c r="AB94">
        <f t="shared" si="72"/>
        <v>145</v>
      </c>
      <c r="AC94">
        <f t="shared" si="60"/>
        <v>250</v>
      </c>
      <c r="AD94">
        <f t="shared" si="58"/>
        <v>0.83333333333333337</v>
      </c>
    </row>
    <row r="95" spans="1:30" x14ac:dyDescent="0.15">
      <c r="A95" s="38">
        <v>30500501</v>
      </c>
      <c r="B95" s="15">
        <v>0</v>
      </c>
      <c r="C95" s="43">
        <v>105016</v>
      </c>
      <c r="D95" s="12" t="s">
        <v>109</v>
      </c>
      <c r="E95" s="12">
        <v>1</v>
      </c>
      <c r="F95" s="15">
        <v>1</v>
      </c>
      <c r="G95" s="16">
        <v>5</v>
      </c>
      <c r="H95" s="14">
        <f>VLOOKUP(I95,[1]stuff!$A:$C,3,FALSE)</f>
        <v>5</v>
      </c>
      <c r="I95" s="15">
        <v>305005</v>
      </c>
      <c r="J95" s="25" t="s">
        <v>223</v>
      </c>
      <c r="K95" s="15">
        <f t="shared" si="71"/>
        <v>0.72413793103448276</v>
      </c>
      <c r="L95" s="15">
        <f t="shared" si="57"/>
        <v>0.71839080459770122</v>
      </c>
      <c r="M95" s="23">
        <v>50</v>
      </c>
      <c r="N95" s="23">
        <v>10</v>
      </c>
      <c r="O95" s="24"/>
      <c r="P95" s="15">
        <v>611005</v>
      </c>
      <c r="Q95" s="12" t="s">
        <v>221</v>
      </c>
      <c r="R95" s="15">
        <v>60</v>
      </c>
      <c r="S95" s="14">
        <f>VLOOKUP(P95,[1]stuff!$A:$C,3,FALSE)</f>
        <v>2</v>
      </c>
      <c r="T95" s="15">
        <v>611004</v>
      </c>
      <c r="U95" s="12" t="s">
        <v>225</v>
      </c>
      <c r="V95" s="15">
        <v>5</v>
      </c>
      <c r="W95" s="14">
        <f>VLOOKUP(T95,[1]stuff!$A:$C,3,FALSE)</f>
        <v>2</v>
      </c>
      <c r="X95" s="15">
        <v>303</v>
      </c>
      <c r="Y95" s="12" t="s">
        <v>113</v>
      </c>
      <c r="Z95" s="15">
        <v>15</v>
      </c>
      <c r="AA95" s="14">
        <v>1</v>
      </c>
      <c r="AB95">
        <f t="shared" si="72"/>
        <v>145</v>
      </c>
      <c r="AC95">
        <f t="shared" si="60"/>
        <v>250</v>
      </c>
      <c r="AD95">
        <f t="shared" si="58"/>
        <v>0.83333333333333337</v>
      </c>
    </row>
    <row r="96" spans="1:30" x14ac:dyDescent="0.15">
      <c r="A96" s="38">
        <v>30500502</v>
      </c>
      <c r="B96" s="15">
        <v>0</v>
      </c>
      <c r="C96" s="43">
        <v>105016</v>
      </c>
      <c r="D96" s="12" t="s">
        <v>109</v>
      </c>
      <c r="E96" s="12">
        <v>1</v>
      </c>
      <c r="F96" s="15">
        <v>1</v>
      </c>
      <c r="G96" s="16">
        <v>5</v>
      </c>
      <c r="H96" s="14">
        <f>VLOOKUP(I96,[1]stuff!$A:$C,3,FALSE)</f>
        <v>5</v>
      </c>
      <c r="I96" s="15">
        <v>305005</v>
      </c>
      <c r="J96" s="25" t="s">
        <v>223</v>
      </c>
      <c r="K96" s="15">
        <f t="shared" si="71"/>
        <v>0.7857142857142857</v>
      </c>
      <c r="L96" s="15">
        <f t="shared" si="57"/>
        <v>0.77976190476190477</v>
      </c>
      <c r="M96" s="23">
        <v>50</v>
      </c>
      <c r="N96" s="23">
        <v>10</v>
      </c>
      <c r="O96" s="24"/>
      <c r="P96" s="15">
        <v>611005</v>
      </c>
      <c r="Q96" s="12" t="s">
        <v>221</v>
      </c>
      <c r="R96" s="15">
        <v>60</v>
      </c>
      <c r="S96" s="14">
        <f>VLOOKUP(P96,[1]stuff!$A:$C,3,FALSE)</f>
        <v>2</v>
      </c>
      <c r="T96" s="15">
        <v>611004</v>
      </c>
      <c r="U96" s="12" t="s">
        <v>225</v>
      </c>
      <c r="V96" s="15">
        <v>5</v>
      </c>
      <c r="W96" s="14">
        <f>VLOOKUP(T96,[1]stuff!$A:$C,3,FALSE)</f>
        <v>2</v>
      </c>
      <c r="X96" s="15">
        <v>412002</v>
      </c>
      <c r="Y96" s="12" t="s">
        <v>121</v>
      </c>
      <c r="Z96" s="15">
        <v>1</v>
      </c>
      <c r="AA96" s="14">
        <f>VLOOKUP(X96,[1]stuff!$A:$C,3,FALSE)</f>
        <v>10</v>
      </c>
      <c r="AB96">
        <f t="shared" si="72"/>
        <v>140</v>
      </c>
      <c r="AC96">
        <f t="shared" si="60"/>
        <v>250</v>
      </c>
      <c r="AD96">
        <f t="shared" si="58"/>
        <v>0.83333333333333337</v>
      </c>
    </row>
    <row r="97" spans="1:30" x14ac:dyDescent="0.15">
      <c r="A97" s="38">
        <v>30500503</v>
      </c>
      <c r="B97" s="15">
        <v>0</v>
      </c>
      <c r="C97" s="43">
        <v>105016</v>
      </c>
      <c r="D97" s="12" t="s">
        <v>109</v>
      </c>
      <c r="E97" s="12">
        <v>1</v>
      </c>
      <c r="F97" s="15">
        <v>1</v>
      </c>
      <c r="G97" s="16">
        <v>5</v>
      </c>
      <c r="H97" s="14">
        <f>VLOOKUP(I97,[1]stuff!$A:$C,3,FALSE)</f>
        <v>5</v>
      </c>
      <c r="I97" s="15">
        <v>305005</v>
      </c>
      <c r="J97" s="25" t="s">
        <v>223</v>
      </c>
      <c r="K97" s="15">
        <f t="shared" si="71"/>
        <v>0.7857142857142857</v>
      </c>
      <c r="L97" s="15">
        <f t="shared" si="57"/>
        <v>0.77976190476190477</v>
      </c>
      <c r="M97" s="23">
        <v>50</v>
      </c>
      <c r="N97" s="23">
        <v>10</v>
      </c>
      <c r="O97" s="24"/>
      <c r="P97" s="15">
        <v>611005</v>
      </c>
      <c r="Q97" s="12" t="s">
        <v>221</v>
      </c>
      <c r="R97" s="15">
        <v>60</v>
      </c>
      <c r="S97" s="14">
        <f>VLOOKUP(P97,[1]stuff!$A:$C,3,FALSE)</f>
        <v>2</v>
      </c>
      <c r="T97" s="15">
        <v>611004</v>
      </c>
      <c r="U97" s="12" t="s">
        <v>225</v>
      </c>
      <c r="V97" s="15">
        <v>5</v>
      </c>
      <c r="W97" s="14">
        <f>VLOOKUP(T97,[1]stuff!$A:$C,3,FALSE)</f>
        <v>2</v>
      </c>
      <c r="X97" s="15">
        <v>412003</v>
      </c>
      <c r="Y97" s="12" t="s">
        <v>220</v>
      </c>
      <c r="Z97" s="15">
        <v>1</v>
      </c>
      <c r="AA97" s="14">
        <f>VLOOKUP(X97,[1]stuff!$A:$C,3,FALSE)</f>
        <v>10</v>
      </c>
      <c r="AB97">
        <f t="shared" si="72"/>
        <v>140</v>
      </c>
      <c r="AC97">
        <f t="shared" si="60"/>
        <v>250</v>
      </c>
      <c r="AD97">
        <f t="shared" si="58"/>
        <v>0.83333333333333337</v>
      </c>
    </row>
    <row r="98" spans="1:30" x14ac:dyDescent="0.15">
      <c r="A98" s="38">
        <v>30500504</v>
      </c>
      <c r="B98" s="15">
        <v>0</v>
      </c>
      <c r="C98" s="43">
        <v>105016</v>
      </c>
      <c r="D98" s="12" t="s">
        <v>109</v>
      </c>
      <c r="E98" s="12">
        <v>1</v>
      </c>
      <c r="F98" s="15">
        <v>1</v>
      </c>
      <c r="G98" s="16">
        <v>5</v>
      </c>
      <c r="H98" s="14">
        <f>VLOOKUP(I98,[1]stuff!$A:$C,3,FALSE)</f>
        <v>5</v>
      </c>
      <c r="I98" s="15">
        <v>305005</v>
      </c>
      <c r="J98" s="25" t="s">
        <v>223</v>
      </c>
      <c r="K98" s="15">
        <f t="shared" ref="K98" si="73">(AC98-AB98)/AB98</f>
        <v>0.72413793103448276</v>
      </c>
      <c r="L98" s="15">
        <f t="shared" si="57"/>
        <v>0.71839080459770122</v>
      </c>
      <c r="M98" s="23">
        <v>50</v>
      </c>
      <c r="N98" s="23">
        <v>10</v>
      </c>
      <c r="O98" s="24"/>
      <c r="P98" s="15">
        <v>611005</v>
      </c>
      <c r="Q98" s="12" t="s">
        <v>221</v>
      </c>
      <c r="R98" s="15">
        <v>60</v>
      </c>
      <c r="S98" s="14">
        <f>VLOOKUP(P98,[1]stuff!$A:$C,3,FALSE)</f>
        <v>2</v>
      </c>
      <c r="T98" s="15">
        <v>611004</v>
      </c>
      <c r="U98" s="12" t="s">
        <v>225</v>
      </c>
      <c r="V98" s="15">
        <v>5</v>
      </c>
      <c r="W98" s="14">
        <f>VLOOKUP(T98,[1]stuff!$A:$C,3,FALSE)</f>
        <v>2</v>
      </c>
      <c r="X98" s="15">
        <v>306001</v>
      </c>
      <c r="Y98" s="12" t="s">
        <v>101</v>
      </c>
      <c r="Z98" s="15">
        <v>5</v>
      </c>
      <c r="AA98" s="14">
        <f>VLOOKUP(X98,[1]stuff!$A:$C,3,FALSE)</f>
        <v>3</v>
      </c>
      <c r="AB98">
        <f t="shared" si="72"/>
        <v>145</v>
      </c>
      <c r="AC98">
        <f t="shared" si="60"/>
        <v>250</v>
      </c>
      <c r="AD98">
        <f t="shared" si="58"/>
        <v>0.83333333333333337</v>
      </c>
    </row>
    <row r="99" spans="1:30" x14ac:dyDescent="0.15">
      <c r="A99" s="41">
        <v>30400701</v>
      </c>
      <c r="B99" s="15">
        <v>0</v>
      </c>
      <c r="C99" s="43">
        <v>105018</v>
      </c>
      <c r="D99" s="27" t="s">
        <v>259</v>
      </c>
      <c r="E99" s="12">
        <v>0</v>
      </c>
      <c r="F99" s="15">
        <v>0</v>
      </c>
      <c r="G99" s="15">
        <v>10</v>
      </c>
      <c r="H99" s="14">
        <f>VLOOKUP(I99,[1]stuff!$A:$C,3,FALSE)</f>
        <v>2</v>
      </c>
      <c r="I99" s="15">
        <v>304007</v>
      </c>
      <c r="J99" s="12" t="s">
        <v>124</v>
      </c>
      <c r="K99" s="15"/>
      <c r="L99" s="15"/>
      <c r="M99" s="23">
        <v>10</v>
      </c>
      <c r="N99" s="23">
        <v>1</v>
      </c>
      <c r="O99" s="24"/>
      <c r="P99" s="12"/>
      <c r="Q99" s="12"/>
      <c r="R99" s="12"/>
      <c r="S99" s="14"/>
      <c r="T99" s="15"/>
      <c r="U99" s="15"/>
      <c r="V99" s="15"/>
      <c r="W99" s="29"/>
      <c r="X99" s="15"/>
      <c r="Y99" s="15"/>
      <c r="Z99" s="15"/>
      <c r="AA99" s="29"/>
      <c r="AB99">
        <f t="shared" si="72"/>
        <v>0</v>
      </c>
      <c r="AC99">
        <f t="shared" si="60"/>
        <v>20</v>
      </c>
      <c r="AD99">
        <f t="shared" si="58"/>
        <v>1.6666666666666667</v>
      </c>
    </row>
    <row r="100" spans="1:30" x14ac:dyDescent="0.15">
      <c r="A100" s="41">
        <v>30400801</v>
      </c>
      <c r="B100" s="15">
        <v>0</v>
      </c>
      <c r="C100" s="43">
        <v>105018</v>
      </c>
      <c r="D100" s="27" t="s">
        <v>123</v>
      </c>
      <c r="E100" s="12">
        <v>0</v>
      </c>
      <c r="F100" s="15">
        <v>0</v>
      </c>
      <c r="G100" s="15">
        <v>6</v>
      </c>
      <c r="H100" s="14">
        <f>VLOOKUP(I100,[1]stuff!$A:$C,3,FALSE)</f>
        <v>2</v>
      </c>
      <c r="I100" s="15">
        <v>304008</v>
      </c>
      <c r="J100" s="12" t="s">
        <v>125</v>
      </c>
      <c r="K100" s="15"/>
      <c r="L100" s="15"/>
      <c r="M100" s="23">
        <v>8</v>
      </c>
      <c r="N100" s="23">
        <v>1</v>
      </c>
      <c r="O100" s="24"/>
      <c r="P100" s="12"/>
      <c r="Q100" s="12"/>
      <c r="R100" s="12"/>
      <c r="S100" s="14"/>
      <c r="T100" s="15"/>
      <c r="U100" s="15"/>
      <c r="V100" s="15"/>
      <c r="W100" s="29"/>
      <c r="X100" s="15"/>
      <c r="Y100" s="35"/>
      <c r="Z100" s="15"/>
      <c r="AA100" s="29"/>
      <c r="AB100">
        <f t="shared" si="72"/>
        <v>0</v>
      </c>
      <c r="AC100">
        <f t="shared" si="60"/>
        <v>16</v>
      </c>
      <c r="AD100">
        <f t="shared" si="58"/>
        <v>1</v>
      </c>
    </row>
    <row r="101" spans="1:30" x14ac:dyDescent="0.15">
      <c r="A101" s="41">
        <v>30600101</v>
      </c>
      <c r="B101" s="15">
        <v>0</v>
      </c>
      <c r="C101" s="43">
        <v>105023</v>
      </c>
      <c r="D101" s="27" t="s">
        <v>126</v>
      </c>
      <c r="E101" s="15">
        <v>0</v>
      </c>
      <c r="F101" s="15">
        <v>0</v>
      </c>
      <c r="G101" s="15">
        <v>0</v>
      </c>
      <c r="H101" s="14">
        <f>VLOOKUP(I101,[1]stuff!$A:$C,3,FALSE)</f>
        <v>3</v>
      </c>
      <c r="I101" s="15">
        <v>306001</v>
      </c>
      <c r="J101" s="12" t="s">
        <v>101</v>
      </c>
      <c r="K101" s="15"/>
      <c r="L101" s="15"/>
      <c r="M101" s="23">
        <v>1</v>
      </c>
      <c r="N101" s="23">
        <v>25</v>
      </c>
      <c r="O101" s="21" t="s">
        <v>127</v>
      </c>
      <c r="P101" s="15"/>
      <c r="Q101" s="15"/>
      <c r="R101" s="15"/>
      <c r="S101" s="29"/>
      <c r="T101" s="15"/>
      <c r="U101" s="15"/>
      <c r="V101" s="15"/>
      <c r="W101" s="29"/>
      <c r="X101" s="15"/>
      <c r="Y101" s="15"/>
      <c r="Z101" s="15"/>
      <c r="AA101" s="29"/>
      <c r="AB101">
        <f t="shared" si="72"/>
        <v>0</v>
      </c>
      <c r="AC101">
        <f t="shared" si="60"/>
        <v>3</v>
      </c>
      <c r="AD101">
        <f t="shared" si="58"/>
        <v>0</v>
      </c>
    </row>
    <row r="102" spans="1:30" x14ac:dyDescent="0.15">
      <c r="A102" s="41">
        <v>60100100</v>
      </c>
      <c r="B102" s="15">
        <v>0</v>
      </c>
      <c r="C102" s="43">
        <v>105013</v>
      </c>
      <c r="D102" s="27" t="s">
        <v>128</v>
      </c>
      <c r="E102" s="12">
        <v>0</v>
      </c>
      <c r="F102" s="15">
        <v>0</v>
      </c>
      <c r="G102" s="15">
        <v>0</v>
      </c>
      <c r="H102" s="14">
        <f>VLOOKUP(I102,[1]stuff!$A:$C,3,FALSE)</f>
        <v>5</v>
      </c>
      <c r="I102" s="15">
        <v>601001</v>
      </c>
      <c r="J102" s="12" t="s">
        <v>42</v>
      </c>
      <c r="K102" s="15"/>
      <c r="L102" s="15"/>
      <c r="M102" s="23">
        <v>1</v>
      </c>
      <c r="N102" s="23">
        <v>0</v>
      </c>
      <c r="O102" s="24"/>
      <c r="P102" s="15"/>
      <c r="Q102" s="15"/>
      <c r="R102" s="15"/>
      <c r="S102" s="29"/>
      <c r="T102" s="15"/>
      <c r="U102" s="15"/>
      <c r="V102" s="15"/>
      <c r="W102" s="29"/>
      <c r="X102" s="15"/>
      <c r="Y102" s="15"/>
      <c r="Z102" s="15"/>
      <c r="AA102" s="29"/>
      <c r="AB102">
        <f t="shared" si="72"/>
        <v>0</v>
      </c>
      <c r="AC102">
        <f t="shared" si="60"/>
        <v>5</v>
      </c>
      <c r="AD102">
        <f t="shared" si="58"/>
        <v>0</v>
      </c>
    </row>
    <row r="103" spans="1:30" x14ac:dyDescent="0.15">
      <c r="A103" s="41">
        <v>60300100</v>
      </c>
      <c r="B103" s="15">
        <v>0</v>
      </c>
      <c r="C103" s="43">
        <v>105013</v>
      </c>
      <c r="D103" s="27" t="s">
        <v>128</v>
      </c>
      <c r="E103" s="12">
        <v>0</v>
      </c>
      <c r="F103" s="15">
        <v>0</v>
      </c>
      <c r="G103" s="15">
        <v>0</v>
      </c>
      <c r="H103" s="14">
        <f>VLOOKUP(I103,[1]stuff!$A:$C,3,FALSE)</f>
        <v>2</v>
      </c>
      <c r="I103" s="15">
        <v>616001</v>
      </c>
      <c r="J103" s="15" t="s">
        <v>202</v>
      </c>
      <c r="K103" s="15"/>
      <c r="L103" s="15"/>
      <c r="M103" s="23">
        <v>1</v>
      </c>
      <c r="N103" s="23">
        <v>0</v>
      </c>
      <c r="O103" s="24"/>
      <c r="P103" s="15"/>
      <c r="Q103" s="15"/>
      <c r="R103" s="15"/>
      <c r="S103" s="29"/>
      <c r="T103" s="15"/>
      <c r="U103" s="15"/>
      <c r="V103" s="15"/>
      <c r="W103" s="29"/>
      <c r="X103" s="15"/>
      <c r="Y103" s="15"/>
      <c r="Z103" s="15"/>
      <c r="AA103" s="29"/>
      <c r="AB103">
        <f t="shared" si="72"/>
        <v>0</v>
      </c>
      <c r="AC103">
        <f t="shared" si="60"/>
        <v>2</v>
      </c>
      <c r="AD103">
        <f t="shared" si="58"/>
        <v>0</v>
      </c>
    </row>
    <row r="104" spans="1:30" x14ac:dyDescent="0.15">
      <c r="A104" s="41">
        <v>60300200</v>
      </c>
      <c r="B104" s="15">
        <v>0</v>
      </c>
      <c r="C104" s="43">
        <v>105013</v>
      </c>
      <c r="D104" s="27" t="s">
        <v>128</v>
      </c>
      <c r="E104" s="12">
        <v>0</v>
      </c>
      <c r="F104" s="15">
        <v>0</v>
      </c>
      <c r="G104" s="15">
        <v>0</v>
      </c>
      <c r="H104" s="14">
        <f>VLOOKUP(I104,[1]stuff!$A:$C,3,FALSE)</f>
        <v>2</v>
      </c>
      <c r="I104" s="15">
        <v>616002</v>
      </c>
      <c r="J104" s="15" t="s">
        <v>183</v>
      </c>
      <c r="K104" s="15"/>
      <c r="L104" s="15"/>
      <c r="M104" s="23">
        <v>1</v>
      </c>
      <c r="N104" s="23">
        <v>0</v>
      </c>
      <c r="O104" s="24"/>
      <c r="P104" s="15"/>
      <c r="Q104" s="15"/>
      <c r="R104" s="15"/>
      <c r="S104" s="29"/>
      <c r="T104" s="15"/>
      <c r="U104" s="15"/>
      <c r="V104" s="15"/>
      <c r="W104" s="29"/>
      <c r="X104" s="15"/>
      <c r="Y104" s="15"/>
      <c r="Z104" s="15"/>
      <c r="AA104" s="29"/>
      <c r="AB104">
        <f t="shared" si="72"/>
        <v>0</v>
      </c>
      <c r="AC104">
        <f t="shared" si="60"/>
        <v>2</v>
      </c>
      <c r="AD104">
        <f t="shared" si="58"/>
        <v>0</v>
      </c>
    </row>
    <row r="105" spans="1:30" x14ac:dyDescent="0.15">
      <c r="A105" s="41">
        <v>60300300</v>
      </c>
      <c r="B105" s="15">
        <v>0</v>
      </c>
      <c r="C105" s="43">
        <v>105013</v>
      </c>
      <c r="D105" s="27" t="s">
        <v>128</v>
      </c>
      <c r="E105" s="12">
        <v>0</v>
      </c>
      <c r="F105" s="15">
        <v>0</v>
      </c>
      <c r="G105" s="15">
        <v>0</v>
      </c>
      <c r="H105" s="14">
        <f>VLOOKUP(I105,[1]stuff!$A:$C,3,FALSE)</f>
        <v>2</v>
      </c>
      <c r="I105" s="15">
        <v>616003</v>
      </c>
      <c r="J105" s="15" t="s">
        <v>184</v>
      </c>
      <c r="K105" s="15"/>
      <c r="L105" s="15"/>
      <c r="M105" s="23">
        <v>1</v>
      </c>
      <c r="N105" s="23">
        <v>0</v>
      </c>
      <c r="O105" s="24"/>
      <c r="P105" s="15"/>
      <c r="Q105" s="15"/>
      <c r="R105" s="15"/>
      <c r="S105" s="29"/>
      <c r="T105" s="15"/>
      <c r="U105" s="15"/>
      <c r="V105" s="15"/>
      <c r="W105" s="29"/>
      <c r="X105" s="15"/>
      <c r="Y105" s="15"/>
      <c r="Z105" s="15"/>
      <c r="AA105" s="29"/>
      <c r="AB105">
        <f t="shared" si="72"/>
        <v>0</v>
      </c>
      <c r="AC105">
        <f t="shared" si="60"/>
        <v>2</v>
      </c>
      <c r="AD105">
        <f t="shared" si="58"/>
        <v>0</v>
      </c>
    </row>
    <row r="106" spans="1:30" x14ac:dyDescent="0.15">
      <c r="A106" s="41">
        <v>60300400</v>
      </c>
      <c r="B106" s="15">
        <v>0</v>
      </c>
      <c r="C106" s="43">
        <v>105013</v>
      </c>
      <c r="D106" s="27" t="s">
        <v>128</v>
      </c>
      <c r="E106" s="12">
        <v>0</v>
      </c>
      <c r="F106" s="15">
        <v>0</v>
      </c>
      <c r="G106" s="15">
        <v>0</v>
      </c>
      <c r="H106" s="14">
        <f>VLOOKUP(I106,[1]stuff!$A:$C,3,FALSE)</f>
        <v>2</v>
      </c>
      <c r="I106" s="15">
        <v>616004</v>
      </c>
      <c r="J106" s="15" t="s">
        <v>185</v>
      </c>
      <c r="K106" s="15"/>
      <c r="L106" s="15"/>
      <c r="M106" s="23">
        <v>1</v>
      </c>
      <c r="N106" s="23">
        <v>0</v>
      </c>
      <c r="O106" s="24"/>
      <c r="P106" s="15"/>
      <c r="Q106" s="15"/>
      <c r="R106" s="15"/>
      <c r="S106" s="29"/>
      <c r="T106" s="15"/>
      <c r="U106" s="15"/>
      <c r="V106" s="15"/>
      <c r="W106" s="29"/>
      <c r="X106" s="15"/>
      <c r="Y106" s="15"/>
      <c r="Z106" s="15"/>
      <c r="AA106" s="29"/>
      <c r="AB106">
        <f t="shared" si="72"/>
        <v>0</v>
      </c>
      <c r="AC106">
        <f t="shared" si="60"/>
        <v>2</v>
      </c>
      <c r="AD106">
        <f t="shared" si="58"/>
        <v>0</v>
      </c>
    </row>
    <row r="107" spans="1:30" x14ac:dyDescent="0.15">
      <c r="A107" s="41">
        <v>61600500</v>
      </c>
      <c r="B107" s="15">
        <v>0</v>
      </c>
      <c r="C107" s="43">
        <v>105013</v>
      </c>
      <c r="D107" s="27" t="s">
        <v>128</v>
      </c>
      <c r="E107" s="12">
        <v>0</v>
      </c>
      <c r="F107" s="15">
        <v>0</v>
      </c>
      <c r="G107" s="15">
        <v>0</v>
      </c>
      <c r="H107" s="14">
        <f>VLOOKUP(I107,[1]stuff!$A:$C,3,FALSE)</f>
        <v>2</v>
      </c>
      <c r="I107" s="15">
        <v>616005</v>
      </c>
      <c r="J107" s="15" t="s">
        <v>196</v>
      </c>
      <c r="K107" s="15"/>
      <c r="L107" s="15"/>
      <c r="M107" s="23">
        <v>1</v>
      </c>
      <c r="N107" s="23">
        <v>0</v>
      </c>
      <c r="O107" s="24"/>
      <c r="P107" s="15"/>
      <c r="Q107" s="15"/>
      <c r="R107" s="15"/>
      <c r="S107" s="29"/>
      <c r="T107" s="15"/>
      <c r="U107" s="15"/>
      <c r="V107" s="15"/>
      <c r="W107" s="29"/>
      <c r="X107" s="15"/>
      <c r="Y107" s="15"/>
      <c r="Z107" s="15"/>
      <c r="AA107" s="29"/>
      <c r="AD107">
        <f t="shared" si="58"/>
        <v>0</v>
      </c>
    </row>
    <row r="108" spans="1:30" x14ac:dyDescent="0.15">
      <c r="A108" s="41">
        <v>61600600</v>
      </c>
      <c r="B108" s="15">
        <v>0</v>
      </c>
      <c r="C108" s="43">
        <v>105013</v>
      </c>
      <c r="D108" s="27" t="s">
        <v>128</v>
      </c>
      <c r="E108" s="12">
        <v>0</v>
      </c>
      <c r="F108" s="15">
        <v>0</v>
      </c>
      <c r="G108" s="15">
        <v>0</v>
      </c>
      <c r="H108" s="14">
        <f>VLOOKUP(I108,[1]stuff!$A:$C,3,FALSE)</f>
        <v>2</v>
      </c>
      <c r="I108" s="15">
        <v>616006</v>
      </c>
      <c r="J108" s="15" t="s">
        <v>197</v>
      </c>
      <c r="K108" s="15"/>
      <c r="L108" s="15"/>
      <c r="M108" s="23">
        <v>1</v>
      </c>
      <c r="N108" s="23">
        <v>0</v>
      </c>
      <c r="O108" s="24"/>
      <c r="P108" s="15"/>
      <c r="Q108" s="15"/>
      <c r="R108" s="15"/>
      <c r="S108" s="29"/>
      <c r="T108" s="15"/>
      <c r="U108" s="15"/>
      <c r="V108" s="15"/>
      <c r="W108" s="29"/>
      <c r="X108" s="15"/>
      <c r="Y108" s="15"/>
      <c r="Z108" s="15"/>
      <c r="AA108" s="29"/>
      <c r="AD108">
        <f t="shared" si="58"/>
        <v>0</v>
      </c>
    </row>
    <row r="109" spans="1:30" x14ac:dyDescent="0.15">
      <c r="A109" s="41">
        <v>60500100</v>
      </c>
      <c r="B109" s="15">
        <v>0</v>
      </c>
      <c r="C109" s="43">
        <v>105014</v>
      </c>
      <c r="D109" s="27" t="s">
        <v>129</v>
      </c>
      <c r="E109" s="12">
        <v>0</v>
      </c>
      <c r="F109" s="15">
        <v>0</v>
      </c>
      <c r="G109" s="15">
        <v>0</v>
      </c>
      <c r="H109" s="14">
        <f>VLOOKUP(I109,[1]stuff!$A:$C,3,FALSE)</f>
        <v>4</v>
      </c>
      <c r="I109" s="15">
        <v>605001</v>
      </c>
      <c r="J109" s="12" t="s">
        <v>44</v>
      </c>
      <c r="K109" s="15"/>
      <c r="L109" s="15"/>
      <c r="M109" s="23">
        <v>3</v>
      </c>
      <c r="N109" s="23">
        <v>0</v>
      </c>
      <c r="O109" s="24"/>
      <c r="P109" s="15"/>
      <c r="Q109" s="15"/>
      <c r="R109" s="15"/>
      <c r="S109" s="29"/>
      <c r="T109" s="15"/>
      <c r="U109" s="15"/>
      <c r="V109" s="15"/>
      <c r="W109" s="29"/>
      <c r="X109" s="15"/>
      <c r="Y109" s="15"/>
      <c r="Z109" s="15"/>
      <c r="AA109" s="29"/>
      <c r="AB109">
        <f t="shared" ref="AB109:AB144" si="74">R109*S109+V109*W109+Z109*AA109</f>
        <v>0</v>
      </c>
      <c r="AC109">
        <f t="shared" ref="AC109:AC173" si="75">H109*M109</f>
        <v>12</v>
      </c>
      <c r="AD109">
        <f t="shared" si="58"/>
        <v>0</v>
      </c>
    </row>
    <row r="110" spans="1:30" x14ac:dyDescent="0.15">
      <c r="A110" s="41">
        <v>60500200</v>
      </c>
      <c r="B110" s="15">
        <v>0</v>
      </c>
      <c r="C110" s="43">
        <v>105020</v>
      </c>
      <c r="D110" s="27" t="s">
        <v>130</v>
      </c>
      <c r="E110" s="12">
        <v>0</v>
      </c>
      <c r="F110" s="15">
        <v>0</v>
      </c>
      <c r="G110" s="15">
        <v>0</v>
      </c>
      <c r="H110" s="14">
        <f>VLOOKUP(I110,[1]stuff!$A:$C,3,FALSE)</f>
        <v>4</v>
      </c>
      <c r="I110" s="15">
        <v>605001</v>
      </c>
      <c r="J110" s="12" t="s">
        <v>44</v>
      </c>
      <c r="K110" s="15"/>
      <c r="L110" s="15"/>
      <c r="M110" s="23">
        <v>2</v>
      </c>
      <c r="N110" s="23">
        <v>0</v>
      </c>
      <c r="O110" s="24"/>
      <c r="P110" s="15"/>
      <c r="Q110" s="15"/>
      <c r="R110" s="15"/>
      <c r="S110" s="29"/>
      <c r="T110" s="15"/>
      <c r="U110" s="15"/>
      <c r="V110" s="15"/>
      <c r="W110" s="29"/>
      <c r="X110" s="15"/>
      <c r="Y110" s="15"/>
      <c r="Z110" s="15"/>
      <c r="AA110" s="29"/>
      <c r="AB110">
        <f t="shared" si="74"/>
        <v>0</v>
      </c>
      <c r="AC110">
        <f t="shared" si="75"/>
        <v>8</v>
      </c>
      <c r="AD110">
        <f t="shared" si="58"/>
        <v>0</v>
      </c>
    </row>
    <row r="111" spans="1:30" x14ac:dyDescent="0.15">
      <c r="A111" s="42">
        <v>60200100</v>
      </c>
      <c r="B111" s="15">
        <v>0</v>
      </c>
      <c r="C111" s="45">
        <v>105009</v>
      </c>
      <c r="D111" s="40" t="s">
        <v>131</v>
      </c>
      <c r="E111" s="40">
        <v>0</v>
      </c>
      <c r="F111" s="39">
        <v>0</v>
      </c>
      <c r="G111" s="39">
        <v>0</v>
      </c>
      <c r="H111" s="40">
        <f>VLOOKUP(I111,[1]stuff!$A:$C,3,FALSE)</f>
        <v>5</v>
      </c>
      <c r="I111" s="39">
        <v>602001</v>
      </c>
      <c r="J111" s="39" t="s">
        <v>102</v>
      </c>
      <c r="K111" s="39"/>
      <c r="L111" s="15"/>
      <c r="M111" s="39">
        <v>0</v>
      </c>
      <c r="N111" s="39">
        <v>1</v>
      </c>
      <c r="O111" s="24"/>
      <c r="P111" s="15"/>
      <c r="Q111" s="15"/>
      <c r="R111" s="15"/>
      <c r="S111" s="29"/>
      <c r="T111" s="15"/>
      <c r="U111" s="15"/>
      <c r="V111" s="15"/>
      <c r="W111" s="29"/>
      <c r="X111" s="15"/>
      <c r="Y111" s="15"/>
      <c r="Z111" s="15"/>
      <c r="AA111" s="29"/>
      <c r="AB111">
        <f t="shared" si="74"/>
        <v>0</v>
      </c>
      <c r="AC111">
        <f t="shared" si="75"/>
        <v>0</v>
      </c>
      <c r="AD111">
        <f t="shared" si="58"/>
        <v>0</v>
      </c>
    </row>
    <row r="112" spans="1:30" x14ac:dyDescent="0.15">
      <c r="A112" s="41">
        <v>30400100</v>
      </c>
      <c r="B112" s="15">
        <v>0</v>
      </c>
      <c r="C112" s="43">
        <v>105004</v>
      </c>
      <c r="D112" s="26" t="s">
        <v>132</v>
      </c>
      <c r="E112" s="12">
        <v>0</v>
      </c>
      <c r="F112" s="15">
        <v>0</v>
      </c>
      <c r="G112" s="15">
        <v>0</v>
      </c>
      <c r="H112" s="14">
        <f>VLOOKUP(I112,[1]stuff!$A:$C,3,FALSE)</f>
        <v>2</v>
      </c>
      <c r="I112" s="15">
        <v>304001</v>
      </c>
      <c r="J112" s="15" t="s">
        <v>133</v>
      </c>
      <c r="K112" s="15"/>
      <c r="L112" s="15"/>
      <c r="M112" s="23">
        <v>2</v>
      </c>
      <c r="N112" s="23">
        <v>1</v>
      </c>
      <c r="O112" s="24"/>
      <c r="P112" s="15"/>
      <c r="Q112" s="15"/>
      <c r="R112" s="15"/>
      <c r="S112" s="29"/>
      <c r="T112" s="15"/>
      <c r="U112" s="15"/>
      <c r="V112" s="15"/>
      <c r="W112" s="29"/>
      <c r="X112" s="15"/>
      <c r="Y112" s="15"/>
      <c r="Z112" s="15"/>
      <c r="AA112" s="29"/>
      <c r="AB112">
        <f t="shared" si="74"/>
        <v>0</v>
      </c>
      <c r="AC112">
        <f t="shared" si="75"/>
        <v>4</v>
      </c>
      <c r="AD112">
        <f t="shared" si="58"/>
        <v>0</v>
      </c>
    </row>
    <row r="113" spans="1:30" x14ac:dyDescent="0.15">
      <c r="A113" s="41">
        <v>60600100</v>
      </c>
      <c r="B113" s="15">
        <v>0</v>
      </c>
      <c r="C113" s="43">
        <v>105005</v>
      </c>
      <c r="D113" s="26" t="s">
        <v>134</v>
      </c>
      <c r="E113" s="12">
        <v>0</v>
      </c>
      <c r="F113" s="15">
        <v>0</v>
      </c>
      <c r="G113" s="15">
        <v>0</v>
      </c>
      <c r="H113" s="14">
        <f>VLOOKUP(I113,[1]stuff!$A:$C,3,FALSE)</f>
        <v>3</v>
      </c>
      <c r="I113" s="15">
        <v>606001</v>
      </c>
      <c r="J113" s="15" t="s">
        <v>47</v>
      </c>
      <c r="K113" s="15"/>
      <c r="L113" s="15"/>
      <c r="M113" s="23">
        <v>0</v>
      </c>
      <c r="N113" s="23">
        <v>0</v>
      </c>
      <c r="O113" s="21"/>
      <c r="P113" s="15"/>
      <c r="Q113" s="15"/>
      <c r="R113" s="15"/>
      <c r="S113" s="29"/>
      <c r="T113" s="15"/>
      <c r="U113" s="15"/>
      <c r="V113" s="15"/>
      <c r="W113" s="29"/>
      <c r="X113" s="15"/>
      <c r="Y113" s="15"/>
      <c r="Z113" s="15"/>
      <c r="AA113" s="29"/>
      <c r="AB113">
        <f t="shared" si="74"/>
        <v>0</v>
      </c>
      <c r="AC113">
        <f t="shared" si="75"/>
        <v>0</v>
      </c>
      <c r="AD113">
        <f t="shared" si="58"/>
        <v>0</v>
      </c>
    </row>
    <row r="114" spans="1:30" x14ac:dyDescent="0.15">
      <c r="A114" s="41">
        <v>30400200</v>
      </c>
      <c r="B114" s="15">
        <v>0</v>
      </c>
      <c r="C114" s="43">
        <v>105005</v>
      </c>
      <c r="D114" s="26" t="s">
        <v>134</v>
      </c>
      <c r="E114" s="12">
        <v>0</v>
      </c>
      <c r="F114" s="15">
        <v>0</v>
      </c>
      <c r="G114" s="15">
        <v>0</v>
      </c>
      <c r="H114" s="14">
        <f>VLOOKUP(I114,[1]stuff!$A:$C,3,FALSE)</f>
        <v>2</v>
      </c>
      <c r="I114" s="15">
        <v>304002</v>
      </c>
      <c r="J114" s="12" t="s">
        <v>135</v>
      </c>
      <c r="K114" s="15"/>
      <c r="L114" s="15"/>
      <c r="M114" s="23">
        <v>0</v>
      </c>
      <c r="N114" s="23">
        <v>0</v>
      </c>
      <c r="O114" s="21"/>
      <c r="P114" s="15"/>
      <c r="Q114" s="15"/>
      <c r="R114" s="15"/>
      <c r="S114" s="29"/>
      <c r="T114" s="15"/>
      <c r="U114" s="15"/>
      <c r="V114" s="15"/>
      <c r="W114" s="29"/>
      <c r="X114" s="15"/>
      <c r="Y114" s="15"/>
      <c r="Z114" s="15"/>
      <c r="AA114" s="29"/>
      <c r="AB114">
        <f t="shared" si="74"/>
        <v>0</v>
      </c>
      <c r="AC114">
        <f t="shared" si="75"/>
        <v>0</v>
      </c>
      <c r="AD114">
        <f t="shared" si="58"/>
        <v>0</v>
      </c>
    </row>
    <row r="115" spans="1:30" x14ac:dyDescent="0.15">
      <c r="A115" s="42">
        <v>30300900</v>
      </c>
      <c r="B115" s="15">
        <v>0</v>
      </c>
      <c r="C115" s="45">
        <v>105006</v>
      </c>
      <c r="D115" s="39" t="s">
        <v>136</v>
      </c>
      <c r="E115" s="40">
        <v>0</v>
      </c>
      <c r="F115" s="39">
        <v>0</v>
      </c>
      <c r="G115" s="39">
        <v>0</v>
      </c>
      <c r="H115" s="40">
        <f>VLOOKUP(I115,[1]stuff!$A:$C,3,FALSE)</f>
        <v>1</v>
      </c>
      <c r="I115" s="39">
        <v>303009</v>
      </c>
      <c r="J115" s="40" t="s">
        <v>98</v>
      </c>
      <c r="K115" s="39"/>
      <c r="L115" s="15"/>
      <c r="M115" s="39">
        <v>0</v>
      </c>
      <c r="N115" s="39">
        <v>2</v>
      </c>
      <c r="O115" s="24"/>
      <c r="P115" s="15"/>
      <c r="Q115" s="15"/>
      <c r="R115" s="15"/>
      <c r="S115" s="29"/>
      <c r="T115" s="15"/>
      <c r="U115" s="15"/>
      <c r="V115" s="15"/>
      <c r="W115" s="29"/>
      <c r="X115" s="15"/>
      <c r="Y115" s="15"/>
      <c r="Z115" s="15"/>
      <c r="AA115" s="29"/>
      <c r="AB115">
        <f t="shared" si="74"/>
        <v>0</v>
      </c>
      <c r="AC115">
        <f t="shared" si="75"/>
        <v>0</v>
      </c>
      <c r="AD115">
        <f t="shared" si="58"/>
        <v>0</v>
      </c>
    </row>
    <row r="116" spans="1:30" x14ac:dyDescent="0.15">
      <c r="A116" s="42">
        <v>30100600</v>
      </c>
      <c r="B116" s="15">
        <v>0</v>
      </c>
      <c r="C116" s="45">
        <v>105006</v>
      </c>
      <c r="D116" s="39" t="s">
        <v>136</v>
      </c>
      <c r="E116" s="40">
        <v>0</v>
      </c>
      <c r="F116" s="39">
        <v>0</v>
      </c>
      <c r="G116" s="39">
        <v>0</v>
      </c>
      <c r="H116" s="40">
        <f>VLOOKUP(I116,[1]stuff!$A:$C,3,FALSE)</f>
        <v>1</v>
      </c>
      <c r="I116" s="39">
        <v>301006</v>
      </c>
      <c r="J116" s="39" t="s">
        <v>106</v>
      </c>
      <c r="K116" s="39"/>
      <c r="L116" s="15"/>
      <c r="M116" s="39">
        <v>0</v>
      </c>
      <c r="N116" s="39">
        <v>2</v>
      </c>
      <c r="O116" s="24"/>
      <c r="P116" s="15"/>
      <c r="Q116" s="15"/>
      <c r="R116" s="15"/>
      <c r="S116" s="29"/>
      <c r="T116" s="15"/>
      <c r="U116" s="15"/>
      <c r="V116" s="15"/>
      <c r="W116" s="29"/>
      <c r="X116" s="15"/>
      <c r="Y116" s="15"/>
      <c r="Z116" s="15"/>
      <c r="AA116" s="29"/>
      <c r="AB116">
        <f t="shared" si="74"/>
        <v>0</v>
      </c>
      <c r="AC116">
        <f t="shared" si="75"/>
        <v>0</v>
      </c>
      <c r="AD116">
        <f t="shared" si="58"/>
        <v>0</v>
      </c>
    </row>
    <row r="117" spans="1:30" x14ac:dyDescent="0.15">
      <c r="A117" s="42">
        <v>30100700</v>
      </c>
      <c r="B117" s="15">
        <v>0</v>
      </c>
      <c r="C117" s="45">
        <v>105006</v>
      </c>
      <c r="D117" s="39" t="s">
        <v>136</v>
      </c>
      <c r="E117" s="40">
        <v>0</v>
      </c>
      <c r="F117" s="39">
        <v>0</v>
      </c>
      <c r="G117" s="39">
        <v>0</v>
      </c>
      <c r="H117" s="40">
        <f>VLOOKUP(I117,[1]stuff!$A:$C,3,FALSE)</f>
        <v>1</v>
      </c>
      <c r="I117" s="39">
        <v>301007</v>
      </c>
      <c r="J117" s="39" t="s">
        <v>137</v>
      </c>
      <c r="K117" s="39"/>
      <c r="L117" s="15"/>
      <c r="M117" s="39">
        <v>0</v>
      </c>
      <c r="N117" s="39">
        <v>2</v>
      </c>
      <c r="O117" s="24"/>
      <c r="P117" s="15"/>
      <c r="Q117" s="15"/>
      <c r="R117" s="15"/>
      <c r="S117" s="29"/>
      <c r="T117" s="15"/>
      <c r="U117" s="15"/>
      <c r="V117" s="15"/>
      <c r="W117" s="29"/>
      <c r="X117" s="15"/>
      <c r="Y117" s="15"/>
      <c r="Z117" s="15"/>
      <c r="AA117" s="29"/>
      <c r="AB117">
        <f t="shared" si="74"/>
        <v>0</v>
      </c>
      <c r="AC117">
        <f t="shared" si="75"/>
        <v>0</v>
      </c>
      <c r="AD117">
        <f t="shared" si="58"/>
        <v>0</v>
      </c>
    </row>
    <row r="118" spans="1:30" x14ac:dyDescent="0.15">
      <c r="A118" s="42">
        <v>30200400</v>
      </c>
      <c r="B118" s="15">
        <v>0</v>
      </c>
      <c r="C118" s="45">
        <v>105006</v>
      </c>
      <c r="D118" s="39" t="s">
        <v>136</v>
      </c>
      <c r="E118" s="40">
        <v>0</v>
      </c>
      <c r="F118" s="39">
        <v>0</v>
      </c>
      <c r="G118" s="39">
        <v>0</v>
      </c>
      <c r="H118" s="40">
        <f>VLOOKUP(I118,[1]stuff!$A:$C,3,FALSE)</f>
        <v>1</v>
      </c>
      <c r="I118" s="39">
        <v>302004</v>
      </c>
      <c r="J118" s="39" t="s">
        <v>138</v>
      </c>
      <c r="K118" s="39"/>
      <c r="L118" s="15"/>
      <c r="M118" s="39">
        <v>0</v>
      </c>
      <c r="N118" s="39">
        <v>2</v>
      </c>
      <c r="O118" s="24"/>
      <c r="P118" s="15"/>
      <c r="Q118" s="15"/>
      <c r="R118" s="15"/>
      <c r="S118" s="29"/>
      <c r="T118" s="15"/>
      <c r="U118" s="15"/>
      <c r="V118" s="15"/>
      <c r="W118" s="29"/>
      <c r="X118" s="15"/>
      <c r="Y118" s="15"/>
      <c r="Z118" s="15"/>
      <c r="AA118" s="29"/>
      <c r="AB118">
        <f t="shared" si="74"/>
        <v>0</v>
      </c>
      <c r="AC118">
        <f t="shared" si="75"/>
        <v>0</v>
      </c>
      <c r="AD118">
        <f t="shared" si="58"/>
        <v>0</v>
      </c>
    </row>
    <row r="119" spans="1:30" x14ac:dyDescent="0.15">
      <c r="A119" s="42">
        <v>30300901</v>
      </c>
      <c r="B119" s="15">
        <v>0</v>
      </c>
      <c r="C119" s="15">
        <v>104029</v>
      </c>
      <c r="D119" s="12" t="s">
        <v>247</v>
      </c>
      <c r="E119" s="40">
        <v>0</v>
      </c>
      <c r="F119" s="39">
        <v>0</v>
      </c>
      <c r="G119" s="39">
        <v>0</v>
      </c>
      <c r="H119" s="40">
        <f>VLOOKUP(I119,[1]stuff!$A:$C,3,FALSE)</f>
        <v>1</v>
      </c>
      <c r="I119" s="39">
        <v>303009</v>
      </c>
      <c r="J119" s="40" t="s">
        <v>98</v>
      </c>
      <c r="K119" s="39"/>
      <c r="L119" s="15"/>
      <c r="M119" s="39">
        <v>0</v>
      </c>
      <c r="N119" s="39">
        <v>2</v>
      </c>
      <c r="O119" s="24"/>
      <c r="P119" s="15"/>
      <c r="Q119" s="15"/>
      <c r="R119" s="15"/>
      <c r="S119" s="29"/>
      <c r="T119" s="15"/>
      <c r="U119" s="15"/>
      <c r="V119" s="15"/>
      <c r="W119" s="29"/>
      <c r="X119" s="15"/>
      <c r="Y119" s="15"/>
      <c r="Z119" s="15"/>
      <c r="AA119" s="29"/>
      <c r="AB119">
        <f t="shared" ref="AB119" si="76">R119*S119+V119*W119+Z119*AA119</f>
        <v>0</v>
      </c>
      <c r="AC119">
        <f t="shared" ref="AC119" si="77">H119*M119</f>
        <v>0</v>
      </c>
      <c r="AD119">
        <f t="shared" ref="AD119" si="78">G119/6</f>
        <v>0</v>
      </c>
    </row>
    <row r="120" spans="1:30" x14ac:dyDescent="0.15">
      <c r="A120" s="15">
        <v>60200301</v>
      </c>
      <c r="C120" s="15">
        <v>104028</v>
      </c>
      <c r="D120" s="12" t="s">
        <v>248</v>
      </c>
      <c r="E120" s="40">
        <v>0</v>
      </c>
      <c r="F120" s="39">
        <v>0</v>
      </c>
      <c r="G120" s="39">
        <v>0</v>
      </c>
      <c r="H120" s="40">
        <f>VLOOKUP(I120,[1]stuff!$A:$C,3,FALSE)</f>
        <v>50</v>
      </c>
      <c r="I120" s="15">
        <v>602003</v>
      </c>
      <c r="J120" s="12" t="s">
        <v>245</v>
      </c>
      <c r="K120" s="39"/>
      <c r="L120" s="15"/>
      <c r="M120" s="39">
        <v>0</v>
      </c>
      <c r="N120" s="39">
        <v>1</v>
      </c>
      <c r="O120" s="24"/>
      <c r="P120" s="15"/>
      <c r="Q120" s="15"/>
      <c r="R120" s="15"/>
      <c r="S120" s="29"/>
      <c r="T120" s="15"/>
      <c r="U120" s="15"/>
      <c r="V120" s="15"/>
      <c r="W120" s="29"/>
      <c r="X120" s="15"/>
      <c r="Y120" s="15"/>
      <c r="Z120" s="15"/>
      <c r="AA120" s="29"/>
      <c r="AB120">
        <f t="shared" ref="AB120:AB121" si="79">R120*S120+V120*W120+Z120*AA120</f>
        <v>0</v>
      </c>
      <c r="AC120">
        <f t="shared" ref="AC120:AC121" si="80">H120*M120</f>
        <v>0</v>
      </c>
      <c r="AD120">
        <f t="shared" ref="AD120:AD121" si="81">G120/6</f>
        <v>0</v>
      </c>
    </row>
    <row r="121" spans="1:30" x14ac:dyDescent="0.15">
      <c r="A121" s="15">
        <v>60200401</v>
      </c>
      <c r="C121" s="15">
        <v>104028</v>
      </c>
      <c r="D121" s="12" t="s">
        <v>248</v>
      </c>
      <c r="E121" s="40">
        <v>0</v>
      </c>
      <c r="F121" s="39">
        <v>0</v>
      </c>
      <c r="G121" s="39">
        <v>0</v>
      </c>
      <c r="H121" s="40">
        <f>VLOOKUP(I121,[1]stuff!$A:$C,3,FALSE)</f>
        <v>50</v>
      </c>
      <c r="I121" s="15">
        <v>602004</v>
      </c>
      <c r="J121" s="12" t="s">
        <v>246</v>
      </c>
      <c r="K121" s="39"/>
      <c r="L121" s="15"/>
      <c r="M121" s="39">
        <v>0</v>
      </c>
      <c r="N121" s="39">
        <v>1</v>
      </c>
      <c r="O121" s="24"/>
      <c r="P121" s="15"/>
      <c r="Q121" s="15"/>
      <c r="R121" s="15"/>
      <c r="S121" s="29"/>
      <c r="T121" s="15"/>
      <c r="U121" s="15"/>
      <c r="V121" s="15"/>
      <c r="W121" s="29"/>
      <c r="X121" s="15"/>
      <c r="Y121" s="15"/>
      <c r="Z121" s="15"/>
      <c r="AA121" s="29"/>
      <c r="AB121">
        <f t="shared" si="79"/>
        <v>0</v>
      </c>
      <c r="AC121">
        <f t="shared" si="80"/>
        <v>0</v>
      </c>
      <c r="AD121">
        <f t="shared" si="81"/>
        <v>0</v>
      </c>
    </row>
    <row r="122" spans="1:30" x14ac:dyDescent="0.15">
      <c r="A122" s="41">
        <v>60400100</v>
      </c>
      <c r="B122" s="15">
        <v>0</v>
      </c>
      <c r="C122" s="43">
        <v>105008</v>
      </c>
      <c r="D122" s="27" t="s">
        <v>139</v>
      </c>
      <c r="E122" s="12">
        <v>0</v>
      </c>
      <c r="F122" s="15">
        <v>0</v>
      </c>
      <c r="G122" s="15">
        <v>0</v>
      </c>
      <c r="H122" s="14">
        <f>VLOOKUP(I122,[1]stuff!$A:$C,3,FALSE)</f>
        <v>2</v>
      </c>
      <c r="I122" s="15">
        <v>604001</v>
      </c>
      <c r="J122" s="15" t="s">
        <v>40</v>
      </c>
      <c r="K122" s="15"/>
      <c r="L122" s="15"/>
      <c r="M122" s="23">
        <v>6</v>
      </c>
      <c r="N122" s="23">
        <v>1</v>
      </c>
      <c r="O122" s="21" t="s">
        <v>140</v>
      </c>
      <c r="P122" s="15"/>
      <c r="Q122" s="15"/>
      <c r="R122" s="15"/>
      <c r="S122" s="29"/>
      <c r="T122" s="15"/>
      <c r="U122" s="15"/>
      <c r="V122" s="15"/>
      <c r="W122" s="29"/>
      <c r="X122" s="15"/>
      <c r="Y122" s="15"/>
      <c r="Z122" s="15"/>
      <c r="AA122" s="29"/>
      <c r="AB122">
        <f t="shared" si="74"/>
        <v>0</v>
      </c>
      <c r="AC122">
        <f t="shared" si="75"/>
        <v>12</v>
      </c>
      <c r="AD122">
        <f t="shared" si="58"/>
        <v>0</v>
      </c>
    </row>
    <row r="123" spans="1:30" x14ac:dyDescent="0.15">
      <c r="A123" s="41">
        <v>60900100</v>
      </c>
      <c r="B123" s="15">
        <v>0</v>
      </c>
      <c r="C123" s="43">
        <v>105015</v>
      </c>
      <c r="D123" s="26" t="s">
        <v>141</v>
      </c>
      <c r="E123" s="12">
        <v>0</v>
      </c>
      <c r="F123" s="15">
        <v>1</v>
      </c>
      <c r="G123" s="15">
        <v>10</v>
      </c>
      <c r="H123" s="14">
        <f>VLOOKUP(I123,[1]stuff!$A:$C,3,FALSE)</f>
        <v>1</v>
      </c>
      <c r="I123" s="15">
        <v>609001</v>
      </c>
      <c r="J123" s="12" t="s">
        <v>142</v>
      </c>
      <c r="K123" s="15"/>
      <c r="L123" s="15"/>
      <c r="M123" s="23">
        <v>1</v>
      </c>
      <c r="N123" s="23">
        <v>0</v>
      </c>
      <c r="O123" s="24"/>
      <c r="P123" s="15">
        <v>610001</v>
      </c>
      <c r="Q123" s="12" t="s">
        <v>143</v>
      </c>
      <c r="R123" s="12">
        <v>1</v>
      </c>
      <c r="S123" s="14"/>
      <c r="T123" s="15"/>
      <c r="U123" s="15"/>
      <c r="V123" s="15"/>
      <c r="W123" s="29"/>
      <c r="X123" s="15"/>
      <c r="Y123" s="15"/>
      <c r="Z123" s="15"/>
      <c r="AA123" s="29"/>
      <c r="AB123">
        <f t="shared" si="74"/>
        <v>0</v>
      </c>
      <c r="AC123">
        <f t="shared" si="75"/>
        <v>1</v>
      </c>
      <c r="AD123">
        <f t="shared" si="58"/>
        <v>1.6666666666666667</v>
      </c>
    </row>
    <row r="124" spans="1:30" x14ac:dyDescent="0.15">
      <c r="A124" s="41">
        <v>60900101</v>
      </c>
      <c r="B124" s="15">
        <v>0</v>
      </c>
      <c r="C124" s="43">
        <v>105015</v>
      </c>
      <c r="D124" s="26" t="s">
        <v>141</v>
      </c>
      <c r="E124" s="12">
        <v>0</v>
      </c>
      <c r="F124" s="15">
        <v>1</v>
      </c>
      <c r="G124" s="15">
        <v>10</v>
      </c>
      <c r="H124" s="14">
        <f>VLOOKUP(I124,[1]stuff!$A:$C,3,FALSE)</f>
        <v>1</v>
      </c>
      <c r="I124" s="31">
        <v>609001</v>
      </c>
      <c r="J124" s="32" t="s">
        <v>142</v>
      </c>
      <c r="K124" s="31"/>
      <c r="L124" s="15"/>
      <c r="M124" s="33">
        <v>1</v>
      </c>
      <c r="N124" s="33">
        <v>0</v>
      </c>
      <c r="O124" s="34"/>
      <c r="P124" s="31">
        <v>610002</v>
      </c>
      <c r="Q124" s="32" t="s">
        <v>118</v>
      </c>
      <c r="R124" s="32">
        <v>250</v>
      </c>
      <c r="S124" s="36"/>
      <c r="T124" s="31"/>
      <c r="U124" s="31"/>
      <c r="V124" s="31"/>
      <c r="W124" s="37"/>
      <c r="X124" s="31"/>
      <c r="Y124" s="31"/>
      <c r="Z124" s="31"/>
      <c r="AA124" s="37"/>
      <c r="AB124">
        <f t="shared" si="74"/>
        <v>0</v>
      </c>
      <c r="AC124">
        <f t="shared" si="75"/>
        <v>1</v>
      </c>
      <c r="AD124">
        <f t="shared" si="58"/>
        <v>1.6666666666666667</v>
      </c>
    </row>
    <row r="125" spans="1:30" x14ac:dyDescent="0.15">
      <c r="A125" s="41">
        <v>60900102</v>
      </c>
      <c r="B125" s="15">
        <v>0</v>
      </c>
      <c r="C125" s="43">
        <v>105015</v>
      </c>
      <c r="D125" s="26" t="s">
        <v>141</v>
      </c>
      <c r="E125" s="12">
        <v>0</v>
      </c>
      <c r="F125" s="15">
        <v>1</v>
      </c>
      <c r="G125" s="15">
        <v>10</v>
      </c>
      <c r="H125" s="14">
        <f>VLOOKUP(I125,[1]stuff!$A:$C,3,FALSE)</f>
        <v>1</v>
      </c>
      <c r="I125" s="31">
        <v>609001</v>
      </c>
      <c r="J125" s="32" t="s">
        <v>142</v>
      </c>
      <c r="K125" s="31"/>
      <c r="L125" s="15"/>
      <c r="M125" s="33">
        <v>1</v>
      </c>
      <c r="N125" s="33">
        <v>0</v>
      </c>
      <c r="O125" s="34"/>
      <c r="P125" s="15">
        <v>610003</v>
      </c>
      <c r="Q125" s="15" t="s">
        <v>186</v>
      </c>
      <c r="R125" s="32">
        <v>5</v>
      </c>
      <c r="S125" s="36"/>
      <c r="T125" s="31"/>
      <c r="U125" s="31"/>
      <c r="V125" s="31"/>
      <c r="W125" s="37"/>
      <c r="X125" s="31"/>
      <c r="Y125" s="31"/>
      <c r="Z125" s="31"/>
      <c r="AA125" s="37"/>
      <c r="AB125">
        <f t="shared" si="74"/>
        <v>0</v>
      </c>
      <c r="AC125">
        <f t="shared" si="75"/>
        <v>1</v>
      </c>
      <c r="AD125">
        <f t="shared" si="58"/>
        <v>1.6666666666666667</v>
      </c>
    </row>
    <row r="126" spans="1:30" x14ac:dyDescent="0.15">
      <c r="A126" s="41">
        <f>I126*100</f>
        <v>42400100</v>
      </c>
      <c r="B126" s="15">
        <v>0</v>
      </c>
      <c r="C126" s="43">
        <v>104017</v>
      </c>
      <c r="D126" s="12" t="s">
        <v>144</v>
      </c>
      <c r="E126" s="12">
        <v>1</v>
      </c>
      <c r="F126" s="15">
        <v>1</v>
      </c>
      <c r="G126" s="15">
        <v>50</v>
      </c>
      <c r="H126" s="14">
        <f>VLOOKUP(I126,[1]stuff!$A:$C,3,FALSE)</f>
        <v>1000</v>
      </c>
      <c r="I126" s="15">
        <v>424001</v>
      </c>
      <c r="J126" s="28" t="s">
        <v>230</v>
      </c>
      <c r="K126" s="15">
        <f t="shared" si="71"/>
        <v>-5.9642147117296221E-3</v>
      </c>
      <c r="L126" s="15">
        <f t="shared" si="57"/>
        <v>-1.4247846255798542E-2</v>
      </c>
      <c r="M126" s="23">
        <v>1</v>
      </c>
      <c r="N126" s="23">
        <v>0</v>
      </c>
      <c r="O126" s="24"/>
      <c r="P126" s="15">
        <v>606001</v>
      </c>
      <c r="Q126" s="12" t="s">
        <v>47</v>
      </c>
      <c r="R126" s="15">
        <v>2</v>
      </c>
      <c r="S126" s="14">
        <f>VLOOKUP(P126,[1]stuff!$A:$C,3,FALSE)</f>
        <v>3</v>
      </c>
      <c r="T126" s="15">
        <v>608001</v>
      </c>
      <c r="U126" s="12" t="s">
        <v>68</v>
      </c>
      <c r="V126" s="15">
        <v>1</v>
      </c>
      <c r="W126" s="14">
        <f>VLOOKUP(T126,[1]stuff!$A:$C,3,FALSE)</f>
        <v>1000</v>
      </c>
      <c r="X126" s="15"/>
      <c r="Y126" s="15"/>
      <c r="Z126" s="15"/>
      <c r="AA126" s="29"/>
      <c r="AB126">
        <f t="shared" si="74"/>
        <v>1006</v>
      </c>
      <c r="AC126">
        <f t="shared" si="75"/>
        <v>1000</v>
      </c>
      <c r="AD126">
        <f t="shared" si="58"/>
        <v>8.3333333333333339</v>
      </c>
    </row>
    <row r="127" spans="1:30" x14ac:dyDescent="0.15">
      <c r="A127" s="41">
        <f t="shared" ref="A127:A131" si="82">I127*100</f>
        <v>42400200</v>
      </c>
      <c r="B127" s="15">
        <v>0</v>
      </c>
      <c r="C127" s="43">
        <v>104017</v>
      </c>
      <c r="D127" s="12" t="s">
        <v>144</v>
      </c>
      <c r="E127" s="12">
        <v>1</v>
      </c>
      <c r="F127" s="15">
        <v>1</v>
      </c>
      <c r="G127" s="15">
        <v>50</v>
      </c>
      <c r="H127" s="14">
        <f>VLOOKUP(I127,[1]stuff!$A:$C,3,FALSE)</f>
        <v>1000</v>
      </c>
      <c r="I127" s="15">
        <v>424002</v>
      </c>
      <c r="J127" s="28" t="s">
        <v>231</v>
      </c>
      <c r="K127" s="15">
        <f t="shared" si="71"/>
        <v>-5.9642147117296221E-3</v>
      </c>
      <c r="L127" s="15">
        <f t="shared" si="57"/>
        <v>-1.4247846255798542E-2</v>
      </c>
      <c r="M127" s="23">
        <v>1</v>
      </c>
      <c r="N127" s="23">
        <v>0</v>
      </c>
      <c r="O127" s="24"/>
      <c r="P127" s="15">
        <v>606001</v>
      </c>
      <c r="Q127" s="12" t="s">
        <v>47</v>
      </c>
      <c r="R127" s="15">
        <v>2</v>
      </c>
      <c r="S127" s="14">
        <f>VLOOKUP(P127,[1]stuff!$A:$C,3,FALSE)</f>
        <v>3</v>
      </c>
      <c r="T127" s="15">
        <v>608001</v>
      </c>
      <c r="U127" s="12" t="s">
        <v>68</v>
      </c>
      <c r="V127" s="15">
        <v>1</v>
      </c>
      <c r="W127" s="14">
        <f>VLOOKUP(T127,[1]stuff!$A:$C,3,FALSE)</f>
        <v>1000</v>
      </c>
      <c r="X127" s="15"/>
      <c r="Y127" s="15"/>
      <c r="Z127" s="15"/>
      <c r="AA127" s="29"/>
      <c r="AB127">
        <f t="shared" si="74"/>
        <v>1006</v>
      </c>
      <c r="AC127">
        <f t="shared" si="75"/>
        <v>1000</v>
      </c>
      <c r="AD127">
        <f t="shared" si="58"/>
        <v>8.3333333333333339</v>
      </c>
    </row>
    <row r="128" spans="1:30" x14ac:dyDescent="0.15">
      <c r="A128" s="41">
        <f t="shared" si="82"/>
        <v>42400300</v>
      </c>
      <c r="B128" s="15">
        <v>0</v>
      </c>
      <c r="C128" s="43">
        <v>104017</v>
      </c>
      <c r="D128" s="12" t="s">
        <v>144</v>
      </c>
      <c r="E128" s="12">
        <v>1</v>
      </c>
      <c r="F128" s="15">
        <v>1</v>
      </c>
      <c r="G128" s="15">
        <v>50</v>
      </c>
      <c r="H128" s="14">
        <f>VLOOKUP(I128,[1]stuff!$A:$C,3,FALSE)</f>
        <v>1000</v>
      </c>
      <c r="I128" s="15">
        <v>424003</v>
      </c>
      <c r="J128" s="28" t="s">
        <v>232</v>
      </c>
      <c r="K128" s="15">
        <f t="shared" si="71"/>
        <v>-5.9642147117296221E-3</v>
      </c>
      <c r="L128" s="15">
        <f t="shared" si="57"/>
        <v>-1.4247846255798542E-2</v>
      </c>
      <c r="M128" s="23">
        <v>1</v>
      </c>
      <c r="N128" s="23">
        <v>0</v>
      </c>
      <c r="O128" s="24"/>
      <c r="P128" s="15">
        <v>606001</v>
      </c>
      <c r="Q128" s="12" t="s">
        <v>47</v>
      </c>
      <c r="R128" s="15">
        <v>2</v>
      </c>
      <c r="S128" s="14">
        <f>VLOOKUP(P128,[1]stuff!$A:$C,3,FALSE)</f>
        <v>3</v>
      </c>
      <c r="T128" s="15">
        <v>608001</v>
      </c>
      <c r="U128" s="12" t="s">
        <v>68</v>
      </c>
      <c r="V128" s="15">
        <v>1</v>
      </c>
      <c r="W128" s="14">
        <f>VLOOKUP(T128,[1]stuff!$A:$C,3,FALSE)</f>
        <v>1000</v>
      </c>
      <c r="X128" s="15"/>
      <c r="Y128" s="15"/>
      <c r="Z128" s="15"/>
      <c r="AA128" s="29"/>
      <c r="AB128">
        <f t="shared" si="74"/>
        <v>1006</v>
      </c>
      <c r="AC128">
        <f t="shared" si="75"/>
        <v>1000</v>
      </c>
      <c r="AD128">
        <f t="shared" si="58"/>
        <v>8.3333333333333339</v>
      </c>
    </row>
    <row r="129" spans="1:30" x14ac:dyDescent="0.15">
      <c r="A129" s="41">
        <f t="shared" si="82"/>
        <v>42400400</v>
      </c>
      <c r="B129" s="15">
        <v>0</v>
      </c>
      <c r="C129" s="43">
        <v>104017</v>
      </c>
      <c r="D129" s="12" t="s">
        <v>144</v>
      </c>
      <c r="E129" s="12">
        <v>1</v>
      </c>
      <c r="F129" s="15">
        <v>1</v>
      </c>
      <c r="G129" s="15">
        <v>60</v>
      </c>
      <c r="H129" s="14">
        <f>VLOOKUP(I129,[1]stuff!$A:$C,3,FALSE)</f>
        <v>1000</v>
      </c>
      <c r="I129" s="15">
        <v>424004</v>
      </c>
      <c r="J129" s="12" t="s">
        <v>235</v>
      </c>
      <c r="K129" s="15">
        <f t="shared" si="71"/>
        <v>-5.9642147117296221E-3</v>
      </c>
      <c r="L129" s="15">
        <f t="shared" si="57"/>
        <v>-1.5904572564612324E-2</v>
      </c>
      <c r="M129" s="23">
        <v>1</v>
      </c>
      <c r="N129" s="23">
        <v>0</v>
      </c>
      <c r="O129" s="24"/>
      <c r="P129" s="15">
        <v>606001</v>
      </c>
      <c r="Q129" s="12" t="s">
        <v>47</v>
      </c>
      <c r="R129" s="15">
        <v>2</v>
      </c>
      <c r="S129" s="14">
        <f>VLOOKUP(P129,[1]stuff!$A:$C,3,FALSE)</f>
        <v>3</v>
      </c>
      <c r="T129" s="15">
        <v>608001</v>
      </c>
      <c r="U129" s="12" t="s">
        <v>68</v>
      </c>
      <c r="V129" s="15">
        <v>1</v>
      </c>
      <c r="W129" s="14">
        <f>VLOOKUP(T129,[1]stuff!$A:$C,3,FALSE)</f>
        <v>1000</v>
      </c>
      <c r="X129" s="15"/>
      <c r="Y129" s="15"/>
      <c r="Z129" s="15"/>
      <c r="AA129" s="29"/>
      <c r="AB129">
        <f t="shared" si="74"/>
        <v>1006</v>
      </c>
      <c r="AC129">
        <f t="shared" si="75"/>
        <v>1000</v>
      </c>
      <c r="AD129">
        <f t="shared" si="58"/>
        <v>10</v>
      </c>
    </row>
    <row r="130" spans="1:30" x14ac:dyDescent="0.15">
      <c r="A130" s="41">
        <f t="shared" si="82"/>
        <v>42400500</v>
      </c>
      <c r="B130" s="15">
        <v>0</v>
      </c>
      <c r="C130" s="43">
        <v>104017</v>
      </c>
      <c r="D130" s="12" t="s">
        <v>144</v>
      </c>
      <c r="E130" s="12">
        <v>1</v>
      </c>
      <c r="F130" s="15">
        <v>1</v>
      </c>
      <c r="G130" s="15">
        <v>60</v>
      </c>
      <c r="H130" s="14">
        <f>VLOOKUP(I130,[1]stuff!$A:$C,3,FALSE)</f>
        <v>1000</v>
      </c>
      <c r="I130" s="15">
        <v>424005</v>
      </c>
      <c r="J130" s="12" t="s">
        <v>237</v>
      </c>
      <c r="K130" s="15">
        <f t="shared" si="71"/>
        <v>-5.9642147117296221E-3</v>
      </c>
      <c r="L130" s="15">
        <f t="shared" si="57"/>
        <v>-1.5904572564612324E-2</v>
      </c>
      <c r="M130" s="23">
        <v>1</v>
      </c>
      <c r="N130" s="23">
        <v>0</v>
      </c>
      <c r="O130" s="24"/>
      <c r="P130" s="15">
        <v>606001</v>
      </c>
      <c r="Q130" s="12" t="s">
        <v>47</v>
      </c>
      <c r="R130" s="15">
        <v>2</v>
      </c>
      <c r="S130" s="14">
        <f>VLOOKUP(P130,[1]stuff!$A:$C,3,FALSE)</f>
        <v>3</v>
      </c>
      <c r="T130" s="15">
        <v>608001</v>
      </c>
      <c r="U130" s="12" t="s">
        <v>68</v>
      </c>
      <c r="V130" s="15">
        <v>1</v>
      </c>
      <c r="W130" s="14">
        <f>VLOOKUP(T130,[1]stuff!$A:$C,3,FALSE)</f>
        <v>1000</v>
      </c>
      <c r="X130" s="15"/>
      <c r="Y130" s="15"/>
      <c r="Z130" s="15"/>
      <c r="AA130" s="29"/>
      <c r="AB130">
        <f t="shared" si="74"/>
        <v>1006</v>
      </c>
      <c r="AC130">
        <f t="shared" si="75"/>
        <v>1000</v>
      </c>
      <c r="AD130">
        <f t="shared" si="58"/>
        <v>10</v>
      </c>
    </row>
    <row r="131" spans="1:30" x14ac:dyDescent="0.15">
      <c r="A131" s="41">
        <f t="shared" si="82"/>
        <v>42400600</v>
      </c>
      <c r="B131" s="15">
        <v>0</v>
      </c>
      <c r="C131" s="43">
        <v>104017</v>
      </c>
      <c r="D131" s="12" t="s">
        <v>144</v>
      </c>
      <c r="E131" s="12">
        <v>1</v>
      </c>
      <c r="F131" s="15">
        <v>1</v>
      </c>
      <c r="G131" s="15">
        <v>60</v>
      </c>
      <c r="H131" s="14">
        <f>VLOOKUP(I131,[1]stuff!$A:$C,3,FALSE)</f>
        <v>1000</v>
      </c>
      <c r="I131" s="15">
        <v>424006</v>
      </c>
      <c r="J131" s="12" t="s">
        <v>236</v>
      </c>
      <c r="K131" s="15">
        <f t="shared" si="71"/>
        <v>-5.9642147117296221E-3</v>
      </c>
      <c r="L131" s="15">
        <f t="shared" si="57"/>
        <v>-1.5904572564612324E-2</v>
      </c>
      <c r="M131" s="23">
        <v>1</v>
      </c>
      <c r="N131" s="23">
        <v>0</v>
      </c>
      <c r="O131" s="24"/>
      <c r="P131" s="15">
        <v>606001</v>
      </c>
      <c r="Q131" s="12" t="s">
        <v>47</v>
      </c>
      <c r="R131" s="15">
        <v>2</v>
      </c>
      <c r="S131" s="14">
        <f>VLOOKUP(P131,[1]stuff!$A:$C,3,FALSE)</f>
        <v>3</v>
      </c>
      <c r="T131" s="15">
        <v>608001</v>
      </c>
      <c r="U131" s="12" t="s">
        <v>68</v>
      </c>
      <c r="V131" s="15">
        <v>1</v>
      </c>
      <c r="W131" s="14">
        <f>VLOOKUP(T131,[1]stuff!$A:$C,3,FALSE)</f>
        <v>1000</v>
      </c>
      <c r="X131" s="15"/>
      <c r="Y131" s="15"/>
      <c r="Z131" s="15"/>
      <c r="AA131" s="29"/>
      <c r="AB131">
        <f t="shared" si="74"/>
        <v>1006</v>
      </c>
      <c r="AC131">
        <f t="shared" si="75"/>
        <v>1000</v>
      </c>
      <c r="AD131">
        <f t="shared" si="58"/>
        <v>10</v>
      </c>
    </row>
    <row r="132" spans="1:30" x14ac:dyDescent="0.15">
      <c r="A132" s="41">
        <f t="shared" ref="A132" si="83">I132*100</f>
        <v>42400700</v>
      </c>
      <c r="B132" s="15">
        <v>0</v>
      </c>
      <c r="C132" s="43">
        <v>104017</v>
      </c>
      <c r="D132" s="12" t="s">
        <v>144</v>
      </c>
      <c r="E132" s="12">
        <v>1</v>
      </c>
      <c r="F132" s="15">
        <v>1</v>
      </c>
      <c r="G132" s="15">
        <v>30</v>
      </c>
      <c r="H132" s="14">
        <f>VLOOKUP(I132,[1]stuff!$A:$C,3,FALSE)</f>
        <v>150</v>
      </c>
      <c r="I132" s="15">
        <v>424007</v>
      </c>
      <c r="J132" s="12" t="s">
        <v>216</v>
      </c>
      <c r="K132" s="15">
        <f t="shared" si="71"/>
        <v>0.4563106796116505</v>
      </c>
      <c r="L132" s="15">
        <f t="shared" si="57"/>
        <v>0.40776699029126212</v>
      </c>
      <c r="M132" s="23">
        <v>1</v>
      </c>
      <c r="N132" s="23">
        <v>0</v>
      </c>
      <c r="O132" s="24"/>
      <c r="P132" s="15">
        <v>606001</v>
      </c>
      <c r="Q132" s="12" t="s">
        <v>47</v>
      </c>
      <c r="R132" s="15">
        <v>1</v>
      </c>
      <c r="S132" s="14">
        <f>VLOOKUP(P132,[1]stuff!$A:$C,3,FALSE)</f>
        <v>3</v>
      </c>
      <c r="T132" s="15">
        <v>607001</v>
      </c>
      <c r="U132" s="15" t="s">
        <v>198</v>
      </c>
      <c r="V132" s="15">
        <v>1</v>
      </c>
      <c r="W132" s="14">
        <f>VLOOKUP(T132,[1]stuff!$A:$C,3,FALSE)</f>
        <v>100</v>
      </c>
      <c r="X132" s="15"/>
      <c r="Y132" s="15"/>
      <c r="Z132" s="15"/>
      <c r="AA132" s="29"/>
      <c r="AB132">
        <f t="shared" si="74"/>
        <v>103</v>
      </c>
      <c r="AC132">
        <f t="shared" si="75"/>
        <v>150</v>
      </c>
      <c r="AD132">
        <f t="shared" si="58"/>
        <v>5</v>
      </c>
    </row>
    <row r="133" spans="1:30" x14ac:dyDescent="0.15">
      <c r="A133" s="41">
        <f t="shared" ref="A133" si="84">I133*100</f>
        <v>42400800</v>
      </c>
      <c r="B133" s="15">
        <v>0</v>
      </c>
      <c r="C133" s="43">
        <v>104017</v>
      </c>
      <c r="D133" s="12" t="s">
        <v>144</v>
      </c>
      <c r="E133" s="12">
        <v>1</v>
      </c>
      <c r="F133" s="15">
        <v>1</v>
      </c>
      <c r="G133" s="15">
        <v>30</v>
      </c>
      <c r="H133" s="14">
        <f>VLOOKUP(I133,[1]stuff!$A:$C,3,FALSE)</f>
        <v>50</v>
      </c>
      <c r="I133" s="15">
        <v>424008</v>
      </c>
      <c r="J133" s="12" t="s">
        <v>228</v>
      </c>
      <c r="K133" s="15">
        <f t="shared" si="71"/>
        <v>0.4563106796116505</v>
      </c>
      <c r="L133" s="15">
        <f t="shared" si="57"/>
        <v>0.40776699029126212</v>
      </c>
      <c r="M133" s="23">
        <v>3</v>
      </c>
      <c r="N133" s="23">
        <v>0</v>
      </c>
      <c r="O133" s="24"/>
      <c r="P133" s="15">
        <v>606001</v>
      </c>
      <c r="Q133" s="12" t="s">
        <v>47</v>
      </c>
      <c r="R133" s="15">
        <v>1</v>
      </c>
      <c r="S133" s="14">
        <f>VLOOKUP(P133,[1]stuff!$A:$C,3,FALSE)</f>
        <v>3</v>
      </c>
      <c r="T133" s="15">
        <v>607001</v>
      </c>
      <c r="U133" s="15" t="s">
        <v>198</v>
      </c>
      <c r="V133" s="15">
        <v>1</v>
      </c>
      <c r="W133" s="14">
        <f>VLOOKUP(T133,[1]stuff!$A:$C,3,FALSE)</f>
        <v>100</v>
      </c>
      <c r="X133" s="15"/>
      <c r="Y133" s="15"/>
      <c r="Z133" s="15"/>
      <c r="AA133" s="29"/>
      <c r="AB133">
        <f t="shared" ref="AB133" si="85">R133*S133+V133*W133+Z133*AA133</f>
        <v>103</v>
      </c>
      <c r="AC133">
        <f t="shared" si="75"/>
        <v>150</v>
      </c>
      <c r="AD133">
        <f t="shared" si="58"/>
        <v>5</v>
      </c>
    </row>
    <row r="134" spans="1:30" x14ac:dyDescent="0.15">
      <c r="A134" s="41">
        <f t="shared" ref="A134:A173" si="86">I134*100</f>
        <v>20122100</v>
      </c>
      <c r="B134" s="15">
        <v>0</v>
      </c>
      <c r="C134" s="43">
        <v>111002</v>
      </c>
      <c r="D134" s="12" t="s">
        <v>191</v>
      </c>
      <c r="E134" s="12">
        <v>0</v>
      </c>
      <c r="F134" s="15">
        <v>2</v>
      </c>
      <c r="G134" s="15">
        <v>0</v>
      </c>
      <c r="H134" s="14">
        <f>VLOOKUP(I134,[1]stuff2!$A:$C,3,FALSE)</f>
        <v>0</v>
      </c>
      <c r="I134" s="15">
        <v>201221</v>
      </c>
      <c r="J134" s="15" t="s">
        <v>203</v>
      </c>
      <c r="K134" s="15"/>
      <c r="L134" s="15">
        <f t="shared" si="57"/>
        <v>-1</v>
      </c>
      <c r="M134" s="23">
        <v>1</v>
      </c>
      <c r="N134" s="23">
        <v>0</v>
      </c>
      <c r="O134" s="24"/>
      <c r="P134" s="15">
        <v>410001</v>
      </c>
      <c r="Q134" s="15" t="s">
        <v>204</v>
      </c>
      <c r="R134" s="15">
        <v>1</v>
      </c>
      <c r="S134" s="14">
        <v>0</v>
      </c>
      <c r="T134" s="15">
        <v>612002</v>
      </c>
      <c r="U134" s="12" t="s">
        <v>55</v>
      </c>
      <c r="V134" s="15">
        <v>100</v>
      </c>
      <c r="W134" s="14">
        <f>VLOOKUP(T134,[1]stuff!$A:$C,3,FALSE)</f>
        <v>500</v>
      </c>
      <c r="X134" s="15"/>
      <c r="Y134" s="15"/>
      <c r="Z134" s="15"/>
      <c r="AA134" s="29"/>
      <c r="AB134">
        <f t="shared" si="74"/>
        <v>50000</v>
      </c>
      <c r="AC134">
        <f t="shared" si="75"/>
        <v>0</v>
      </c>
      <c r="AD134">
        <f t="shared" si="58"/>
        <v>0</v>
      </c>
    </row>
    <row r="135" spans="1:30" x14ac:dyDescent="0.15">
      <c r="A135" s="41">
        <f t="shared" si="86"/>
        <v>20122200</v>
      </c>
      <c r="B135" s="15">
        <v>0</v>
      </c>
      <c r="C135" s="43">
        <v>111002</v>
      </c>
      <c r="D135" s="12" t="s">
        <v>191</v>
      </c>
      <c r="E135" s="12">
        <v>0</v>
      </c>
      <c r="F135" s="15">
        <v>2</v>
      </c>
      <c r="G135" s="15">
        <v>0</v>
      </c>
      <c r="H135" s="14">
        <f>VLOOKUP(I135,[1]stuff2!$A:$C,3,FALSE)</f>
        <v>0</v>
      </c>
      <c r="I135" s="15">
        <v>201222</v>
      </c>
      <c r="J135" s="15" t="s">
        <v>205</v>
      </c>
      <c r="K135" s="15"/>
      <c r="L135" s="15">
        <f t="shared" si="57"/>
        <v>-1</v>
      </c>
      <c r="M135" s="23">
        <v>1</v>
      </c>
      <c r="N135" s="23">
        <v>0</v>
      </c>
      <c r="O135" s="24"/>
      <c r="P135" s="15">
        <v>410001</v>
      </c>
      <c r="Q135" s="15" t="s">
        <v>204</v>
      </c>
      <c r="R135" s="15">
        <v>1</v>
      </c>
      <c r="S135" s="14">
        <v>0</v>
      </c>
      <c r="T135" s="15">
        <v>612002</v>
      </c>
      <c r="U135" s="12" t="s">
        <v>55</v>
      </c>
      <c r="V135" s="15">
        <v>300</v>
      </c>
      <c r="W135" s="14">
        <f>VLOOKUP(T135,[1]stuff!$A:$C,3,FALSE)</f>
        <v>500</v>
      </c>
      <c r="X135" s="15"/>
      <c r="Y135" s="15"/>
      <c r="Z135" s="15"/>
      <c r="AA135" s="29"/>
      <c r="AB135">
        <f t="shared" si="74"/>
        <v>150000</v>
      </c>
      <c r="AC135">
        <f t="shared" si="75"/>
        <v>0</v>
      </c>
      <c r="AD135">
        <f t="shared" si="58"/>
        <v>0</v>
      </c>
    </row>
    <row r="136" spans="1:30" x14ac:dyDescent="0.15">
      <c r="A136" s="41">
        <f t="shared" si="86"/>
        <v>20122300</v>
      </c>
      <c r="B136" s="15">
        <v>0</v>
      </c>
      <c r="C136" s="43">
        <v>111002</v>
      </c>
      <c r="D136" s="12" t="s">
        <v>191</v>
      </c>
      <c r="E136" s="12">
        <v>0</v>
      </c>
      <c r="F136" s="15">
        <v>2</v>
      </c>
      <c r="G136" s="15">
        <v>0</v>
      </c>
      <c r="H136" s="14">
        <f>VLOOKUP(I136,[1]stuff2!$A:$C,3,FALSE)</f>
        <v>0</v>
      </c>
      <c r="I136" s="15">
        <v>201223</v>
      </c>
      <c r="J136" s="15" t="s">
        <v>206</v>
      </c>
      <c r="K136" s="15"/>
      <c r="L136" s="15">
        <f t="shared" si="57"/>
        <v>-1</v>
      </c>
      <c r="M136" s="23">
        <v>1</v>
      </c>
      <c r="N136" s="23">
        <v>0</v>
      </c>
      <c r="O136" s="24"/>
      <c r="P136" s="15">
        <v>410001</v>
      </c>
      <c r="Q136" s="15" t="s">
        <v>204</v>
      </c>
      <c r="R136" s="15">
        <v>1</v>
      </c>
      <c r="S136" s="14">
        <v>0</v>
      </c>
      <c r="T136" s="15">
        <v>612002</v>
      </c>
      <c r="U136" s="12" t="s">
        <v>55</v>
      </c>
      <c r="V136" s="15">
        <v>500</v>
      </c>
      <c r="W136" s="14">
        <f>VLOOKUP(T136,[1]stuff!$A:$C,3,FALSE)</f>
        <v>500</v>
      </c>
      <c r="X136" s="15"/>
      <c r="Y136" s="15"/>
      <c r="Z136" s="15"/>
      <c r="AA136" s="29"/>
      <c r="AB136">
        <f t="shared" si="74"/>
        <v>250000</v>
      </c>
      <c r="AC136">
        <f t="shared" si="75"/>
        <v>0</v>
      </c>
      <c r="AD136">
        <f t="shared" si="58"/>
        <v>0</v>
      </c>
    </row>
    <row r="137" spans="1:30" x14ac:dyDescent="0.15">
      <c r="A137" s="41">
        <f t="shared" si="86"/>
        <v>20122400</v>
      </c>
      <c r="B137" s="15">
        <v>0</v>
      </c>
      <c r="C137" s="43">
        <v>111002</v>
      </c>
      <c r="D137" s="12" t="s">
        <v>191</v>
      </c>
      <c r="E137" s="12">
        <v>0</v>
      </c>
      <c r="F137" s="15">
        <v>2</v>
      </c>
      <c r="G137" s="15">
        <v>0</v>
      </c>
      <c r="H137" s="14">
        <f>VLOOKUP(I137,[1]stuff2!$A:$C,3,FALSE)</f>
        <v>0</v>
      </c>
      <c r="I137" s="15">
        <v>201224</v>
      </c>
      <c r="J137" s="15" t="s">
        <v>207</v>
      </c>
      <c r="K137" s="15"/>
      <c r="L137" s="15">
        <f t="shared" si="57"/>
        <v>-1</v>
      </c>
      <c r="M137" s="23">
        <v>1</v>
      </c>
      <c r="N137" s="23">
        <v>0</v>
      </c>
      <c r="O137" s="24"/>
      <c r="P137" s="15">
        <v>410001</v>
      </c>
      <c r="Q137" s="15" t="s">
        <v>204</v>
      </c>
      <c r="R137" s="15">
        <v>1</v>
      </c>
      <c r="S137" s="14">
        <v>0</v>
      </c>
      <c r="T137" s="15">
        <v>612002</v>
      </c>
      <c r="U137" s="12" t="s">
        <v>55</v>
      </c>
      <c r="V137" s="15">
        <v>800</v>
      </c>
      <c r="W137" s="14">
        <f>VLOOKUP(T137,[1]stuff!$A:$C,3,FALSE)</f>
        <v>500</v>
      </c>
      <c r="X137" s="15"/>
      <c r="Y137" s="15"/>
      <c r="Z137" s="15"/>
      <c r="AA137" s="29"/>
      <c r="AB137">
        <f t="shared" si="74"/>
        <v>400000</v>
      </c>
      <c r="AC137">
        <f t="shared" si="75"/>
        <v>0</v>
      </c>
      <c r="AD137">
        <f t="shared" si="58"/>
        <v>0</v>
      </c>
    </row>
    <row r="138" spans="1:30" x14ac:dyDescent="0.15">
      <c r="A138" s="41">
        <f t="shared" si="86"/>
        <v>20122500</v>
      </c>
      <c r="B138" s="15">
        <v>0</v>
      </c>
      <c r="C138" s="43">
        <v>111002</v>
      </c>
      <c r="D138" s="12" t="s">
        <v>191</v>
      </c>
      <c r="E138" s="12">
        <v>0</v>
      </c>
      <c r="F138" s="15">
        <v>2</v>
      </c>
      <c r="G138" s="15">
        <v>0</v>
      </c>
      <c r="H138" s="14">
        <f>VLOOKUP(I138,[1]stuff2!$A:$C,3,FALSE)</f>
        <v>0</v>
      </c>
      <c r="I138" s="15">
        <v>201225</v>
      </c>
      <c r="J138" s="15" t="s">
        <v>208</v>
      </c>
      <c r="K138" s="15"/>
      <c r="L138" s="15">
        <f t="shared" si="57"/>
        <v>-1</v>
      </c>
      <c r="M138" s="23">
        <v>1</v>
      </c>
      <c r="N138" s="23">
        <v>0</v>
      </c>
      <c r="O138" s="24"/>
      <c r="P138" s="15">
        <v>410001</v>
      </c>
      <c r="Q138" s="15" t="s">
        <v>204</v>
      </c>
      <c r="R138" s="15">
        <v>1</v>
      </c>
      <c r="S138" s="14">
        <v>0</v>
      </c>
      <c r="T138" s="15">
        <v>612002</v>
      </c>
      <c r="U138" s="12" t="s">
        <v>55</v>
      </c>
      <c r="V138" s="15">
        <v>1000</v>
      </c>
      <c r="W138" s="14">
        <f>VLOOKUP(T138,[1]stuff!$A:$C,3,FALSE)</f>
        <v>500</v>
      </c>
      <c r="X138" s="15"/>
      <c r="Y138" s="15"/>
      <c r="Z138" s="15"/>
      <c r="AA138" s="29"/>
      <c r="AB138">
        <f t="shared" si="74"/>
        <v>500000</v>
      </c>
      <c r="AC138">
        <f t="shared" si="75"/>
        <v>0</v>
      </c>
      <c r="AD138">
        <f t="shared" si="58"/>
        <v>0</v>
      </c>
    </row>
    <row r="139" spans="1:30" x14ac:dyDescent="0.15">
      <c r="A139" s="41">
        <f t="shared" si="86"/>
        <v>20122600</v>
      </c>
      <c r="B139" s="15">
        <v>0</v>
      </c>
      <c r="C139" s="43">
        <v>111002</v>
      </c>
      <c r="D139" s="12" t="s">
        <v>191</v>
      </c>
      <c r="E139" s="12">
        <v>0</v>
      </c>
      <c r="F139" s="15">
        <v>2</v>
      </c>
      <c r="G139" s="15">
        <v>0</v>
      </c>
      <c r="H139" s="14">
        <f>VLOOKUP(I139,[1]stuff2!$A:$C,3,FALSE)</f>
        <v>0</v>
      </c>
      <c r="I139" s="15">
        <v>201226</v>
      </c>
      <c r="J139" s="15" t="s">
        <v>209</v>
      </c>
      <c r="K139" s="15"/>
      <c r="L139" s="15">
        <f t="shared" si="57"/>
        <v>-1</v>
      </c>
      <c r="M139" s="23">
        <v>1</v>
      </c>
      <c r="N139" s="23">
        <v>0</v>
      </c>
      <c r="O139" s="24"/>
      <c r="P139" s="15">
        <v>410001</v>
      </c>
      <c r="Q139" s="15" t="s">
        <v>204</v>
      </c>
      <c r="R139" s="15">
        <v>1</v>
      </c>
      <c r="S139" s="14">
        <v>0</v>
      </c>
      <c r="T139" s="15">
        <v>612002</v>
      </c>
      <c r="U139" s="12" t="s">
        <v>55</v>
      </c>
      <c r="V139" s="15">
        <v>1200</v>
      </c>
      <c r="W139" s="14">
        <f>VLOOKUP(T139,[1]stuff!$A:$C,3,FALSE)</f>
        <v>500</v>
      </c>
      <c r="X139" s="15"/>
      <c r="Y139" s="15"/>
      <c r="Z139" s="15"/>
      <c r="AA139" s="29"/>
      <c r="AB139">
        <f t="shared" si="74"/>
        <v>600000</v>
      </c>
      <c r="AC139">
        <f t="shared" si="75"/>
        <v>0</v>
      </c>
      <c r="AD139">
        <f t="shared" si="58"/>
        <v>0</v>
      </c>
    </row>
    <row r="140" spans="1:30" x14ac:dyDescent="0.15">
      <c r="A140" s="41">
        <f t="shared" si="86"/>
        <v>20122700</v>
      </c>
      <c r="B140" s="15">
        <v>0</v>
      </c>
      <c r="C140" s="43">
        <v>111002</v>
      </c>
      <c r="D140" s="12" t="s">
        <v>191</v>
      </c>
      <c r="E140" s="12">
        <v>0</v>
      </c>
      <c r="F140" s="15">
        <v>2</v>
      </c>
      <c r="G140" s="15">
        <v>0</v>
      </c>
      <c r="H140" s="14">
        <f>VLOOKUP(I140,[1]stuff2!$A:$C,3,FALSE)</f>
        <v>0</v>
      </c>
      <c r="I140" s="15">
        <v>201227</v>
      </c>
      <c r="J140" s="15" t="s">
        <v>210</v>
      </c>
      <c r="K140" s="15"/>
      <c r="L140" s="15">
        <f t="shared" si="57"/>
        <v>-1</v>
      </c>
      <c r="M140" s="23">
        <v>1</v>
      </c>
      <c r="N140" s="23">
        <v>0</v>
      </c>
      <c r="O140" s="24"/>
      <c r="P140" s="15">
        <v>410001</v>
      </c>
      <c r="Q140" s="15" t="s">
        <v>204</v>
      </c>
      <c r="R140" s="15">
        <v>1</v>
      </c>
      <c r="S140" s="14">
        <v>0</v>
      </c>
      <c r="T140" s="15">
        <v>612002</v>
      </c>
      <c r="U140" s="12" t="s">
        <v>55</v>
      </c>
      <c r="V140" s="15">
        <v>1400</v>
      </c>
      <c r="W140" s="14">
        <f>VLOOKUP(T140,[1]stuff!$A:$C,3,FALSE)</f>
        <v>500</v>
      </c>
      <c r="X140" s="15"/>
      <c r="Y140" s="15"/>
      <c r="Z140" s="15"/>
      <c r="AA140" s="29"/>
      <c r="AB140">
        <f t="shared" si="74"/>
        <v>700000</v>
      </c>
      <c r="AC140">
        <f t="shared" si="75"/>
        <v>0</v>
      </c>
      <c r="AD140">
        <f t="shared" si="58"/>
        <v>0</v>
      </c>
    </row>
    <row r="141" spans="1:30" x14ac:dyDescent="0.15">
      <c r="A141" s="41">
        <f t="shared" si="86"/>
        <v>20122800</v>
      </c>
      <c r="B141" s="15">
        <v>0</v>
      </c>
      <c r="C141" s="43">
        <v>111002</v>
      </c>
      <c r="D141" s="12" t="s">
        <v>191</v>
      </c>
      <c r="E141" s="12">
        <v>0</v>
      </c>
      <c r="F141" s="15">
        <v>2</v>
      </c>
      <c r="G141" s="15">
        <v>0</v>
      </c>
      <c r="H141" s="14">
        <f>VLOOKUP(I141,[1]stuff2!$A:$C,3,FALSE)</f>
        <v>0</v>
      </c>
      <c r="I141" s="15">
        <v>201228</v>
      </c>
      <c r="J141" s="15" t="s">
        <v>211</v>
      </c>
      <c r="K141" s="15"/>
      <c r="L141" s="15">
        <f t="shared" si="57"/>
        <v>-1</v>
      </c>
      <c r="M141" s="23">
        <v>1</v>
      </c>
      <c r="N141" s="23">
        <v>0</v>
      </c>
      <c r="O141" s="24"/>
      <c r="P141" s="15">
        <v>410001</v>
      </c>
      <c r="Q141" s="15" t="s">
        <v>204</v>
      </c>
      <c r="R141" s="15">
        <v>1</v>
      </c>
      <c r="S141" s="14">
        <v>0</v>
      </c>
      <c r="T141" s="15">
        <v>612002</v>
      </c>
      <c r="U141" s="12" t="s">
        <v>55</v>
      </c>
      <c r="V141" s="15">
        <v>1600</v>
      </c>
      <c r="W141" s="14">
        <f>VLOOKUP(T141,[1]stuff!$A:$C,3,FALSE)</f>
        <v>500</v>
      </c>
      <c r="X141" s="15"/>
      <c r="Y141" s="15"/>
      <c r="Z141" s="15"/>
      <c r="AA141" s="29"/>
      <c r="AB141">
        <f t="shared" si="74"/>
        <v>800000</v>
      </c>
      <c r="AC141">
        <f t="shared" si="75"/>
        <v>0</v>
      </c>
      <c r="AD141">
        <f t="shared" si="58"/>
        <v>0</v>
      </c>
    </row>
    <row r="142" spans="1:30" x14ac:dyDescent="0.15">
      <c r="A142" s="41">
        <f t="shared" si="86"/>
        <v>20122900</v>
      </c>
      <c r="B142" s="15">
        <v>0</v>
      </c>
      <c r="C142" s="43">
        <v>111002</v>
      </c>
      <c r="D142" s="12" t="s">
        <v>191</v>
      </c>
      <c r="E142" s="12">
        <v>0</v>
      </c>
      <c r="F142" s="15">
        <v>2</v>
      </c>
      <c r="G142" s="15">
        <v>0</v>
      </c>
      <c r="H142" s="14">
        <f>VLOOKUP(I142,[1]stuff2!$A:$C,3,FALSE)</f>
        <v>0</v>
      </c>
      <c r="I142" s="15">
        <v>201229</v>
      </c>
      <c r="J142" s="15" t="s">
        <v>212</v>
      </c>
      <c r="K142" s="15"/>
      <c r="L142" s="15">
        <f t="shared" si="57"/>
        <v>-1</v>
      </c>
      <c r="M142" s="23">
        <v>1</v>
      </c>
      <c r="N142" s="23">
        <v>0</v>
      </c>
      <c r="O142" s="24"/>
      <c r="P142" s="15">
        <v>410001</v>
      </c>
      <c r="Q142" s="15" t="s">
        <v>204</v>
      </c>
      <c r="R142" s="15">
        <v>1</v>
      </c>
      <c r="S142" s="14">
        <v>0</v>
      </c>
      <c r="T142" s="15">
        <v>612002</v>
      </c>
      <c r="U142" s="12" t="s">
        <v>55</v>
      </c>
      <c r="V142" s="15">
        <v>1800</v>
      </c>
      <c r="W142" s="14">
        <f>VLOOKUP(T142,[1]stuff!$A:$C,3,FALSE)</f>
        <v>500</v>
      </c>
      <c r="X142" s="15"/>
      <c r="Y142" s="15"/>
      <c r="Z142" s="15"/>
      <c r="AA142" s="29"/>
      <c r="AB142">
        <f t="shared" si="74"/>
        <v>900000</v>
      </c>
      <c r="AC142">
        <f t="shared" si="75"/>
        <v>0</v>
      </c>
      <c r="AD142">
        <f t="shared" si="58"/>
        <v>0</v>
      </c>
    </row>
    <row r="143" spans="1:30" x14ac:dyDescent="0.15">
      <c r="A143" s="41">
        <f t="shared" si="86"/>
        <v>20123000</v>
      </c>
      <c r="B143" s="15">
        <v>0</v>
      </c>
      <c r="C143" s="43">
        <v>111002</v>
      </c>
      <c r="D143" s="12" t="s">
        <v>191</v>
      </c>
      <c r="E143" s="12">
        <v>0</v>
      </c>
      <c r="F143" s="15">
        <v>2</v>
      </c>
      <c r="G143" s="15">
        <v>0</v>
      </c>
      <c r="H143" s="14">
        <f>VLOOKUP(I143,[1]stuff2!$A:$C,3,FALSE)</f>
        <v>0</v>
      </c>
      <c r="I143" s="15">
        <v>201230</v>
      </c>
      <c r="J143" s="15" t="s">
        <v>213</v>
      </c>
      <c r="K143" s="15"/>
      <c r="L143" s="15">
        <f t="shared" si="57"/>
        <v>-1</v>
      </c>
      <c r="M143" s="23">
        <v>1</v>
      </c>
      <c r="N143" s="23">
        <v>0</v>
      </c>
      <c r="O143" s="24"/>
      <c r="P143" s="15">
        <v>410001</v>
      </c>
      <c r="Q143" s="15" t="s">
        <v>204</v>
      </c>
      <c r="R143" s="15">
        <v>1</v>
      </c>
      <c r="S143" s="14">
        <v>0</v>
      </c>
      <c r="T143" s="15">
        <v>612002</v>
      </c>
      <c r="U143" s="12" t="s">
        <v>55</v>
      </c>
      <c r="V143" s="15">
        <v>2000</v>
      </c>
      <c r="W143" s="14">
        <f>VLOOKUP(T143,[1]stuff!$A:$C,3,FALSE)</f>
        <v>500</v>
      </c>
      <c r="X143" s="15"/>
      <c r="Y143" s="15"/>
      <c r="Z143" s="15"/>
      <c r="AA143" s="29"/>
      <c r="AB143">
        <f t="shared" si="74"/>
        <v>1000000</v>
      </c>
      <c r="AC143">
        <f t="shared" si="75"/>
        <v>0</v>
      </c>
      <c r="AD143">
        <f t="shared" si="58"/>
        <v>0</v>
      </c>
    </row>
    <row r="144" spans="1:30" x14ac:dyDescent="0.15">
      <c r="A144" s="41">
        <f t="shared" si="86"/>
        <v>20123100</v>
      </c>
      <c r="B144" s="15">
        <v>0</v>
      </c>
      <c r="C144" s="43">
        <v>111002</v>
      </c>
      <c r="D144" s="12" t="s">
        <v>191</v>
      </c>
      <c r="E144" s="12">
        <v>0</v>
      </c>
      <c r="F144" s="15">
        <v>2</v>
      </c>
      <c r="G144" s="15">
        <v>0</v>
      </c>
      <c r="H144" s="14">
        <f>VLOOKUP(I144,[1]stuff2!$A:$C,3,FALSE)</f>
        <v>0</v>
      </c>
      <c r="I144" s="15">
        <v>201231</v>
      </c>
      <c r="J144" s="15" t="s">
        <v>145</v>
      </c>
      <c r="K144" s="15"/>
      <c r="L144" s="15">
        <f t="shared" si="57"/>
        <v>-1</v>
      </c>
      <c r="M144" s="23">
        <v>1</v>
      </c>
      <c r="N144" s="23">
        <v>0</v>
      </c>
      <c r="O144" s="24"/>
      <c r="P144" s="15">
        <v>410002</v>
      </c>
      <c r="Q144" s="15" t="s">
        <v>146</v>
      </c>
      <c r="R144" s="15">
        <v>1</v>
      </c>
      <c r="S144" s="14">
        <v>0</v>
      </c>
      <c r="T144" s="15">
        <v>612001</v>
      </c>
      <c r="U144" s="12" t="s">
        <v>53</v>
      </c>
      <c r="V144" s="15">
        <f>V134</f>
        <v>100</v>
      </c>
      <c r="W144" s="14">
        <f>VLOOKUP(T144,[1]stuff!$A:$C,3,FALSE)</f>
        <v>500</v>
      </c>
      <c r="X144" s="15"/>
      <c r="Y144" s="15"/>
      <c r="Z144" s="15"/>
      <c r="AA144" s="29"/>
      <c r="AB144">
        <f t="shared" si="74"/>
        <v>50000</v>
      </c>
      <c r="AC144">
        <f t="shared" si="75"/>
        <v>0</v>
      </c>
      <c r="AD144">
        <f t="shared" si="58"/>
        <v>0</v>
      </c>
    </row>
    <row r="145" spans="1:30" x14ac:dyDescent="0.15">
      <c r="A145" s="41">
        <f t="shared" si="86"/>
        <v>20123200</v>
      </c>
      <c r="B145" s="15">
        <v>0</v>
      </c>
      <c r="C145" s="43">
        <v>111002</v>
      </c>
      <c r="D145" s="12" t="s">
        <v>191</v>
      </c>
      <c r="E145" s="12">
        <v>0</v>
      </c>
      <c r="F145" s="15">
        <v>2</v>
      </c>
      <c r="G145" s="15">
        <v>0</v>
      </c>
      <c r="H145" s="14">
        <f>VLOOKUP(I145,[1]stuff2!$A:$C,3,FALSE)</f>
        <v>0</v>
      </c>
      <c r="I145" s="15">
        <v>201232</v>
      </c>
      <c r="J145" s="15" t="s">
        <v>147</v>
      </c>
      <c r="K145" s="15"/>
      <c r="L145" s="15">
        <f t="shared" si="57"/>
        <v>-1</v>
      </c>
      <c r="M145" s="23">
        <v>1</v>
      </c>
      <c r="N145" s="23">
        <v>0</v>
      </c>
      <c r="O145" s="24"/>
      <c r="P145" s="15">
        <v>410002</v>
      </c>
      <c r="Q145" s="15" t="s">
        <v>146</v>
      </c>
      <c r="R145" s="15">
        <v>1</v>
      </c>
      <c r="S145" s="14">
        <v>0</v>
      </c>
      <c r="T145" s="15">
        <v>612001</v>
      </c>
      <c r="U145" s="12" t="s">
        <v>53</v>
      </c>
      <c r="V145" s="15">
        <f t="shared" ref="V145:V173" si="87">V135</f>
        <v>300</v>
      </c>
      <c r="W145" s="14">
        <f>VLOOKUP(T145,[1]stuff!$A:$C,3,FALSE)</f>
        <v>500</v>
      </c>
      <c r="X145" s="15"/>
      <c r="Y145" s="15"/>
      <c r="Z145" s="15"/>
      <c r="AA145" s="29"/>
      <c r="AB145">
        <f t="shared" ref="AB145:AB176" si="88">R145*S145+V145*W145+Z145*AA145</f>
        <v>150000</v>
      </c>
      <c r="AC145">
        <f t="shared" si="75"/>
        <v>0</v>
      </c>
      <c r="AD145">
        <f t="shared" si="58"/>
        <v>0</v>
      </c>
    </row>
    <row r="146" spans="1:30" x14ac:dyDescent="0.15">
      <c r="A146" s="41">
        <f t="shared" si="86"/>
        <v>20123300</v>
      </c>
      <c r="B146" s="15">
        <v>0</v>
      </c>
      <c r="C146" s="43">
        <v>111002</v>
      </c>
      <c r="D146" s="12" t="s">
        <v>191</v>
      </c>
      <c r="E146" s="12">
        <v>0</v>
      </c>
      <c r="F146" s="15">
        <v>2</v>
      </c>
      <c r="G146" s="15">
        <v>0</v>
      </c>
      <c r="H146" s="14">
        <f>VLOOKUP(I146,[1]stuff2!$A:$C,3,FALSE)</f>
        <v>0</v>
      </c>
      <c r="I146" s="15">
        <v>201233</v>
      </c>
      <c r="J146" s="15" t="s">
        <v>148</v>
      </c>
      <c r="K146" s="15"/>
      <c r="L146" s="15">
        <f t="shared" si="57"/>
        <v>-1</v>
      </c>
      <c r="M146" s="23">
        <v>1</v>
      </c>
      <c r="N146" s="23">
        <v>0</v>
      </c>
      <c r="O146" s="24"/>
      <c r="P146" s="15">
        <v>410002</v>
      </c>
      <c r="Q146" s="15" t="s">
        <v>146</v>
      </c>
      <c r="R146" s="15">
        <v>1</v>
      </c>
      <c r="S146" s="14">
        <v>0</v>
      </c>
      <c r="T146" s="15">
        <v>612001</v>
      </c>
      <c r="U146" s="12" t="s">
        <v>53</v>
      </c>
      <c r="V146" s="15">
        <f t="shared" si="87"/>
        <v>500</v>
      </c>
      <c r="W146" s="14">
        <f>VLOOKUP(T146,[1]stuff!$A:$C,3,FALSE)</f>
        <v>500</v>
      </c>
      <c r="X146" s="15"/>
      <c r="Y146" s="15"/>
      <c r="Z146" s="15"/>
      <c r="AA146" s="29"/>
      <c r="AB146">
        <f t="shared" si="88"/>
        <v>250000</v>
      </c>
      <c r="AC146">
        <f t="shared" si="75"/>
        <v>0</v>
      </c>
      <c r="AD146">
        <f t="shared" si="58"/>
        <v>0</v>
      </c>
    </row>
    <row r="147" spans="1:30" x14ac:dyDescent="0.15">
      <c r="A147" s="41">
        <f t="shared" si="86"/>
        <v>20123400</v>
      </c>
      <c r="B147" s="15">
        <v>0</v>
      </c>
      <c r="C147" s="43">
        <v>111002</v>
      </c>
      <c r="D147" s="12" t="s">
        <v>191</v>
      </c>
      <c r="E147" s="12">
        <v>0</v>
      </c>
      <c r="F147" s="15">
        <v>2</v>
      </c>
      <c r="G147" s="15">
        <v>0</v>
      </c>
      <c r="H147" s="14">
        <f>VLOOKUP(I147,[1]stuff2!$A:$C,3,FALSE)</f>
        <v>0</v>
      </c>
      <c r="I147" s="15">
        <v>201234</v>
      </c>
      <c r="J147" s="15" t="s">
        <v>149</v>
      </c>
      <c r="K147" s="15"/>
      <c r="L147" s="15">
        <f t="shared" si="57"/>
        <v>-1</v>
      </c>
      <c r="M147" s="23">
        <v>1</v>
      </c>
      <c r="N147" s="23">
        <v>0</v>
      </c>
      <c r="O147" s="24"/>
      <c r="P147" s="15">
        <v>410002</v>
      </c>
      <c r="Q147" s="15" t="s">
        <v>146</v>
      </c>
      <c r="R147" s="15">
        <v>1</v>
      </c>
      <c r="S147" s="14">
        <v>0</v>
      </c>
      <c r="T147" s="15">
        <v>612001</v>
      </c>
      <c r="U147" s="12" t="s">
        <v>53</v>
      </c>
      <c r="V147" s="15">
        <f t="shared" si="87"/>
        <v>800</v>
      </c>
      <c r="W147" s="14">
        <f>VLOOKUP(T147,[1]stuff!$A:$C,3,FALSE)</f>
        <v>500</v>
      </c>
      <c r="X147" s="15"/>
      <c r="Y147" s="15"/>
      <c r="Z147" s="15"/>
      <c r="AA147" s="29"/>
      <c r="AB147">
        <f t="shared" si="88"/>
        <v>400000</v>
      </c>
      <c r="AC147">
        <f t="shared" si="75"/>
        <v>0</v>
      </c>
      <c r="AD147">
        <f t="shared" si="58"/>
        <v>0</v>
      </c>
    </row>
    <row r="148" spans="1:30" x14ac:dyDescent="0.15">
      <c r="A148" s="41">
        <f t="shared" si="86"/>
        <v>20123500</v>
      </c>
      <c r="B148" s="15">
        <v>0</v>
      </c>
      <c r="C148" s="43">
        <v>111002</v>
      </c>
      <c r="D148" s="12" t="s">
        <v>191</v>
      </c>
      <c r="E148" s="12">
        <v>0</v>
      </c>
      <c r="F148" s="15">
        <v>2</v>
      </c>
      <c r="G148" s="15">
        <v>0</v>
      </c>
      <c r="H148" s="14">
        <f>VLOOKUP(I148,[1]stuff2!$A:$C,3,FALSE)</f>
        <v>0</v>
      </c>
      <c r="I148" s="15">
        <v>201235</v>
      </c>
      <c r="J148" s="15" t="s">
        <v>150</v>
      </c>
      <c r="K148" s="15"/>
      <c r="L148" s="15">
        <f t="shared" si="57"/>
        <v>-1</v>
      </c>
      <c r="M148" s="23">
        <v>1</v>
      </c>
      <c r="N148" s="23">
        <v>0</v>
      </c>
      <c r="O148" s="24"/>
      <c r="P148" s="15">
        <v>410002</v>
      </c>
      <c r="Q148" s="15" t="s">
        <v>146</v>
      </c>
      <c r="R148" s="15">
        <v>1</v>
      </c>
      <c r="S148" s="14">
        <v>0</v>
      </c>
      <c r="T148" s="15">
        <v>612001</v>
      </c>
      <c r="U148" s="12" t="s">
        <v>53</v>
      </c>
      <c r="V148" s="15">
        <f t="shared" si="87"/>
        <v>1000</v>
      </c>
      <c r="W148" s="14">
        <f>VLOOKUP(T148,[1]stuff!$A:$C,3,FALSE)</f>
        <v>500</v>
      </c>
      <c r="X148" s="15"/>
      <c r="Y148" s="15"/>
      <c r="Z148" s="15"/>
      <c r="AA148" s="29"/>
      <c r="AB148">
        <f t="shared" si="88"/>
        <v>500000</v>
      </c>
      <c r="AC148">
        <f t="shared" si="75"/>
        <v>0</v>
      </c>
      <c r="AD148">
        <f t="shared" si="58"/>
        <v>0</v>
      </c>
    </row>
    <row r="149" spans="1:30" x14ac:dyDescent="0.15">
      <c r="A149" s="41">
        <f t="shared" si="86"/>
        <v>20123600</v>
      </c>
      <c r="B149" s="15">
        <v>0</v>
      </c>
      <c r="C149" s="43">
        <v>111002</v>
      </c>
      <c r="D149" s="12" t="s">
        <v>191</v>
      </c>
      <c r="E149" s="12">
        <v>0</v>
      </c>
      <c r="F149" s="15">
        <v>2</v>
      </c>
      <c r="G149" s="15">
        <v>0</v>
      </c>
      <c r="H149" s="14">
        <f>VLOOKUP(I149,[1]stuff2!$A:$C,3,FALSE)</f>
        <v>0</v>
      </c>
      <c r="I149" s="15">
        <v>201236</v>
      </c>
      <c r="J149" s="15" t="s">
        <v>151</v>
      </c>
      <c r="K149" s="15"/>
      <c r="L149" s="15">
        <f t="shared" ref="L149:L208" si="89">(AC149-AB149-AD149)/AB149</f>
        <v>-1</v>
      </c>
      <c r="M149" s="23">
        <v>1</v>
      </c>
      <c r="N149" s="23">
        <v>0</v>
      </c>
      <c r="O149" s="24"/>
      <c r="P149" s="15">
        <v>410002</v>
      </c>
      <c r="Q149" s="15" t="s">
        <v>146</v>
      </c>
      <c r="R149" s="15">
        <v>1</v>
      </c>
      <c r="S149" s="14">
        <v>0</v>
      </c>
      <c r="T149" s="15">
        <v>612001</v>
      </c>
      <c r="U149" s="12" t="s">
        <v>53</v>
      </c>
      <c r="V149" s="15">
        <f t="shared" si="87"/>
        <v>1200</v>
      </c>
      <c r="W149" s="14">
        <f>VLOOKUP(T149,[1]stuff!$A:$C,3,FALSE)</f>
        <v>500</v>
      </c>
      <c r="X149" s="15"/>
      <c r="Y149" s="15"/>
      <c r="Z149" s="15"/>
      <c r="AA149" s="29"/>
      <c r="AB149">
        <f t="shared" si="88"/>
        <v>600000</v>
      </c>
      <c r="AC149">
        <f t="shared" si="75"/>
        <v>0</v>
      </c>
      <c r="AD149">
        <f t="shared" ref="AD149:AD208" si="90">G149/6</f>
        <v>0</v>
      </c>
    </row>
    <row r="150" spans="1:30" x14ac:dyDescent="0.15">
      <c r="A150" s="41">
        <f t="shared" si="86"/>
        <v>20123700</v>
      </c>
      <c r="B150" s="15">
        <v>0</v>
      </c>
      <c r="C150" s="43">
        <v>111002</v>
      </c>
      <c r="D150" s="12" t="s">
        <v>191</v>
      </c>
      <c r="E150" s="12">
        <v>0</v>
      </c>
      <c r="F150" s="15">
        <v>2</v>
      </c>
      <c r="G150" s="15">
        <v>0</v>
      </c>
      <c r="H150" s="14">
        <f>VLOOKUP(I150,[1]stuff2!$A:$C,3,FALSE)</f>
        <v>0</v>
      </c>
      <c r="I150" s="15">
        <v>201237</v>
      </c>
      <c r="J150" s="15" t="s">
        <v>152</v>
      </c>
      <c r="K150" s="15"/>
      <c r="L150" s="15">
        <f t="shared" si="89"/>
        <v>-1</v>
      </c>
      <c r="M150" s="23">
        <v>1</v>
      </c>
      <c r="N150" s="23">
        <v>0</v>
      </c>
      <c r="O150" s="24"/>
      <c r="P150" s="15">
        <v>410002</v>
      </c>
      <c r="Q150" s="15" t="s">
        <v>146</v>
      </c>
      <c r="R150" s="15">
        <v>1</v>
      </c>
      <c r="S150" s="14">
        <v>0</v>
      </c>
      <c r="T150" s="15">
        <v>612001</v>
      </c>
      <c r="U150" s="12" t="s">
        <v>53</v>
      </c>
      <c r="V150" s="15">
        <f t="shared" si="87"/>
        <v>1400</v>
      </c>
      <c r="W150" s="14">
        <f>VLOOKUP(T150,[1]stuff!$A:$C,3,FALSE)</f>
        <v>500</v>
      </c>
      <c r="X150" s="15"/>
      <c r="Y150" s="15"/>
      <c r="Z150" s="15"/>
      <c r="AA150" s="29"/>
      <c r="AB150">
        <f t="shared" si="88"/>
        <v>700000</v>
      </c>
      <c r="AC150">
        <f t="shared" si="75"/>
        <v>0</v>
      </c>
      <c r="AD150">
        <f t="shared" si="90"/>
        <v>0</v>
      </c>
    </row>
    <row r="151" spans="1:30" x14ac:dyDescent="0.15">
      <c r="A151" s="41">
        <f t="shared" si="86"/>
        <v>20123800</v>
      </c>
      <c r="B151" s="15">
        <v>0</v>
      </c>
      <c r="C151" s="43">
        <v>111002</v>
      </c>
      <c r="D151" s="12" t="s">
        <v>191</v>
      </c>
      <c r="E151" s="12">
        <v>0</v>
      </c>
      <c r="F151" s="15">
        <v>2</v>
      </c>
      <c r="G151" s="15">
        <v>0</v>
      </c>
      <c r="H151" s="14">
        <f>VLOOKUP(I151,[1]stuff2!$A:$C,3,FALSE)</f>
        <v>0</v>
      </c>
      <c r="I151" s="15">
        <v>201238</v>
      </c>
      <c r="J151" s="15" t="s">
        <v>153</v>
      </c>
      <c r="K151" s="15"/>
      <c r="L151" s="15">
        <f t="shared" si="89"/>
        <v>-1</v>
      </c>
      <c r="M151" s="23">
        <v>1</v>
      </c>
      <c r="N151" s="23">
        <v>0</v>
      </c>
      <c r="O151" s="24"/>
      <c r="P151" s="15">
        <v>410002</v>
      </c>
      <c r="Q151" s="15" t="s">
        <v>146</v>
      </c>
      <c r="R151" s="15">
        <v>1</v>
      </c>
      <c r="S151" s="14">
        <v>0</v>
      </c>
      <c r="T151" s="15">
        <v>612001</v>
      </c>
      <c r="U151" s="12" t="s">
        <v>53</v>
      </c>
      <c r="V151" s="15">
        <f t="shared" si="87"/>
        <v>1600</v>
      </c>
      <c r="W151" s="14">
        <f>VLOOKUP(T151,[1]stuff!$A:$C,3,FALSE)</f>
        <v>500</v>
      </c>
      <c r="X151" s="15"/>
      <c r="Y151" s="15"/>
      <c r="Z151" s="15"/>
      <c r="AA151" s="29"/>
      <c r="AB151">
        <f t="shared" si="88"/>
        <v>800000</v>
      </c>
      <c r="AC151">
        <f t="shared" si="75"/>
        <v>0</v>
      </c>
      <c r="AD151">
        <f t="shared" si="90"/>
        <v>0</v>
      </c>
    </row>
    <row r="152" spans="1:30" x14ac:dyDescent="0.15">
      <c r="A152" s="41">
        <f t="shared" si="86"/>
        <v>20123900</v>
      </c>
      <c r="B152" s="15">
        <v>0</v>
      </c>
      <c r="C152" s="43">
        <v>111002</v>
      </c>
      <c r="D152" s="12" t="s">
        <v>191</v>
      </c>
      <c r="E152" s="12">
        <v>0</v>
      </c>
      <c r="F152" s="15">
        <v>2</v>
      </c>
      <c r="G152" s="15">
        <v>0</v>
      </c>
      <c r="H152" s="14">
        <f>VLOOKUP(I152,[1]stuff2!$A:$C,3,FALSE)</f>
        <v>0</v>
      </c>
      <c r="I152" s="15">
        <v>201239</v>
      </c>
      <c r="J152" s="15" t="s">
        <v>154</v>
      </c>
      <c r="K152" s="15"/>
      <c r="L152" s="15">
        <f t="shared" si="89"/>
        <v>-1</v>
      </c>
      <c r="M152" s="23">
        <v>1</v>
      </c>
      <c r="N152" s="23">
        <v>0</v>
      </c>
      <c r="O152" s="24"/>
      <c r="P152" s="15">
        <v>410002</v>
      </c>
      <c r="Q152" s="15" t="s">
        <v>146</v>
      </c>
      <c r="R152" s="15">
        <v>1</v>
      </c>
      <c r="S152" s="14">
        <v>0</v>
      </c>
      <c r="T152" s="15">
        <v>612001</v>
      </c>
      <c r="U152" s="12" t="s">
        <v>53</v>
      </c>
      <c r="V152" s="15">
        <f t="shared" si="87"/>
        <v>1800</v>
      </c>
      <c r="W152" s="14">
        <f>VLOOKUP(T152,[1]stuff!$A:$C,3,FALSE)</f>
        <v>500</v>
      </c>
      <c r="X152" s="15"/>
      <c r="Y152" s="15"/>
      <c r="Z152" s="15"/>
      <c r="AA152" s="29"/>
      <c r="AB152">
        <f t="shared" si="88"/>
        <v>900000</v>
      </c>
      <c r="AC152">
        <f t="shared" si="75"/>
        <v>0</v>
      </c>
      <c r="AD152">
        <f t="shared" si="90"/>
        <v>0</v>
      </c>
    </row>
    <row r="153" spans="1:30" x14ac:dyDescent="0.15">
      <c r="A153" s="41">
        <f t="shared" si="86"/>
        <v>20124000</v>
      </c>
      <c r="B153" s="15">
        <v>0</v>
      </c>
      <c r="C153" s="43">
        <v>111002</v>
      </c>
      <c r="D153" s="12" t="s">
        <v>191</v>
      </c>
      <c r="E153" s="12">
        <v>0</v>
      </c>
      <c r="F153" s="15">
        <v>2</v>
      </c>
      <c r="G153" s="15">
        <v>0</v>
      </c>
      <c r="H153" s="14">
        <f>VLOOKUP(I153,[1]stuff2!$A:$C,3,FALSE)</f>
        <v>0</v>
      </c>
      <c r="I153" s="15">
        <v>201240</v>
      </c>
      <c r="J153" s="15" t="s">
        <v>155</v>
      </c>
      <c r="K153" s="15"/>
      <c r="L153" s="15">
        <f t="shared" si="89"/>
        <v>-1</v>
      </c>
      <c r="M153" s="23">
        <v>1</v>
      </c>
      <c r="N153" s="23">
        <v>0</v>
      </c>
      <c r="O153" s="24"/>
      <c r="P153" s="15">
        <v>410002</v>
      </c>
      <c r="Q153" s="15" t="s">
        <v>146</v>
      </c>
      <c r="R153" s="15">
        <v>1</v>
      </c>
      <c r="S153" s="14">
        <v>0</v>
      </c>
      <c r="T153" s="15">
        <v>612001</v>
      </c>
      <c r="U153" s="12" t="s">
        <v>53</v>
      </c>
      <c r="V153" s="15">
        <f t="shared" si="87"/>
        <v>2000</v>
      </c>
      <c r="W153" s="14">
        <f>VLOOKUP(T153,[1]stuff!$A:$C,3,FALSE)</f>
        <v>500</v>
      </c>
      <c r="X153" s="15"/>
      <c r="Y153" s="15"/>
      <c r="Z153" s="15"/>
      <c r="AA153" s="29"/>
      <c r="AB153">
        <f t="shared" si="88"/>
        <v>1000000</v>
      </c>
      <c r="AC153">
        <f t="shared" si="75"/>
        <v>0</v>
      </c>
      <c r="AD153">
        <f t="shared" si="90"/>
        <v>0</v>
      </c>
    </row>
    <row r="154" spans="1:30" x14ac:dyDescent="0.15">
      <c r="A154" s="41">
        <f t="shared" si="86"/>
        <v>20124100</v>
      </c>
      <c r="B154" s="15">
        <v>0</v>
      </c>
      <c r="C154" s="43">
        <v>111002</v>
      </c>
      <c r="D154" s="12" t="s">
        <v>191</v>
      </c>
      <c r="E154" s="12">
        <v>0</v>
      </c>
      <c r="F154" s="15">
        <v>2</v>
      </c>
      <c r="G154" s="15">
        <v>0</v>
      </c>
      <c r="H154" s="14">
        <f>VLOOKUP(I154,[1]stuff2!$A:$C,3,FALSE)</f>
        <v>0</v>
      </c>
      <c r="I154" s="15">
        <v>201241</v>
      </c>
      <c r="J154" s="15" t="s">
        <v>156</v>
      </c>
      <c r="K154" s="15"/>
      <c r="L154" s="15">
        <f t="shared" si="89"/>
        <v>-1</v>
      </c>
      <c r="M154" s="23">
        <v>1</v>
      </c>
      <c r="N154" s="23">
        <v>0</v>
      </c>
      <c r="O154" s="24"/>
      <c r="P154" s="15">
        <v>410003</v>
      </c>
      <c r="Q154" s="15" t="s">
        <v>157</v>
      </c>
      <c r="R154" s="15">
        <v>1</v>
      </c>
      <c r="S154" s="14">
        <v>0</v>
      </c>
      <c r="T154" s="15">
        <v>612002</v>
      </c>
      <c r="U154" s="12" t="s">
        <v>55</v>
      </c>
      <c r="V154" s="15">
        <f t="shared" si="87"/>
        <v>100</v>
      </c>
      <c r="W154" s="14">
        <f>VLOOKUP(T154,[1]stuff!$A:$C,3,FALSE)</f>
        <v>500</v>
      </c>
      <c r="X154" s="15"/>
      <c r="Y154" s="15"/>
      <c r="Z154" s="15"/>
      <c r="AA154" s="29"/>
      <c r="AB154">
        <f t="shared" si="88"/>
        <v>50000</v>
      </c>
      <c r="AC154">
        <f t="shared" si="75"/>
        <v>0</v>
      </c>
      <c r="AD154">
        <f t="shared" si="90"/>
        <v>0</v>
      </c>
    </row>
    <row r="155" spans="1:30" x14ac:dyDescent="0.15">
      <c r="A155" s="41">
        <f t="shared" si="86"/>
        <v>20124200</v>
      </c>
      <c r="B155" s="15">
        <v>0</v>
      </c>
      <c r="C155" s="43">
        <v>111002</v>
      </c>
      <c r="D155" s="12" t="s">
        <v>191</v>
      </c>
      <c r="E155" s="12">
        <v>0</v>
      </c>
      <c r="F155" s="15">
        <v>2</v>
      </c>
      <c r="G155" s="15">
        <v>0</v>
      </c>
      <c r="H155" s="14">
        <f>VLOOKUP(I155,[1]stuff2!$A:$C,3,FALSE)</f>
        <v>0</v>
      </c>
      <c r="I155" s="15">
        <v>201242</v>
      </c>
      <c r="J155" s="15" t="s">
        <v>158</v>
      </c>
      <c r="K155" s="15"/>
      <c r="L155" s="15">
        <f t="shared" si="89"/>
        <v>-1</v>
      </c>
      <c r="M155" s="23">
        <v>1</v>
      </c>
      <c r="N155" s="23">
        <v>0</v>
      </c>
      <c r="O155" s="24"/>
      <c r="P155" s="15">
        <v>410003</v>
      </c>
      <c r="Q155" s="15" t="s">
        <v>157</v>
      </c>
      <c r="R155" s="15">
        <v>1</v>
      </c>
      <c r="S155" s="14">
        <v>0</v>
      </c>
      <c r="T155" s="15">
        <v>612002</v>
      </c>
      <c r="U155" s="12" t="s">
        <v>55</v>
      </c>
      <c r="V155" s="15">
        <f t="shared" si="87"/>
        <v>300</v>
      </c>
      <c r="W155" s="14">
        <f>VLOOKUP(T155,[1]stuff!$A:$C,3,FALSE)</f>
        <v>500</v>
      </c>
      <c r="X155" s="15"/>
      <c r="Y155" s="15"/>
      <c r="Z155" s="15"/>
      <c r="AA155" s="29"/>
      <c r="AB155">
        <f t="shared" si="88"/>
        <v>150000</v>
      </c>
      <c r="AC155">
        <f t="shared" si="75"/>
        <v>0</v>
      </c>
      <c r="AD155">
        <f t="shared" si="90"/>
        <v>0</v>
      </c>
    </row>
    <row r="156" spans="1:30" x14ac:dyDescent="0.15">
      <c r="A156" s="41">
        <f t="shared" si="86"/>
        <v>20124300</v>
      </c>
      <c r="B156" s="15">
        <v>0</v>
      </c>
      <c r="C156" s="43">
        <v>111002</v>
      </c>
      <c r="D156" s="12" t="s">
        <v>191</v>
      </c>
      <c r="E156" s="12">
        <v>0</v>
      </c>
      <c r="F156" s="15">
        <v>2</v>
      </c>
      <c r="G156" s="15">
        <v>0</v>
      </c>
      <c r="H156" s="14">
        <f>VLOOKUP(I156,[1]stuff2!$A:$C,3,FALSE)</f>
        <v>0</v>
      </c>
      <c r="I156" s="15">
        <v>201243</v>
      </c>
      <c r="J156" s="15" t="s">
        <v>159</v>
      </c>
      <c r="K156" s="15"/>
      <c r="L156" s="15">
        <f t="shared" si="89"/>
        <v>-1</v>
      </c>
      <c r="M156" s="23">
        <v>1</v>
      </c>
      <c r="N156" s="23">
        <v>0</v>
      </c>
      <c r="O156" s="24"/>
      <c r="P156" s="15">
        <v>410003</v>
      </c>
      <c r="Q156" s="15" t="s">
        <v>157</v>
      </c>
      <c r="R156" s="15">
        <v>1</v>
      </c>
      <c r="S156" s="14">
        <v>0</v>
      </c>
      <c r="T156" s="15">
        <v>612002</v>
      </c>
      <c r="U156" s="12" t="s">
        <v>55</v>
      </c>
      <c r="V156" s="15">
        <f t="shared" si="87"/>
        <v>500</v>
      </c>
      <c r="W156" s="14">
        <f>VLOOKUP(T156,[1]stuff!$A:$C,3,FALSE)</f>
        <v>500</v>
      </c>
      <c r="X156" s="15"/>
      <c r="Y156" s="15"/>
      <c r="Z156" s="15"/>
      <c r="AA156" s="29"/>
      <c r="AB156">
        <f t="shared" si="88"/>
        <v>250000</v>
      </c>
      <c r="AC156">
        <f t="shared" si="75"/>
        <v>0</v>
      </c>
      <c r="AD156">
        <f t="shared" si="90"/>
        <v>0</v>
      </c>
    </row>
    <row r="157" spans="1:30" x14ac:dyDescent="0.15">
      <c r="A157" s="41">
        <f t="shared" si="86"/>
        <v>20124400</v>
      </c>
      <c r="B157" s="15">
        <v>0</v>
      </c>
      <c r="C157" s="43">
        <v>111002</v>
      </c>
      <c r="D157" s="12" t="s">
        <v>191</v>
      </c>
      <c r="E157" s="12">
        <v>0</v>
      </c>
      <c r="F157" s="15">
        <v>2</v>
      </c>
      <c r="G157" s="15">
        <v>0</v>
      </c>
      <c r="H157" s="14">
        <f>VLOOKUP(I157,[1]stuff2!$A:$C,3,FALSE)</f>
        <v>0</v>
      </c>
      <c r="I157" s="15">
        <v>201244</v>
      </c>
      <c r="J157" s="15" t="s">
        <v>160</v>
      </c>
      <c r="K157" s="15"/>
      <c r="L157" s="15">
        <f t="shared" si="89"/>
        <v>-1</v>
      </c>
      <c r="M157" s="23">
        <v>1</v>
      </c>
      <c r="N157" s="23">
        <v>0</v>
      </c>
      <c r="O157" s="24"/>
      <c r="P157" s="15">
        <v>410003</v>
      </c>
      <c r="Q157" s="15" t="s">
        <v>157</v>
      </c>
      <c r="R157" s="15">
        <v>1</v>
      </c>
      <c r="S157" s="14">
        <v>0</v>
      </c>
      <c r="T157" s="15">
        <v>612002</v>
      </c>
      <c r="U157" s="12" t="s">
        <v>55</v>
      </c>
      <c r="V157" s="15">
        <f t="shared" si="87"/>
        <v>800</v>
      </c>
      <c r="W157" s="14">
        <f>VLOOKUP(T157,[1]stuff!$A:$C,3,FALSE)</f>
        <v>500</v>
      </c>
      <c r="X157" s="15"/>
      <c r="Y157" s="15"/>
      <c r="Z157" s="15"/>
      <c r="AA157" s="29"/>
      <c r="AB157">
        <f t="shared" si="88"/>
        <v>400000</v>
      </c>
      <c r="AC157">
        <f t="shared" si="75"/>
        <v>0</v>
      </c>
      <c r="AD157">
        <f t="shared" si="90"/>
        <v>0</v>
      </c>
    </row>
    <row r="158" spans="1:30" x14ac:dyDescent="0.15">
      <c r="A158" s="41">
        <f t="shared" si="86"/>
        <v>20124500</v>
      </c>
      <c r="B158" s="15">
        <v>0</v>
      </c>
      <c r="C158" s="43">
        <v>111002</v>
      </c>
      <c r="D158" s="12" t="s">
        <v>191</v>
      </c>
      <c r="E158" s="12">
        <v>0</v>
      </c>
      <c r="F158" s="15">
        <v>2</v>
      </c>
      <c r="G158" s="15">
        <v>0</v>
      </c>
      <c r="H158" s="14">
        <f>VLOOKUP(I158,[1]stuff2!$A:$C,3,FALSE)</f>
        <v>0</v>
      </c>
      <c r="I158" s="15">
        <v>201245</v>
      </c>
      <c r="J158" s="15" t="s">
        <v>161</v>
      </c>
      <c r="K158" s="15"/>
      <c r="L158" s="15">
        <f t="shared" si="89"/>
        <v>-1</v>
      </c>
      <c r="M158" s="23">
        <v>1</v>
      </c>
      <c r="N158" s="23">
        <v>0</v>
      </c>
      <c r="O158" s="24"/>
      <c r="P158" s="15">
        <v>410003</v>
      </c>
      <c r="Q158" s="15" t="s">
        <v>157</v>
      </c>
      <c r="R158" s="15">
        <v>1</v>
      </c>
      <c r="S158" s="14">
        <v>0</v>
      </c>
      <c r="T158" s="15">
        <v>612002</v>
      </c>
      <c r="U158" s="12" t="s">
        <v>55</v>
      </c>
      <c r="V158" s="15">
        <f t="shared" si="87"/>
        <v>1000</v>
      </c>
      <c r="W158" s="14">
        <f>VLOOKUP(T158,[1]stuff!$A:$C,3,FALSE)</f>
        <v>500</v>
      </c>
      <c r="X158" s="15"/>
      <c r="Y158" s="15"/>
      <c r="Z158" s="15"/>
      <c r="AA158" s="29"/>
      <c r="AB158">
        <f t="shared" si="88"/>
        <v>500000</v>
      </c>
      <c r="AC158">
        <f t="shared" si="75"/>
        <v>0</v>
      </c>
      <c r="AD158">
        <f t="shared" si="90"/>
        <v>0</v>
      </c>
    </row>
    <row r="159" spans="1:30" x14ac:dyDescent="0.15">
      <c r="A159" s="41">
        <f t="shared" si="86"/>
        <v>20124600</v>
      </c>
      <c r="B159" s="15">
        <v>0</v>
      </c>
      <c r="C159" s="43">
        <v>111002</v>
      </c>
      <c r="D159" s="12" t="s">
        <v>191</v>
      </c>
      <c r="E159" s="12">
        <v>0</v>
      </c>
      <c r="F159" s="15">
        <v>2</v>
      </c>
      <c r="G159" s="15">
        <v>0</v>
      </c>
      <c r="H159" s="14">
        <f>VLOOKUP(I159,[1]stuff2!$A:$C,3,FALSE)</f>
        <v>0</v>
      </c>
      <c r="I159" s="15">
        <v>201246</v>
      </c>
      <c r="J159" s="15" t="s">
        <v>162</v>
      </c>
      <c r="K159" s="15"/>
      <c r="L159" s="15">
        <f t="shared" si="89"/>
        <v>-1</v>
      </c>
      <c r="M159" s="23">
        <v>1</v>
      </c>
      <c r="N159" s="23">
        <v>0</v>
      </c>
      <c r="O159" s="24"/>
      <c r="P159" s="15">
        <v>410003</v>
      </c>
      <c r="Q159" s="15" t="s">
        <v>157</v>
      </c>
      <c r="R159" s="15">
        <v>1</v>
      </c>
      <c r="S159" s="14">
        <v>0</v>
      </c>
      <c r="T159" s="15">
        <v>612002</v>
      </c>
      <c r="U159" s="12" t="s">
        <v>55</v>
      </c>
      <c r="V159" s="15">
        <f t="shared" si="87"/>
        <v>1200</v>
      </c>
      <c r="W159" s="14">
        <f>VLOOKUP(T159,[1]stuff!$A:$C,3,FALSE)</f>
        <v>500</v>
      </c>
      <c r="X159" s="15"/>
      <c r="Y159" s="15"/>
      <c r="Z159" s="15"/>
      <c r="AA159" s="29"/>
      <c r="AB159">
        <f t="shared" si="88"/>
        <v>600000</v>
      </c>
      <c r="AC159">
        <f t="shared" si="75"/>
        <v>0</v>
      </c>
      <c r="AD159">
        <f t="shared" si="90"/>
        <v>0</v>
      </c>
    </row>
    <row r="160" spans="1:30" x14ac:dyDescent="0.15">
      <c r="A160" s="41">
        <f t="shared" si="86"/>
        <v>20124700</v>
      </c>
      <c r="B160" s="15">
        <v>0</v>
      </c>
      <c r="C160" s="43">
        <v>111002</v>
      </c>
      <c r="D160" s="12" t="s">
        <v>191</v>
      </c>
      <c r="E160" s="12">
        <v>0</v>
      </c>
      <c r="F160" s="15">
        <v>2</v>
      </c>
      <c r="G160" s="15">
        <v>0</v>
      </c>
      <c r="H160" s="14">
        <f>VLOOKUP(I160,[1]stuff2!$A:$C,3,FALSE)</f>
        <v>0</v>
      </c>
      <c r="I160" s="15">
        <v>201247</v>
      </c>
      <c r="J160" s="15" t="s">
        <v>163</v>
      </c>
      <c r="K160" s="15"/>
      <c r="L160" s="15">
        <f t="shared" si="89"/>
        <v>-1</v>
      </c>
      <c r="M160" s="23">
        <v>1</v>
      </c>
      <c r="N160" s="23">
        <v>0</v>
      </c>
      <c r="O160" s="24"/>
      <c r="P160" s="15">
        <v>410003</v>
      </c>
      <c r="Q160" s="15" t="s">
        <v>157</v>
      </c>
      <c r="R160" s="15">
        <v>1</v>
      </c>
      <c r="S160" s="14">
        <v>0</v>
      </c>
      <c r="T160" s="15">
        <v>612002</v>
      </c>
      <c r="U160" s="12" t="s">
        <v>55</v>
      </c>
      <c r="V160" s="15">
        <f t="shared" si="87"/>
        <v>1400</v>
      </c>
      <c r="W160" s="14">
        <f>VLOOKUP(T160,[1]stuff!$A:$C,3,FALSE)</f>
        <v>500</v>
      </c>
      <c r="X160" s="15"/>
      <c r="Y160" s="15"/>
      <c r="Z160" s="15"/>
      <c r="AA160" s="29"/>
      <c r="AB160">
        <f t="shared" si="88"/>
        <v>700000</v>
      </c>
      <c r="AC160">
        <f t="shared" si="75"/>
        <v>0</v>
      </c>
      <c r="AD160">
        <f t="shared" si="90"/>
        <v>0</v>
      </c>
    </row>
    <row r="161" spans="1:30" x14ac:dyDescent="0.15">
      <c r="A161" s="41">
        <f t="shared" si="86"/>
        <v>20124800</v>
      </c>
      <c r="B161" s="15">
        <v>0</v>
      </c>
      <c r="C161" s="43">
        <v>111002</v>
      </c>
      <c r="D161" s="12" t="s">
        <v>191</v>
      </c>
      <c r="E161" s="12">
        <v>0</v>
      </c>
      <c r="F161" s="15">
        <v>2</v>
      </c>
      <c r="G161" s="15">
        <v>0</v>
      </c>
      <c r="H161" s="14">
        <f>VLOOKUP(I161,[1]stuff2!$A:$C,3,FALSE)</f>
        <v>0</v>
      </c>
      <c r="I161" s="15">
        <v>201248</v>
      </c>
      <c r="J161" s="15" t="s">
        <v>164</v>
      </c>
      <c r="K161" s="15"/>
      <c r="L161" s="15">
        <f t="shared" si="89"/>
        <v>-1</v>
      </c>
      <c r="M161" s="23">
        <v>1</v>
      </c>
      <c r="N161" s="23">
        <v>0</v>
      </c>
      <c r="O161" s="24"/>
      <c r="P161" s="15">
        <v>410003</v>
      </c>
      <c r="Q161" s="15" t="s">
        <v>157</v>
      </c>
      <c r="R161" s="15">
        <v>1</v>
      </c>
      <c r="S161" s="14">
        <v>0</v>
      </c>
      <c r="T161" s="15">
        <v>612002</v>
      </c>
      <c r="U161" s="12" t="s">
        <v>55</v>
      </c>
      <c r="V161" s="15">
        <f t="shared" si="87"/>
        <v>1600</v>
      </c>
      <c r="W161" s="14">
        <f>VLOOKUP(T161,[1]stuff!$A:$C,3,FALSE)</f>
        <v>500</v>
      </c>
      <c r="X161" s="15"/>
      <c r="Y161" s="15"/>
      <c r="Z161" s="15"/>
      <c r="AA161" s="29"/>
      <c r="AB161">
        <f t="shared" si="88"/>
        <v>800000</v>
      </c>
      <c r="AC161">
        <f t="shared" si="75"/>
        <v>0</v>
      </c>
      <c r="AD161">
        <f t="shared" si="90"/>
        <v>0</v>
      </c>
    </row>
    <row r="162" spans="1:30" x14ac:dyDescent="0.15">
      <c r="A162" s="41">
        <f t="shared" si="86"/>
        <v>20124900</v>
      </c>
      <c r="B162" s="15">
        <v>0</v>
      </c>
      <c r="C162" s="43">
        <v>111002</v>
      </c>
      <c r="D162" s="12" t="s">
        <v>191</v>
      </c>
      <c r="E162" s="12">
        <v>0</v>
      </c>
      <c r="F162" s="15">
        <v>2</v>
      </c>
      <c r="G162" s="15">
        <v>0</v>
      </c>
      <c r="H162" s="14">
        <f>VLOOKUP(I162,[1]stuff2!$A:$C,3,FALSE)</f>
        <v>0</v>
      </c>
      <c r="I162" s="15">
        <v>201249</v>
      </c>
      <c r="J162" s="15" t="s">
        <v>165</v>
      </c>
      <c r="K162" s="15"/>
      <c r="L162" s="15">
        <f t="shared" si="89"/>
        <v>-1</v>
      </c>
      <c r="M162" s="23">
        <v>1</v>
      </c>
      <c r="N162" s="23">
        <v>0</v>
      </c>
      <c r="O162" s="24"/>
      <c r="P162" s="15">
        <v>410003</v>
      </c>
      <c r="Q162" s="15" t="s">
        <v>157</v>
      </c>
      <c r="R162" s="15">
        <v>1</v>
      </c>
      <c r="S162" s="14">
        <v>0</v>
      </c>
      <c r="T162" s="15">
        <v>612002</v>
      </c>
      <c r="U162" s="12" t="s">
        <v>55</v>
      </c>
      <c r="V162" s="15">
        <f t="shared" si="87"/>
        <v>1800</v>
      </c>
      <c r="W162" s="14">
        <f>VLOOKUP(T162,[1]stuff!$A:$C,3,FALSE)</f>
        <v>500</v>
      </c>
      <c r="X162" s="15"/>
      <c r="Y162" s="15"/>
      <c r="Z162" s="15"/>
      <c r="AA162" s="29"/>
      <c r="AB162">
        <f t="shared" si="88"/>
        <v>900000</v>
      </c>
      <c r="AC162">
        <f t="shared" si="75"/>
        <v>0</v>
      </c>
      <c r="AD162">
        <f t="shared" si="90"/>
        <v>0</v>
      </c>
    </row>
    <row r="163" spans="1:30" x14ac:dyDescent="0.15">
      <c r="A163" s="41">
        <f t="shared" si="86"/>
        <v>20125000</v>
      </c>
      <c r="B163" s="15">
        <v>0</v>
      </c>
      <c r="C163" s="43">
        <v>111002</v>
      </c>
      <c r="D163" s="12" t="s">
        <v>191</v>
      </c>
      <c r="E163" s="12">
        <v>0</v>
      </c>
      <c r="F163" s="15">
        <v>2</v>
      </c>
      <c r="G163" s="15">
        <v>0</v>
      </c>
      <c r="H163" s="14">
        <f>VLOOKUP(I163,[1]stuff2!$A:$C,3,FALSE)</f>
        <v>0</v>
      </c>
      <c r="I163" s="15">
        <v>201250</v>
      </c>
      <c r="J163" s="15" t="s">
        <v>166</v>
      </c>
      <c r="K163" s="15"/>
      <c r="L163" s="15">
        <f t="shared" si="89"/>
        <v>-1</v>
      </c>
      <c r="M163" s="23">
        <v>1</v>
      </c>
      <c r="N163" s="23">
        <v>0</v>
      </c>
      <c r="O163" s="24"/>
      <c r="P163" s="15">
        <v>410003</v>
      </c>
      <c r="Q163" s="15" t="s">
        <v>157</v>
      </c>
      <c r="R163" s="15">
        <v>1</v>
      </c>
      <c r="S163" s="14">
        <v>0</v>
      </c>
      <c r="T163" s="15">
        <v>612002</v>
      </c>
      <c r="U163" s="12" t="s">
        <v>55</v>
      </c>
      <c r="V163" s="15">
        <f t="shared" si="87"/>
        <v>2000</v>
      </c>
      <c r="W163" s="14">
        <f>VLOOKUP(T163,[1]stuff!$A:$C,3,FALSE)</f>
        <v>500</v>
      </c>
      <c r="X163" s="15"/>
      <c r="Y163" s="15"/>
      <c r="Z163" s="15"/>
      <c r="AA163" s="29"/>
      <c r="AB163">
        <f t="shared" si="88"/>
        <v>1000000</v>
      </c>
      <c r="AC163">
        <f t="shared" si="75"/>
        <v>0</v>
      </c>
      <c r="AD163">
        <f t="shared" si="90"/>
        <v>0</v>
      </c>
    </row>
    <row r="164" spans="1:30" x14ac:dyDescent="0.15">
      <c r="A164" s="41">
        <f t="shared" si="86"/>
        <v>20125100</v>
      </c>
      <c r="B164" s="15">
        <v>0</v>
      </c>
      <c r="C164" s="43">
        <v>111002</v>
      </c>
      <c r="D164" s="12" t="s">
        <v>191</v>
      </c>
      <c r="E164" s="12">
        <v>0</v>
      </c>
      <c r="F164" s="15">
        <v>2</v>
      </c>
      <c r="G164" s="15">
        <v>0</v>
      </c>
      <c r="H164" s="14">
        <f>VLOOKUP(I164,[1]stuff2!$A:$C,3,FALSE)</f>
        <v>0</v>
      </c>
      <c r="I164" s="15">
        <v>201251</v>
      </c>
      <c r="J164" s="15" t="s">
        <v>167</v>
      </c>
      <c r="K164" s="15"/>
      <c r="L164" s="15">
        <f t="shared" si="89"/>
        <v>-1</v>
      </c>
      <c r="M164" s="23">
        <v>1</v>
      </c>
      <c r="N164" s="23">
        <v>0</v>
      </c>
      <c r="O164" s="24"/>
      <c r="P164" s="15">
        <v>410004</v>
      </c>
      <c r="Q164" s="15" t="s">
        <v>168</v>
      </c>
      <c r="R164" s="15">
        <v>1</v>
      </c>
      <c r="S164" s="14">
        <v>0</v>
      </c>
      <c r="T164" s="15">
        <v>612003</v>
      </c>
      <c r="U164" s="12" t="s">
        <v>57</v>
      </c>
      <c r="V164" s="15">
        <f t="shared" si="87"/>
        <v>100</v>
      </c>
      <c r="W164" s="14">
        <f>VLOOKUP(T164,[1]stuff!$A:$C,3,FALSE)</f>
        <v>500</v>
      </c>
      <c r="X164" s="15"/>
      <c r="Y164" s="15"/>
      <c r="Z164" s="15"/>
      <c r="AA164" s="29"/>
      <c r="AB164">
        <f t="shared" si="88"/>
        <v>50000</v>
      </c>
      <c r="AC164">
        <f t="shared" si="75"/>
        <v>0</v>
      </c>
      <c r="AD164">
        <f t="shared" si="90"/>
        <v>0</v>
      </c>
    </row>
    <row r="165" spans="1:30" x14ac:dyDescent="0.15">
      <c r="A165" s="41">
        <f t="shared" si="86"/>
        <v>20125200</v>
      </c>
      <c r="B165" s="15">
        <v>0</v>
      </c>
      <c r="C165" s="43">
        <v>111002</v>
      </c>
      <c r="D165" s="12" t="s">
        <v>191</v>
      </c>
      <c r="E165" s="12">
        <v>0</v>
      </c>
      <c r="F165" s="15">
        <v>2</v>
      </c>
      <c r="G165" s="15">
        <v>0</v>
      </c>
      <c r="H165" s="14">
        <f>VLOOKUP(I165,[1]stuff2!$A:$C,3,FALSE)</f>
        <v>0</v>
      </c>
      <c r="I165" s="15">
        <v>201252</v>
      </c>
      <c r="J165" s="15" t="s">
        <v>169</v>
      </c>
      <c r="K165" s="15"/>
      <c r="L165" s="15">
        <f t="shared" si="89"/>
        <v>-1</v>
      </c>
      <c r="M165" s="23">
        <v>1</v>
      </c>
      <c r="N165" s="23">
        <v>0</v>
      </c>
      <c r="O165" s="24"/>
      <c r="P165" s="15">
        <v>410004</v>
      </c>
      <c r="Q165" s="15" t="s">
        <v>168</v>
      </c>
      <c r="R165" s="15">
        <v>1</v>
      </c>
      <c r="S165" s="14">
        <v>0</v>
      </c>
      <c r="T165" s="15">
        <v>612003</v>
      </c>
      <c r="U165" s="12" t="s">
        <v>57</v>
      </c>
      <c r="V165" s="15">
        <f t="shared" si="87"/>
        <v>300</v>
      </c>
      <c r="W165" s="14">
        <f>VLOOKUP(T165,[1]stuff!$A:$C,3,FALSE)</f>
        <v>500</v>
      </c>
      <c r="X165" s="15"/>
      <c r="Y165" s="15"/>
      <c r="Z165" s="15"/>
      <c r="AA165" s="29"/>
      <c r="AB165">
        <f t="shared" si="88"/>
        <v>150000</v>
      </c>
      <c r="AC165">
        <f t="shared" si="75"/>
        <v>0</v>
      </c>
      <c r="AD165">
        <f t="shared" si="90"/>
        <v>0</v>
      </c>
    </row>
    <row r="166" spans="1:30" x14ac:dyDescent="0.15">
      <c r="A166" s="41">
        <f t="shared" si="86"/>
        <v>20125300</v>
      </c>
      <c r="B166" s="15">
        <v>0</v>
      </c>
      <c r="C166" s="43">
        <v>111002</v>
      </c>
      <c r="D166" s="12" t="s">
        <v>191</v>
      </c>
      <c r="E166" s="12">
        <v>0</v>
      </c>
      <c r="F166" s="15">
        <v>2</v>
      </c>
      <c r="G166" s="15">
        <v>0</v>
      </c>
      <c r="H166" s="14">
        <f>VLOOKUP(I166,[1]stuff2!$A:$C,3,FALSE)</f>
        <v>0</v>
      </c>
      <c r="I166" s="15">
        <v>201253</v>
      </c>
      <c r="J166" s="15" t="s">
        <v>170</v>
      </c>
      <c r="K166" s="15"/>
      <c r="L166" s="15">
        <f t="shared" si="89"/>
        <v>-1</v>
      </c>
      <c r="M166" s="23">
        <v>1</v>
      </c>
      <c r="N166" s="23">
        <v>0</v>
      </c>
      <c r="O166" s="24"/>
      <c r="P166" s="15">
        <v>410004</v>
      </c>
      <c r="Q166" s="15" t="s">
        <v>168</v>
      </c>
      <c r="R166" s="15">
        <v>1</v>
      </c>
      <c r="S166" s="14">
        <v>0</v>
      </c>
      <c r="T166" s="15">
        <v>612003</v>
      </c>
      <c r="U166" s="12" t="s">
        <v>57</v>
      </c>
      <c r="V166" s="15">
        <f t="shared" si="87"/>
        <v>500</v>
      </c>
      <c r="W166" s="14">
        <f>VLOOKUP(T166,[1]stuff!$A:$C,3,FALSE)</f>
        <v>500</v>
      </c>
      <c r="X166" s="15"/>
      <c r="Y166" s="15"/>
      <c r="Z166" s="15"/>
      <c r="AA166" s="29"/>
      <c r="AB166">
        <f t="shared" si="88"/>
        <v>250000</v>
      </c>
      <c r="AC166">
        <f t="shared" si="75"/>
        <v>0</v>
      </c>
      <c r="AD166">
        <f t="shared" si="90"/>
        <v>0</v>
      </c>
    </row>
    <row r="167" spans="1:30" x14ac:dyDescent="0.15">
      <c r="A167" s="41">
        <f t="shared" si="86"/>
        <v>20125400</v>
      </c>
      <c r="B167" s="15">
        <v>0</v>
      </c>
      <c r="C167" s="43">
        <v>111002</v>
      </c>
      <c r="D167" s="12" t="s">
        <v>191</v>
      </c>
      <c r="E167" s="12">
        <v>0</v>
      </c>
      <c r="F167" s="15">
        <v>2</v>
      </c>
      <c r="G167" s="15">
        <v>0</v>
      </c>
      <c r="H167" s="14">
        <f>VLOOKUP(I167,[1]stuff2!$A:$C,3,FALSE)</f>
        <v>0</v>
      </c>
      <c r="I167" s="15">
        <v>201254</v>
      </c>
      <c r="J167" s="15" t="s">
        <v>171</v>
      </c>
      <c r="K167" s="15"/>
      <c r="L167" s="15">
        <f t="shared" si="89"/>
        <v>-1</v>
      </c>
      <c r="M167" s="23">
        <v>1</v>
      </c>
      <c r="N167" s="23">
        <v>0</v>
      </c>
      <c r="O167" s="24"/>
      <c r="P167" s="15">
        <v>410004</v>
      </c>
      <c r="Q167" s="15" t="s">
        <v>168</v>
      </c>
      <c r="R167" s="15">
        <v>1</v>
      </c>
      <c r="S167" s="14">
        <v>0</v>
      </c>
      <c r="T167" s="15">
        <v>612003</v>
      </c>
      <c r="U167" s="12" t="s">
        <v>57</v>
      </c>
      <c r="V167" s="15">
        <f t="shared" si="87"/>
        <v>800</v>
      </c>
      <c r="W167" s="14">
        <f>VLOOKUP(T167,[1]stuff!$A:$C,3,FALSE)</f>
        <v>500</v>
      </c>
      <c r="X167" s="15"/>
      <c r="Y167" s="15"/>
      <c r="Z167" s="15"/>
      <c r="AA167" s="29"/>
      <c r="AB167">
        <f t="shared" si="88"/>
        <v>400000</v>
      </c>
      <c r="AC167">
        <f t="shared" si="75"/>
        <v>0</v>
      </c>
      <c r="AD167">
        <f t="shared" si="90"/>
        <v>0</v>
      </c>
    </row>
    <row r="168" spans="1:30" x14ac:dyDescent="0.15">
      <c r="A168" s="41">
        <f t="shared" si="86"/>
        <v>20125500</v>
      </c>
      <c r="B168" s="15">
        <v>0</v>
      </c>
      <c r="C168" s="43">
        <v>111002</v>
      </c>
      <c r="D168" s="12" t="s">
        <v>191</v>
      </c>
      <c r="E168" s="12">
        <v>0</v>
      </c>
      <c r="F168" s="15">
        <v>2</v>
      </c>
      <c r="G168" s="15">
        <v>0</v>
      </c>
      <c r="H168" s="14">
        <f>VLOOKUP(I168,[1]stuff2!$A:$C,3,FALSE)</f>
        <v>0</v>
      </c>
      <c r="I168" s="15">
        <v>201255</v>
      </c>
      <c r="J168" s="15" t="s">
        <v>172</v>
      </c>
      <c r="K168" s="15"/>
      <c r="L168" s="15">
        <f t="shared" si="89"/>
        <v>-1</v>
      </c>
      <c r="M168" s="23">
        <v>1</v>
      </c>
      <c r="N168" s="23">
        <v>0</v>
      </c>
      <c r="O168" s="24"/>
      <c r="P168" s="15">
        <v>410004</v>
      </c>
      <c r="Q168" s="15" t="s">
        <v>168</v>
      </c>
      <c r="R168" s="15">
        <v>1</v>
      </c>
      <c r="S168" s="14">
        <v>0</v>
      </c>
      <c r="T168" s="15">
        <v>612003</v>
      </c>
      <c r="U168" s="12" t="s">
        <v>57</v>
      </c>
      <c r="V168" s="15">
        <f t="shared" si="87"/>
        <v>1000</v>
      </c>
      <c r="W168" s="14">
        <f>VLOOKUP(T168,[1]stuff!$A:$C,3,FALSE)</f>
        <v>500</v>
      </c>
      <c r="X168" s="15"/>
      <c r="Y168" s="15"/>
      <c r="Z168" s="15"/>
      <c r="AA168" s="29"/>
      <c r="AB168">
        <f t="shared" si="88"/>
        <v>500000</v>
      </c>
      <c r="AC168">
        <f t="shared" si="75"/>
        <v>0</v>
      </c>
      <c r="AD168">
        <f t="shared" si="90"/>
        <v>0</v>
      </c>
    </row>
    <row r="169" spans="1:30" x14ac:dyDescent="0.15">
      <c r="A169" s="41">
        <f t="shared" si="86"/>
        <v>20125600</v>
      </c>
      <c r="B169" s="15">
        <v>0</v>
      </c>
      <c r="C169" s="43">
        <v>111002</v>
      </c>
      <c r="D169" s="12" t="s">
        <v>191</v>
      </c>
      <c r="E169" s="12">
        <v>0</v>
      </c>
      <c r="F169" s="15">
        <v>2</v>
      </c>
      <c r="G169" s="15">
        <v>0</v>
      </c>
      <c r="H169" s="14">
        <f>VLOOKUP(I169,[1]stuff2!$A:$C,3,FALSE)</f>
        <v>0</v>
      </c>
      <c r="I169" s="15">
        <v>201256</v>
      </c>
      <c r="J169" s="15" t="s">
        <v>173</v>
      </c>
      <c r="K169" s="15"/>
      <c r="L169" s="15">
        <f t="shared" si="89"/>
        <v>-1</v>
      </c>
      <c r="M169" s="23">
        <v>1</v>
      </c>
      <c r="N169" s="23">
        <v>0</v>
      </c>
      <c r="O169" s="24"/>
      <c r="P169" s="15">
        <v>410004</v>
      </c>
      <c r="Q169" s="15" t="s">
        <v>168</v>
      </c>
      <c r="R169" s="15">
        <v>1</v>
      </c>
      <c r="S169" s="14">
        <v>0</v>
      </c>
      <c r="T169" s="15">
        <v>612003</v>
      </c>
      <c r="U169" s="12" t="s">
        <v>57</v>
      </c>
      <c r="V169" s="15">
        <f t="shared" si="87"/>
        <v>1200</v>
      </c>
      <c r="W169" s="14">
        <f>VLOOKUP(T169,[1]stuff!$A:$C,3,FALSE)</f>
        <v>500</v>
      </c>
      <c r="X169" s="15"/>
      <c r="Y169" s="15"/>
      <c r="Z169" s="15"/>
      <c r="AA169" s="29"/>
      <c r="AB169">
        <f t="shared" si="88"/>
        <v>600000</v>
      </c>
      <c r="AC169">
        <f t="shared" si="75"/>
        <v>0</v>
      </c>
      <c r="AD169">
        <f t="shared" si="90"/>
        <v>0</v>
      </c>
    </row>
    <row r="170" spans="1:30" x14ac:dyDescent="0.15">
      <c r="A170" s="41">
        <f t="shared" si="86"/>
        <v>20125700</v>
      </c>
      <c r="B170" s="15">
        <v>0</v>
      </c>
      <c r="C170" s="43">
        <v>111002</v>
      </c>
      <c r="D170" s="12" t="s">
        <v>191</v>
      </c>
      <c r="E170" s="12">
        <v>0</v>
      </c>
      <c r="F170" s="15">
        <v>2</v>
      </c>
      <c r="G170" s="15">
        <v>0</v>
      </c>
      <c r="H170" s="14">
        <f>VLOOKUP(I170,[1]stuff2!$A:$C,3,FALSE)</f>
        <v>0</v>
      </c>
      <c r="I170" s="15">
        <v>201257</v>
      </c>
      <c r="J170" s="15" t="s">
        <v>174</v>
      </c>
      <c r="K170" s="15"/>
      <c r="L170" s="15">
        <f t="shared" si="89"/>
        <v>-1</v>
      </c>
      <c r="M170" s="23">
        <v>1</v>
      </c>
      <c r="N170" s="23">
        <v>0</v>
      </c>
      <c r="O170" s="24"/>
      <c r="P170" s="15">
        <v>410004</v>
      </c>
      <c r="Q170" s="15" t="s">
        <v>168</v>
      </c>
      <c r="R170" s="15">
        <v>1</v>
      </c>
      <c r="S170" s="14">
        <v>0</v>
      </c>
      <c r="T170" s="15">
        <v>612003</v>
      </c>
      <c r="U170" s="12" t="s">
        <v>57</v>
      </c>
      <c r="V170" s="15">
        <f t="shared" si="87"/>
        <v>1400</v>
      </c>
      <c r="W170" s="14">
        <f>VLOOKUP(T170,[1]stuff!$A:$C,3,FALSE)</f>
        <v>500</v>
      </c>
      <c r="X170" s="15"/>
      <c r="Y170" s="15"/>
      <c r="Z170" s="15"/>
      <c r="AA170" s="29"/>
      <c r="AB170">
        <f t="shared" si="88"/>
        <v>700000</v>
      </c>
      <c r="AC170">
        <f t="shared" si="75"/>
        <v>0</v>
      </c>
      <c r="AD170">
        <f t="shared" si="90"/>
        <v>0</v>
      </c>
    </row>
    <row r="171" spans="1:30" x14ac:dyDescent="0.15">
      <c r="A171" s="41">
        <f t="shared" si="86"/>
        <v>20125800</v>
      </c>
      <c r="B171" s="15">
        <v>0</v>
      </c>
      <c r="C171" s="43">
        <v>111002</v>
      </c>
      <c r="D171" s="12" t="s">
        <v>191</v>
      </c>
      <c r="E171" s="12">
        <v>0</v>
      </c>
      <c r="F171" s="15">
        <v>2</v>
      </c>
      <c r="G171" s="15">
        <v>0</v>
      </c>
      <c r="H171" s="14">
        <f>VLOOKUP(I171,[1]stuff2!$A:$C,3,FALSE)</f>
        <v>0</v>
      </c>
      <c r="I171" s="15">
        <v>201258</v>
      </c>
      <c r="J171" s="15" t="s">
        <v>175</v>
      </c>
      <c r="K171" s="15"/>
      <c r="L171" s="15">
        <f t="shared" si="89"/>
        <v>-1</v>
      </c>
      <c r="M171" s="23">
        <v>1</v>
      </c>
      <c r="N171" s="23">
        <v>0</v>
      </c>
      <c r="O171" s="24"/>
      <c r="P171" s="15">
        <v>410004</v>
      </c>
      <c r="Q171" s="15" t="s">
        <v>168</v>
      </c>
      <c r="R171" s="15">
        <v>1</v>
      </c>
      <c r="S171" s="14">
        <v>0</v>
      </c>
      <c r="T171" s="15">
        <v>612003</v>
      </c>
      <c r="U171" s="12" t="s">
        <v>57</v>
      </c>
      <c r="V171" s="15">
        <f t="shared" si="87"/>
        <v>1600</v>
      </c>
      <c r="W171" s="14">
        <f>VLOOKUP(T171,[1]stuff!$A:$C,3,FALSE)</f>
        <v>500</v>
      </c>
      <c r="X171" s="15"/>
      <c r="Y171" s="15"/>
      <c r="Z171" s="15"/>
      <c r="AA171" s="29"/>
      <c r="AB171">
        <f t="shared" si="88"/>
        <v>800000</v>
      </c>
      <c r="AC171">
        <f t="shared" si="75"/>
        <v>0</v>
      </c>
      <c r="AD171">
        <f t="shared" si="90"/>
        <v>0</v>
      </c>
    </row>
    <row r="172" spans="1:30" x14ac:dyDescent="0.15">
      <c r="A172" s="41">
        <f t="shared" si="86"/>
        <v>20125900</v>
      </c>
      <c r="B172" s="15">
        <v>0</v>
      </c>
      <c r="C172" s="43">
        <v>111002</v>
      </c>
      <c r="D172" s="12" t="s">
        <v>191</v>
      </c>
      <c r="E172" s="12">
        <v>0</v>
      </c>
      <c r="F172" s="15">
        <v>2</v>
      </c>
      <c r="G172" s="15">
        <v>0</v>
      </c>
      <c r="H172" s="14">
        <f>VLOOKUP(I172,[1]stuff2!$A:$C,3,FALSE)</f>
        <v>0</v>
      </c>
      <c r="I172" s="15">
        <v>201259</v>
      </c>
      <c r="J172" s="15" t="s">
        <v>176</v>
      </c>
      <c r="K172" s="15"/>
      <c r="L172" s="15">
        <f t="shared" si="89"/>
        <v>-1</v>
      </c>
      <c r="M172" s="23">
        <v>1</v>
      </c>
      <c r="N172" s="23">
        <v>0</v>
      </c>
      <c r="O172" s="24"/>
      <c r="P172" s="15">
        <v>410004</v>
      </c>
      <c r="Q172" s="15" t="s">
        <v>168</v>
      </c>
      <c r="R172" s="15">
        <v>1</v>
      </c>
      <c r="S172" s="14">
        <v>0</v>
      </c>
      <c r="T172" s="15">
        <v>612003</v>
      </c>
      <c r="U172" s="12" t="s">
        <v>57</v>
      </c>
      <c r="V172" s="15">
        <f t="shared" si="87"/>
        <v>1800</v>
      </c>
      <c r="W172" s="14">
        <f>VLOOKUP(T172,[1]stuff!$A:$C,3,FALSE)</f>
        <v>500</v>
      </c>
      <c r="X172" s="15"/>
      <c r="Y172" s="15"/>
      <c r="Z172" s="15"/>
      <c r="AA172" s="29"/>
      <c r="AB172" s="15">
        <f t="shared" si="88"/>
        <v>900000</v>
      </c>
      <c r="AC172">
        <f t="shared" si="75"/>
        <v>0</v>
      </c>
      <c r="AD172">
        <f t="shared" si="90"/>
        <v>0</v>
      </c>
    </row>
    <row r="173" spans="1:30" x14ac:dyDescent="0.15">
      <c r="A173" s="41">
        <f t="shared" si="86"/>
        <v>20126000</v>
      </c>
      <c r="B173" s="15">
        <v>0</v>
      </c>
      <c r="C173" s="43">
        <v>111002</v>
      </c>
      <c r="D173" s="12" t="s">
        <v>191</v>
      </c>
      <c r="E173" s="12">
        <v>0</v>
      </c>
      <c r="F173" s="15">
        <v>2</v>
      </c>
      <c r="G173" s="15">
        <v>0</v>
      </c>
      <c r="H173" s="14">
        <f>VLOOKUP(I173,[1]stuff2!$A:$C,3,FALSE)</f>
        <v>0</v>
      </c>
      <c r="I173" s="15">
        <v>201260</v>
      </c>
      <c r="J173" s="15" t="s">
        <v>177</v>
      </c>
      <c r="K173" s="15"/>
      <c r="L173" s="15">
        <f t="shared" si="89"/>
        <v>-1</v>
      </c>
      <c r="M173" s="23">
        <v>1</v>
      </c>
      <c r="N173" s="23">
        <v>0</v>
      </c>
      <c r="O173" s="24"/>
      <c r="P173" s="15">
        <v>410004</v>
      </c>
      <c r="Q173" s="15" t="s">
        <v>168</v>
      </c>
      <c r="R173" s="15">
        <v>1</v>
      </c>
      <c r="S173" s="14">
        <v>0</v>
      </c>
      <c r="T173" s="15">
        <v>612003</v>
      </c>
      <c r="U173" s="32" t="s">
        <v>57</v>
      </c>
      <c r="V173" s="15">
        <f t="shared" si="87"/>
        <v>2000</v>
      </c>
      <c r="W173" s="36">
        <f>VLOOKUP(T173,[1]stuff!$A:$C,3,FALSE)</f>
        <v>500</v>
      </c>
      <c r="X173" s="31"/>
      <c r="Y173" s="31"/>
      <c r="Z173" s="31"/>
      <c r="AA173" s="37"/>
      <c r="AB173" s="15">
        <f t="shared" si="88"/>
        <v>1000000</v>
      </c>
      <c r="AC173">
        <f t="shared" si="75"/>
        <v>0</v>
      </c>
      <c r="AD173">
        <f t="shared" si="90"/>
        <v>0</v>
      </c>
    </row>
    <row r="174" spans="1:30" x14ac:dyDescent="0.15">
      <c r="A174" s="41">
        <v>61000300</v>
      </c>
      <c r="B174" s="15">
        <v>0</v>
      </c>
      <c r="C174" s="43">
        <v>105028</v>
      </c>
      <c r="D174" s="15" t="s">
        <v>178</v>
      </c>
      <c r="E174" s="15">
        <v>0</v>
      </c>
      <c r="F174" s="15">
        <v>1</v>
      </c>
      <c r="G174" s="15">
        <v>3</v>
      </c>
      <c r="H174" s="14">
        <f>VLOOKUP(I174,[1]stuff!$A:$C,3,FALSE)</f>
        <v>5</v>
      </c>
      <c r="I174" s="15">
        <v>603001</v>
      </c>
      <c r="J174" s="15" t="s">
        <v>179</v>
      </c>
      <c r="K174" s="15">
        <f>(AC174-AB174)/AB174</f>
        <v>0.25</v>
      </c>
      <c r="L174" s="15">
        <f t="shared" si="89"/>
        <v>0.2475</v>
      </c>
      <c r="M174" s="23">
        <v>50</v>
      </c>
      <c r="N174" s="23">
        <v>0</v>
      </c>
      <c r="O174" s="24"/>
      <c r="P174" s="15">
        <v>616001</v>
      </c>
      <c r="Q174" s="38" t="s">
        <v>215</v>
      </c>
      <c r="R174" s="15">
        <v>100</v>
      </c>
      <c r="S174" s="14">
        <f>VLOOKUP(P174,[1]stuff!$A:$C,3,FALSE)</f>
        <v>2</v>
      </c>
      <c r="T174" s="15"/>
      <c r="U174" s="15"/>
      <c r="V174" s="15"/>
      <c r="W174" s="29"/>
      <c r="X174" s="15"/>
      <c r="Y174" s="15"/>
      <c r="Z174" s="15"/>
      <c r="AA174" s="29"/>
      <c r="AB174" s="15">
        <f t="shared" si="88"/>
        <v>200</v>
      </c>
      <c r="AC174" s="15">
        <f>H174*M174</f>
        <v>250</v>
      </c>
      <c r="AD174">
        <f t="shared" si="90"/>
        <v>0.5</v>
      </c>
    </row>
    <row r="175" spans="1:30" x14ac:dyDescent="0.15">
      <c r="A175" s="41">
        <v>61000301</v>
      </c>
      <c r="B175" s="15">
        <v>0</v>
      </c>
      <c r="C175" s="43">
        <v>105028</v>
      </c>
      <c r="D175" s="15" t="s">
        <v>178</v>
      </c>
      <c r="E175" s="15">
        <v>1</v>
      </c>
      <c r="F175" s="15">
        <v>1</v>
      </c>
      <c r="G175" s="15">
        <v>5</v>
      </c>
      <c r="H175" s="14">
        <f>VLOOKUP(I175,[1]stuff!$A:$C,3,FALSE)</f>
        <v>100</v>
      </c>
      <c r="I175" s="15">
        <v>603002</v>
      </c>
      <c r="J175" s="15" t="s">
        <v>180</v>
      </c>
      <c r="K175" s="15">
        <f t="shared" ref="K175:K208" si="91">(AC175-AB175)/AB175</f>
        <v>0.25</v>
      </c>
      <c r="L175" s="15">
        <f t="shared" si="89"/>
        <v>0.23958333333333334</v>
      </c>
      <c r="M175" s="23">
        <v>1</v>
      </c>
      <c r="N175" s="23">
        <v>0</v>
      </c>
      <c r="O175" s="24"/>
      <c r="P175" s="15">
        <v>616002</v>
      </c>
      <c r="Q175" s="15" t="s">
        <v>183</v>
      </c>
      <c r="R175" s="15">
        <v>40</v>
      </c>
      <c r="S175" s="14">
        <f>VLOOKUP(P175,[1]stuff!$A:$C,3,FALSE)</f>
        <v>2</v>
      </c>
      <c r="T175" s="15"/>
      <c r="U175" s="15"/>
      <c r="V175" s="15"/>
      <c r="W175" s="29"/>
      <c r="X175" s="15"/>
      <c r="Y175" s="15"/>
      <c r="Z175" s="15"/>
      <c r="AA175" s="29"/>
      <c r="AB175" s="15">
        <f t="shared" si="88"/>
        <v>80</v>
      </c>
      <c r="AC175" s="15">
        <f>H175*M175</f>
        <v>100</v>
      </c>
      <c r="AD175">
        <f t="shared" si="90"/>
        <v>0.83333333333333337</v>
      </c>
    </row>
    <row r="176" spans="1:30" x14ac:dyDescent="0.15">
      <c r="A176" s="41">
        <v>61000302</v>
      </c>
      <c r="B176" s="15">
        <v>0</v>
      </c>
      <c r="C176" s="43">
        <v>105028</v>
      </c>
      <c r="D176" s="15" t="s">
        <v>178</v>
      </c>
      <c r="E176" s="15">
        <v>1</v>
      </c>
      <c r="F176" s="15">
        <v>1</v>
      </c>
      <c r="G176" s="15">
        <v>5</v>
      </c>
      <c r="H176" s="14">
        <f>VLOOKUP(I176,[1]stuff!$A:$C,3,FALSE)</f>
        <v>100</v>
      </c>
      <c r="I176" s="15">
        <v>603003</v>
      </c>
      <c r="J176" s="15" t="s">
        <v>181</v>
      </c>
      <c r="K176" s="15">
        <f t="shared" si="91"/>
        <v>0.25</v>
      </c>
      <c r="L176" s="15">
        <f t="shared" si="89"/>
        <v>0.23958333333333334</v>
      </c>
      <c r="M176" s="23">
        <v>1</v>
      </c>
      <c r="N176" s="23">
        <v>0</v>
      </c>
      <c r="O176" s="24"/>
      <c r="P176" s="15">
        <v>616003</v>
      </c>
      <c r="Q176" s="15" t="s">
        <v>184</v>
      </c>
      <c r="R176" s="15">
        <v>40</v>
      </c>
      <c r="S176" s="14">
        <f>VLOOKUP(P176,[1]stuff!$A:$C,3,FALSE)</f>
        <v>2</v>
      </c>
      <c r="T176" s="15"/>
      <c r="U176" s="15"/>
      <c r="V176" s="15"/>
      <c r="W176" s="29"/>
      <c r="X176" s="15"/>
      <c r="Y176" s="15"/>
      <c r="Z176" s="15"/>
      <c r="AA176" s="29"/>
      <c r="AB176" s="15">
        <f t="shared" si="88"/>
        <v>80</v>
      </c>
      <c r="AC176" s="15">
        <f>H176*M176</f>
        <v>100</v>
      </c>
      <c r="AD176">
        <f t="shared" si="90"/>
        <v>0.83333333333333337</v>
      </c>
    </row>
    <row r="177" spans="1:30" x14ac:dyDescent="0.15">
      <c r="A177" s="41">
        <v>61000303</v>
      </c>
      <c r="B177" s="15">
        <v>0</v>
      </c>
      <c r="C177" s="43">
        <v>105028</v>
      </c>
      <c r="D177" s="12" t="s">
        <v>178</v>
      </c>
      <c r="E177" s="15">
        <v>1</v>
      </c>
      <c r="F177" s="15">
        <v>1</v>
      </c>
      <c r="G177" s="15">
        <v>5</v>
      </c>
      <c r="H177" s="14">
        <f>VLOOKUP(I177,[1]stuff!$A:$C,3,FALSE)</f>
        <v>100</v>
      </c>
      <c r="I177" s="15">
        <v>603004</v>
      </c>
      <c r="J177" s="15" t="s">
        <v>182</v>
      </c>
      <c r="K177" s="15">
        <f t="shared" si="91"/>
        <v>0.25</v>
      </c>
      <c r="L177" s="15">
        <f t="shared" si="89"/>
        <v>0.23958333333333334</v>
      </c>
      <c r="M177" s="23">
        <v>1</v>
      </c>
      <c r="N177" s="23">
        <v>0</v>
      </c>
      <c r="O177" s="24"/>
      <c r="P177" s="15">
        <v>616004</v>
      </c>
      <c r="Q177" s="15" t="s">
        <v>185</v>
      </c>
      <c r="R177" s="15">
        <v>40</v>
      </c>
      <c r="S177" s="14">
        <f>VLOOKUP(P177,[1]stuff!$A:$C,3,FALSE)</f>
        <v>2</v>
      </c>
      <c r="T177" s="15"/>
      <c r="U177" s="15"/>
      <c r="V177" s="15"/>
      <c r="W177" s="29"/>
      <c r="X177" s="15"/>
      <c r="Y177" s="15"/>
      <c r="Z177" s="15"/>
      <c r="AA177" s="29"/>
      <c r="AB177" s="15">
        <f t="shared" ref="AB177" si="92">R177*S177+V177*W177+Z177*AA177</f>
        <v>80</v>
      </c>
      <c r="AC177" s="15">
        <f>H177*M177</f>
        <v>100</v>
      </c>
      <c r="AD177">
        <f t="shared" si="90"/>
        <v>0.83333333333333337</v>
      </c>
    </row>
    <row r="178" spans="1:30" x14ac:dyDescent="0.15">
      <c r="A178" s="41">
        <v>60800100</v>
      </c>
      <c r="B178" s="15">
        <v>0</v>
      </c>
      <c r="C178" s="43">
        <v>105028</v>
      </c>
      <c r="D178" s="15" t="s">
        <v>178</v>
      </c>
      <c r="E178" s="15">
        <v>0</v>
      </c>
      <c r="F178" s="15">
        <v>1</v>
      </c>
      <c r="G178" s="15">
        <v>8</v>
      </c>
      <c r="H178" s="14">
        <f>VLOOKUP(I178,[1]stuff!$A:$C,3,FALSE)</f>
        <v>1000</v>
      </c>
      <c r="I178" s="15">
        <v>608001</v>
      </c>
      <c r="J178" s="15" t="s">
        <v>195</v>
      </c>
      <c r="K178" s="15">
        <f t="shared" si="91"/>
        <v>0.25</v>
      </c>
      <c r="L178" s="15">
        <f t="shared" si="89"/>
        <v>0.24833333333333332</v>
      </c>
      <c r="M178" s="23">
        <v>1</v>
      </c>
      <c r="N178" s="23">
        <v>0</v>
      </c>
      <c r="O178" s="24"/>
      <c r="P178" s="15">
        <v>616005</v>
      </c>
      <c r="Q178" s="15" t="s">
        <v>196</v>
      </c>
      <c r="R178" s="15">
        <v>400</v>
      </c>
      <c r="S178" s="14">
        <f>VLOOKUP(P178,[1]stuff!$A:$C,3,FALSE)</f>
        <v>2</v>
      </c>
      <c r="T178" s="15"/>
      <c r="U178" s="15"/>
      <c r="V178" s="15"/>
      <c r="W178" s="29"/>
      <c r="X178" s="15"/>
      <c r="Y178" s="15"/>
      <c r="Z178" s="15"/>
      <c r="AA178" s="29"/>
      <c r="AB178" s="15">
        <f t="shared" ref="AB178:AB208" si="93">R178*S178+V178*W178+Z178*AA178</f>
        <v>800</v>
      </c>
      <c r="AC178" s="15">
        <f t="shared" ref="AC178:AC208" si="94">H178*M178</f>
        <v>1000</v>
      </c>
      <c r="AD178">
        <f t="shared" si="90"/>
        <v>1.3333333333333333</v>
      </c>
    </row>
    <row r="179" spans="1:30" x14ac:dyDescent="0.15">
      <c r="A179" s="41">
        <v>60700100</v>
      </c>
      <c r="B179" s="15">
        <v>0</v>
      </c>
      <c r="C179" s="43">
        <v>105028</v>
      </c>
      <c r="D179" s="12" t="s">
        <v>178</v>
      </c>
      <c r="E179" s="15">
        <v>0</v>
      </c>
      <c r="F179" s="15">
        <v>1</v>
      </c>
      <c r="G179" s="15">
        <v>10</v>
      </c>
      <c r="H179" s="14">
        <f>VLOOKUP(I179,[1]stuff!$A:$C,3,FALSE)</f>
        <v>100</v>
      </c>
      <c r="I179" s="15">
        <v>607001</v>
      </c>
      <c r="J179" s="15" t="s">
        <v>198</v>
      </c>
      <c r="K179" s="15">
        <f t="shared" si="91"/>
        <v>0.25</v>
      </c>
      <c r="L179" s="15">
        <f t="shared" si="89"/>
        <v>0.24791666666666667</v>
      </c>
      <c r="M179" s="23">
        <v>10</v>
      </c>
      <c r="N179" s="23">
        <v>0</v>
      </c>
      <c r="O179" s="24"/>
      <c r="P179" s="15">
        <v>616006</v>
      </c>
      <c r="Q179" s="15" t="s">
        <v>197</v>
      </c>
      <c r="R179" s="15">
        <v>400</v>
      </c>
      <c r="S179" s="14">
        <f>VLOOKUP(P179,[1]stuff!$A:$C,3,FALSE)</f>
        <v>2</v>
      </c>
      <c r="T179" s="15"/>
      <c r="U179" s="15"/>
      <c r="V179" s="15"/>
      <c r="W179" s="29"/>
      <c r="X179" s="15"/>
      <c r="Y179" s="15"/>
      <c r="Z179" s="15"/>
      <c r="AA179" s="29"/>
      <c r="AB179" s="15">
        <f t="shared" si="93"/>
        <v>800</v>
      </c>
      <c r="AC179" s="15">
        <f t="shared" si="94"/>
        <v>1000</v>
      </c>
      <c r="AD179">
        <f t="shared" si="90"/>
        <v>1.6666666666666667</v>
      </c>
    </row>
    <row r="180" spans="1:30" x14ac:dyDescent="0.15">
      <c r="A180" s="41">
        <v>60700101</v>
      </c>
      <c r="B180" s="15">
        <v>0</v>
      </c>
      <c r="C180" s="43">
        <v>105028</v>
      </c>
      <c r="D180" s="12" t="s">
        <v>178</v>
      </c>
      <c r="E180" s="12">
        <v>0</v>
      </c>
      <c r="F180" s="15">
        <v>1</v>
      </c>
      <c r="G180" s="15">
        <v>10</v>
      </c>
      <c r="H180" s="14">
        <f>VLOOKUP(I180,[1]stuff!$A:$C,3,FALSE)</f>
        <v>100</v>
      </c>
      <c r="I180" s="15">
        <v>607001</v>
      </c>
      <c r="J180" s="12" t="s">
        <v>244</v>
      </c>
      <c r="K180" s="26">
        <f>(AC180-AB180)/AB180</f>
        <v>-1.9607843137254902E-2</v>
      </c>
      <c r="L180" s="15">
        <f>(AC180-AB180-AD180)/AB180</f>
        <v>-2.1241830065359478E-2</v>
      </c>
      <c r="M180" s="23">
        <v>10</v>
      </c>
      <c r="N180" s="23">
        <v>0</v>
      </c>
      <c r="O180" s="24"/>
      <c r="P180" s="15">
        <v>618001</v>
      </c>
      <c r="Q180" s="12" t="s">
        <v>243</v>
      </c>
      <c r="R180" s="12">
        <v>1020</v>
      </c>
      <c r="S180" s="14">
        <f>VLOOKUP(P180,[1]stuff!$A:$C,3,FALSE)</f>
        <v>1</v>
      </c>
      <c r="T180" s="15"/>
      <c r="U180" s="12"/>
      <c r="V180" s="15"/>
      <c r="W180" s="14"/>
      <c r="X180" s="15"/>
      <c r="Y180" s="12"/>
      <c r="Z180" s="15"/>
      <c r="AA180" s="29"/>
      <c r="AB180">
        <f>R180*S180+V180*W180+Z180*AA180</f>
        <v>1020</v>
      </c>
      <c r="AC180">
        <f>H180*M180</f>
        <v>1000</v>
      </c>
      <c r="AD180">
        <f>G180/6</f>
        <v>1.6666666666666667</v>
      </c>
    </row>
    <row r="181" spans="1:30" x14ac:dyDescent="0.15">
      <c r="A181" s="41">
        <f t="shared" ref="A181" si="95">I181*100</f>
        <v>61800100</v>
      </c>
      <c r="B181" s="15">
        <v>0</v>
      </c>
      <c r="C181" s="43">
        <v>105028</v>
      </c>
      <c r="D181" s="12" t="s">
        <v>178</v>
      </c>
      <c r="E181" s="12">
        <v>0</v>
      </c>
      <c r="F181" s="15">
        <v>1</v>
      </c>
      <c r="G181" s="15">
        <v>10</v>
      </c>
      <c r="H181" s="14">
        <f>VLOOKUP(I181,[1]stuff!$A:$C,3,FALSE)</f>
        <v>1</v>
      </c>
      <c r="I181" s="15">
        <v>618001</v>
      </c>
      <c r="J181" s="12" t="s">
        <v>243</v>
      </c>
      <c r="K181" s="26">
        <f>(AC181-AB181)/AB181</f>
        <v>-0.01</v>
      </c>
      <c r="L181" s="15">
        <f>(AC181-AB181-AD181)/AB181</f>
        <v>-1.1666666666666665E-2</v>
      </c>
      <c r="M181" s="23">
        <v>990</v>
      </c>
      <c r="N181" s="23">
        <v>0</v>
      </c>
      <c r="O181" s="24"/>
      <c r="P181" s="15">
        <v>607001</v>
      </c>
      <c r="Q181" s="12" t="s">
        <v>244</v>
      </c>
      <c r="R181" s="12">
        <v>10</v>
      </c>
      <c r="S181" s="14">
        <f>VLOOKUP(P181,[1]stuff!$A:$C,3,FALSE)</f>
        <v>100</v>
      </c>
      <c r="T181" s="15"/>
      <c r="U181" s="12"/>
      <c r="V181" s="15"/>
      <c r="W181" s="14"/>
      <c r="X181" s="15"/>
      <c r="Y181" s="12"/>
      <c r="Z181" s="15"/>
      <c r="AA181" s="29"/>
      <c r="AB181">
        <f t="shared" ref="AB181" si="96">R181*S181+V181*W181+Z181*AA181</f>
        <v>1000</v>
      </c>
      <c r="AC181">
        <f t="shared" ref="AC181" si="97">H181*M181</f>
        <v>990</v>
      </c>
      <c r="AD181">
        <f t="shared" ref="AD181" si="98">G181/6</f>
        <v>1.6666666666666667</v>
      </c>
    </row>
    <row r="182" spans="1:30" x14ac:dyDescent="0.15">
      <c r="A182" s="41">
        <f>I182*100</f>
        <v>41700100</v>
      </c>
      <c r="B182" s="15">
        <v>0</v>
      </c>
      <c r="C182" s="43">
        <v>0</v>
      </c>
      <c r="D182" s="12" t="s">
        <v>187</v>
      </c>
      <c r="E182" s="15">
        <v>0</v>
      </c>
      <c r="F182" s="15">
        <v>0</v>
      </c>
      <c r="G182" s="15">
        <v>0</v>
      </c>
      <c r="H182" s="14">
        <f>VLOOKUP(I182,[1]stuff!$A:$C,3,FALSE)</f>
        <v>5</v>
      </c>
      <c r="I182" s="15">
        <v>417001</v>
      </c>
      <c r="J182" s="15"/>
      <c r="K182" s="15">
        <f t="shared" si="91"/>
        <v>0</v>
      </c>
      <c r="L182" s="15">
        <f t="shared" si="89"/>
        <v>0</v>
      </c>
      <c r="M182" s="23">
        <v>1</v>
      </c>
      <c r="N182" s="23">
        <v>0</v>
      </c>
      <c r="O182" s="24"/>
      <c r="P182" s="12">
        <v>604001</v>
      </c>
      <c r="Q182" s="12" t="s">
        <v>40</v>
      </c>
      <c r="R182" s="12">
        <v>1</v>
      </c>
      <c r="S182" s="14"/>
      <c r="T182" s="15">
        <v>603001</v>
      </c>
      <c r="U182" s="12" t="s">
        <v>179</v>
      </c>
      <c r="V182" s="15">
        <v>1</v>
      </c>
      <c r="W182" s="14">
        <f>VLOOKUP(T182,[1]stuff!$A:$C,3,FALSE)</f>
        <v>5</v>
      </c>
      <c r="X182" s="15"/>
      <c r="Y182" s="12"/>
      <c r="Z182" s="15"/>
      <c r="AA182" s="29"/>
      <c r="AB182" s="15">
        <f t="shared" si="93"/>
        <v>5</v>
      </c>
      <c r="AC182" s="15">
        <f t="shared" si="94"/>
        <v>5</v>
      </c>
      <c r="AD182">
        <f t="shared" si="90"/>
        <v>0</v>
      </c>
    </row>
    <row r="183" spans="1:30" x14ac:dyDescent="0.15">
      <c r="A183" s="41">
        <f t="shared" ref="A183:A208" si="99">I183*100</f>
        <v>41700200</v>
      </c>
      <c r="B183" s="15">
        <v>0</v>
      </c>
      <c r="C183" s="43">
        <v>0</v>
      </c>
      <c r="D183" s="12" t="s">
        <v>187</v>
      </c>
      <c r="E183" s="15">
        <v>0</v>
      </c>
      <c r="F183" s="15">
        <v>0</v>
      </c>
      <c r="G183" s="15">
        <v>0</v>
      </c>
      <c r="H183" s="14">
        <f>VLOOKUP(I183,[1]stuff!$A:$C,3,FALSE)</f>
        <v>10</v>
      </c>
      <c r="I183" s="15">
        <v>417002</v>
      </c>
      <c r="J183" s="15"/>
      <c r="K183" s="15">
        <f t="shared" si="91"/>
        <v>0</v>
      </c>
      <c r="L183" s="15">
        <f t="shared" si="89"/>
        <v>0</v>
      </c>
      <c r="M183" s="23">
        <v>1</v>
      </c>
      <c r="N183" s="23">
        <v>0</v>
      </c>
      <c r="O183" s="24"/>
      <c r="P183" s="12">
        <v>604001</v>
      </c>
      <c r="Q183" s="12" t="s">
        <v>40</v>
      </c>
      <c r="R183" s="12">
        <v>3</v>
      </c>
      <c r="S183" s="14"/>
      <c r="T183" s="15">
        <v>603001</v>
      </c>
      <c r="U183" s="12" t="s">
        <v>179</v>
      </c>
      <c r="V183" s="15">
        <v>2</v>
      </c>
      <c r="W183" s="14">
        <f>VLOOKUP(T183,[1]stuff!$A:$C,3,FALSE)</f>
        <v>5</v>
      </c>
      <c r="X183" s="15"/>
      <c r="Y183" s="12"/>
      <c r="Z183" s="15"/>
      <c r="AA183" s="14"/>
      <c r="AB183" s="15">
        <f t="shared" si="93"/>
        <v>10</v>
      </c>
      <c r="AC183" s="15">
        <f t="shared" si="94"/>
        <v>10</v>
      </c>
      <c r="AD183">
        <f t="shared" si="90"/>
        <v>0</v>
      </c>
    </row>
    <row r="184" spans="1:30" x14ac:dyDescent="0.15">
      <c r="A184" s="41">
        <f t="shared" si="99"/>
        <v>41700300</v>
      </c>
      <c r="B184" s="15">
        <v>0</v>
      </c>
      <c r="C184" s="43">
        <v>0</v>
      </c>
      <c r="D184" s="12" t="s">
        <v>187</v>
      </c>
      <c r="E184" s="15">
        <v>0</v>
      </c>
      <c r="F184" s="15">
        <v>0</v>
      </c>
      <c r="G184" s="15">
        <v>0</v>
      </c>
      <c r="H184" s="14">
        <f>VLOOKUP(I184,[1]stuff!$A:$C,3,FALSE)</f>
        <v>15</v>
      </c>
      <c r="I184" s="15">
        <v>417003</v>
      </c>
      <c r="J184" s="15"/>
      <c r="K184" s="15">
        <f t="shared" si="91"/>
        <v>0</v>
      </c>
      <c r="L184" s="15">
        <f t="shared" si="89"/>
        <v>0</v>
      </c>
      <c r="M184" s="23">
        <v>1</v>
      </c>
      <c r="N184" s="23">
        <v>0</v>
      </c>
      <c r="O184" s="24"/>
      <c r="P184" s="12">
        <v>604001</v>
      </c>
      <c r="Q184" s="12" t="s">
        <v>40</v>
      </c>
      <c r="R184" s="15">
        <v>6</v>
      </c>
      <c r="S184" s="14"/>
      <c r="T184" s="15">
        <v>603001</v>
      </c>
      <c r="U184" s="12" t="s">
        <v>179</v>
      </c>
      <c r="V184" s="15">
        <v>3</v>
      </c>
      <c r="W184" s="14">
        <f>VLOOKUP(T184,[1]stuff!$A:$C,3,FALSE)</f>
        <v>5</v>
      </c>
      <c r="X184" s="15"/>
      <c r="Y184" s="12"/>
      <c r="Z184" s="15"/>
      <c r="AA184" s="14"/>
      <c r="AB184" s="15">
        <f t="shared" si="93"/>
        <v>15</v>
      </c>
      <c r="AC184" s="15">
        <f t="shared" si="94"/>
        <v>15</v>
      </c>
      <c r="AD184">
        <f t="shared" si="90"/>
        <v>0</v>
      </c>
    </row>
    <row r="185" spans="1:30" x14ac:dyDescent="0.15">
      <c r="A185" s="41">
        <f t="shared" si="99"/>
        <v>41700400</v>
      </c>
      <c r="B185" s="15">
        <v>0</v>
      </c>
      <c r="C185" s="43">
        <v>0</v>
      </c>
      <c r="D185" s="12" t="s">
        <v>187</v>
      </c>
      <c r="E185" s="15">
        <v>0</v>
      </c>
      <c r="F185" s="15">
        <v>0</v>
      </c>
      <c r="G185" s="15">
        <v>0</v>
      </c>
      <c r="H185" s="14">
        <f>VLOOKUP(I185,[1]stuff!$A:$C,3,FALSE)</f>
        <v>20</v>
      </c>
      <c r="I185" s="15">
        <v>417004</v>
      </c>
      <c r="J185" s="15"/>
      <c r="K185" s="15">
        <f t="shared" si="91"/>
        <v>0</v>
      </c>
      <c r="L185" s="15">
        <f t="shared" si="89"/>
        <v>0</v>
      </c>
      <c r="M185" s="23">
        <v>1</v>
      </c>
      <c r="N185" s="23">
        <v>0</v>
      </c>
      <c r="O185" s="24"/>
      <c r="P185" s="12">
        <v>604001</v>
      </c>
      <c r="Q185" s="12" t="s">
        <v>40</v>
      </c>
      <c r="R185" s="15">
        <v>15</v>
      </c>
      <c r="S185" s="14"/>
      <c r="T185" s="15">
        <v>603001</v>
      </c>
      <c r="U185" s="12" t="s">
        <v>179</v>
      </c>
      <c r="V185" s="15">
        <v>4</v>
      </c>
      <c r="W185" s="14">
        <f>VLOOKUP(T185,[1]stuff!$A:$C,3,FALSE)</f>
        <v>5</v>
      </c>
      <c r="X185" s="15"/>
      <c r="Y185" s="12"/>
      <c r="Z185" s="15"/>
      <c r="AA185" s="14"/>
      <c r="AB185" s="15">
        <f t="shared" si="93"/>
        <v>20</v>
      </c>
      <c r="AC185" s="15">
        <f t="shared" si="94"/>
        <v>20</v>
      </c>
      <c r="AD185">
        <f t="shared" si="90"/>
        <v>0</v>
      </c>
    </row>
    <row r="186" spans="1:30" x14ac:dyDescent="0.15">
      <c r="A186" s="41">
        <f t="shared" si="99"/>
        <v>41700500</v>
      </c>
      <c r="B186" s="15">
        <v>0</v>
      </c>
      <c r="C186" s="43">
        <v>0</v>
      </c>
      <c r="D186" s="12" t="s">
        <v>187</v>
      </c>
      <c r="E186" s="15">
        <v>0</v>
      </c>
      <c r="F186" s="15">
        <v>0</v>
      </c>
      <c r="G186" s="15">
        <v>0</v>
      </c>
      <c r="H186" s="14">
        <f>VLOOKUP(I186,[1]stuff!$A:$C,3,FALSE)</f>
        <v>600</v>
      </c>
      <c r="I186" s="15">
        <v>417005</v>
      </c>
      <c r="J186" s="15"/>
      <c r="K186" s="15">
        <f t="shared" si="91"/>
        <v>0</v>
      </c>
      <c r="L186" s="15">
        <f t="shared" si="89"/>
        <v>0</v>
      </c>
      <c r="M186" s="23">
        <v>1</v>
      </c>
      <c r="N186" s="23">
        <v>0</v>
      </c>
      <c r="O186" s="24"/>
      <c r="P186" s="15">
        <v>417004</v>
      </c>
      <c r="Q186" s="26" t="s">
        <v>188</v>
      </c>
      <c r="R186" s="15">
        <v>1</v>
      </c>
      <c r="S186" s="14"/>
      <c r="T186" s="15">
        <v>612001</v>
      </c>
      <c r="U186" s="12" t="s">
        <v>53</v>
      </c>
      <c r="V186" s="15">
        <v>1</v>
      </c>
      <c r="W186" s="14">
        <f>VLOOKUP(T186,[1]stuff!$A:$C,3,FALSE)</f>
        <v>500</v>
      </c>
      <c r="X186" s="15">
        <v>603003</v>
      </c>
      <c r="Y186" s="15" t="s">
        <v>181</v>
      </c>
      <c r="Z186" s="15">
        <v>1</v>
      </c>
      <c r="AA186" s="14">
        <f>VLOOKUP(X186,[1]stuff!$A:$C,3,FALSE)</f>
        <v>100</v>
      </c>
      <c r="AB186" s="15">
        <f t="shared" si="93"/>
        <v>600</v>
      </c>
      <c r="AC186" s="15">
        <f t="shared" si="94"/>
        <v>600</v>
      </c>
      <c r="AD186">
        <f t="shared" si="90"/>
        <v>0</v>
      </c>
    </row>
    <row r="187" spans="1:30" x14ac:dyDescent="0.15">
      <c r="A187" s="41">
        <f t="shared" si="99"/>
        <v>41700600</v>
      </c>
      <c r="B187" s="15">
        <v>0</v>
      </c>
      <c r="C187" s="43">
        <v>0</v>
      </c>
      <c r="D187" s="12" t="s">
        <v>187</v>
      </c>
      <c r="E187" s="15">
        <v>0</v>
      </c>
      <c r="F187" s="15">
        <v>0</v>
      </c>
      <c r="G187" s="15">
        <v>0</v>
      </c>
      <c r="H187" s="14">
        <f>VLOOKUP(I187,[1]stuff!$A:$C,3,FALSE)</f>
        <v>1800</v>
      </c>
      <c r="I187" s="15">
        <v>417006</v>
      </c>
      <c r="J187" s="15"/>
      <c r="K187" s="15">
        <f t="shared" si="91"/>
        <v>0</v>
      </c>
      <c r="L187" s="15">
        <f t="shared" si="89"/>
        <v>0</v>
      </c>
      <c r="M187" s="23">
        <v>1</v>
      </c>
      <c r="N187" s="23">
        <v>0</v>
      </c>
      <c r="O187" s="24"/>
      <c r="P187" s="15">
        <v>417004</v>
      </c>
      <c r="Q187" s="26" t="s">
        <v>188</v>
      </c>
      <c r="R187" s="15">
        <v>1</v>
      </c>
      <c r="S187" s="14"/>
      <c r="T187" s="15">
        <v>612001</v>
      </c>
      <c r="U187" s="12" t="s">
        <v>53</v>
      </c>
      <c r="V187" s="15">
        <v>3</v>
      </c>
      <c r="W187" s="14">
        <f>VLOOKUP(T187,[1]stuff!$A:$C,3,FALSE)</f>
        <v>500</v>
      </c>
      <c r="X187" s="15">
        <v>603003</v>
      </c>
      <c r="Y187" s="15" t="s">
        <v>181</v>
      </c>
      <c r="Z187" s="15">
        <v>3</v>
      </c>
      <c r="AA187" s="14">
        <f>VLOOKUP(X187,[1]stuff!$A:$C,3,FALSE)</f>
        <v>100</v>
      </c>
      <c r="AB187" s="15">
        <f t="shared" si="93"/>
        <v>1800</v>
      </c>
      <c r="AC187" s="15">
        <f t="shared" si="94"/>
        <v>1800</v>
      </c>
      <c r="AD187">
        <f t="shared" si="90"/>
        <v>0</v>
      </c>
    </row>
    <row r="188" spans="1:30" x14ac:dyDescent="0.15">
      <c r="A188" s="41">
        <f t="shared" si="99"/>
        <v>41700700</v>
      </c>
      <c r="B188" s="15">
        <v>0</v>
      </c>
      <c r="C188" s="43">
        <v>0</v>
      </c>
      <c r="D188" s="12" t="s">
        <v>187</v>
      </c>
      <c r="E188" s="15">
        <v>0</v>
      </c>
      <c r="F188" s="15">
        <v>0</v>
      </c>
      <c r="G188" s="15">
        <v>0</v>
      </c>
      <c r="H188" s="14">
        <f>VLOOKUP(I188,[1]stuff!$A:$C,3,FALSE)</f>
        <v>6000</v>
      </c>
      <c r="I188" s="15">
        <v>417007</v>
      </c>
      <c r="J188" s="15"/>
      <c r="K188" s="15">
        <f t="shared" si="91"/>
        <v>0</v>
      </c>
      <c r="L188" s="15">
        <f t="shared" si="89"/>
        <v>0</v>
      </c>
      <c r="M188" s="23">
        <v>1</v>
      </c>
      <c r="N188" s="23">
        <v>0</v>
      </c>
      <c r="O188" s="24"/>
      <c r="P188" s="15">
        <v>417004</v>
      </c>
      <c r="Q188" s="26" t="s">
        <v>188</v>
      </c>
      <c r="R188" s="15">
        <v>1</v>
      </c>
      <c r="S188" s="14"/>
      <c r="T188" s="15">
        <v>612001</v>
      </c>
      <c r="U188" s="12" t="s">
        <v>53</v>
      </c>
      <c r="V188" s="15">
        <v>10</v>
      </c>
      <c r="W188" s="14">
        <f>VLOOKUP(T188,[1]stuff!$A:$C,3,FALSE)</f>
        <v>500</v>
      </c>
      <c r="X188" s="15">
        <v>603003</v>
      </c>
      <c r="Y188" s="15" t="s">
        <v>181</v>
      </c>
      <c r="Z188" s="15">
        <v>10</v>
      </c>
      <c r="AA188" s="14">
        <f>VLOOKUP(X188,[1]stuff!$A:$C,3,FALSE)</f>
        <v>100</v>
      </c>
      <c r="AB188" s="15">
        <f t="shared" si="93"/>
        <v>6000</v>
      </c>
      <c r="AC188" s="15">
        <f t="shared" si="94"/>
        <v>6000</v>
      </c>
      <c r="AD188">
        <f t="shared" si="90"/>
        <v>0</v>
      </c>
    </row>
    <row r="189" spans="1:30" x14ac:dyDescent="0.15">
      <c r="A189" s="41">
        <f t="shared" si="99"/>
        <v>41700800</v>
      </c>
      <c r="B189" s="15">
        <v>0</v>
      </c>
      <c r="C189" s="43">
        <v>0</v>
      </c>
      <c r="D189" s="12" t="s">
        <v>187</v>
      </c>
      <c r="E189" s="15">
        <v>0</v>
      </c>
      <c r="F189" s="15">
        <v>0</v>
      </c>
      <c r="G189" s="15">
        <v>0</v>
      </c>
      <c r="H189" s="14">
        <f>VLOOKUP(I189,[1]stuff!$A:$C,3,FALSE)</f>
        <v>15000</v>
      </c>
      <c r="I189" s="15">
        <v>417008</v>
      </c>
      <c r="J189" s="15"/>
      <c r="K189" s="15">
        <f t="shared" si="91"/>
        <v>0</v>
      </c>
      <c r="L189" s="15">
        <f t="shared" si="89"/>
        <v>0</v>
      </c>
      <c r="M189" s="23">
        <v>1</v>
      </c>
      <c r="N189" s="23">
        <v>0</v>
      </c>
      <c r="O189" s="24"/>
      <c r="P189" s="15">
        <v>417004</v>
      </c>
      <c r="Q189" s="26" t="s">
        <v>188</v>
      </c>
      <c r="R189" s="15">
        <v>1</v>
      </c>
      <c r="S189" s="14"/>
      <c r="T189" s="15">
        <v>612001</v>
      </c>
      <c r="U189" s="12" t="s">
        <v>53</v>
      </c>
      <c r="V189" s="15">
        <v>25</v>
      </c>
      <c r="W189" s="14">
        <f>VLOOKUP(T189,[1]stuff!$A:$C,3,FALSE)</f>
        <v>500</v>
      </c>
      <c r="X189" s="15">
        <v>603003</v>
      </c>
      <c r="Y189" s="15" t="s">
        <v>181</v>
      </c>
      <c r="Z189" s="15">
        <v>25</v>
      </c>
      <c r="AA189" s="14">
        <f>VLOOKUP(X189,[1]stuff!$A:$C,3,FALSE)</f>
        <v>100</v>
      </c>
      <c r="AB189" s="15">
        <f t="shared" si="93"/>
        <v>15000</v>
      </c>
      <c r="AC189" s="15">
        <f t="shared" si="94"/>
        <v>15000</v>
      </c>
      <c r="AD189">
        <f t="shared" si="90"/>
        <v>0</v>
      </c>
    </row>
    <row r="190" spans="1:30" x14ac:dyDescent="0.15">
      <c r="A190" s="41">
        <f t="shared" si="99"/>
        <v>41700900</v>
      </c>
      <c r="B190" s="15">
        <v>0</v>
      </c>
      <c r="C190" s="43">
        <v>0</v>
      </c>
      <c r="D190" s="12" t="s">
        <v>187</v>
      </c>
      <c r="E190" s="15">
        <v>0</v>
      </c>
      <c r="F190" s="15">
        <v>0</v>
      </c>
      <c r="G190" s="15">
        <v>0</v>
      </c>
      <c r="H190" s="14">
        <f>VLOOKUP(I190,[1]stuff!$A:$C,3,FALSE)</f>
        <v>30000</v>
      </c>
      <c r="I190" s="15">
        <v>417009</v>
      </c>
      <c r="J190" s="15"/>
      <c r="K190" s="15">
        <f t="shared" si="91"/>
        <v>0</v>
      </c>
      <c r="L190" s="15">
        <f t="shared" si="89"/>
        <v>0</v>
      </c>
      <c r="M190" s="23">
        <v>1</v>
      </c>
      <c r="N190" s="23">
        <v>0</v>
      </c>
      <c r="O190" s="24"/>
      <c r="P190" s="15">
        <v>417004</v>
      </c>
      <c r="Q190" s="26" t="s">
        <v>188</v>
      </c>
      <c r="R190" s="15">
        <v>1</v>
      </c>
      <c r="S190" s="14"/>
      <c r="T190" s="15">
        <v>612001</v>
      </c>
      <c r="U190" s="12" t="s">
        <v>53</v>
      </c>
      <c r="V190" s="15">
        <v>50</v>
      </c>
      <c r="W190" s="14">
        <f>VLOOKUP(T190,[1]stuff!$A:$C,3,FALSE)</f>
        <v>500</v>
      </c>
      <c r="X190" s="15">
        <v>603003</v>
      </c>
      <c r="Y190" s="15" t="s">
        <v>181</v>
      </c>
      <c r="Z190" s="15">
        <v>50</v>
      </c>
      <c r="AA190" s="14">
        <f>VLOOKUP(X190,[1]stuff!$A:$C,3,FALSE)</f>
        <v>100</v>
      </c>
      <c r="AB190" s="15">
        <f t="shared" si="93"/>
        <v>30000</v>
      </c>
      <c r="AC190" s="15">
        <f t="shared" si="94"/>
        <v>30000</v>
      </c>
      <c r="AD190">
        <f t="shared" si="90"/>
        <v>0</v>
      </c>
    </row>
    <row r="191" spans="1:30" x14ac:dyDescent="0.15">
      <c r="A191" s="41">
        <f t="shared" si="99"/>
        <v>41701000</v>
      </c>
      <c r="B191" s="15">
        <v>0</v>
      </c>
      <c r="C191" s="43">
        <v>0</v>
      </c>
      <c r="D191" s="12" t="s">
        <v>187</v>
      </c>
      <c r="E191" s="15">
        <v>0</v>
      </c>
      <c r="F191" s="15">
        <v>0</v>
      </c>
      <c r="G191" s="15">
        <v>0</v>
      </c>
      <c r="H191" s="14">
        <f>VLOOKUP(I191,[1]stuff!$A:$C,3,FALSE)</f>
        <v>5</v>
      </c>
      <c r="I191" s="15">
        <v>417010</v>
      </c>
      <c r="J191" s="15"/>
      <c r="K191" s="15">
        <f t="shared" si="91"/>
        <v>0</v>
      </c>
      <c r="L191" s="15">
        <f t="shared" si="89"/>
        <v>0</v>
      </c>
      <c r="M191" s="23">
        <v>1</v>
      </c>
      <c r="N191" s="23">
        <v>0</v>
      </c>
      <c r="O191" s="24"/>
      <c r="P191" s="12">
        <v>604001</v>
      </c>
      <c r="Q191" s="12" t="s">
        <v>40</v>
      </c>
      <c r="R191" s="12">
        <v>1</v>
      </c>
      <c r="S191" s="14"/>
      <c r="T191" s="15">
        <v>603001</v>
      </c>
      <c r="U191" s="12" t="s">
        <v>179</v>
      </c>
      <c r="V191" s="15">
        <v>1</v>
      </c>
      <c r="W191" s="14">
        <f>VLOOKUP(T191,[1]stuff!$A:$C,3,FALSE)</f>
        <v>5</v>
      </c>
      <c r="X191" s="12"/>
      <c r="Y191" s="12"/>
      <c r="Z191" s="12"/>
      <c r="AA191" s="14"/>
      <c r="AB191" s="15">
        <f>R191*S191+V191*W191+Z191*AA191</f>
        <v>5</v>
      </c>
      <c r="AC191" s="15">
        <f t="shared" si="94"/>
        <v>5</v>
      </c>
      <c r="AD191">
        <f t="shared" si="90"/>
        <v>0</v>
      </c>
    </row>
    <row r="192" spans="1:30" x14ac:dyDescent="0.15">
      <c r="A192" s="41">
        <f t="shared" si="99"/>
        <v>41701100</v>
      </c>
      <c r="B192" s="15">
        <v>0</v>
      </c>
      <c r="C192" s="43">
        <v>0</v>
      </c>
      <c r="D192" s="12" t="s">
        <v>187</v>
      </c>
      <c r="E192" s="15">
        <v>0</v>
      </c>
      <c r="F192" s="15">
        <v>0</v>
      </c>
      <c r="G192" s="15">
        <v>0</v>
      </c>
      <c r="H192" s="14">
        <f>VLOOKUP(I192,[1]stuff!$A:$C,3,FALSE)</f>
        <v>10</v>
      </c>
      <c r="I192" s="15">
        <v>417011</v>
      </c>
      <c r="J192" s="15"/>
      <c r="K192" s="15">
        <f t="shared" si="91"/>
        <v>0</v>
      </c>
      <c r="L192" s="15">
        <f t="shared" si="89"/>
        <v>0</v>
      </c>
      <c r="M192" s="23">
        <v>1</v>
      </c>
      <c r="N192" s="23">
        <v>0</v>
      </c>
      <c r="O192" s="24"/>
      <c r="P192" s="12">
        <v>604001</v>
      </c>
      <c r="Q192" s="12" t="s">
        <v>40</v>
      </c>
      <c r="R192" s="12">
        <v>3</v>
      </c>
      <c r="S192" s="14"/>
      <c r="T192" s="15">
        <v>603001</v>
      </c>
      <c r="U192" s="12" t="s">
        <v>179</v>
      </c>
      <c r="V192" s="15">
        <v>2</v>
      </c>
      <c r="W192" s="14">
        <f>VLOOKUP(T192,[1]stuff!$A:$C,3,FALSE)</f>
        <v>5</v>
      </c>
      <c r="X192" s="15">
        <v>606001</v>
      </c>
      <c r="Y192" s="12" t="s">
        <v>47</v>
      </c>
      <c r="Z192" s="15">
        <v>1</v>
      </c>
      <c r="AA192" s="14"/>
      <c r="AB192" s="15">
        <f t="shared" si="93"/>
        <v>10</v>
      </c>
      <c r="AC192" s="15">
        <f t="shared" si="94"/>
        <v>10</v>
      </c>
      <c r="AD192">
        <f t="shared" si="90"/>
        <v>0</v>
      </c>
    </row>
    <row r="193" spans="1:30" x14ac:dyDescent="0.15">
      <c r="A193" s="41">
        <f t="shared" si="99"/>
        <v>41701200</v>
      </c>
      <c r="B193" s="15">
        <v>0</v>
      </c>
      <c r="C193" s="43">
        <v>0</v>
      </c>
      <c r="D193" s="12" t="s">
        <v>187</v>
      </c>
      <c r="E193" s="15">
        <v>0</v>
      </c>
      <c r="F193" s="15">
        <v>0</v>
      </c>
      <c r="G193" s="15">
        <v>0</v>
      </c>
      <c r="H193" s="14">
        <f>VLOOKUP(I193,[1]stuff!$A:$C,3,FALSE)</f>
        <v>15</v>
      </c>
      <c r="I193" s="15">
        <v>417012</v>
      </c>
      <c r="J193" s="15"/>
      <c r="K193" s="15">
        <f t="shared" si="91"/>
        <v>0</v>
      </c>
      <c r="L193" s="15">
        <f t="shared" si="89"/>
        <v>0</v>
      </c>
      <c r="M193" s="23">
        <v>1</v>
      </c>
      <c r="N193" s="23">
        <v>0</v>
      </c>
      <c r="O193" s="24"/>
      <c r="P193" s="12">
        <v>604001</v>
      </c>
      <c r="Q193" s="12" t="s">
        <v>40</v>
      </c>
      <c r="R193" s="15">
        <v>6</v>
      </c>
      <c r="S193" s="14"/>
      <c r="T193" s="15">
        <v>603001</v>
      </c>
      <c r="U193" s="12" t="s">
        <v>179</v>
      </c>
      <c r="V193" s="15">
        <v>3</v>
      </c>
      <c r="W193" s="14">
        <f>VLOOKUP(T193,[1]stuff!$A:$C,3,FALSE)</f>
        <v>5</v>
      </c>
      <c r="X193" s="15">
        <v>606001</v>
      </c>
      <c r="Y193" s="12" t="s">
        <v>47</v>
      </c>
      <c r="Z193" s="15">
        <v>3</v>
      </c>
      <c r="AA193" s="14"/>
      <c r="AB193" s="15">
        <f t="shared" si="93"/>
        <v>15</v>
      </c>
      <c r="AC193" s="15">
        <f t="shared" si="94"/>
        <v>15</v>
      </c>
      <c r="AD193">
        <f t="shared" si="90"/>
        <v>0</v>
      </c>
    </row>
    <row r="194" spans="1:30" x14ac:dyDescent="0.15">
      <c r="A194" s="41">
        <f t="shared" si="99"/>
        <v>41701300</v>
      </c>
      <c r="B194" s="15">
        <v>0</v>
      </c>
      <c r="C194" s="43">
        <v>0</v>
      </c>
      <c r="D194" s="12" t="s">
        <v>187</v>
      </c>
      <c r="E194" s="15">
        <v>0</v>
      </c>
      <c r="F194" s="15">
        <v>0</v>
      </c>
      <c r="G194" s="15">
        <v>0</v>
      </c>
      <c r="H194" s="14">
        <f>VLOOKUP(I194,[1]stuff!$A:$C,3,FALSE)</f>
        <v>20</v>
      </c>
      <c r="I194" s="15">
        <v>417013</v>
      </c>
      <c r="J194" s="15"/>
      <c r="K194" s="15">
        <f t="shared" si="91"/>
        <v>0</v>
      </c>
      <c r="L194" s="15">
        <f t="shared" si="89"/>
        <v>0</v>
      </c>
      <c r="M194" s="23">
        <v>1</v>
      </c>
      <c r="N194" s="23">
        <v>0</v>
      </c>
      <c r="O194" s="24"/>
      <c r="P194" s="12">
        <v>604001</v>
      </c>
      <c r="Q194" s="12" t="s">
        <v>40</v>
      </c>
      <c r="R194" s="15">
        <v>15</v>
      </c>
      <c r="S194" s="14"/>
      <c r="T194" s="15">
        <v>603001</v>
      </c>
      <c r="U194" s="12" t="s">
        <v>179</v>
      </c>
      <c r="V194" s="15">
        <v>4</v>
      </c>
      <c r="W194" s="14">
        <f>VLOOKUP(T194,[1]stuff!$A:$C,3,FALSE)</f>
        <v>5</v>
      </c>
      <c r="X194" s="15">
        <v>606001</v>
      </c>
      <c r="Y194" s="12" t="s">
        <v>47</v>
      </c>
      <c r="Z194" s="15">
        <v>9</v>
      </c>
      <c r="AA194" s="14"/>
      <c r="AB194" s="15">
        <f t="shared" si="93"/>
        <v>20</v>
      </c>
      <c r="AC194" s="15">
        <f t="shared" si="94"/>
        <v>20</v>
      </c>
      <c r="AD194">
        <f t="shared" si="90"/>
        <v>0</v>
      </c>
    </row>
    <row r="195" spans="1:30" x14ac:dyDescent="0.15">
      <c r="A195" s="41">
        <f t="shared" si="99"/>
        <v>41701400</v>
      </c>
      <c r="B195" s="15">
        <v>0</v>
      </c>
      <c r="C195" s="43">
        <v>0</v>
      </c>
      <c r="D195" s="12" t="s">
        <v>187</v>
      </c>
      <c r="E195" s="15">
        <v>0</v>
      </c>
      <c r="F195" s="15">
        <v>0</v>
      </c>
      <c r="G195" s="15">
        <v>0</v>
      </c>
      <c r="H195" s="14">
        <f>VLOOKUP(I195,[1]stuff!$A:$C,3,FALSE)</f>
        <v>600</v>
      </c>
      <c r="I195" s="15">
        <v>417014</v>
      </c>
      <c r="J195" s="15"/>
      <c r="K195" s="15">
        <f t="shared" si="91"/>
        <v>0</v>
      </c>
      <c r="L195" s="15">
        <f t="shared" si="89"/>
        <v>0</v>
      </c>
      <c r="M195" s="23">
        <v>1</v>
      </c>
      <c r="N195" s="23">
        <v>0</v>
      </c>
      <c r="O195" s="24"/>
      <c r="P195" s="15">
        <v>417013</v>
      </c>
      <c r="Q195" s="26" t="s">
        <v>189</v>
      </c>
      <c r="R195" s="15">
        <v>1</v>
      </c>
      <c r="S195" s="14"/>
      <c r="T195" s="15">
        <v>612003</v>
      </c>
      <c r="U195" s="12" t="s">
        <v>57</v>
      </c>
      <c r="V195" s="15">
        <v>1</v>
      </c>
      <c r="W195" s="14">
        <f>VLOOKUP(T195,[1]stuff!$A:$C,3,FALSE)</f>
        <v>500</v>
      </c>
      <c r="X195" s="15">
        <v>603004</v>
      </c>
      <c r="Y195" s="15" t="s">
        <v>182</v>
      </c>
      <c r="Z195" s="15">
        <v>1</v>
      </c>
      <c r="AA195" s="14">
        <f>VLOOKUP(X195,[1]stuff!$A:$C,3,FALSE)</f>
        <v>100</v>
      </c>
      <c r="AB195" s="15">
        <f t="shared" si="93"/>
        <v>600</v>
      </c>
      <c r="AC195" s="15">
        <f t="shared" si="94"/>
        <v>600</v>
      </c>
      <c r="AD195">
        <f t="shared" si="90"/>
        <v>0</v>
      </c>
    </row>
    <row r="196" spans="1:30" x14ac:dyDescent="0.15">
      <c r="A196" s="41">
        <f t="shared" si="99"/>
        <v>41701500</v>
      </c>
      <c r="B196" s="15">
        <v>0</v>
      </c>
      <c r="C196" s="43">
        <v>0</v>
      </c>
      <c r="D196" s="12" t="s">
        <v>187</v>
      </c>
      <c r="E196" s="15">
        <v>0</v>
      </c>
      <c r="F196" s="15">
        <v>0</v>
      </c>
      <c r="G196" s="15">
        <v>0</v>
      </c>
      <c r="H196" s="14">
        <f>VLOOKUP(I196,[1]stuff!$A:$C,3,FALSE)</f>
        <v>1800</v>
      </c>
      <c r="I196" s="15">
        <v>417015</v>
      </c>
      <c r="J196" s="15"/>
      <c r="K196" s="15">
        <f t="shared" si="91"/>
        <v>0</v>
      </c>
      <c r="L196" s="15">
        <f t="shared" si="89"/>
        <v>0</v>
      </c>
      <c r="M196" s="23">
        <v>1</v>
      </c>
      <c r="N196" s="23">
        <v>0</v>
      </c>
      <c r="O196" s="24"/>
      <c r="P196" s="15">
        <v>417013</v>
      </c>
      <c r="Q196" s="26" t="s">
        <v>189</v>
      </c>
      <c r="R196" s="15">
        <v>1</v>
      </c>
      <c r="S196" s="14"/>
      <c r="T196" s="15">
        <v>612003</v>
      </c>
      <c r="U196" s="12" t="s">
        <v>57</v>
      </c>
      <c r="V196" s="15">
        <v>3</v>
      </c>
      <c r="W196" s="14">
        <f>VLOOKUP(T196,[1]stuff!$A:$C,3,FALSE)</f>
        <v>500</v>
      </c>
      <c r="X196" s="15">
        <v>603004</v>
      </c>
      <c r="Y196" s="15" t="s">
        <v>182</v>
      </c>
      <c r="Z196" s="15">
        <v>3</v>
      </c>
      <c r="AA196" s="14">
        <f>VLOOKUP(X196,[1]stuff!$A:$C,3,FALSE)</f>
        <v>100</v>
      </c>
      <c r="AB196" s="15">
        <f t="shared" si="93"/>
        <v>1800</v>
      </c>
      <c r="AC196" s="15">
        <f t="shared" si="94"/>
        <v>1800</v>
      </c>
      <c r="AD196">
        <f t="shared" si="90"/>
        <v>0</v>
      </c>
    </row>
    <row r="197" spans="1:30" x14ac:dyDescent="0.15">
      <c r="A197" s="41">
        <f t="shared" si="99"/>
        <v>41701600</v>
      </c>
      <c r="B197" s="15">
        <v>0</v>
      </c>
      <c r="C197" s="43">
        <v>0</v>
      </c>
      <c r="D197" s="12" t="s">
        <v>187</v>
      </c>
      <c r="E197" s="15">
        <v>0</v>
      </c>
      <c r="F197" s="15">
        <v>0</v>
      </c>
      <c r="G197" s="15">
        <v>0</v>
      </c>
      <c r="H197" s="14">
        <f>VLOOKUP(I197,[1]stuff!$A:$C,3,FALSE)</f>
        <v>6000</v>
      </c>
      <c r="I197" s="15">
        <v>417016</v>
      </c>
      <c r="J197" s="15"/>
      <c r="K197" s="15">
        <f t="shared" si="91"/>
        <v>0</v>
      </c>
      <c r="L197" s="15">
        <f t="shared" si="89"/>
        <v>0</v>
      </c>
      <c r="M197" s="23">
        <v>1</v>
      </c>
      <c r="N197" s="23">
        <v>0</v>
      </c>
      <c r="O197" s="24"/>
      <c r="P197" s="15">
        <v>417013</v>
      </c>
      <c r="Q197" s="26" t="s">
        <v>189</v>
      </c>
      <c r="R197" s="15">
        <v>1</v>
      </c>
      <c r="S197" s="14"/>
      <c r="T197" s="15">
        <v>612003</v>
      </c>
      <c r="U197" s="12" t="s">
        <v>57</v>
      </c>
      <c r="V197" s="15">
        <v>10</v>
      </c>
      <c r="W197" s="14">
        <f>VLOOKUP(T197,[1]stuff!$A:$C,3,FALSE)</f>
        <v>500</v>
      </c>
      <c r="X197" s="15">
        <v>603004</v>
      </c>
      <c r="Y197" s="15" t="s">
        <v>182</v>
      </c>
      <c r="Z197" s="15">
        <v>10</v>
      </c>
      <c r="AA197" s="14">
        <f>VLOOKUP(X197,[1]stuff!$A:$C,3,FALSE)</f>
        <v>100</v>
      </c>
      <c r="AB197" s="15">
        <f t="shared" si="93"/>
        <v>6000</v>
      </c>
      <c r="AC197" s="15">
        <f t="shared" si="94"/>
        <v>6000</v>
      </c>
      <c r="AD197">
        <f t="shared" si="90"/>
        <v>0</v>
      </c>
    </row>
    <row r="198" spans="1:30" x14ac:dyDescent="0.15">
      <c r="A198" s="41">
        <f t="shared" si="99"/>
        <v>41701700</v>
      </c>
      <c r="B198" s="15">
        <v>0</v>
      </c>
      <c r="C198" s="43">
        <v>0</v>
      </c>
      <c r="D198" s="12" t="s">
        <v>187</v>
      </c>
      <c r="E198" s="15">
        <v>0</v>
      </c>
      <c r="F198" s="15">
        <v>0</v>
      </c>
      <c r="G198" s="15">
        <v>0</v>
      </c>
      <c r="H198" s="14">
        <f>VLOOKUP(I198,[1]stuff!$A:$C,3,FALSE)</f>
        <v>15000</v>
      </c>
      <c r="I198" s="15">
        <v>417017</v>
      </c>
      <c r="J198" s="15"/>
      <c r="K198" s="15">
        <f t="shared" si="91"/>
        <v>0</v>
      </c>
      <c r="L198" s="15">
        <f t="shared" si="89"/>
        <v>0</v>
      </c>
      <c r="M198" s="23">
        <v>1</v>
      </c>
      <c r="N198" s="23">
        <v>0</v>
      </c>
      <c r="O198" s="24"/>
      <c r="P198" s="15">
        <v>417013</v>
      </c>
      <c r="Q198" s="26" t="s">
        <v>189</v>
      </c>
      <c r="R198" s="15">
        <v>1</v>
      </c>
      <c r="S198" s="14"/>
      <c r="T198" s="15">
        <v>612003</v>
      </c>
      <c r="U198" s="12" t="s">
        <v>57</v>
      </c>
      <c r="V198" s="15">
        <v>25</v>
      </c>
      <c r="W198" s="14">
        <f>VLOOKUP(T198,[1]stuff!$A:$C,3,FALSE)</f>
        <v>500</v>
      </c>
      <c r="X198" s="15">
        <v>603004</v>
      </c>
      <c r="Y198" s="15" t="s">
        <v>182</v>
      </c>
      <c r="Z198" s="15">
        <v>25</v>
      </c>
      <c r="AA198" s="14">
        <f>VLOOKUP(X198,[1]stuff!$A:$C,3,FALSE)</f>
        <v>100</v>
      </c>
      <c r="AB198" s="15">
        <f t="shared" si="93"/>
        <v>15000</v>
      </c>
      <c r="AC198" s="15">
        <f t="shared" si="94"/>
        <v>15000</v>
      </c>
      <c r="AD198">
        <f t="shared" si="90"/>
        <v>0</v>
      </c>
    </row>
    <row r="199" spans="1:30" x14ac:dyDescent="0.15">
      <c r="A199" s="41">
        <f t="shared" si="99"/>
        <v>41701800</v>
      </c>
      <c r="B199" s="15">
        <v>0</v>
      </c>
      <c r="C199" s="43">
        <v>0</v>
      </c>
      <c r="D199" s="12" t="s">
        <v>187</v>
      </c>
      <c r="E199" s="15">
        <v>0</v>
      </c>
      <c r="F199" s="15">
        <v>0</v>
      </c>
      <c r="G199" s="15">
        <v>0</v>
      </c>
      <c r="H199" s="14">
        <f>VLOOKUP(I199,[1]stuff!$A:$C,3,FALSE)</f>
        <v>30000</v>
      </c>
      <c r="I199" s="15">
        <v>417018</v>
      </c>
      <c r="J199" s="15"/>
      <c r="K199" s="15">
        <f t="shared" si="91"/>
        <v>0</v>
      </c>
      <c r="L199" s="15">
        <f t="shared" si="89"/>
        <v>0</v>
      </c>
      <c r="M199" s="23">
        <v>1</v>
      </c>
      <c r="N199" s="23">
        <v>0</v>
      </c>
      <c r="O199" s="24"/>
      <c r="P199" s="15">
        <v>417013</v>
      </c>
      <c r="Q199" s="26" t="s">
        <v>189</v>
      </c>
      <c r="R199" s="15">
        <v>1</v>
      </c>
      <c r="S199" s="14"/>
      <c r="T199" s="15">
        <v>612003</v>
      </c>
      <c r="U199" s="12" t="s">
        <v>57</v>
      </c>
      <c r="V199" s="15">
        <v>50</v>
      </c>
      <c r="W199" s="14">
        <f>VLOOKUP(T199,[1]stuff!$A:$C,3,FALSE)</f>
        <v>500</v>
      </c>
      <c r="X199" s="15">
        <v>603004</v>
      </c>
      <c r="Y199" s="15" t="s">
        <v>182</v>
      </c>
      <c r="Z199" s="15">
        <v>50</v>
      </c>
      <c r="AA199" s="14">
        <f>VLOOKUP(X199,[1]stuff!$A:$C,3,FALSE)</f>
        <v>100</v>
      </c>
      <c r="AB199" s="15">
        <f t="shared" si="93"/>
        <v>30000</v>
      </c>
      <c r="AC199" s="15">
        <f t="shared" si="94"/>
        <v>30000</v>
      </c>
      <c r="AD199">
        <f t="shared" si="90"/>
        <v>0</v>
      </c>
    </row>
    <row r="200" spans="1:30" x14ac:dyDescent="0.15">
      <c r="A200" s="41">
        <f t="shared" si="99"/>
        <v>41701900</v>
      </c>
      <c r="B200" s="15">
        <v>0</v>
      </c>
      <c r="C200" s="43">
        <v>0</v>
      </c>
      <c r="D200" s="12" t="s">
        <v>187</v>
      </c>
      <c r="E200" s="15">
        <v>0</v>
      </c>
      <c r="F200" s="15">
        <v>0</v>
      </c>
      <c r="G200" s="15">
        <v>0</v>
      </c>
      <c r="H200" s="14">
        <f>VLOOKUP(I200,[1]stuff!$A:$C,3,FALSE)</f>
        <v>5</v>
      </c>
      <c r="I200" s="15">
        <v>417019</v>
      </c>
      <c r="J200" s="15"/>
      <c r="K200" s="15">
        <f t="shared" si="91"/>
        <v>0</v>
      </c>
      <c r="L200" s="15">
        <f t="shared" si="89"/>
        <v>0</v>
      </c>
      <c r="M200" s="23">
        <v>1</v>
      </c>
      <c r="N200" s="23">
        <v>0</v>
      </c>
      <c r="O200" s="24"/>
      <c r="P200" s="12">
        <v>604001</v>
      </c>
      <c r="Q200" s="12" t="s">
        <v>40</v>
      </c>
      <c r="R200" s="12">
        <v>1</v>
      </c>
      <c r="S200" s="14"/>
      <c r="T200" s="15">
        <v>603001</v>
      </c>
      <c r="U200" s="12" t="s">
        <v>179</v>
      </c>
      <c r="V200" s="15">
        <v>1</v>
      </c>
      <c r="W200" s="14">
        <f>VLOOKUP(T200,[1]stuff!$A:$C,3,FALSE)</f>
        <v>5</v>
      </c>
      <c r="X200" s="12"/>
      <c r="Y200" s="12"/>
      <c r="Z200" s="12"/>
      <c r="AA200" s="14"/>
      <c r="AB200" s="15">
        <f t="shared" si="93"/>
        <v>5</v>
      </c>
      <c r="AC200" s="15">
        <f t="shared" si="94"/>
        <v>5</v>
      </c>
      <c r="AD200">
        <f t="shared" si="90"/>
        <v>0</v>
      </c>
    </row>
    <row r="201" spans="1:30" x14ac:dyDescent="0.15">
      <c r="A201" s="41">
        <f t="shared" si="99"/>
        <v>41702000</v>
      </c>
      <c r="B201" s="15">
        <v>0</v>
      </c>
      <c r="C201" s="43">
        <v>0</v>
      </c>
      <c r="D201" s="12" t="s">
        <v>187</v>
      </c>
      <c r="E201" s="15">
        <v>0</v>
      </c>
      <c r="F201" s="15">
        <v>0</v>
      </c>
      <c r="G201" s="15">
        <v>0</v>
      </c>
      <c r="H201" s="14">
        <f>VLOOKUP(I201,[1]stuff!$A:$C,3,FALSE)</f>
        <v>10</v>
      </c>
      <c r="I201" s="15">
        <v>417020</v>
      </c>
      <c r="J201" s="15"/>
      <c r="K201" s="15">
        <f t="shared" si="91"/>
        <v>0</v>
      </c>
      <c r="L201" s="15">
        <f t="shared" si="89"/>
        <v>0</v>
      </c>
      <c r="M201" s="23">
        <v>1</v>
      </c>
      <c r="N201" s="23">
        <v>0</v>
      </c>
      <c r="O201" s="24"/>
      <c r="P201" s="12">
        <v>604001</v>
      </c>
      <c r="Q201" s="12" t="s">
        <v>40</v>
      </c>
      <c r="R201" s="12">
        <v>3</v>
      </c>
      <c r="S201" s="14"/>
      <c r="T201" s="15">
        <v>603001</v>
      </c>
      <c r="U201" s="12" t="s">
        <v>179</v>
      </c>
      <c r="V201" s="15">
        <v>2</v>
      </c>
      <c r="W201" s="14">
        <f>VLOOKUP(T201,[1]stuff!$A:$C,3,FALSE)</f>
        <v>5</v>
      </c>
      <c r="X201" s="15">
        <v>606001</v>
      </c>
      <c r="Y201" s="12" t="s">
        <v>47</v>
      </c>
      <c r="Z201" s="15">
        <v>1</v>
      </c>
      <c r="AA201" s="14"/>
      <c r="AB201" s="15">
        <f t="shared" si="93"/>
        <v>10</v>
      </c>
      <c r="AC201" s="15">
        <f t="shared" si="94"/>
        <v>10</v>
      </c>
      <c r="AD201">
        <f t="shared" si="90"/>
        <v>0</v>
      </c>
    </row>
    <row r="202" spans="1:30" x14ac:dyDescent="0.15">
      <c r="A202" s="41">
        <f t="shared" si="99"/>
        <v>41702100</v>
      </c>
      <c r="B202" s="15">
        <v>0</v>
      </c>
      <c r="C202" s="43">
        <v>0</v>
      </c>
      <c r="D202" s="12" t="s">
        <v>187</v>
      </c>
      <c r="E202" s="15">
        <v>0</v>
      </c>
      <c r="F202" s="15">
        <v>0</v>
      </c>
      <c r="G202" s="15">
        <v>0</v>
      </c>
      <c r="H202" s="14">
        <f>VLOOKUP(I202,[1]stuff!$A:$C,3,FALSE)</f>
        <v>15</v>
      </c>
      <c r="I202" s="15">
        <v>417021</v>
      </c>
      <c r="J202" s="15"/>
      <c r="K202" s="15">
        <f t="shared" si="91"/>
        <v>0</v>
      </c>
      <c r="L202" s="15">
        <f t="shared" si="89"/>
        <v>0</v>
      </c>
      <c r="M202" s="23">
        <v>1</v>
      </c>
      <c r="N202" s="23">
        <v>0</v>
      </c>
      <c r="O202" s="24"/>
      <c r="P202" s="12">
        <v>604001</v>
      </c>
      <c r="Q202" s="12" t="s">
        <v>40</v>
      </c>
      <c r="R202" s="15">
        <v>6</v>
      </c>
      <c r="S202" s="14"/>
      <c r="T202" s="15">
        <v>603001</v>
      </c>
      <c r="U202" s="12" t="s">
        <v>179</v>
      </c>
      <c r="V202" s="15">
        <v>3</v>
      </c>
      <c r="W202" s="14">
        <f>VLOOKUP(T202,[1]stuff!$A:$C,3,FALSE)</f>
        <v>5</v>
      </c>
      <c r="X202" s="15">
        <v>606001</v>
      </c>
      <c r="Y202" s="12" t="s">
        <v>47</v>
      </c>
      <c r="Z202" s="15">
        <v>3</v>
      </c>
      <c r="AA202" s="14"/>
      <c r="AB202" s="15">
        <f t="shared" si="93"/>
        <v>15</v>
      </c>
      <c r="AC202" s="15">
        <f t="shared" si="94"/>
        <v>15</v>
      </c>
      <c r="AD202">
        <f t="shared" si="90"/>
        <v>0</v>
      </c>
    </row>
    <row r="203" spans="1:30" x14ac:dyDescent="0.15">
      <c r="A203" s="41">
        <f t="shared" si="99"/>
        <v>41702200</v>
      </c>
      <c r="B203" s="15">
        <v>0</v>
      </c>
      <c r="C203" s="43">
        <v>0</v>
      </c>
      <c r="D203" s="12" t="s">
        <v>187</v>
      </c>
      <c r="E203" s="15">
        <v>0</v>
      </c>
      <c r="F203" s="15">
        <v>0</v>
      </c>
      <c r="G203" s="15">
        <v>0</v>
      </c>
      <c r="H203" s="14">
        <f>VLOOKUP(I203,[1]stuff!$A:$C,3,FALSE)</f>
        <v>20</v>
      </c>
      <c r="I203" s="15">
        <v>417022</v>
      </c>
      <c r="J203" s="15"/>
      <c r="K203" s="15">
        <f t="shared" si="91"/>
        <v>0</v>
      </c>
      <c r="L203" s="15">
        <f t="shared" si="89"/>
        <v>0</v>
      </c>
      <c r="M203" s="23">
        <v>1</v>
      </c>
      <c r="N203" s="23">
        <v>0</v>
      </c>
      <c r="O203" s="24"/>
      <c r="P203" s="12">
        <v>604001</v>
      </c>
      <c r="Q203" s="12" t="s">
        <v>40</v>
      </c>
      <c r="R203" s="15">
        <v>15</v>
      </c>
      <c r="S203" s="14"/>
      <c r="T203" s="15">
        <v>603001</v>
      </c>
      <c r="U203" s="12" t="s">
        <v>179</v>
      </c>
      <c r="V203" s="15">
        <v>4</v>
      </c>
      <c r="W203" s="14">
        <f>VLOOKUP(T203,[1]stuff!$A:$C,3,FALSE)</f>
        <v>5</v>
      </c>
      <c r="X203" s="15">
        <v>606001</v>
      </c>
      <c r="Y203" s="12" t="s">
        <v>47</v>
      </c>
      <c r="Z203" s="15">
        <v>9</v>
      </c>
      <c r="AA203" s="14"/>
      <c r="AB203" s="15">
        <f t="shared" si="93"/>
        <v>20</v>
      </c>
      <c r="AC203" s="15">
        <f t="shared" si="94"/>
        <v>20</v>
      </c>
      <c r="AD203">
        <f t="shared" si="90"/>
        <v>0</v>
      </c>
    </row>
    <row r="204" spans="1:30" x14ac:dyDescent="0.15">
      <c r="A204" s="41">
        <f t="shared" si="99"/>
        <v>41702300</v>
      </c>
      <c r="B204" s="15">
        <v>0</v>
      </c>
      <c r="C204" s="43">
        <v>0</v>
      </c>
      <c r="D204" s="12" t="s">
        <v>187</v>
      </c>
      <c r="E204" s="15">
        <v>0</v>
      </c>
      <c r="F204" s="15">
        <v>0</v>
      </c>
      <c r="G204" s="15">
        <v>0</v>
      </c>
      <c r="H204" s="14">
        <f>VLOOKUP(I204,[1]stuff!$A:$C,3,FALSE)</f>
        <v>600</v>
      </c>
      <c r="I204" s="15">
        <v>417023</v>
      </c>
      <c r="J204" s="15"/>
      <c r="K204" s="15">
        <f t="shared" si="91"/>
        <v>0</v>
      </c>
      <c r="L204" s="15">
        <f t="shared" si="89"/>
        <v>0</v>
      </c>
      <c r="M204" s="23">
        <v>1</v>
      </c>
      <c r="N204" s="23">
        <v>0</v>
      </c>
      <c r="O204" s="24"/>
      <c r="P204" s="15">
        <v>417022</v>
      </c>
      <c r="Q204" s="26" t="s">
        <v>190</v>
      </c>
      <c r="R204" s="15">
        <v>1</v>
      </c>
      <c r="S204" s="14"/>
      <c r="T204" s="15">
        <v>612002</v>
      </c>
      <c r="U204" s="12" t="s">
        <v>55</v>
      </c>
      <c r="V204" s="15">
        <v>1</v>
      </c>
      <c r="W204" s="14">
        <f>VLOOKUP(T204,[1]stuff!$A:$C,3,FALSE)</f>
        <v>500</v>
      </c>
      <c r="X204" s="15">
        <v>603002</v>
      </c>
      <c r="Y204" s="15" t="s">
        <v>180</v>
      </c>
      <c r="Z204" s="15">
        <v>1</v>
      </c>
      <c r="AA204" s="14">
        <f>VLOOKUP(X204,[1]stuff!$A:$C,3,FALSE)</f>
        <v>100</v>
      </c>
      <c r="AB204" s="15">
        <f t="shared" si="93"/>
        <v>600</v>
      </c>
      <c r="AC204" s="15">
        <f t="shared" si="94"/>
        <v>600</v>
      </c>
      <c r="AD204">
        <f t="shared" si="90"/>
        <v>0</v>
      </c>
    </row>
    <row r="205" spans="1:30" x14ac:dyDescent="0.15">
      <c r="A205" s="41">
        <f t="shared" si="99"/>
        <v>41702400</v>
      </c>
      <c r="B205" s="15">
        <v>0</v>
      </c>
      <c r="C205" s="43">
        <v>0</v>
      </c>
      <c r="D205" s="12" t="s">
        <v>187</v>
      </c>
      <c r="E205" s="15">
        <v>0</v>
      </c>
      <c r="F205" s="15">
        <v>0</v>
      </c>
      <c r="G205" s="15">
        <v>0</v>
      </c>
      <c r="H205" s="14">
        <f>VLOOKUP(I205,[1]stuff!$A:$C,3,FALSE)</f>
        <v>1800</v>
      </c>
      <c r="I205" s="15">
        <v>417024</v>
      </c>
      <c r="J205" s="15"/>
      <c r="K205" s="15">
        <f t="shared" si="91"/>
        <v>0</v>
      </c>
      <c r="L205" s="15">
        <f t="shared" si="89"/>
        <v>0</v>
      </c>
      <c r="M205" s="23">
        <v>1</v>
      </c>
      <c r="N205" s="23">
        <v>0</v>
      </c>
      <c r="O205" s="24"/>
      <c r="P205" s="15">
        <v>417022</v>
      </c>
      <c r="Q205" s="26" t="s">
        <v>190</v>
      </c>
      <c r="R205" s="15">
        <v>1</v>
      </c>
      <c r="S205" s="14"/>
      <c r="T205" s="15">
        <v>612002</v>
      </c>
      <c r="U205" s="12" t="s">
        <v>55</v>
      </c>
      <c r="V205" s="15">
        <v>3</v>
      </c>
      <c r="W205" s="14">
        <f>VLOOKUP(T205,[1]stuff!$A:$C,3,FALSE)</f>
        <v>500</v>
      </c>
      <c r="X205" s="15">
        <v>603002</v>
      </c>
      <c r="Y205" s="15" t="s">
        <v>180</v>
      </c>
      <c r="Z205" s="15">
        <v>3</v>
      </c>
      <c r="AA205" s="14">
        <f>VLOOKUP(X205,[1]stuff!$A:$C,3,FALSE)</f>
        <v>100</v>
      </c>
      <c r="AB205" s="15">
        <f t="shared" si="93"/>
        <v>1800</v>
      </c>
      <c r="AC205" s="15">
        <f t="shared" si="94"/>
        <v>1800</v>
      </c>
      <c r="AD205">
        <f t="shared" si="90"/>
        <v>0</v>
      </c>
    </row>
    <row r="206" spans="1:30" x14ac:dyDescent="0.15">
      <c r="A206" s="41">
        <f t="shared" si="99"/>
        <v>41702500</v>
      </c>
      <c r="B206" s="15">
        <v>0</v>
      </c>
      <c r="C206" s="43">
        <v>0</v>
      </c>
      <c r="D206" s="12" t="s">
        <v>187</v>
      </c>
      <c r="E206" s="15">
        <v>0</v>
      </c>
      <c r="F206" s="15">
        <v>0</v>
      </c>
      <c r="G206" s="15">
        <v>0</v>
      </c>
      <c r="H206" s="14">
        <f>VLOOKUP(I206,[1]stuff!$A:$C,3,FALSE)</f>
        <v>6000</v>
      </c>
      <c r="I206" s="15">
        <v>417025</v>
      </c>
      <c r="J206" s="15"/>
      <c r="K206" s="15">
        <f t="shared" si="91"/>
        <v>0</v>
      </c>
      <c r="L206" s="15">
        <f t="shared" si="89"/>
        <v>0</v>
      </c>
      <c r="M206" s="23">
        <v>1</v>
      </c>
      <c r="N206" s="23">
        <v>0</v>
      </c>
      <c r="O206" s="24"/>
      <c r="P206" s="15">
        <v>417022</v>
      </c>
      <c r="Q206" s="26" t="s">
        <v>190</v>
      </c>
      <c r="R206" s="15">
        <v>1</v>
      </c>
      <c r="S206" s="14"/>
      <c r="T206" s="15">
        <v>612002</v>
      </c>
      <c r="U206" s="12" t="s">
        <v>55</v>
      </c>
      <c r="V206" s="15">
        <v>10</v>
      </c>
      <c r="W206" s="14">
        <f>VLOOKUP(T206,[1]stuff!$A:$C,3,FALSE)</f>
        <v>500</v>
      </c>
      <c r="X206" s="15">
        <v>603002</v>
      </c>
      <c r="Y206" s="15" t="s">
        <v>180</v>
      </c>
      <c r="Z206" s="15">
        <v>10</v>
      </c>
      <c r="AA206" s="14">
        <f>VLOOKUP(X206,[1]stuff!$A:$C,3,FALSE)</f>
        <v>100</v>
      </c>
      <c r="AB206" s="15">
        <f t="shared" si="93"/>
        <v>6000</v>
      </c>
      <c r="AC206" s="15">
        <f t="shared" si="94"/>
        <v>6000</v>
      </c>
      <c r="AD206">
        <f t="shared" si="90"/>
        <v>0</v>
      </c>
    </row>
    <row r="207" spans="1:30" x14ac:dyDescent="0.15">
      <c r="A207" s="41">
        <f t="shared" si="99"/>
        <v>41702600</v>
      </c>
      <c r="B207" s="15">
        <v>0</v>
      </c>
      <c r="C207" s="43">
        <v>0</v>
      </c>
      <c r="D207" s="12" t="s">
        <v>187</v>
      </c>
      <c r="E207" s="15">
        <v>0</v>
      </c>
      <c r="F207" s="15">
        <v>0</v>
      </c>
      <c r="G207" s="15">
        <v>0</v>
      </c>
      <c r="H207" s="14">
        <f>VLOOKUP(I207,[1]stuff!$A:$C,3,FALSE)</f>
        <v>15000</v>
      </c>
      <c r="I207" s="15">
        <v>417026</v>
      </c>
      <c r="J207" s="15"/>
      <c r="K207" s="15">
        <f t="shared" si="91"/>
        <v>0</v>
      </c>
      <c r="L207" s="15">
        <f t="shared" si="89"/>
        <v>0</v>
      </c>
      <c r="M207" s="23">
        <v>1</v>
      </c>
      <c r="N207" s="23">
        <v>0</v>
      </c>
      <c r="O207" s="24"/>
      <c r="P207" s="15">
        <v>417022</v>
      </c>
      <c r="Q207" s="26" t="s">
        <v>190</v>
      </c>
      <c r="R207" s="15">
        <v>1</v>
      </c>
      <c r="S207" s="14"/>
      <c r="T207" s="15">
        <v>612002</v>
      </c>
      <c r="U207" s="12" t="s">
        <v>55</v>
      </c>
      <c r="V207" s="15">
        <v>25</v>
      </c>
      <c r="W207" s="14">
        <f>VLOOKUP(T207,[1]stuff!$A:$C,3,FALSE)</f>
        <v>500</v>
      </c>
      <c r="X207" s="15">
        <v>603002</v>
      </c>
      <c r="Y207" s="15" t="s">
        <v>180</v>
      </c>
      <c r="Z207" s="15">
        <v>25</v>
      </c>
      <c r="AA207" s="14">
        <f>VLOOKUP(X207,[1]stuff!$A:$C,3,FALSE)</f>
        <v>100</v>
      </c>
      <c r="AB207" s="15">
        <f t="shared" si="93"/>
        <v>15000</v>
      </c>
      <c r="AC207" s="15">
        <f t="shared" si="94"/>
        <v>15000</v>
      </c>
      <c r="AD207">
        <f t="shared" si="90"/>
        <v>0</v>
      </c>
    </row>
    <row r="208" spans="1:30" x14ac:dyDescent="0.15">
      <c r="A208" s="41">
        <f t="shared" si="99"/>
        <v>41702700</v>
      </c>
      <c r="B208" s="15">
        <v>0</v>
      </c>
      <c r="C208" s="43">
        <v>0</v>
      </c>
      <c r="D208" s="12" t="s">
        <v>187</v>
      </c>
      <c r="E208" s="15">
        <v>0</v>
      </c>
      <c r="F208" s="15">
        <v>0</v>
      </c>
      <c r="G208" s="15">
        <v>0</v>
      </c>
      <c r="H208" s="14">
        <f>VLOOKUP(I208,[1]stuff!$A:$C,3,FALSE)</f>
        <v>30000</v>
      </c>
      <c r="I208" s="15">
        <v>417027</v>
      </c>
      <c r="J208" s="15"/>
      <c r="K208" s="15">
        <f t="shared" si="91"/>
        <v>0</v>
      </c>
      <c r="L208" s="15">
        <f t="shared" si="89"/>
        <v>0</v>
      </c>
      <c r="M208" s="23">
        <v>1</v>
      </c>
      <c r="N208" s="23">
        <v>0</v>
      </c>
      <c r="O208" s="24"/>
      <c r="P208" s="15">
        <v>417022</v>
      </c>
      <c r="Q208" s="26" t="s">
        <v>190</v>
      </c>
      <c r="R208" s="15">
        <v>1</v>
      </c>
      <c r="S208" s="14"/>
      <c r="T208" s="15">
        <v>612002</v>
      </c>
      <c r="U208" s="12" t="s">
        <v>55</v>
      </c>
      <c r="V208" s="15">
        <v>50</v>
      </c>
      <c r="W208" s="14">
        <f>VLOOKUP(T208,[1]stuff!$A:$C,3,FALSE)</f>
        <v>500</v>
      </c>
      <c r="X208" s="15">
        <v>603002</v>
      </c>
      <c r="Y208" s="15" t="s">
        <v>180</v>
      </c>
      <c r="Z208" s="15">
        <v>50</v>
      </c>
      <c r="AA208" s="14">
        <f>VLOOKUP(X208,[1]stuff!$A:$C,3,FALSE)</f>
        <v>100</v>
      </c>
      <c r="AB208" s="15">
        <f t="shared" si="93"/>
        <v>30000</v>
      </c>
      <c r="AC208" s="15">
        <f t="shared" si="94"/>
        <v>30000</v>
      </c>
      <c r="AD208">
        <f t="shared" si="90"/>
        <v>0</v>
      </c>
    </row>
  </sheetData>
  <phoneticPr fontId="4" type="noConversion"/>
  <conditionalFormatting sqref="A16:A17">
    <cfRule type="colorScale" priority="98">
      <colorScale>
        <cfvo type="min"/>
        <cfvo type="max"/>
        <color rgb="FFFCFCFF"/>
        <color rgb="FF63BE7B"/>
      </colorScale>
    </cfRule>
  </conditionalFormatting>
  <conditionalFormatting sqref="I14">
    <cfRule type="colorScale" priority="20">
      <colorScale>
        <cfvo type="min"/>
        <cfvo type="max"/>
        <color rgb="FFFCFCFF"/>
        <color rgb="FF63BE7B"/>
      </colorScale>
    </cfRule>
  </conditionalFormatting>
  <conditionalFormatting sqref="I73">
    <cfRule type="colorScale" priority="1">
      <colorScale>
        <cfvo type="min"/>
        <cfvo type="max"/>
        <color rgb="FFFCFCFF"/>
        <color rgb="FF63BE7B"/>
      </colorScale>
    </cfRule>
  </conditionalFormatting>
  <conditionalFormatting sqref="I109 I102 O102:O108 M102:M108">
    <cfRule type="colorScale" priority="37">
      <colorScale>
        <cfvo type="min"/>
        <cfvo type="max"/>
        <color rgb="FFFCFCFF"/>
        <color rgb="FF63BE7B"/>
      </colorScale>
    </cfRule>
  </conditionalFormatting>
  <conditionalFormatting sqref="I110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I124:I125">
    <cfRule type="colorScale" priority="6">
      <colorScale>
        <cfvo type="min"/>
        <cfvo type="max"/>
        <color rgb="FFFCFCFF"/>
        <color rgb="FF63BE7B"/>
      </colorScale>
    </cfRule>
  </conditionalFormatting>
  <conditionalFormatting sqref="I209:I1048576 I134:I173 I15 I1:I2 M49 O49 I102 I109 I111:I119 I122:I123">
    <cfRule type="colorScale" priority="80">
      <colorScale>
        <cfvo type="min"/>
        <cfvo type="max"/>
        <color rgb="FFFCFCFF"/>
        <color rgb="FF63BE7B"/>
      </colorScale>
    </cfRule>
  </conditionalFormatting>
  <conditionalFormatting sqref="M58:M59 O58:O59">
    <cfRule type="colorScale" priority="5">
      <colorScale>
        <cfvo type="min"/>
        <cfvo type="max"/>
        <color rgb="FFFCFCFF"/>
        <color rgb="FF63BE7B"/>
      </colorScale>
    </cfRule>
  </conditionalFormatting>
  <conditionalFormatting sqref="O50 O52 M50:M57">
    <cfRule type="colorScale" priority="71">
      <colorScale>
        <cfvo type="min"/>
        <cfvo type="max"/>
        <color rgb="FFFCFCFF"/>
        <color rgb="FF63BE7B"/>
      </colorScale>
    </cfRule>
  </conditionalFormatting>
  <conditionalFormatting sqref="O51">
    <cfRule type="colorScale" priority="18">
      <colorScale>
        <cfvo type="min"/>
        <cfvo type="max"/>
        <color rgb="FFFCFCFF"/>
        <color rgb="FF63BE7B"/>
      </colorScale>
    </cfRule>
  </conditionalFormatting>
  <conditionalFormatting sqref="O53">
    <cfRule type="colorScale" priority="21">
      <colorScale>
        <cfvo type="min"/>
        <cfvo type="max"/>
        <color rgb="FFFCFCFF"/>
        <color rgb="FF63BE7B"/>
      </colorScale>
    </cfRule>
  </conditionalFormatting>
  <conditionalFormatting sqref="O54:O57">
    <cfRule type="colorScale" priority="19">
      <colorScale>
        <cfvo type="min"/>
        <cfvo type="max"/>
        <color rgb="FFFCFCFF"/>
        <color rgb="FF63BE7B"/>
      </colorScale>
    </cfRule>
  </conditionalFormatting>
  <conditionalFormatting sqref="O60:O73 M60:M73">
    <cfRule type="colorScale" priority="11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2026-02-27T12:32:26Z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FCB21DFD6B4A4FCDAAA9F9C69EDDCB7D</vt:lpwstr>
  </property>
</Properties>
</file>