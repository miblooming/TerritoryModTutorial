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AE8458C-0F0A-4162-9EB1-883F65FB7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ster" sheetId="1" r:id="rId1"/>
  </sheets>
  <definedNames>
    <definedName name="_xlnm._FilterDatabase" localSheetId="0" hidden="1">monster!$BA$1:$BA$582</definedName>
  </definedNames>
  <calcPr calcId="181029"/>
</workbook>
</file>

<file path=xl/calcChain.xml><?xml version="1.0" encoding="utf-8"?>
<calcChain xmlns="http://schemas.openxmlformats.org/spreadsheetml/2006/main">
  <c r="AH404" i="1" l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403" i="1"/>
  <c r="DY413" i="1"/>
  <c r="DY414" i="1"/>
  <c r="DY415" i="1"/>
  <c r="DY416" i="1"/>
  <c r="DY417" i="1"/>
  <c r="DY418" i="1"/>
  <c r="DY419" i="1"/>
  <c r="DY420" i="1"/>
  <c r="DY421" i="1"/>
  <c r="DY422" i="1"/>
  <c r="DY423" i="1"/>
  <c r="DY424" i="1"/>
  <c r="DY425" i="1"/>
  <c r="DY426" i="1"/>
  <c r="DY427" i="1"/>
  <c r="DY428" i="1"/>
  <c r="DY429" i="1"/>
  <c r="DY430" i="1"/>
  <c r="DY431" i="1"/>
  <c r="DY432" i="1"/>
  <c r="DY433" i="1"/>
  <c r="DY434" i="1"/>
  <c r="DY435" i="1"/>
  <c r="DY436" i="1"/>
  <c r="DY437" i="1"/>
  <c r="DY438" i="1"/>
  <c r="DY439" i="1"/>
  <c r="DY440" i="1"/>
  <c r="DY441" i="1"/>
  <c r="DY442" i="1"/>
  <c r="DY443" i="1"/>
  <c r="DY444" i="1"/>
  <c r="DY445" i="1"/>
  <c r="DY446" i="1"/>
  <c r="DY447" i="1"/>
  <c r="DY448" i="1"/>
  <c r="DY449" i="1"/>
  <c r="DY450" i="1"/>
  <c r="DY451" i="1"/>
  <c r="DY452" i="1"/>
  <c r="DY453" i="1"/>
  <c r="DY454" i="1"/>
  <c r="DY455" i="1"/>
  <c r="DY456" i="1"/>
  <c r="DY457" i="1"/>
  <c r="DY458" i="1"/>
  <c r="DY459" i="1"/>
  <c r="DY460" i="1"/>
  <c r="DY461" i="1"/>
  <c r="DY462" i="1"/>
  <c r="DY463" i="1"/>
  <c r="DY464" i="1"/>
  <c r="DY465" i="1"/>
  <c r="DY466" i="1"/>
  <c r="DY467" i="1"/>
  <c r="DY468" i="1"/>
  <c r="DY469" i="1"/>
  <c r="DY470" i="1"/>
  <c r="DY471" i="1"/>
  <c r="DY472" i="1"/>
  <c r="DY473" i="1"/>
  <c r="DY474" i="1"/>
  <c r="DY475" i="1"/>
  <c r="DY476" i="1"/>
  <c r="DY477" i="1"/>
  <c r="DY478" i="1"/>
  <c r="DY479" i="1"/>
  <c r="DY480" i="1"/>
  <c r="DY481" i="1"/>
  <c r="DY482" i="1"/>
  <c r="DY483" i="1"/>
  <c r="DY484" i="1"/>
  <c r="DY485" i="1"/>
  <c r="DY486" i="1"/>
  <c r="DY487" i="1"/>
  <c r="DY488" i="1"/>
  <c r="DY489" i="1"/>
  <c r="DY490" i="1"/>
  <c r="DY491" i="1"/>
  <c r="DY492" i="1"/>
  <c r="DY493" i="1"/>
  <c r="DY494" i="1"/>
  <c r="DY495" i="1"/>
  <c r="DY496" i="1"/>
  <c r="DY497" i="1"/>
  <c r="DY498" i="1"/>
  <c r="DY499" i="1"/>
  <c r="DY500" i="1"/>
  <c r="DY501" i="1"/>
  <c r="DY502" i="1"/>
  <c r="DY503" i="1"/>
  <c r="DY504" i="1"/>
  <c r="DY505" i="1"/>
  <c r="DY506" i="1"/>
  <c r="DY507" i="1"/>
  <c r="DY508" i="1"/>
  <c r="DY509" i="1"/>
  <c r="DY510" i="1"/>
  <c r="DY511" i="1"/>
  <c r="DY512" i="1"/>
  <c r="DY513" i="1"/>
  <c r="DY514" i="1"/>
  <c r="DY515" i="1"/>
  <c r="DY516" i="1"/>
  <c r="DY517" i="1"/>
  <c r="DY518" i="1"/>
  <c r="DY519" i="1"/>
  <c r="DY520" i="1"/>
  <c r="DY521" i="1"/>
  <c r="DY522" i="1"/>
  <c r="DY523" i="1"/>
  <c r="DY524" i="1"/>
  <c r="DY525" i="1"/>
  <c r="DY526" i="1"/>
  <c r="DY527" i="1"/>
  <c r="DY528" i="1"/>
  <c r="DY529" i="1"/>
  <c r="DY530" i="1"/>
  <c r="DY531" i="1"/>
  <c r="DY532" i="1"/>
  <c r="DY533" i="1"/>
  <c r="DY534" i="1"/>
  <c r="DY535" i="1"/>
  <c r="DY536" i="1"/>
  <c r="DY537" i="1"/>
  <c r="DY538" i="1"/>
  <c r="DY539" i="1"/>
  <c r="DY540" i="1"/>
  <c r="DY541" i="1"/>
  <c r="DY542" i="1"/>
  <c r="DY543" i="1"/>
  <c r="DY544" i="1"/>
  <c r="DY545" i="1"/>
  <c r="DY546" i="1"/>
  <c r="DY547" i="1"/>
  <c r="DY548" i="1"/>
  <c r="DY549" i="1"/>
  <c r="DY550" i="1"/>
  <c r="DY551" i="1"/>
  <c r="DY552" i="1"/>
  <c r="DY553" i="1"/>
  <c r="DY554" i="1"/>
  <c r="DY555" i="1"/>
  <c r="DY556" i="1"/>
  <c r="DY557" i="1"/>
  <c r="DY558" i="1"/>
  <c r="DY559" i="1"/>
  <c r="DY560" i="1"/>
  <c r="DY561" i="1"/>
  <c r="DY562" i="1"/>
  <c r="DJ454" i="1"/>
  <c r="DJ455" i="1"/>
  <c r="DJ456" i="1"/>
  <c r="DJ457" i="1"/>
  <c r="DJ458" i="1"/>
  <c r="DJ459" i="1"/>
  <c r="DJ460" i="1"/>
  <c r="DJ461" i="1"/>
  <c r="DJ462" i="1"/>
  <c r="DJ453" i="1"/>
  <c r="AL404" i="1"/>
  <c r="AM404" i="1"/>
  <c r="AL405" i="1"/>
  <c r="AM405" i="1"/>
  <c r="AL406" i="1"/>
  <c r="AM406" i="1"/>
  <c r="AL407" i="1"/>
  <c r="AM407" i="1"/>
  <c r="AL408" i="1"/>
  <c r="AM408" i="1"/>
  <c r="AL409" i="1"/>
  <c r="AM409" i="1"/>
  <c r="AL410" i="1"/>
  <c r="AM410" i="1"/>
  <c r="AL411" i="1"/>
  <c r="AM411" i="1"/>
  <c r="AL412" i="1"/>
  <c r="AM412" i="1"/>
  <c r="AL413" i="1"/>
  <c r="AM413" i="1"/>
  <c r="AL414" i="1"/>
  <c r="AM414" i="1"/>
  <c r="AL415" i="1"/>
  <c r="AM415" i="1"/>
  <c r="AL416" i="1"/>
  <c r="AM416" i="1"/>
  <c r="AL417" i="1"/>
  <c r="AM417" i="1"/>
  <c r="AL418" i="1"/>
  <c r="AM418" i="1"/>
  <c r="AL419" i="1"/>
  <c r="AM419" i="1"/>
  <c r="AL420" i="1"/>
  <c r="AM420" i="1"/>
  <c r="AL421" i="1"/>
  <c r="AM421" i="1"/>
  <c r="AL422" i="1"/>
  <c r="AM422" i="1"/>
  <c r="AL423" i="1"/>
  <c r="AM423" i="1"/>
  <c r="AL424" i="1"/>
  <c r="AM424" i="1"/>
  <c r="AL425" i="1"/>
  <c r="AM425" i="1"/>
  <c r="AL426" i="1"/>
  <c r="AM426" i="1"/>
  <c r="AL427" i="1"/>
  <c r="AM427" i="1"/>
  <c r="AL428" i="1"/>
  <c r="AM428" i="1"/>
  <c r="AL429" i="1"/>
  <c r="AM429" i="1"/>
  <c r="AL430" i="1"/>
  <c r="AM430" i="1"/>
  <c r="AL431" i="1"/>
  <c r="AM431" i="1"/>
  <c r="AL432" i="1"/>
  <c r="AM432" i="1"/>
  <c r="AL433" i="1"/>
  <c r="AM433" i="1"/>
  <c r="AL434" i="1"/>
  <c r="AM434" i="1"/>
  <c r="AL435" i="1"/>
  <c r="AM435" i="1"/>
  <c r="AL436" i="1"/>
  <c r="AM436" i="1"/>
  <c r="AL437" i="1"/>
  <c r="AM437" i="1"/>
  <c r="AL438" i="1"/>
  <c r="AM438" i="1"/>
  <c r="AL439" i="1"/>
  <c r="AM439" i="1"/>
  <c r="AL440" i="1"/>
  <c r="AM440" i="1"/>
  <c r="AL441" i="1"/>
  <c r="AM441" i="1"/>
  <c r="AL442" i="1"/>
  <c r="AM442" i="1"/>
  <c r="AL443" i="1"/>
  <c r="AM443" i="1"/>
  <c r="AL444" i="1"/>
  <c r="AM444" i="1"/>
  <c r="AL445" i="1"/>
  <c r="AM445" i="1"/>
  <c r="AL446" i="1"/>
  <c r="AM446" i="1"/>
  <c r="AL447" i="1"/>
  <c r="AM447" i="1"/>
  <c r="AL448" i="1"/>
  <c r="AM448" i="1"/>
  <c r="AL449" i="1"/>
  <c r="AM449" i="1"/>
  <c r="AL450" i="1"/>
  <c r="AM450" i="1"/>
  <c r="AL451" i="1"/>
  <c r="AM451" i="1"/>
  <c r="AL452" i="1"/>
  <c r="AM452" i="1"/>
  <c r="AL453" i="1"/>
  <c r="AM453" i="1"/>
  <c r="AL454" i="1"/>
  <c r="AM454" i="1"/>
  <c r="AL455" i="1"/>
  <c r="AM455" i="1"/>
  <c r="AL456" i="1"/>
  <c r="AM456" i="1"/>
  <c r="AL457" i="1"/>
  <c r="AM457" i="1"/>
  <c r="AL458" i="1"/>
  <c r="AM458" i="1"/>
  <c r="AL459" i="1"/>
  <c r="AM459" i="1"/>
  <c r="AL460" i="1"/>
  <c r="AM460" i="1"/>
  <c r="AL461" i="1"/>
  <c r="AM461" i="1"/>
  <c r="AL462" i="1"/>
  <c r="AM462" i="1"/>
  <c r="AL463" i="1"/>
  <c r="AM463" i="1"/>
  <c r="AL464" i="1"/>
  <c r="AM464" i="1"/>
  <c r="AL465" i="1"/>
  <c r="AM465" i="1"/>
  <c r="AL466" i="1"/>
  <c r="AM466" i="1"/>
  <c r="AL467" i="1"/>
  <c r="AM467" i="1"/>
  <c r="AL468" i="1"/>
  <c r="AM468" i="1"/>
  <c r="AL469" i="1"/>
  <c r="AM469" i="1"/>
  <c r="AL470" i="1"/>
  <c r="AM470" i="1"/>
  <c r="AL471" i="1"/>
  <c r="AM471" i="1"/>
  <c r="AL472" i="1"/>
  <c r="AM472" i="1"/>
  <c r="AL473" i="1"/>
  <c r="AM473" i="1"/>
  <c r="AL474" i="1"/>
  <c r="AM474" i="1"/>
  <c r="AL475" i="1"/>
  <c r="AM475" i="1"/>
  <c r="AL476" i="1"/>
  <c r="AM476" i="1"/>
  <c r="AL477" i="1"/>
  <c r="AM477" i="1"/>
  <c r="AL478" i="1"/>
  <c r="AM478" i="1"/>
  <c r="AL479" i="1"/>
  <c r="AM479" i="1"/>
  <c r="AL480" i="1"/>
  <c r="AM480" i="1"/>
  <c r="AL481" i="1"/>
  <c r="AM481" i="1"/>
  <c r="AL482" i="1"/>
  <c r="AM482" i="1"/>
  <c r="AL483" i="1"/>
  <c r="AM483" i="1"/>
  <c r="AL484" i="1"/>
  <c r="AM484" i="1"/>
  <c r="AL485" i="1"/>
  <c r="AM485" i="1"/>
  <c r="AL486" i="1"/>
  <c r="AM486" i="1"/>
  <c r="AL487" i="1"/>
  <c r="AM487" i="1"/>
  <c r="AL488" i="1"/>
  <c r="AM488" i="1"/>
  <c r="AL489" i="1"/>
  <c r="AM489" i="1"/>
  <c r="AL490" i="1"/>
  <c r="AM490" i="1"/>
  <c r="AL491" i="1"/>
  <c r="AM491" i="1"/>
  <c r="AL492" i="1"/>
  <c r="AM492" i="1"/>
  <c r="AL493" i="1"/>
  <c r="AM493" i="1"/>
  <c r="AL494" i="1"/>
  <c r="AM494" i="1"/>
  <c r="AL495" i="1"/>
  <c r="AM495" i="1"/>
  <c r="AL496" i="1"/>
  <c r="AM496" i="1"/>
  <c r="AL497" i="1"/>
  <c r="AM497" i="1"/>
  <c r="AL498" i="1"/>
  <c r="AM498" i="1"/>
  <c r="AL499" i="1"/>
  <c r="AM499" i="1"/>
  <c r="AL500" i="1"/>
  <c r="AM500" i="1"/>
  <c r="AL501" i="1"/>
  <c r="AM501" i="1"/>
  <c r="AL502" i="1"/>
  <c r="AM502" i="1"/>
  <c r="AL503" i="1"/>
  <c r="AM503" i="1"/>
  <c r="AL504" i="1"/>
  <c r="AM504" i="1"/>
  <c r="AL505" i="1"/>
  <c r="AM505" i="1"/>
  <c r="AL506" i="1"/>
  <c r="AM506" i="1"/>
  <c r="AL507" i="1"/>
  <c r="AM507" i="1"/>
  <c r="AL508" i="1"/>
  <c r="AM508" i="1"/>
  <c r="AL509" i="1"/>
  <c r="AM509" i="1"/>
  <c r="AL510" i="1"/>
  <c r="AM510" i="1"/>
  <c r="AL511" i="1"/>
  <c r="AM511" i="1"/>
  <c r="AL512" i="1"/>
  <c r="AM512" i="1"/>
  <c r="AL513" i="1"/>
  <c r="AM513" i="1"/>
  <c r="AL514" i="1"/>
  <c r="AM514" i="1"/>
  <c r="AL515" i="1"/>
  <c r="AM515" i="1"/>
  <c r="AL516" i="1"/>
  <c r="AM516" i="1"/>
  <c r="AL517" i="1"/>
  <c r="AM517" i="1"/>
  <c r="AL518" i="1"/>
  <c r="AM518" i="1"/>
  <c r="AL519" i="1"/>
  <c r="AM519" i="1"/>
  <c r="AL520" i="1"/>
  <c r="AM520" i="1"/>
  <c r="AL521" i="1"/>
  <c r="AM521" i="1"/>
  <c r="AL522" i="1"/>
  <c r="AM522" i="1"/>
  <c r="AL523" i="1"/>
  <c r="AM523" i="1"/>
  <c r="AL524" i="1"/>
  <c r="AM524" i="1"/>
  <c r="AL525" i="1"/>
  <c r="AM525" i="1"/>
  <c r="AL526" i="1"/>
  <c r="AM526" i="1"/>
  <c r="AL527" i="1"/>
  <c r="AM527" i="1"/>
  <c r="AL528" i="1"/>
  <c r="AM528" i="1"/>
  <c r="AL529" i="1"/>
  <c r="AM529" i="1"/>
  <c r="AL530" i="1"/>
  <c r="AM530" i="1"/>
  <c r="AL531" i="1"/>
  <c r="AM531" i="1"/>
  <c r="AL532" i="1"/>
  <c r="AM532" i="1"/>
  <c r="AL533" i="1"/>
  <c r="AM533" i="1"/>
  <c r="AL534" i="1"/>
  <c r="AM534" i="1"/>
  <c r="AL535" i="1"/>
  <c r="AM535" i="1"/>
  <c r="AL536" i="1"/>
  <c r="AM536" i="1"/>
  <c r="AL537" i="1"/>
  <c r="AM537" i="1"/>
  <c r="AL538" i="1"/>
  <c r="AM538" i="1"/>
  <c r="AL539" i="1"/>
  <c r="AM539" i="1"/>
  <c r="AL540" i="1"/>
  <c r="AM540" i="1"/>
  <c r="AL541" i="1"/>
  <c r="AM541" i="1"/>
  <c r="AL542" i="1"/>
  <c r="AM542" i="1"/>
  <c r="AL543" i="1"/>
  <c r="AM543" i="1"/>
  <c r="AL544" i="1"/>
  <c r="AM544" i="1"/>
  <c r="AL545" i="1"/>
  <c r="AM545" i="1"/>
  <c r="AL546" i="1"/>
  <c r="AM546" i="1"/>
  <c r="AL547" i="1"/>
  <c r="AM547" i="1"/>
  <c r="AL548" i="1"/>
  <c r="AM548" i="1"/>
  <c r="AL549" i="1"/>
  <c r="AM549" i="1"/>
  <c r="AL550" i="1"/>
  <c r="AM550" i="1"/>
  <c r="AL551" i="1"/>
  <c r="AM551" i="1"/>
  <c r="AL552" i="1"/>
  <c r="AM552" i="1"/>
  <c r="AL553" i="1"/>
  <c r="AM553" i="1"/>
  <c r="AL554" i="1"/>
  <c r="AM554" i="1"/>
  <c r="AL555" i="1"/>
  <c r="AM555" i="1"/>
  <c r="AL556" i="1"/>
  <c r="AM556" i="1"/>
  <c r="AL557" i="1"/>
  <c r="AM557" i="1"/>
  <c r="AL558" i="1"/>
  <c r="AM558" i="1"/>
  <c r="AL559" i="1"/>
  <c r="AM559" i="1"/>
  <c r="AL560" i="1"/>
  <c r="AM560" i="1"/>
  <c r="AL561" i="1"/>
  <c r="AM561" i="1"/>
  <c r="AL562" i="1"/>
  <c r="AM562" i="1"/>
  <c r="AM403" i="1"/>
  <c r="AL403" i="1"/>
  <c r="AS4" i="1"/>
  <c r="AT4" i="1"/>
  <c r="AS5" i="1"/>
  <c r="AT5" i="1"/>
  <c r="AS6" i="1"/>
  <c r="AT6" i="1"/>
  <c r="AS7" i="1"/>
  <c r="AT7" i="1"/>
  <c r="AS8" i="1"/>
  <c r="AT8" i="1"/>
  <c r="AS9" i="1"/>
  <c r="AT9" i="1"/>
  <c r="AS10" i="1"/>
  <c r="AT10" i="1"/>
  <c r="AS11" i="1"/>
  <c r="AT11" i="1"/>
  <c r="AS12" i="1"/>
  <c r="AT12" i="1"/>
  <c r="AS13" i="1"/>
  <c r="AT13" i="1"/>
  <c r="AS14" i="1"/>
  <c r="AT14" i="1"/>
  <c r="AS15" i="1"/>
  <c r="AT15" i="1"/>
  <c r="AS16" i="1"/>
  <c r="AT16" i="1"/>
  <c r="AS17" i="1"/>
  <c r="AT17" i="1"/>
  <c r="AS18" i="1"/>
  <c r="AT18" i="1"/>
  <c r="AS19" i="1"/>
  <c r="AT19" i="1"/>
  <c r="AS20" i="1"/>
  <c r="AT20" i="1"/>
  <c r="AS21" i="1"/>
  <c r="AT21" i="1"/>
  <c r="AS22" i="1"/>
  <c r="AT22" i="1"/>
  <c r="AS23" i="1"/>
  <c r="AT23" i="1"/>
  <c r="AS24" i="1"/>
  <c r="AT24" i="1"/>
  <c r="AS25" i="1"/>
  <c r="AT25" i="1"/>
  <c r="AS26" i="1"/>
  <c r="AT26" i="1"/>
  <c r="AS27" i="1"/>
  <c r="AT27" i="1"/>
  <c r="AS28" i="1"/>
  <c r="AT28" i="1"/>
  <c r="AS29" i="1"/>
  <c r="AT29" i="1"/>
  <c r="AS30" i="1"/>
  <c r="AT30" i="1"/>
  <c r="AS31" i="1"/>
  <c r="AT31" i="1"/>
  <c r="AS32" i="1"/>
  <c r="AT32" i="1"/>
  <c r="AS33" i="1"/>
  <c r="AT33" i="1"/>
  <c r="AS34" i="1"/>
  <c r="AT34" i="1"/>
  <c r="AS35" i="1"/>
  <c r="AT35" i="1"/>
  <c r="AS36" i="1"/>
  <c r="AT36" i="1"/>
  <c r="AS37" i="1"/>
  <c r="AT37" i="1"/>
  <c r="AS38" i="1"/>
  <c r="AT38" i="1"/>
  <c r="AS39" i="1"/>
  <c r="AT39" i="1"/>
  <c r="AS40" i="1"/>
  <c r="AT40" i="1"/>
  <c r="AS41" i="1"/>
  <c r="AT41" i="1"/>
  <c r="AS42" i="1"/>
  <c r="AT42" i="1"/>
  <c r="AS43" i="1"/>
  <c r="AT43" i="1"/>
  <c r="AS44" i="1"/>
  <c r="AT44" i="1"/>
  <c r="AS45" i="1"/>
  <c r="AT45" i="1"/>
  <c r="AS46" i="1"/>
  <c r="AT46" i="1"/>
  <c r="AS47" i="1"/>
  <c r="AT47" i="1"/>
  <c r="AS48" i="1"/>
  <c r="AT48" i="1"/>
  <c r="AS49" i="1"/>
  <c r="AT49" i="1"/>
  <c r="AS50" i="1"/>
  <c r="AT50" i="1"/>
  <c r="AS51" i="1"/>
  <c r="AT51" i="1"/>
  <c r="AS52" i="1"/>
  <c r="AT52" i="1"/>
  <c r="AS53" i="1"/>
  <c r="AT53" i="1"/>
  <c r="AS54" i="1"/>
  <c r="AT54" i="1"/>
  <c r="AS55" i="1"/>
  <c r="AT55" i="1"/>
  <c r="AS56" i="1"/>
  <c r="AT56" i="1"/>
  <c r="AS57" i="1"/>
  <c r="AT57" i="1"/>
  <c r="AS58" i="1"/>
  <c r="AT58" i="1"/>
  <c r="AS59" i="1"/>
  <c r="AT59" i="1"/>
  <c r="AS60" i="1"/>
  <c r="AT60" i="1"/>
  <c r="AS61" i="1"/>
  <c r="AT61" i="1"/>
  <c r="AS62" i="1"/>
  <c r="AT62" i="1"/>
  <c r="AS63" i="1"/>
  <c r="AT63" i="1"/>
  <c r="AS64" i="1"/>
  <c r="AT64" i="1"/>
  <c r="AS65" i="1"/>
  <c r="AT65" i="1"/>
  <c r="AS66" i="1"/>
  <c r="AT66" i="1"/>
  <c r="AS67" i="1"/>
  <c r="AT67" i="1"/>
  <c r="AS68" i="1"/>
  <c r="AT68" i="1"/>
  <c r="AS69" i="1"/>
  <c r="AT69" i="1"/>
  <c r="AS70" i="1"/>
  <c r="AT70" i="1"/>
  <c r="AS71" i="1"/>
  <c r="AT71" i="1"/>
  <c r="AS72" i="1"/>
  <c r="AT72" i="1"/>
  <c r="AS73" i="1"/>
  <c r="AT73" i="1"/>
  <c r="AS74" i="1"/>
  <c r="AT74" i="1"/>
  <c r="AS75" i="1"/>
  <c r="AT75" i="1"/>
  <c r="AS76" i="1"/>
  <c r="AT76" i="1"/>
  <c r="AS77" i="1"/>
  <c r="AT77" i="1"/>
  <c r="AS78" i="1"/>
  <c r="AT78" i="1"/>
  <c r="AS79" i="1"/>
  <c r="AT79" i="1"/>
  <c r="AS80" i="1"/>
  <c r="AT80" i="1"/>
  <c r="AS81" i="1"/>
  <c r="AT81" i="1"/>
  <c r="AS82" i="1"/>
  <c r="AT82" i="1"/>
  <c r="AS83" i="1"/>
  <c r="AT83" i="1"/>
  <c r="AS84" i="1"/>
  <c r="AT84" i="1"/>
  <c r="AS85" i="1"/>
  <c r="AT85" i="1"/>
  <c r="AS86" i="1"/>
  <c r="AT86" i="1"/>
  <c r="AS87" i="1"/>
  <c r="AT87" i="1"/>
  <c r="AS88" i="1"/>
  <c r="AT88" i="1"/>
  <c r="AS89" i="1"/>
  <c r="AT89" i="1"/>
  <c r="AS90" i="1"/>
  <c r="AT90" i="1"/>
  <c r="AS91" i="1"/>
  <c r="AT91" i="1"/>
  <c r="AS92" i="1"/>
  <c r="AT92" i="1"/>
  <c r="AS93" i="1"/>
  <c r="AT93" i="1"/>
  <c r="AS94" i="1"/>
  <c r="AT94" i="1"/>
  <c r="AS95" i="1"/>
  <c r="AT95" i="1"/>
  <c r="AS96" i="1"/>
  <c r="AT96" i="1"/>
  <c r="AS97" i="1"/>
  <c r="AT97" i="1"/>
  <c r="AS98" i="1"/>
  <c r="AT98" i="1"/>
  <c r="AS99" i="1"/>
  <c r="AT99" i="1"/>
  <c r="AS100" i="1"/>
  <c r="AT100" i="1"/>
  <c r="AS101" i="1"/>
  <c r="AT101" i="1"/>
  <c r="AS102" i="1"/>
  <c r="AT102" i="1"/>
  <c r="AS103" i="1"/>
  <c r="AT103" i="1"/>
  <c r="AS104" i="1"/>
  <c r="AT104" i="1"/>
  <c r="AS105" i="1"/>
  <c r="AT105" i="1"/>
  <c r="AS106" i="1"/>
  <c r="AT106" i="1"/>
  <c r="AS107" i="1"/>
  <c r="AT107" i="1"/>
  <c r="AS108" i="1"/>
  <c r="AT108" i="1"/>
  <c r="AS109" i="1"/>
  <c r="AT109" i="1"/>
  <c r="AS110" i="1"/>
  <c r="AT110" i="1"/>
  <c r="AS111" i="1"/>
  <c r="AT111" i="1"/>
  <c r="AS112" i="1"/>
  <c r="AT112" i="1"/>
  <c r="AS113" i="1"/>
  <c r="AT113" i="1"/>
  <c r="AS114" i="1"/>
  <c r="AT114" i="1"/>
  <c r="AS115" i="1"/>
  <c r="AT115" i="1"/>
  <c r="AS116" i="1"/>
  <c r="AT116" i="1"/>
  <c r="AS117" i="1"/>
  <c r="AT117" i="1"/>
  <c r="AS118" i="1"/>
  <c r="AT118" i="1"/>
  <c r="AS119" i="1"/>
  <c r="AT119" i="1"/>
  <c r="AS120" i="1"/>
  <c r="AT120" i="1"/>
  <c r="AS121" i="1"/>
  <c r="AT121" i="1"/>
  <c r="AS122" i="1"/>
  <c r="AT122" i="1"/>
  <c r="AS123" i="1"/>
  <c r="AT123" i="1"/>
  <c r="AS124" i="1"/>
  <c r="AT124" i="1"/>
  <c r="AS125" i="1"/>
  <c r="AT125" i="1"/>
  <c r="AS126" i="1"/>
  <c r="AT126" i="1"/>
  <c r="AS127" i="1"/>
  <c r="AT127" i="1"/>
  <c r="AS128" i="1"/>
  <c r="AT128" i="1"/>
  <c r="AS129" i="1"/>
  <c r="AT129" i="1"/>
  <c r="AS130" i="1"/>
  <c r="AT130" i="1"/>
  <c r="AS131" i="1"/>
  <c r="AT131" i="1"/>
  <c r="AS132" i="1"/>
  <c r="AT132" i="1"/>
  <c r="AS133" i="1"/>
  <c r="AT133" i="1"/>
  <c r="AS134" i="1"/>
  <c r="AT134" i="1"/>
  <c r="AS135" i="1"/>
  <c r="AT135" i="1"/>
  <c r="AS136" i="1"/>
  <c r="AT136" i="1"/>
  <c r="AS137" i="1"/>
  <c r="AT137" i="1"/>
  <c r="AS138" i="1"/>
  <c r="AT138" i="1"/>
  <c r="AS139" i="1"/>
  <c r="AT139" i="1"/>
  <c r="AS140" i="1"/>
  <c r="AT140" i="1"/>
  <c r="AS141" i="1"/>
  <c r="AT141" i="1"/>
  <c r="AS142" i="1"/>
  <c r="AT142" i="1"/>
  <c r="AS143" i="1"/>
  <c r="AT143" i="1"/>
  <c r="AS144" i="1"/>
  <c r="AT144" i="1"/>
  <c r="AS145" i="1"/>
  <c r="AT145" i="1"/>
  <c r="AS146" i="1"/>
  <c r="AT146" i="1"/>
  <c r="AS147" i="1"/>
  <c r="AT147" i="1"/>
  <c r="AS148" i="1"/>
  <c r="AT148" i="1"/>
  <c r="AS149" i="1"/>
  <c r="AT149" i="1"/>
  <c r="AS150" i="1"/>
  <c r="AT150" i="1"/>
  <c r="AS151" i="1"/>
  <c r="AT151" i="1"/>
  <c r="AS152" i="1"/>
  <c r="AT152" i="1"/>
  <c r="AS153" i="1"/>
  <c r="AT153" i="1"/>
  <c r="AS154" i="1"/>
  <c r="AT154" i="1"/>
  <c r="AS155" i="1"/>
  <c r="AT155" i="1"/>
  <c r="AS156" i="1"/>
  <c r="AT156" i="1"/>
  <c r="AS157" i="1"/>
  <c r="AT157" i="1"/>
  <c r="AS158" i="1"/>
  <c r="AT158" i="1"/>
  <c r="AS159" i="1"/>
  <c r="AT159" i="1"/>
  <c r="AS160" i="1"/>
  <c r="AT160" i="1"/>
  <c r="AS161" i="1"/>
  <c r="AT161" i="1"/>
  <c r="AS162" i="1"/>
  <c r="AT162" i="1"/>
  <c r="AS163" i="1"/>
  <c r="AT163" i="1"/>
  <c r="AS164" i="1"/>
  <c r="AT164" i="1"/>
  <c r="AS165" i="1"/>
  <c r="AT165" i="1"/>
  <c r="AS166" i="1"/>
  <c r="AT166" i="1"/>
  <c r="AS167" i="1"/>
  <c r="AT167" i="1"/>
  <c r="AS168" i="1"/>
  <c r="AT168" i="1"/>
  <c r="AS169" i="1"/>
  <c r="AT169" i="1"/>
  <c r="AS170" i="1"/>
  <c r="AT170" i="1"/>
  <c r="AS171" i="1"/>
  <c r="AT171" i="1"/>
  <c r="AS172" i="1"/>
  <c r="AT172" i="1"/>
  <c r="AS173" i="1"/>
  <c r="AT173" i="1"/>
  <c r="AS174" i="1"/>
  <c r="AT174" i="1"/>
  <c r="AS175" i="1"/>
  <c r="AT175" i="1"/>
  <c r="AS176" i="1"/>
  <c r="AT176" i="1"/>
  <c r="AS177" i="1"/>
  <c r="AT177" i="1"/>
  <c r="AS178" i="1"/>
  <c r="AT178" i="1"/>
  <c r="AS179" i="1"/>
  <c r="AT179" i="1"/>
  <c r="AS180" i="1"/>
  <c r="AT180" i="1"/>
  <c r="AS181" i="1"/>
  <c r="AT181" i="1"/>
  <c r="AS182" i="1"/>
  <c r="AT182" i="1"/>
  <c r="AS183" i="1"/>
  <c r="AT183" i="1"/>
  <c r="AS184" i="1"/>
  <c r="AT184" i="1"/>
  <c r="AS185" i="1"/>
  <c r="AT185" i="1"/>
  <c r="AS186" i="1"/>
  <c r="AT186" i="1"/>
  <c r="AS187" i="1"/>
  <c r="AT187" i="1"/>
  <c r="AS188" i="1"/>
  <c r="AT188" i="1"/>
  <c r="AS189" i="1"/>
  <c r="AT189" i="1"/>
  <c r="AS190" i="1"/>
  <c r="AT190" i="1"/>
  <c r="AS191" i="1"/>
  <c r="AT191" i="1"/>
  <c r="AS192" i="1"/>
  <c r="AT192" i="1"/>
  <c r="AS193" i="1"/>
  <c r="AT193" i="1"/>
  <c r="AS194" i="1"/>
  <c r="AT194" i="1"/>
  <c r="AS195" i="1"/>
  <c r="AT195" i="1"/>
  <c r="AS196" i="1"/>
  <c r="AT196" i="1"/>
  <c r="AS197" i="1"/>
  <c r="AT197" i="1"/>
  <c r="AS198" i="1"/>
  <c r="AT198" i="1"/>
  <c r="AS199" i="1"/>
  <c r="AT199" i="1"/>
  <c r="AS200" i="1"/>
  <c r="AT200" i="1"/>
  <c r="AS201" i="1"/>
  <c r="AT201" i="1"/>
  <c r="AS202" i="1"/>
  <c r="AT202" i="1"/>
  <c r="AS203" i="1"/>
  <c r="AT203" i="1"/>
  <c r="AS204" i="1"/>
  <c r="AT204" i="1"/>
  <c r="AS205" i="1"/>
  <c r="AT205" i="1"/>
  <c r="AS206" i="1"/>
  <c r="AT206" i="1"/>
  <c r="AS207" i="1"/>
  <c r="AT207" i="1"/>
  <c r="AS208" i="1"/>
  <c r="AT208" i="1"/>
  <c r="AS209" i="1"/>
  <c r="AT209" i="1"/>
  <c r="AS210" i="1"/>
  <c r="AT210" i="1"/>
  <c r="AS211" i="1"/>
  <c r="AT211" i="1"/>
  <c r="AS212" i="1"/>
  <c r="AT212" i="1"/>
  <c r="AS213" i="1"/>
  <c r="AT213" i="1"/>
  <c r="AS214" i="1"/>
  <c r="AT214" i="1"/>
  <c r="AS215" i="1"/>
  <c r="AT215" i="1"/>
  <c r="AS216" i="1"/>
  <c r="AT216" i="1"/>
  <c r="AS217" i="1"/>
  <c r="AT217" i="1"/>
  <c r="AS218" i="1"/>
  <c r="AT218" i="1"/>
  <c r="AS219" i="1"/>
  <c r="AT219" i="1"/>
  <c r="AS220" i="1"/>
  <c r="AT220" i="1"/>
  <c r="AS221" i="1"/>
  <c r="AT221" i="1"/>
  <c r="AS222" i="1"/>
  <c r="AT222" i="1"/>
  <c r="AS223" i="1"/>
  <c r="AT223" i="1"/>
  <c r="AS224" i="1"/>
  <c r="AT224" i="1"/>
  <c r="AS225" i="1"/>
  <c r="AT225" i="1"/>
  <c r="AS226" i="1"/>
  <c r="AT226" i="1"/>
  <c r="AS227" i="1"/>
  <c r="AT227" i="1"/>
  <c r="AS228" i="1"/>
  <c r="AT228" i="1"/>
  <c r="AS229" i="1"/>
  <c r="AT229" i="1"/>
  <c r="AS230" i="1"/>
  <c r="AT230" i="1"/>
  <c r="AS231" i="1"/>
  <c r="AT231" i="1"/>
  <c r="AS232" i="1"/>
  <c r="AT232" i="1"/>
  <c r="AS233" i="1"/>
  <c r="AT233" i="1"/>
  <c r="AS234" i="1"/>
  <c r="AT234" i="1"/>
  <c r="AS235" i="1"/>
  <c r="AT235" i="1"/>
  <c r="AS236" i="1"/>
  <c r="AT236" i="1"/>
  <c r="AS237" i="1"/>
  <c r="AT237" i="1"/>
  <c r="AS238" i="1"/>
  <c r="AT238" i="1"/>
  <c r="AS239" i="1"/>
  <c r="AT239" i="1"/>
  <c r="AS240" i="1"/>
  <c r="AT240" i="1"/>
  <c r="AS241" i="1"/>
  <c r="AT241" i="1"/>
  <c r="AS242" i="1"/>
  <c r="AT242" i="1"/>
  <c r="AS243" i="1"/>
  <c r="AT243" i="1"/>
  <c r="AS244" i="1"/>
  <c r="AT244" i="1"/>
  <c r="AS245" i="1"/>
  <c r="AT245" i="1"/>
  <c r="AS246" i="1"/>
  <c r="AT246" i="1"/>
  <c r="AS247" i="1"/>
  <c r="AT247" i="1"/>
  <c r="AS248" i="1"/>
  <c r="AT248" i="1"/>
  <c r="AS249" i="1"/>
  <c r="AT249" i="1"/>
  <c r="AS250" i="1"/>
  <c r="AT250" i="1"/>
  <c r="AS251" i="1"/>
  <c r="AT251" i="1"/>
  <c r="AS252" i="1"/>
  <c r="AT252" i="1"/>
  <c r="AS253" i="1"/>
  <c r="AT253" i="1"/>
  <c r="AS254" i="1"/>
  <c r="AT254" i="1"/>
  <c r="AS255" i="1"/>
  <c r="AT255" i="1"/>
  <c r="AS256" i="1"/>
  <c r="AT256" i="1"/>
  <c r="AS257" i="1"/>
  <c r="AT257" i="1"/>
  <c r="AS258" i="1"/>
  <c r="AT258" i="1"/>
  <c r="AS259" i="1"/>
  <c r="AT259" i="1"/>
  <c r="AS260" i="1"/>
  <c r="AT260" i="1"/>
  <c r="AS261" i="1"/>
  <c r="AT261" i="1"/>
  <c r="AS262" i="1"/>
  <c r="AT262" i="1"/>
  <c r="AS263" i="1"/>
  <c r="AT263" i="1"/>
  <c r="AS264" i="1"/>
  <c r="AT264" i="1"/>
  <c r="AS265" i="1"/>
  <c r="AT265" i="1"/>
  <c r="AS266" i="1"/>
  <c r="AT266" i="1"/>
  <c r="AS267" i="1"/>
  <c r="AT267" i="1"/>
  <c r="AS268" i="1"/>
  <c r="AT268" i="1"/>
  <c r="AS269" i="1"/>
  <c r="AT269" i="1"/>
  <c r="AS270" i="1"/>
  <c r="AT270" i="1"/>
  <c r="AS271" i="1"/>
  <c r="AT271" i="1"/>
  <c r="AS272" i="1"/>
  <c r="AT272" i="1"/>
  <c r="AS273" i="1"/>
  <c r="AT273" i="1"/>
  <c r="AS274" i="1"/>
  <c r="AT274" i="1"/>
  <c r="AS275" i="1"/>
  <c r="AT275" i="1"/>
  <c r="AS276" i="1"/>
  <c r="AT276" i="1"/>
  <c r="AS277" i="1"/>
  <c r="AT277" i="1"/>
  <c r="AS278" i="1"/>
  <c r="AT278" i="1"/>
  <c r="AS279" i="1"/>
  <c r="AT279" i="1"/>
  <c r="AS280" i="1"/>
  <c r="AT280" i="1"/>
  <c r="AS281" i="1"/>
  <c r="AT281" i="1"/>
  <c r="AS282" i="1"/>
  <c r="AT282" i="1"/>
  <c r="AS283" i="1"/>
  <c r="AT283" i="1"/>
  <c r="AS284" i="1"/>
  <c r="AT284" i="1"/>
  <c r="AS285" i="1"/>
  <c r="AT285" i="1"/>
  <c r="AS286" i="1"/>
  <c r="AT286" i="1"/>
  <c r="AS287" i="1"/>
  <c r="AT287" i="1"/>
  <c r="AS288" i="1"/>
  <c r="AT288" i="1"/>
  <c r="AS289" i="1"/>
  <c r="AT289" i="1"/>
  <c r="AS290" i="1"/>
  <c r="AT290" i="1"/>
  <c r="AS291" i="1"/>
  <c r="AT291" i="1"/>
  <c r="AS292" i="1"/>
  <c r="AT292" i="1"/>
  <c r="AS293" i="1"/>
  <c r="AT293" i="1"/>
  <c r="AS294" i="1"/>
  <c r="AT294" i="1"/>
  <c r="AS295" i="1"/>
  <c r="AT295" i="1"/>
  <c r="AS296" i="1"/>
  <c r="AT296" i="1"/>
  <c r="AS297" i="1"/>
  <c r="AT297" i="1"/>
  <c r="AS298" i="1"/>
  <c r="AT298" i="1"/>
  <c r="AS299" i="1"/>
  <c r="AT299" i="1"/>
  <c r="AS300" i="1"/>
  <c r="AT300" i="1"/>
  <c r="AS301" i="1"/>
  <c r="AT301" i="1"/>
  <c r="AS302" i="1"/>
  <c r="AT302" i="1"/>
  <c r="AS303" i="1"/>
  <c r="AT303" i="1"/>
  <c r="AS304" i="1"/>
  <c r="AT304" i="1"/>
  <c r="AS305" i="1"/>
  <c r="AT305" i="1"/>
  <c r="AS306" i="1"/>
  <c r="AT306" i="1"/>
  <c r="AS307" i="1"/>
  <c r="AT307" i="1"/>
  <c r="AS308" i="1"/>
  <c r="AT308" i="1"/>
  <c r="AS309" i="1"/>
  <c r="AT309" i="1"/>
  <c r="AS310" i="1"/>
  <c r="AT310" i="1"/>
  <c r="AS311" i="1"/>
  <c r="AT311" i="1"/>
  <c r="AS312" i="1"/>
  <c r="AT312" i="1"/>
  <c r="AS313" i="1"/>
  <c r="AT313" i="1"/>
  <c r="AS314" i="1"/>
  <c r="AT314" i="1"/>
  <c r="AS315" i="1"/>
  <c r="AT315" i="1"/>
  <c r="AS316" i="1"/>
  <c r="AT316" i="1"/>
  <c r="AS317" i="1"/>
  <c r="AT317" i="1"/>
  <c r="AS318" i="1"/>
  <c r="AT318" i="1"/>
  <c r="AS319" i="1"/>
  <c r="AT319" i="1"/>
  <c r="AS320" i="1"/>
  <c r="AT320" i="1"/>
  <c r="AS321" i="1"/>
  <c r="AT321" i="1"/>
  <c r="AS322" i="1"/>
  <c r="AT322" i="1"/>
  <c r="AS323" i="1"/>
  <c r="AT323" i="1"/>
  <c r="AS324" i="1"/>
  <c r="AT324" i="1"/>
  <c r="AS325" i="1"/>
  <c r="AT325" i="1"/>
  <c r="AS326" i="1"/>
  <c r="AT326" i="1"/>
  <c r="AS327" i="1"/>
  <c r="AT327" i="1"/>
  <c r="AS328" i="1"/>
  <c r="AT328" i="1"/>
  <c r="AS329" i="1"/>
  <c r="AT329" i="1"/>
  <c r="AS330" i="1"/>
  <c r="AT330" i="1"/>
  <c r="AS331" i="1"/>
  <c r="AT331" i="1"/>
  <c r="AS332" i="1"/>
  <c r="AT332" i="1"/>
  <c r="AS333" i="1"/>
  <c r="AT333" i="1"/>
  <c r="AS334" i="1"/>
  <c r="AT334" i="1"/>
  <c r="AS335" i="1"/>
  <c r="AT335" i="1"/>
  <c r="AS336" i="1"/>
  <c r="AT336" i="1"/>
  <c r="AS337" i="1"/>
  <c r="AT337" i="1"/>
  <c r="AS338" i="1"/>
  <c r="AT338" i="1"/>
  <c r="AS339" i="1"/>
  <c r="AT339" i="1"/>
  <c r="AS340" i="1"/>
  <c r="AT340" i="1"/>
  <c r="AS341" i="1"/>
  <c r="AT341" i="1"/>
  <c r="AS342" i="1"/>
  <c r="AT342" i="1"/>
  <c r="AS343" i="1"/>
  <c r="AT343" i="1"/>
  <c r="AS344" i="1"/>
  <c r="AT344" i="1"/>
  <c r="AS345" i="1"/>
  <c r="AT345" i="1"/>
  <c r="AS346" i="1"/>
  <c r="AT346" i="1"/>
  <c r="AS347" i="1"/>
  <c r="AT347" i="1"/>
  <c r="AS348" i="1"/>
  <c r="AT348" i="1"/>
  <c r="AS349" i="1"/>
  <c r="AT349" i="1"/>
  <c r="AS350" i="1"/>
  <c r="AT350" i="1"/>
  <c r="AS351" i="1"/>
  <c r="AT351" i="1"/>
  <c r="AS352" i="1"/>
  <c r="AT352" i="1"/>
  <c r="AS353" i="1"/>
  <c r="AT353" i="1"/>
  <c r="AS354" i="1"/>
  <c r="AT354" i="1"/>
  <c r="AS355" i="1"/>
  <c r="AT355" i="1"/>
  <c r="AS356" i="1"/>
  <c r="AT356" i="1"/>
  <c r="AS357" i="1"/>
  <c r="AT357" i="1"/>
  <c r="AS358" i="1"/>
  <c r="AT358" i="1"/>
  <c r="AS359" i="1"/>
  <c r="AT359" i="1"/>
  <c r="AS360" i="1"/>
  <c r="AT360" i="1"/>
  <c r="AS361" i="1"/>
  <c r="AT361" i="1"/>
  <c r="AS362" i="1"/>
  <c r="AT362" i="1"/>
  <c r="AS363" i="1"/>
  <c r="AT363" i="1"/>
  <c r="AS364" i="1"/>
  <c r="AT364" i="1"/>
  <c r="AS365" i="1"/>
  <c r="AT365" i="1"/>
  <c r="AS366" i="1"/>
  <c r="AT366" i="1"/>
  <c r="AS367" i="1"/>
  <c r="AT367" i="1"/>
  <c r="AS368" i="1"/>
  <c r="AT368" i="1"/>
  <c r="AS369" i="1"/>
  <c r="AT369" i="1"/>
  <c r="AS370" i="1"/>
  <c r="AT370" i="1"/>
  <c r="AS371" i="1"/>
  <c r="AT371" i="1"/>
  <c r="AS372" i="1"/>
  <c r="AT372" i="1"/>
  <c r="AS373" i="1"/>
  <c r="AT373" i="1"/>
  <c r="AS374" i="1"/>
  <c r="AT374" i="1"/>
  <c r="AS375" i="1"/>
  <c r="AT375" i="1"/>
  <c r="AS376" i="1"/>
  <c r="AT376" i="1"/>
  <c r="AS377" i="1"/>
  <c r="AT377" i="1"/>
  <c r="AS378" i="1"/>
  <c r="AT378" i="1"/>
  <c r="AS379" i="1"/>
  <c r="AT379" i="1"/>
  <c r="AS380" i="1"/>
  <c r="AT380" i="1"/>
  <c r="AS381" i="1"/>
  <c r="AT381" i="1"/>
  <c r="AS382" i="1"/>
  <c r="AT382" i="1"/>
  <c r="AS383" i="1"/>
  <c r="AT383" i="1"/>
  <c r="AS384" i="1"/>
  <c r="AT384" i="1"/>
  <c r="AS385" i="1"/>
  <c r="AT385" i="1"/>
  <c r="AS386" i="1"/>
  <c r="AT386" i="1"/>
  <c r="AS387" i="1"/>
  <c r="AT387" i="1"/>
  <c r="AS388" i="1"/>
  <c r="AT388" i="1"/>
  <c r="AS389" i="1"/>
  <c r="AT389" i="1"/>
  <c r="AS390" i="1"/>
  <c r="AT390" i="1"/>
  <c r="AS391" i="1"/>
  <c r="AT391" i="1"/>
  <c r="AS392" i="1"/>
  <c r="AT392" i="1"/>
  <c r="AS393" i="1"/>
  <c r="AT393" i="1"/>
  <c r="AS394" i="1"/>
  <c r="AT394" i="1"/>
  <c r="AS395" i="1"/>
  <c r="AT395" i="1"/>
  <c r="AS396" i="1"/>
  <c r="AT396" i="1"/>
  <c r="AS397" i="1"/>
  <c r="AT397" i="1"/>
  <c r="AS398" i="1"/>
  <c r="AT398" i="1"/>
  <c r="AS399" i="1"/>
  <c r="AT399" i="1"/>
  <c r="AS400" i="1"/>
  <c r="AT400" i="1"/>
  <c r="AS401" i="1"/>
  <c r="AT401" i="1"/>
  <c r="AS402" i="1"/>
  <c r="AT402" i="1"/>
  <c r="AS403" i="1"/>
  <c r="AT403" i="1"/>
  <c r="AS404" i="1"/>
  <c r="AT404" i="1"/>
  <c r="AS405" i="1"/>
  <c r="AT405" i="1"/>
  <c r="AS406" i="1"/>
  <c r="AT406" i="1"/>
  <c r="AS407" i="1"/>
  <c r="AT407" i="1"/>
  <c r="AS408" i="1"/>
  <c r="AT408" i="1"/>
  <c r="AS409" i="1"/>
  <c r="AT409" i="1"/>
  <c r="AS410" i="1"/>
  <c r="AT410" i="1"/>
  <c r="AS411" i="1"/>
  <c r="AT411" i="1"/>
  <c r="AS412" i="1"/>
  <c r="AT412" i="1"/>
  <c r="AS413" i="1"/>
  <c r="AT413" i="1"/>
  <c r="AS414" i="1"/>
  <c r="AT414" i="1"/>
  <c r="AS415" i="1"/>
  <c r="AT415" i="1"/>
  <c r="AS416" i="1"/>
  <c r="AT416" i="1"/>
  <c r="AS417" i="1"/>
  <c r="AT417" i="1"/>
  <c r="AS418" i="1"/>
  <c r="AT418" i="1"/>
  <c r="AS419" i="1"/>
  <c r="AT419" i="1"/>
  <c r="AS420" i="1"/>
  <c r="AT420" i="1"/>
  <c r="AS421" i="1"/>
  <c r="AT421" i="1"/>
  <c r="AS422" i="1"/>
  <c r="AT422" i="1"/>
  <c r="AS423" i="1"/>
  <c r="AT423" i="1"/>
  <c r="AS424" i="1"/>
  <c r="AT424" i="1"/>
  <c r="AS425" i="1"/>
  <c r="AT425" i="1"/>
  <c r="AS426" i="1"/>
  <c r="AT426" i="1"/>
  <c r="AS427" i="1"/>
  <c r="AT427" i="1"/>
  <c r="AS428" i="1"/>
  <c r="AT428" i="1"/>
  <c r="AS429" i="1"/>
  <c r="AT429" i="1"/>
  <c r="AS430" i="1"/>
  <c r="AT430" i="1"/>
  <c r="AS431" i="1"/>
  <c r="AT431" i="1"/>
  <c r="AS432" i="1"/>
  <c r="AT432" i="1"/>
  <c r="AS433" i="1"/>
  <c r="AT433" i="1"/>
  <c r="AS434" i="1"/>
  <c r="AT434" i="1"/>
  <c r="AS435" i="1"/>
  <c r="AT435" i="1"/>
  <c r="AS436" i="1"/>
  <c r="AT436" i="1"/>
  <c r="AS437" i="1"/>
  <c r="AT437" i="1"/>
  <c r="AS438" i="1"/>
  <c r="AT438" i="1"/>
  <c r="AS439" i="1"/>
  <c r="AT439" i="1"/>
  <c r="AS440" i="1"/>
  <c r="AT440" i="1"/>
  <c r="AS441" i="1"/>
  <c r="AT441" i="1"/>
  <c r="AS442" i="1"/>
  <c r="AT442" i="1"/>
  <c r="AS443" i="1"/>
  <c r="AT443" i="1"/>
  <c r="AS444" i="1"/>
  <c r="AT444" i="1"/>
  <c r="AS445" i="1"/>
  <c r="AT445" i="1"/>
  <c r="AS446" i="1"/>
  <c r="AT446" i="1"/>
  <c r="AS447" i="1"/>
  <c r="AT447" i="1"/>
  <c r="AS448" i="1"/>
  <c r="AT448" i="1"/>
  <c r="AS449" i="1"/>
  <c r="AT449" i="1"/>
  <c r="AS450" i="1"/>
  <c r="AT450" i="1"/>
  <c r="AS451" i="1"/>
  <c r="AT451" i="1"/>
  <c r="AS452" i="1"/>
  <c r="AT452" i="1"/>
  <c r="AS453" i="1"/>
  <c r="AT453" i="1"/>
  <c r="AS454" i="1"/>
  <c r="AT454" i="1"/>
  <c r="AS455" i="1"/>
  <c r="AT455" i="1"/>
  <c r="AS456" i="1"/>
  <c r="AT456" i="1"/>
  <c r="AS457" i="1"/>
  <c r="AT457" i="1"/>
  <c r="AS458" i="1"/>
  <c r="AT458" i="1"/>
  <c r="AS459" i="1"/>
  <c r="AT459" i="1"/>
  <c r="AS460" i="1"/>
  <c r="AT460" i="1"/>
  <c r="AS461" i="1"/>
  <c r="AT461" i="1"/>
  <c r="AS462" i="1"/>
  <c r="AT462" i="1"/>
  <c r="AS463" i="1"/>
  <c r="AT463" i="1"/>
  <c r="AS464" i="1"/>
  <c r="AT464" i="1"/>
  <c r="AS465" i="1"/>
  <c r="AT465" i="1"/>
  <c r="AS466" i="1"/>
  <c r="AT466" i="1"/>
  <c r="AS467" i="1"/>
  <c r="AT467" i="1"/>
  <c r="AS468" i="1"/>
  <c r="AT468" i="1"/>
  <c r="AS469" i="1"/>
  <c r="AT469" i="1"/>
  <c r="AS470" i="1"/>
  <c r="AT470" i="1"/>
  <c r="AS471" i="1"/>
  <c r="AT471" i="1"/>
  <c r="AS472" i="1"/>
  <c r="AT472" i="1"/>
  <c r="AS473" i="1"/>
  <c r="AT473" i="1"/>
  <c r="AS474" i="1"/>
  <c r="AT474" i="1"/>
  <c r="AS475" i="1"/>
  <c r="AT475" i="1"/>
  <c r="AS476" i="1"/>
  <c r="AT476" i="1"/>
  <c r="AS477" i="1"/>
  <c r="AT477" i="1"/>
  <c r="AS478" i="1"/>
  <c r="AT478" i="1"/>
  <c r="AS479" i="1"/>
  <c r="AT479" i="1"/>
  <c r="AS480" i="1"/>
  <c r="AT480" i="1"/>
  <c r="AS481" i="1"/>
  <c r="AT481" i="1"/>
  <c r="AS482" i="1"/>
  <c r="AT482" i="1"/>
  <c r="AS483" i="1"/>
  <c r="AT483" i="1"/>
  <c r="AS484" i="1"/>
  <c r="AT484" i="1"/>
  <c r="AS485" i="1"/>
  <c r="AT485" i="1"/>
  <c r="AS486" i="1"/>
  <c r="AT486" i="1"/>
  <c r="AS487" i="1"/>
  <c r="AT487" i="1"/>
  <c r="AS488" i="1"/>
  <c r="AT488" i="1"/>
  <c r="AS489" i="1"/>
  <c r="AT489" i="1"/>
  <c r="AS490" i="1"/>
  <c r="AT490" i="1"/>
  <c r="AS491" i="1"/>
  <c r="AT491" i="1"/>
  <c r="AS492" i="1"/>
  <c r="AT492" i="1"/>
  <c r="AS493" i="1"/>
  <c r="AT493" i="1"/>
  <c r="AS494" i="1"/>
  <c r="AT494" i="1"/>
  <c r="AS495" i="1"/>
  <c r="AT495" i="1"/>
  <c r="AS496" i="1"/>
  <c r="AT496" i="1"/>
  <c r="AS497" i="1"/>
  <c r="AT497" i="1"/>
  <c r="AS498" i="1"/>
  <c r="AT498" i="1"/>
  <c r="AS499" i="1"/>
  <c r="AT499" i="1"/>
  <c r="AS500" i="1"/>
  <c r="AT500" i="1"/>
  <c r="AS501" i="1"/>
  <c r="AT501" i="1"/>
  <c r="AS502" i="1"/>
  <c r="AT502" i="1"/>
  <c r="AS503" i="1"/>
  <c r="AT503" i="1"/>
  <c r="AS504" i="1"/>
  <c r="AT504" i="1"/>
  <c r="AS505" i="1"/>
  <c r="AT505" i="1"/>
  <c r="AS506" i="1"/>
  <c r="AT506" i="1"/>
  <c r="AS507" i="1"/>
  <c r="AT507" i="1"/>
  <c r="AS508" i="1"/>
  <c r="AT508" i="1"/>
  <c r="AS509" i="1"/>
  <c r="AT509" i="1"/>
  <c r="AS510" i="1"/>
  <c r="AT510" i="1"/>
  <c r="AS511" i="1"/>
  <c r="AT511" i="1"/>
  <c r="AS512" i="1"/>
  <c r="AT512" i="1"/>
  <c r="AS513" i="1"/>
  <c r="AT513" i="1"/>
  <c r="AS514" i="1"/>
  <c r="AT514" i="1"/>
  <c r="AS515" i="1"/>
  <c r="AT515" i="1"/>
  <c r="AS516" i="1"/>
  <c r="AT516" i="1"/>
  <c r="AS517" i="1"/>
  <c r="AT517" i="1"/>
  <c r="AS518" i="1"/>
  <c r="AT518" i="1"/>
  <c r="AS519" i="1"/>
  <c r="AT519" i="1"/>
  <c r="AS520" i="1"/>
  <c r="AT520" i="1"/>
  <c r="AS521" i="1"/>
  <c r="AT521" i="1"/>
  <c r="AS522" i="1"/>
  <c r="AT522" i="1"/>
  <c r="AS523" i="1"/>
  <c r="AT523" i="1"/>
  <c r="AS524" i="1"/>
  <c r="AT524" i="1"/>
  <c r="AS525" i="1"/>
  <c r="AT525" i="1"/>
  <c r="AS526" i="1"/>
  <c r="AT526" i="1"/>
  <c r="AS527" i="1"/>
  <c r="AT527" i="1"/>
  <c r="AS528" i="1"/>
  <c r="AT528" i="1"/>
  <c r="AS529" i="1"/>
  <c r="AT529" i="1"/>
  <c r="AS530" i="1"/>
  <c r="AT530" i="1"/>
  <c r="AS531" i="1"/>
  <c r="AT531" i="1"/>
  <c r="AS532" i="1"/>
  <c r="AT532" i="1"/>
  <c r="AS533" i="1"/>
  <c r="AT533" i="1"/>
  <c r="AS534" i="1"/>
  <c r="AT534" i="1"/>
  <c r="AS535" i="1"/>
  <c r="AT535" i="1"/>
  <c r="AS536" i="1"/>
  <c r="AT536" i="1"/>
  <c r="AS537" i="1"/>
  <c r="AT537" i="1"/>
  <c r="AS538" i="1"/>
  <c r="AT538" i="1"/>
  <c r="AS539" i="1"/>
  <c r="AT539" i="1"/>
  <c r="AS540" i="1"/>
  <c r="AT540" i="1"/>
  <c r="AS541" i="1"/>
  <c r="AT541" i="1"/>
  <c r="AS542" i="1"/>
  <c r="AT542" i="1"/>
  <c r="AS543" i="1"/>
  <c r="AT543" i="1"/>
  <c r="AS544" i="1"/>
  <c r="AT544" i="1"/>
  <c r="AS545" i="1"/>
  <c r="AT545" i="1"/>
  <c r="AS546" i="1"/>
  <c r="AT546" i="1"/>
  <c r="AS547" i="1"/>
  <c r="AT547" i="1"/>
  <c r="AS548" i="1"/>
  <c r="AT548" i="1"/>
  <c r="AS549" i="1"/>
  <c r="AT549" i="1"/>
  <c r="AS550" i="1"/>
  <c r="AT550" i="1"/>
  <c r="AS551" i="1"/>
  <c r="AT551" i="1"/>
  <c r="AS552" i="1"/>
  <c r="AT552" i="1"/>
  <c r="AS553" i="1"/>
  <c r="AT553" i="1"/>
  <c r="AS554" i="1"/>
  <c r="AT554" i="1"/>
  <c r="AS555" i="1"/>
  <c r="AT555" i="1"/>
  <c r="AS556" i="1"/>
  <c r="AT556" i="1"/>
  <c r="AS557" i="1"/>
  <c r="AT557" i="1"/>
  <c r="AS558" i="1"/>
  <c r="AT558" i="1"/>
  <c r="AS559" i="1"/>
  <c r="AT559" i="1"/>
  <c r="AS560" i="1"/>
  <c r="AT560" i="1"/>
  <c r="AS561" i="1"/>
  <c r="AT561" i="1"/>
  <c r="AS562" i="1"/>
  <c r="AT562" i="1"/>
  <c r="AS563" i="1"/>
  <c r="AT563" i="1"/>
  <c r="AS564" i="1"/>
  <c r="AT564" i="1"/>
  <c r="AS565" i="1"/>
  <c r="AT565" i="1"/>
  <c r="AS566" i="1"/>
  <c r="AT566" i="1"/>
  <c r="AS567" i="1"/>
  <c r="AT567" i="1"/>
  <c r="AS568" i="1"/>
  <c r="AT568" i="1"/>
  <c r="AS569" i="1"/>
  <c r="AT569" i="1"/>
  <c r="AS570" i="1"/>
  <c r="AT570" i="1"/>
  <c r="AS571" i="1"/>
  <c r="AT571" i="1"/>
  <c r="AS572" i="1"/>
  <c r="AT572" i="1"/>
  <c r="AS573" i="1"/>
  <c r="AT573" i="1"/>
  <c r="AS574" i="1"/>
  <c r="AT574" i="1"/>
  <c r="AS575" i="1"/>
  <c r="AT575" i="1"/>
  <c r="AS576" i="1"/>
  <c r="AT576" i="1"/>
  <c r="AS577" i="1"/>
  <c r="AT577" i="1"/>
  <c r="AS578" i="1"/>
  <c r="AT578" i="1"/>
  <c r="AS579" i="1"/>
  <c r="AT579" i="1"/>
  <c r="AS580" i="1"/>
  <c r="AT580" i="1"/>
  <c r="AS581" i="1"/>
  <c r="AT581" i="1"/>
  <c r="AS582" i="1"/>
  <c r="AT582" i="1"/>
  <c r="AT3" i="1"/>
  <c r="AS3" i="1"/>
  <c r="G414" i="1"/>
  <c r="G424" i="1" s="1"/>
  <c r="G434" i="1" s="1"/>
  <c r="G444" i="1" s="1"/>
  <c r="G454" i="1" s="1"/>
  <c r="G464" i="1" s="1"/>
  <c r="G474" i="1" s="1"/>
  <c r="G484" i="1" s="1"/>
  <c r="G494" i="1" s="1"/>
  <c r="G504" i="1" s="1"/>
  <c r="G514" i="1" s="1"/>
  <c r="G524" i="1" s="1"/>
  <c r="G534" i="1" s="1"/>
  <c r="G544" i="1" s="1"/>
  <c r="G554" i="1" s="1"/>
  <c r="G415" i="1"/>
  <c r="G425" i="1" s="1"/>
  <c r="G435" i="1" s="1"/>
  <c r="G445" i="1" s="1"/>
  <c r="G455" i="1" s="1"/>
  <c r="G465" i="1" s="1"/>
  <c r="G475" i="1" s="1"/>
  <c r="G485" i="1" s="1"/>
  <c r="G495" i="1" s="1"/>
  <c r="G505" i="1" s="1"/>
  <c r="G515" i="1" s="1"/>
  <c r="G525" i="1" s="1"/>
  <c r="G535" i="1" s="1"/>
  <c r="G545" i="1" s="1"/>
  <c r="G555" i="1" s="1"/>
  <c r="G416" i="1"/>
  <c r="G426" i="1" s="1"/>
  <c r="G436" i="1" s="1"/>
  <c r="G446" i="1" s="1"/>
  <c r="G456" i="1" s="1"/>
  <c r="G466" i="1" s="1"/>
  <c r="G476" i="1" s="1"/>
  <c r="G486" i="1" s="1"/>
  <c r="G496" i="1" s="1"/>
  <c r="G506" i="1" s="1"/>
  <c r="G516" i="1" s="1"/>
  <c r="G526" i="1" s="1"/>
  <c r="G536" i="1" s="1"/>
  <c r="G546" i="1" s="1"/>
  <c r="G556" i="1" s="1"/>
  <c r="G417" i="1"/>
  <c r="G427" i="1" s="1"/>
  <c r="G437" i="1" s="1"/>
  <c r="G447" i="1" s="1"/>
  <c r="G457" i="1" s="1"/>
  <c r="G467" i="1" s="1"/>
  <c r="G477" i="1" s="1"/>
  <c r="G487" i="1" s="1"/>
  <c r="G497" i="1" s="1"/>
  <c r="G507" i="1" s="1"/>
  <c r="G517" i="1" s="1"/>
  <c r="G527" i="1" s="1"/>
  <c r="G537" i="1" s="1"/>
  <c r="G547" i="1" s="1"/>
  <c r="G557" i="1" s="1"/>
  <c r="G418" i="1"/>
  <c r="G428" i="1" s="1"/>
  <c r="G438" i="1" s="1"/>
  <c r="G448" i="1" s="1"/>
  <c r="G458" i="1" s="1"/>
  <c r="G468" i="1" s="1"/>
  <c r="G478" i="1" s="1"/>
  <c r="G488" i="1" s="1"/>
  <c r="G498" i="1" s="1"/>
  <c r="G508" i="1" s="1"/>
  <c r="G518" i="1" s="1"/>
  <c r="G528" i="1" s="1"/>
  <c r="G538" i="1" s="1"/>
  <c r="G548" i="1" s="1"/>
  <c r="G558" i="1" s="1"/>
  <c r="G419" i="1"/>
  <c r="G429" i="1" s="1"/>
  <c r="G439" i="1" s="1"/>
  <c r="G449" i="1" s="1"/>
  <c r="G459" i="1" s="1"/>
  <c r="G469" i="1" s="1"/>
  <c r="G479" i="1" s="1"/>
  <c r="G489" i="1" s="1"/>
  <c r="G499" i="1" s="1"/>
  <c r="G509" i="1" s="1"/>
  <c r="G519" i="1" s="1"/>
  <c r="G529" i="1" s="1"/>
  <c r="G539" i="1" s="1"/>
  <c r="G549" i="1" s="1"/>
  <c r="G559" i="1" s="1"/>
  <c r="G420" i="1"/>
  <c r="G430" i="1" s="1"/>
  <c r="G440" i="1" s="1"/>
  <c r="G450" i="1" s="1"/>
  <c r="G460" i="1" s="1"/>
  <c r="G470" i="1" s="1"/>
  <c r="G480" i="1" s="1"/>
  <c r="G490" i="1" s="1"/>
  <c r="G500" i="1" s="1"/>
  <c r="G510" i="1" s="1"/>
  <c r="G520" i="1" s="1"/>
  <c r="G530" i="1" s="1"/>
  <c r="G540" i="1" s="1"/>
  <c r="G550" i="1" s="1"/>
  <c r="G560" i="1" s="1"/>
  <c r="G421" i="1"/>
  <c r="G431" i="1" s="1"/>
  <c r="G441" i="1" s="1"/>
  <c r="G451" i="1" s="1"/>
  <c r="G461" i="1" s="1"/>
  <c r="G471" i="1" s="1"/>
  <c r="G481" i="1" s="1"/>
  <c r="G491" i="1" s="1"/>
  <c r="G501" i="1" s="1"/>
  <c r="G511" i="1" s="1"/>
  <c r="G521" i="1" s="1"/>
  <c r="G531" i="1" s="1"/>
  <c r="G541" i="1" s="1"/>
  <c r="G551" i="1" s="1"/>
  <c r="G561" i="1" s="1"/>
  <c r="G422" i="1"/>
  <c r="G432" i="1" s="1"/>
  <c r="G442" i="1" s="1"/>
  <c r="G452" i="1" s="1"/>
  <c r="G462" i="1" s="1"/>
  <c r="G472" i="1" s="1"/>
  <c r="G482" i="1" s="1"/>
  <c r="G492" i="1" s="1"/>
  <c r="G502" i="1" s="1"/>
  <c r="G512" i="1" s="1"/>
  <c r="G522" i="1" s="1"/>
  <c r="G532" i="1" s="1"/>
  <c r="G542" i="1" s="1"/>
  <c r="G552" i="1" s="1"/>
  <c r="G562" i="1" s="1"/>
  <c r="G413" i="1"/>
  <c r="G423" i="1" s="1"/>
  <c r="G433" i="1" s="1"/>
  <c r="G443" i="1" s="1"/>
  <c r="G453" i="1" s="1"/>
  <c r="G463" i="1" s="1"/>
  <c r="G473" i="1" s="1"/>
  <c r="CA414" i="1"/>
  <c r="CA424" i="1" s="1"/>
  <c r="CA434" i="1" s="1"/>
  <c r="CA444" i="1" s="1"/>
  <c r="CA454" i="1" s="1"/>
  <c r="CA464" i="1" s="1"/>
  <c r="CA474" i="1" s="1"/>
  <c r="CA484" i="1" s="1"/>
  <c r="CA494" i="1" s="1"/>
  <c r="CA504" i="1" s="1"/>
  <c r="CA514" i="1" s="1"/>
  <c r="CA524" i="1" s="1"/>
  <c r="CA534" i="1" s="1"/>
  <c r="CA544" i="1" s="1"/>
  <c r="CA554" i="1" s="1"/>
  <c r="CA415" i="1"/>
  <c r="CA425" i="1" s="1"/>
  <c r="CA435" i="1" s="1"/>
  <c r="CA445" i="1" s="1"/>
  <c r="CA455" i="1" s="1"/>
  <c r="CA465" i="1" s="1"/>
  <c r="CA475" i="1" s="1"/>
  <c r="CA485" i="1" s="1"/>
  <c r="CA495" i="1" s="1"/>
  <c r="CA505" i="1" s="1"/>
  <c r="CA515" i="1" s="1"/>
  <c r="CA525" i="1" s="1"/>
  <c r="CA535" i="1" s="1"/>
  <c r="CA545" i="1" s="1"/>
  <c r="CA555" i="1" s="1"/>
  <c r="CA416" i="1"/>
  <c r="CA426" i="1" s="1"/>
  <c r="CA436" i="1" s="1"/>
  <c r="CA446" i="1" s="1"/>
  <c r="CA456" i="1" s="1"/>
  <c r="CA466" i="1" s="1"/>
  <c r="CA476" i="1" s="1"/>
  <c r="CA486" i="1" s="1"/>
  <c r="CA496" i="1" s="1"/>
  <c r="CA506" i="1" s="1"/>
  <c r="CA516" i="1" s="1"/>
  <c r="CA526" i="1" s="1"/>
  <c r="CA536" i="1" s="1"/>
  <c r="CA546" i="1" s="1"/>
  <c r="CA556" i="1" s="1"/>
  <c r="CA417" i="1"/>
  <c r="CA427" i="1" s="1"/>
  <c r="CA437" i="1" s="1"/>
  <c r="CA447" i="1" s="1"/>
  <c r="CA457" i="1" s="1"/>
  <c r="CA467" i="1" s="1"/>
  <c r="CA477" i="1" s="1"/>
  <c r="CA487" i="1" s="1"/>
  <c r="CA497" i="1" s="1"/>
  <c r="CA507" i="1" s="1"/>
  <c r="CA517" i="1" s="1"/>
  <c r="CA527" i="1" s="1"/>
  <c r="CA537" i="1" s="1"/>
  <c r="CA547" i="1" s="1"/>
  <c r="CA557" i="1" s="1"/>
  <c r="CA418" i="1"/>
  <c r="CA428" i="1" s="1"/>
  <c r="CA438" i="1" s="1"/>
  <c r="CA448" i="1" s="1"/>
  <c r="CA458" i="1" s="1"/>
  <c r="CA468" i="1" s="1"/>
  <c r="CA478" i="1" s="1"/>
  <c r="CA488" i="1" s="1"/>
  <c r="CA498" i="1" s="1"/>
  <c r="CA508" i="1" s="1"/>
  <c r="CA518" i="1" s="1"/>
  <c r="CA528" i="1" s="1"/>
  <c r="CA538" i="1" s="1"/>
  <c r="CA548" i="1" s="1"/>
  <c r="CA558" i="1" s="1"/>
  <c r="CA419" i="1"/>
  <c r="CA429" i="1" s="1"/>
  <c r="CA439" i="1" s="1"/>
  <c r="CA449" i="1" s="1"/>
  <c r="CA459" i="1" s="1"/>
  <c r="CA469" i="1" s="1"/>
  <c r="CA479" i="1" s="1"/>
  <c r="CA489" i="1" s="1"/>
  <c r="CA499" i="1" s="1"/>
  <c r="CA509" i="1" s="1"/>
  <c r="CA519" i="1" s="1"/>
  <c r="CA529" i="1" s="1"/>
  <c r="CA539" i="1" s="1"/>
  <c r="CA549" i="1" s="1"/>
  <c r="CA559" i="1" s="1"/>
  <c r="CA420" i="1"/>
  <c r="CA430" i="1" s="1"/>
  <c r="CA440" i="1" s="1"/>
  <c r="CA450" i="1" s="1"/>
  <c r="CA460" i="1" s="1"/>
  <c r="CA470" i="1" s="1"/>
  <c r="CA480" i="1" s="1"/>
  <c r="CA490" i="1" s="1"/>
  <c r="CA500" i="1" s="1"/>
  <c r="CA510" i="1" s="1"/>
  <c r="CA520" i="1" s="1"/>
  <c r="CA530" i="1" s="1"/>
  <c r="CA540" i="1" s="1"/>
  <c r="CA550" i="1" s="1"/>
  <c r="CA560" i="1" s="1"/>
  <c r="CA421" i="1"/>
  <c r="CA431" i="1" s="1"/>
  <c r="CA441" i="1" s="1"/>
  <c r="CA451" i="1" s="1"/>
  <c r="CA461" i="1" s="1"/>
  <c r="CA471" i="1" s="1"/>
  <c r="CA481" i="1" s="1"/>
  <c r="CA491" i="1" s="1"/>
  <c r="CA501" i="1" s="1"/>
  <c r="CA511" i="1" s="1"/>
  <c r="CA521" i="1" s="1"/>
  <c r="CA531" i="1" s="1"/>
  <c r="CA541" i="1" s="1"/>
  <c r="CA551" i="1" s="1"/>
  <c r="CA561" i="1" s="1"/>
  <c r="CA422" i="1"/>
  <c r="CA432" i="1" s="1"/>
  <c r="CA442" i="1" s="1"/>
  <c r="CA452" i="1" s="1"/>
  <c r="CA462" i="1" s="1"/>
  <c r="CA472" i="1" s="1"/>
  <c r="CA482" i="1" s="1"/>
  <c r="CA492" i="1" s="1"/>
  <c r="CA502" i="1" s="1"/>
  <c r="CA512" i="1" s="1"/>
  <c r="CA522" i="1" s="1"/>
  <c r="CA532" i="1" s="1"/>
  <c r="CA542" i="1" s="1"/>
  <c r="CA552" i="1" s="1"/>
  <c r="CA562" i="1" s="1"/>
  <c r="CA413" i="1"/>
  <c r="CA423" i="1" s="1"/>
  <c r="CA433" i="1" s="1"/>
  <c r="CA443" i="1" s="1"/>
  <c r="CA453" i="1" s="1"/>
  <c r="CA463" i="1" s="1"/>
  <c r="CA473" i="1" s="1"/>
  <c r="CA483" i="1" s="1"/>
  <c r="CA493" i="1" s="1"/>
  <c r="CA503" i="1" s="1"/>
  <c r="CA513" i="1" s="1"/>
  <c r="CA523" i="1" s="1"/>
  <c r="CA533" i="1" s="1"/>
  <c r="CA543" i="1" s="1"/>
  <c r="CA553" i="1" s="1"/>
  <c r="AK414" i="1"/>
  <c r="AK424" i="1" s="1"/>
  <c r="AK434" i="1" s="1"/>
  <c r="AK444" i="1" s="1"/>
  <c r="AK454" i="1" s="1"/>
  <c r="AK464" i="1" s="1"/>
  <c r="AK474" i="1" s="1"/>
  <c r="AK484" i="1" s="1"/>
  <c r="AK494" i="1" s="1"/>
  <c r="AK504" i="1" s="1"/>
  <c r="AK514" i="1" s="1"/>
  <c r="AK524" i="1" s="1"/>
  <c r="AK534" i="1" s="1"/>
  <c r="AK544" i="1" s="1"/>
  <c r="AK554" i="1" s="1"/>
  <c r="AK415" i="1"/>
  <c r="AK425" i="1" s="1"/>
  <c r="AK435" i="1" s="1"/>
  <c r="AK445" i="1" s="1"/>
  <c r="AK455" i="1" s="1"/>
  <c r="AK465" i="1" s="1"/>
  <c r="AK475" i="1" s="1"/>
  <c r="AK485" i="1" s="1"/>
  <c r="AK495" i="1" s="1"/>
  <c r="AK505" i="1" s="1"/>
  <c r="AK515" i="1" s="1"/>
  <c r="AK525" i="1" s="1"/>
  <c r="AK535" i="1" s="1"/>
  <c r="AK545" i="1" s="1"/>
  <c r="AK555" i="1" s="1"/>
  <c r="AK416" i="1"/>
  <c r="AK426" i="1" s="1"/>
  <c r="AK436" i="1" s="1"/>
  <c r="AK446" i="1" s="1"/>
  <c r="AK456" i="1" s="1"/>
  <c r="AK466" i="1" s="1"/>
  <c r="AK476" i="1" s="1"/>
  <c r="AK486" i="1" s="1"/>
  <c r="AK496" i="1" s="1"/>
  <c r="AK506" i="1" s="1"/>
  <c r="AK516" i="1" s="1"/>
  <c r="AK526" i="1" s="1"/>
  <c r="AK536" i="1" s="1"/>
  <c r="AK546" i="1" s="1"/>
  <c r="AK556" i="1" s="1"/>
  <c r="AK417" i="1"/>
  <c r="AK427" i="1" s="1"/>
  <c r="AK437" i="1" s="1"/>
  <c r="AK447" i="1" s="1"/>
  <c r="AK457" i="1" s="1"/>
  <c r="AK467" i="1" s="1"/>
  <c r="AK477" i="1" s="1"/>
  <c r="AK487" i="1" s="1"/>
  <c r="AK497" i="1" s="1"/>
  <c r="AK507" i="1" s="1"/>
  <c r="AK517" i="1" s="1"/>
  <c r="AK527" i="1" s="1"/>
  <c r="AK537" i="1" s="1"/>
  <c r="AK547" i="1" s="1"/>
  <c r="AK557" i="1" s="1"/>
  <c r="AK418" i="1"/>
  <c r="AK428" i="1" s="1"/>
  <c r="AK438" i="1" s="1"/>
  <c r="AK448" i="1" s="1"/>
  <c r="AK458" i="1" s="1"/>
  <c r="AK468" i="1" s="1"/>
  <c r="AK478" i="1" s="1"/>
  <c r="AK488" i="1" s="1"/>
  <c r="AK498" i="1" s="1"/>
  <c r="AK508" i="1" s="1"/>
  <c r="AK518" i="1" s="1"/>
  <c r="AK528" i="1" s="1"/>
  <c r="AK538" i="1" s="1"/>
  <c r="AK548" i="1" s="1"/>
  <c r="AK558" i="1" s="1"/>
  <c r="AK419" i="1"/>
  <c r="AK429" i="1" s="1"/>
  <c r="AK439" i="1" s="1"/>
  <c r="AK449" i="1" s="1"/>
  <c r="AK459" i="1" s="1"/>
  <c r="AK469" i="1" s="1"/>
  <c r="AK479" i="1" s="1"/>
  <c r="AK489" i="1" s="1"/>
  <c r="AK499" i="1" s="1"/>
  <c r="AK509" i="1" s="1"/>
  <c r="AK519" i="1" s="1"/>
  <c r="AK529" i="1" s="1"/>
  <c r="AK539" i="1" s="1"/>
  <c r="AK549" i="1" s="1"/>
  <c r="AK559" i="1" s="1"/>
  <c r="AK420" i="1"/>
  <c r="AK430" i="1" s="1"/>
  <c r="AK440" i="1" s="1"/>
  <c r="AK450" i="1" s="1"/>
  <c r="AK460" i="1" s="1"/>
  <c r="AK470" i="1" s="1"/>
  <c r="AK480" i="1" s="1"/>
  <c r="AK490" i="1" s="1"/>
  <c r="AK500" i="1" s="1"/>
  <c r="AK510" i="1" s="1"/>
  <c r="AK520" i="1" s="1"/>
  <c r="AK530" i="1" s="1"/>
  <c r="AK540" i="1" s="1"/>
  <c r="AK550" i="1" s="1"/>
  <c r="AK560" i="1" s="1"/>
  <c r="AK421" i="1"/>
  <c r="AK431" i="1" s="1"/>
  <c r="AK441" i="1" s="1"/>
  <c r="AK451" i="1" s="1"/>
  <c r="AK461" i="1" s="1"/>
  <c r="AK471" i="1" s="1"/>
  <c r="AK481" i="1" s="1"/>
  <c r="AK491" i="1" s="1"/>
  <c r="AK501" i="1" s="1"/>
  <c r="AK511" i="1" s="1"/>
  <c r="AK521" i="1" s="1"/>
  <c r="AK531" i="1" s="1"/>
  <c r="AK541" i="1" s="1"/>
  <c r="AK551" i="1" s="1"/>
  <c r="AK561" i="1" s="1"/>
  <c r="AK422" i="1"/>
  <c r="AK432" i="1" s="1"/>
  <c r="AK442" i="1" s="1"/>
  <c r="AK452" i="1" s="1"/>
  <c r="AK462" i="1" s="1"/>
  <c r="AK472" i="1" s="1"/>
  <c r="AK482" i="1" s="1"/>
  <c r="AK492" i="1" s="1"/>
  <c r="AK502" i="1" s="1"/>
  <c r="AK512" i="1" s="1"/>
  <c r="AK522" i="1" s="1"/>
  <c r="AK532" i="1" s="1"/>
  <c r="AK542" i="1" s="1"/>
  <c r="AK552" i="1" s="1"/>
  <c r="AK562" i="1" s="1"/>
  <c r="AK413" i="1"/>
  <c r="AK423" i="1" s="1"/>
  <c r="AK433" i="1" s="1"/>
  <c r="AK443" i="1" s="1"/>
  <c r="AK453" i="1" s="1"/>
  <c r="AK463" i="1" s="1"/>
  <c r="AK473" i="1" s="1"/>
  <c r="AK483" i="1" s="1"/>
  <c r="AK493" i="1" s="1"/>
  <c r="AK503" i="1" s="1"/>
  <c r="AK513" i="1" s="1"/>
  <c r="AK523" i="1" s="1"/>
  <c r="AK533" i="1" s="1"/>
  <c r="AK543" i="1" s="1"/>
  <c r="AK553" i="1" s="1"/>
  <c r="G483" i="1" l="1"/>
  <c r="G493" i="1" s="1"/>
  <c r="G503" i="1" s="1"/>
  <c r="G513" i="1" s="1"/>
  <c r="G523" i="1" s="1"/>
  <c r="G533" i="1" s="1"/>
  <c r="G543" i="1" s="1"/>
  <c r="G553" i="1" s="1"/>
  <c r="L524" i="1"/>
  <c r="L525" i="1" s="1"/>
  <c r="L526" i="1" s="1"/>
  <c r="L527" i="1" s="1"/>
  <c r="L528" i="1" s="1"/>
  <c r="L529" i="1" s="1"/>
  <c r="L530" i="1" s="1"/>
  <c r="L531" i="1" s="1"/>
  <c r="L532" i="1" s="1"/>
  <c r="L494" i="1"/>
  <c r="L495" i="1" s="1"/>
  <c r="L496" i="1" s="1"/>
  <c r="L497" i="1" s="1"/>
  <c r="L498" i="1" s="1"/>
  <c r="L499" i="1" s="1"/>
  <c r="L500" i="1" s="1"/>
  <c r="L501" i="1" s="1"/>
  <c r="L502" i="1" s="1"/>
  <c r="L464" i="1"/>
  <c r="L465" i="1" s="1"/>
  <c r="L466" i="1" s="1"/>
  <c r="L467" i="1" s="1"/>
  <c r="L468" i="1" s="1"/>
  <c r="L469" i="1" s="1"/>
  <c r="L470" i="1" s="1"/>
  <c r="L471" i="1" s="1"/>
  <c r="L472" i="1" s="1"/>
  <c r="L404" i="1"/>
  <c r="L405" i="1" s="1"/>
  <c r="L406" i="1" s="1"/>
  <c r="L407" i="1" s="1"/>
  <c r="L408" i="1" s="1"/>
  <c r="L409" i="1" s="1"/>
  <c r="L410" i="1" s="1"/>
  <c r="L411" i="1" s="1"/>
  <c r="L412" i="1" s="1"/>
  <c r="AF414" i="1" l="1"/>
  <c r="AF424" i="1" s="1"/>
  <c r="AF434" i="1" s="1"/>
  <c r="AF444" i="1" s="1"/>
  <c r="AF454" i="1" s="1"/>
  <c r="AF464" i="1" s="1"/>
  <c r="AF474" i="1" s="1"/>
  <c r="AF484" i="1" s="1"/>
  <c r="AF494" i="1" s="1"/>
  <c r="AF504" i="1" s="1"/>
  <c r="AF514" i="1" s="1"/>
  <c r="AF524" i="1" s="1"/>
  <c r="AF534" i="1" s="1"/>
  <c r="AF544" i="1" s="1"/>
  <c r="AF554" i="1" s="1"/>
  <c r="AF415" i="1"/>
  <c r="AF425" i="1" s="1"/>
  <c r="AF435" i="1" s="1"/>
  <c r="AF445" i="1" s="1"/>
  <c r="AF455" i="1" s="1"/>
  <c r="AF465" i="1" s="1"/>
  <c r="AF475" i="1" s="1"/>
  <c r="AF485" i="1" s="1"/>
  <c r="AF495" i="1" s="1"/>
  <c r="AF505" i="1" s="1"/>
  <c r="AF515" i="1" s="1"/>
  <c r="AF525" i="1" s="1"/>
  <c r="AF535" i="1" s="1"/>
  <c r="AF545" i="1" s="1"/>
  <c r="AF555" i="1" s="1"/>
  <c r="AF416" i="1"/>
  <c r="AF426" i="1" s="1"/>
  <c r="AF436" i="1" s="1"/>
  <c r="AF446" i="1" s="1"/>
  <c r="AF456" i="1" s="1"/>
  <c r="AF466" i="1" s="1"/>
  <c r="AF476" i="1" s="1"/>
  <c r="AF486" i="1" s="1"/>
  <c r="AF496" i="1" s="1"/>
  <c r="AF506" i="1" s="1"/>
  <c r="AF516" i="1" s="1"/>
  <c r="AF526" i="1" s="1"/>
  <c r="AF536" i="1" s="1"/>
  <c r="AF546" i="1" s="1"/>
  <c r="AF556" i="1" s="1"/>
  <c r="AF417" i="1"/>
  <c r="AF418" i="1"/>
  <c r="AF428" i="1" s="1"/>
  <c r="AF438" i="1" s="1"/>
  <c r="AF448" i="1" s="1"/>
  <c r="AF458" i="1" s="1"/>
  <c r="AF468" i="1" s="1"/>
  <c r="AF478" i="1" s="1"/>
  <c r="AF488" i="1" s="1"/>
  <c r="AF498" i="1" s="1"/>
  <c r="AF508" i="1" s="1"/>
  <c r="AF518" i="1" s="1"/>
  <c r="AF528" i="1" s="1"/>
  <c r="AF538" i="1" s="1"/>
  <c r="AF548" i="1" s="1"/>
  <c r="AF558" i="1" s="1"/>
  <c r="AF419" i="1"/>
  <c r="AF429" i="1" s="1"/>
  <c r="AF439" i="1" s="1"/>
  <c r="AF449" i="1" s="1"/>
  <c r="AF459" i="1" s="1"/>
  <c r="AF469" i="1" s="1"/>
  <c r="AF479" i="1" s="1"/>
  <c r="AF489" i="1" s="1"/>
  <c r="AF499" i="1" s="1"/>
  <c r="AF509" i="1" s="1"/>
  <c r="AF519" i="1" s="1"/>
  <c r="AF529" i="1" s="1"/>
  <c r="AF539" i="1" s="1"/>
  <c r="AF549" i="1" s="1"/>
  <c r="AF559" i="1" s="1"/>
  <c r="AF420" i="1"/>
  <c r="AF430" i="1" s="1"/>
  <c r="AF440" i="1" s="1"/>
  <c r="AF450" i="1" s="1"/>
  <c r="AF460" i="1" s="1"/>
  <c r="AF470" i="1" s="1"/>
  <c r="AF480" i="1" s="1"/>
  <c r="AF490" i="1" s="1"/>
  <c r="AF500" i="1" s="1"/>
  <c r="AF510" i="1" s="1"/>
  <c r="AF520" i="1" s="1"/>
  <c r="AF530" i="1" s="1"/>
  <c r="AF540" i="1" s="1"/>
  <c r="AF550" i="1" s="1"/>
  <c r="AF560" i="1" s="1"/>
  <c r="AF421" i="1"/>
  <c r="AF431" i="1" s="1"/>
  <c r="AF441" i="1" s="1"/>
  <c r="AF451" i="1" s="1"/>
  <c r="AF461" i="1" s="1"/>
  <c r="AF471" i="1" s="1"/>
  <c r="AF481" i="1" s="1"/>
  <c r="AF491" i="1" s="1"/>
  <c r="AF501" i="1" s="1"/>
  <c r="AF511" i="1" s="1"/>
  <c r="AF521" i="1" s="1"/>
  <c r="AF531" i="1" s="1"/>
  <c r="AF541" i="1" s="1"/>
  <c r="AF551" i="1" s="1"/>
  <c r="AF561" i="1" s="1"/>
  <c r="AF422" i="1"/>
  <c r="AF432" i="1" s="1"/>
  <c r="AF442" i="1" s="1"/>
  <c r="AF452" i="1" s="1"/>
  <c r="AF462" i="1" s="1"/>
  <c r="AF472" i="1" s="1"/>
  <c r="AF482" i="1" s="1"/>
  <c r="AF492" i="1" s="1"/>
  <c r="AF502" i="1" s="1"/>
  <c r="AF512" i="1" s="1"/>
  <c r="AF522" i="1" s="1"/>
  <c r="AF532" i="1" s="1"/>
  <c r="AF542" i="1" s="1"/>
  <c r="AF552" i="1" s="1"/>
  <c r="AF562" i="1" s="1"/>
  <c r="AF427" i="1"/>
  <c r="AF437" i="1" s="1"/>
  <c r="AF447" i="1" s="1"/>
  <c r="AF457" i="1" s="1"/>
  <c r="AF467" i="1" s="1"/>
  <c r="AF477" i="1" s="1"/>
  <c r="AF487" i="1" s="1"/>
  <c r="AF497" i="1" s="1"/>
  <c r="AF507" i="1" s="1"/>
  <c r="AF517" i="1" s="1"/>
  <c r="AF527" i="1" s="1"/>
  <c r="AF537" i="1" s="1"/>
  <c r="AF547" i="1" s="1"/>
  <c r="AF557" i="1" s="1"/>
  <c r="AF413" i="1"/>
  <c r="AF423" i="1" s="1"/>
  <c r="AF433" i="1" s="1"/>
  <c r="AF443" i="1" s="1"/>
  <c r="AF453" i="1" s="1"/>
  <c r="AF463" i="1" s="1"/>
  <c r="AF473" i="1" s="1"/>
  <c r="AF483" i="1" s="1"/>
  <c r="AF493" i="1" s="1"/>
  <c r="AF503" i="1" s="1"/>
  <c r="AF513" i="1" s="1"/>
  <c r="AF523" i="1" s="1"/>
  <c r="AF533" i="1" s="1"/>
  <c r="AF543" i="1" s="1"/>
  <c r="AF553" i="1" s="1"/>
  <c r="R414" i="1"/>
  <c r="R424" i="1" s="1"/>
  <c r="R434" i="1" s="1"/>
  <c r="R444" i="1" s="1"/>
  <c r="R454" i="1" s="1"/>
  <c r="R464" i="1" s="1"/>
  <c r="R474" i="1" s="1"/>
  <c r="R484" i="1" s="1"/>
  <c r="R494" i="1" s="1"/>
  <c r="R504" i="1" s="1"/>
  <c r="R514" i="1" s="1"/>
  <c r="R524" i="1" s="1"/>
  <c r="R534" i="1" s="1"/>
  <c r="R544" i="1" s="1"/>
  <c r="R554" i="1" s="1"/>
  <c r="R415" i="1"/>
  <c r="R425" i="1" s="1"/>
  <c r="R435" i="1" s="1"/>
  <c r="R445" i="1" s="1"/>
  <c r="R455" i="1" s="1"/>
  <c r="R465" i="1" s="1"/>
  <c r="R475" i="1" s="1"/>
  <c r="R485" i="1" s="1"/>
  <c r="R495" i="1" s="1"/>
  <c r="R505" i="1" s="1"/>
  <c r="R515" i="1" s="1"/>
  <c r="R525" i="1" s="1"/>
  <c r="R535" i="1" s="1"/>
  <c r="R545" i="1" s="1"/>
  <c r="R555" i="1" s="1"/>
  <c r="R416" i="1"/>
  <c r="R426" i="1" s="1"/>
  <c r="R436" i="1" s="1"/>
  <c r="R446" i="1" s="1"/>
  <c r="R456" i="1" s="1"/>
  <c r="R466" i="1" s="1"/>
  <c r="R476" i="1" s="1"/>
  <c r="R486" i="1" s="1"/>
  <c r="R496" i="1" s="1"/>
  <c r="R506" i="1" s="1"/>
  <c r="R516" i="1" s="1"/>
  <c r="R526" i="1" s="1"/>
  <c r="R536" i="1" s="1"/>
  <c r="R546" i="1" s="1"/>
  <c r="R556" i="1" s="1"/>
  <c r="R417" i="1"/>
  <c r="R427" i="1" s="1"/>
  <c r="R437" i="1" s="1"/>
  <c r="R447" i="1" s="1"/>
  <c r="R457" i="1" s="1"/>
  <c r="R467" i="1" s="1"/>
  <c r="R477" i="1" s="1"/>
  <c r="R487" i="1" s="1"/>
  <c r="R497" i="1" s="1"/>
  <c r="R507" i="1" s="1"/>
  <c r="R517" i="1" s="1"/>
  <c r="R527" i="1" s="1"/>
  <c r="R537" i="1" s="1"/>
  <c r="R547" i="1" s="1"/>
  <c r="R557" i="1" s="1"/>
  <c r="R418" i="1"/>
  <c r="R428" i="1" s="1"/>
  <c r="R438" i="1" s="1"/>
  <c r="R448" i="1" s="1"/>
  <c r="R458" i="1" s="1"/>
  <c r="R468" i="1" s="1"/>
  <c r="R478" i="1" s="1"/>
  <c r="R488" i="1" s="1"/>
  <c r="R498" i="1" s="1"/>
  <c r="R508" i="1" s="1"/>
  <c r="R518" i="1" s="1"/>
  <c r="R528" i="1" s="1"/>
  <c r="R538" i="1" s="1"/>
  <c r="R548" i="1" s="1"/>
  <c r="R558" i="1" s="1"/>
  <c r="R419" i="1"/>
  <c r="R420" i="1"/>
  <c r="R421" i="1"/>
  <c r="R431" i="1" s="1"/>
  <c r="R441" i="1" s="1"/>
  <c r="R451" i="1" s="1"/>
  <c r="R461" i="1" s="1"/>
  <c r="R471" i="1" s="1"/>
  <c r="R481" i="1" s="1"/>
  <c r="R491" i="1" s="1"/>
  <c r="R501" i="1" s="1"/>
  <c r="R511" i="1" s="1"/>
  <c r="R521" i="1" s="1"/>
  <c r="R531" i="1" s="1"/>
  <c r="R541" i="1" s="1"/>
  <c r="R551" i="1" s="1"/>
  <c r="R561" i="1" s="1"/>
  <c r="R422" i="1"/>
  <c r="R432" i="1" s="1"/>
  <c r="R442" i="1" s="1"/>
  <c r="R452" i="1" s="1"/>
  <c r="R462" i="1" s="1"/>
  <c r="R472" i="1" s="1"/>
  <c r="R482" i="1" s="1"/>
  <c r="R492" i="1" s="1"/>
  <c r="R502" i="1" s="1"/>
  <c r="R512" i="1" s="1"/>
  <c r="R522" i="1" s="1"/>
  <c r="R532" i="1" s="1"/>
  <c r="R542" i="1" s="1"/>
  <c r="R552" i="1" s="1"/>
  <c r="R562" i="1" s="1"/>
  <c r="R429" i="1"/>
  <c r="R430" i="1"/>
  <c r="R439" i="1"/>
  <c r="R449" i="1" s="1"/>
  <c r="R459" i="1" s="1"/>
  <c r="R469" i="1" s="1"/>
  <c r="R479" i="1" s="1"/>
  <c r="R489" i="1" s="1"/>
  <c r="R499" i="1" s="1"/>
  <c r="R509" i="1" s="1"/>
  <c r="R519" i="1" s="1"/>
  <c r="R529" i="1" s="1"/>
  <c r="R539" i="1" s="1"/>
  <c r="R549" i="1" s="1"/>
  <c r="R559" i="1" s="1"/>
  <c r="R440" i="1"/>
  <c r="R450" i="1" s="1"/>
  <c r="R460" i="1" s="1"/>
  <c r="R470" i="1" s="1"/>
  <c r="R480" i="1" s="1"/>
  <c r="R490" i="1" s="1"/>
  <c r="R500" i="1" s="1"/>
  <c r="R510" i="1" s="1"/>
  <c r="R520" i="1" s="1"/>
  <c r="R530" i="1" s="1"/>
  <c r="R540" i="1" s="1"/>
  <c r="R550" i="1" s="1"/>
  <c r="R560" i="1" s="1"/>
  <c r="R413" i="1"/>
  <c r="R423" i="1" s="1"/>
  <c r="R433" i="1" s="1"/>
  <c r="R443" i="1" s="1"/>
  <c r="R453" i="1" s="1"/>
  <c r="R463" i="1" s="1"/>
  <c r="R473" i="1" s="1"/>
  <c r="R483" i="1" s="1"/>
  <c r="R493" i="1" s="1"/>
  <c r="R503" i="1" s="1"/>
  <c r="R513" i="1" s="1"/>
  <c r="R523" i="1" s="1"/>
  <c r="R533" i="1" s="1"/>
  <c r="R543" i="1" s="1"/>
  <c r="R553" i="1" s="1"/>
  <c r="BK20" i="1" l="1"/>
  <c r="DW582" i="1"/>
  <c r="DR582" i="1"/>
  <c r="DM582" i="1"/>
  <c r="DG582" i="1"/>
  <c r="CG582" i="1"/>
  <c r="DW581" i="1"/>
  <c r="DR581" i="1"/>
  <c r="DM581" i="1"/>
  <c r="DG581" i="1"/>
  <c r="CG581" i="1"/>
  <c r="DW580" i="1"/>
  <c r="DR580" i="1"/>
  <c r="DM580" i="1"/>
  <c r="DG580" i="1"/>
  <c r="CG580" i="1"/>
  <c r="DW579" i="1"/>
  <c r="DR579" i="1"/>
  <c r="DM579" i="1"/>
  <c r="DG579" i="1"/>
  <c r="CG579" i="1"/>
  <c r="DW578" i="1"/>
  <c r="DR578" i="1"/>
  <c r="DM578" i="1"/>
  <c r="DG578" i="1"/>
  <c r="CG578" i="1"/>
  <c r="DW577" i="1"/>
  <c r="DR577" i="1"/>
  <c r="DM577" i="1"/>
  <c r="DG577" i="1"/>
  <c r="CG577" i="1"/>
  <c r="DW576" i="1"/>
  <c r="DR576" i="1"/>
  <c r="DM576" i="1"/>
  <c r="DG576" i="1"/>
  <c r="CG576" i="1"/>
  <c r="DW575" i="1"/>
  <c r="DR575" i="1"/>
  <c r="DM575" i="1"/>
  <c r="DG575" i="1"/>
  <c r="CG575" i="1"/>
  <c r="DW574" i="1"/>
  <c r="DR574" i="1"/>
  <c r="DM574" i="1"/>
  <c r="DG574" i="1"/>
  <c r="CG574" i="1"/>
  <c r="DW573" i="1"/>
  <c r="DR573" i="1"/>
  <c r="DM573" i="1"/>
  <c r="DG573" i="1"/>
  <c r="CG573" i="1"/>
  <c r="DX572" i="1"/>
  <c r="DW572" i="1" s="1"/>
  <c r="DR572" i="1"/>
  <c r="DM572" i="1"/>
  <c r="DG572" i="1"/>
  <c r="CG572" i="1"/>
  <c r="DX571" i="1"/>
  <c r="DW571" i="1" s="1"/>
  <c r="DR571" i="1"/>
  <c r="DM571" i="1"/>
  <c r="DG571" i="1"/>
  <c r="CG571" i="1"/>
  <c r="DX570" i="1"/>
  <c r="DW570" i="1" s="1"/>
  <c r="DR570" i="1"/>
  <c r="DM570" i="1"/>
  <c r="DG570" i="1"/>
  <c r="CG570" i="1"/>
  <c r="DX569" i="1"/>
  <c r="DW569" i="1" s="1"/>
  <c r="DR569" i="1"/>
  <c r="DM569" i="1"/>
  <c r="DG569" i="1"/>
  <c r="CG569" i="1"/>
  <c r="DX568" i="1"/>
  <c r="DW568" i="1" s="1"/>
  <c r="DR568" i="1"/>
  <c r="DM568" i="1"/>
  <c r="DG568" i="1"/>
  <c r="CG568" i="1"/>
  <c r="DX567" i="1"/>
  <c r="DW567" i="1" s="1"/>
  <c r="DR567" i="1"/>
  <c r="DM567" i="1"/>
  <c r="DG567" i="1"/>
  <c r="CG567" i="1"/>
  <c r="DX566" i="1"/>
  <c r="DW566" i="1" s="1"/>
  <c r="DR566" i="1"/>
  <c r="DM566" i="1"/>
  <c r="DG566" i="1"/>
  <c r="CG566" i="1"/>
  <c r="DX565" i="1"/>
  <c r="DW565" i="1" s="1"/>
  <c r="DR565" i="1"/>
  <c r="DM565" i="1"/>
  <c r="DG565" i="1"/>
  <c r="CG565" i="1"/>
  <c r="DX564" i="1"/>
  <c r="DW564" i="1" s="1"/>
  <c r="DR564" i="1"/>
  <c r="DM564" i="1"/>
  <c r="DG564" i="1"/>
  <c r="CG564" i="1"/>
  <c r="DX563" i="1"/>
  <c r="DW563" i="1" s="1"/>
  <c r="DR563" i="1"/>
  <c r="DM563" i="1"/>
  <c r="DG563" i="1"/>
  <c r="CG563" i="1"/>
  <c r="CB86" i="1"/>
  <c r="CB128" i="1" s="1"/>
  <c r="CB170" i="1" s="1"/>
  <c r="CB212" i="1" s="1"/>
  <c r="CB85" i="1"/>
  <c r="CB127" i="1" s="1"/>
  <c r="CB169" i="1" s="1"/>
  <c r="CB211" i="1" s="1"/>
  <c r="CB84" i="1"/>
  <c r="CB126" i="1" s="1"/>
  <c r="CB168" i="1" s="1"/>
  <c r="CB210" i="1" s="1"/>
  <c r="CB83" i="1"/>
  <c r="CB125" i="1" s="1"/>
  <c r="CB167" i="1" s="1"/>
  <c r="CB209" i="1" s="1"/>
  <c r="CB82" i="1"/>
  <c r="CB124" i="1" s="1"/>
  <c r="CB166" i="1" s="1"/>
  <c r="CB208" i="1" s="1"/>
  <c r="CB81" i="1"/>
  <c r="CB123" i="1" s="1"/>
  <c r="CB165" i="1" s="1"/>
  <c r="CB207" i="1" s="1"/>
  <c r="CB80" i="1"/>
  <c r="CB122" i="1" s="1"/>
  <c r="CB164" i="1" s="1"/>
  <c r="CB206" i="1" s="1"/>
  <c r="CB79" i="1"/>
  <c r="CB121" i="1" s="1"/>
  <c r="CB163" i="1" s="1"/>
  <c r="CB205" i="1" s="1"/>
  <c r="CB78" i="1"/>
  <c r="CB120" i="1" s="1"/>
  <c r="CB162" i="1" s="1"/>
  <c r="CB204" i="1" s="1"/>
  <c r="CB77" i="1"/>
  <c r="CB119" i="1" s="1"/>
  <c r="CB161" i="1" s="1"/>
  <c r="CB203" i="1" s="1"/>
  <c r="CB76" i="1"/>
  <c r="CB118" i="1" s="1"/>
  <c r="CB160" i="1" s="1"/>
  <c r="CB202" i="1" s="1"/>
  <c r="CB75" i="1"/>
  <c r="CB117" i="1" s="1"/>
  <c r="CB159" i="1" s="1"/>
  <c r="CB201" i="1" s="1"/>
  <c r="CB74" i="1"/>
  <c r="CB116" i="1" s="1"/>
  <c r="CB158" i="1" s="1"/>
  <c r="CB200" i="1" s="1"/>
  <c r="CB73" i="1"/>
  <c r="CB115" i="1" s="1"/>
  <c r="CB157" i="1" s="1"/>
  <c r="CB199" i="1" s="1"/>
  <c r="CB72" i="1"/>
  <c r="CB114" i="1" s="1"/>
  <c r="CB156" i="1" s="1"/>
  <c r="CB198" i="1" s="1"/>
  <c r="CB71" i="1"/>
  <c r="CB113" i="1" s="1"/>
  <c r="CB155" i="1" s="1"/>
  <c r="CB197" i="1" s="1"/>
  <c r="CB70" i="1"/>
  <c r="CB112" i="1" s="1"/>
  <c r="CB154" i="1" s="1"/>
  <c r="CB196" i="1" s="1"/>
  <c r="CB69" i="1"/>
  <c r="CB111" i="1" s="1"/>
  <c r="CB153" i="1" s="1"/>
  <c r="CB195" i="1" s="1"/>
  <c r="CB68" i="1"/>
  <c r="CB110" i="1" s="1"/>
  <c r="CB152" i="1" s="1"/>
  <c r="CB194" i="1" s="1"/>
  <c r="CB67" i="1"/>
  <c r="CB109" i="1" s="1"/>
  <c r="CB151" i="1" s="1"/>
  <c r="CB193" i="1" s="1"/>
  <c r="CB66" i="1"/>
  <c r="CB108" i="1" s="1"/>
  <c r="CB150" i="1" s="1"/>
  <c r="CB192" i="1" s="1"/>
  <c r="CB65" i="1"/>
  <c r="CB107" i="1" s="1"/>
  <c r="CB149" i="1" s="1"/>
  <c r="CB191" i="1" s="1"/>
  <c r="CB64" i="1"/>
  <c r="CB106" i="1" s="1"/>
  <c r="CB148" i="1" s="1"/>
  <c r="CB190" i="1" s="1"/>
  <c r="CB63" i="1"/>
  <c r="CB105" i="1" s="1"/>
  <c r="CB147" i="1" s="1"/>
  <c r="CB189" i="1" s="1"/>
  <c r="CB62" i="1"/>
  <c r="CB104" i="1" s="1"/>
  <c r="CB146" i="1" s="1"/>
  <c r="CB188" i="1" s="1"/>
  <c r="CB61" i="1"/>
  <c r="CB103" i="1" s="1"/>
  <c r="CB145" i="1" s="1"/>
  <c r="CB187" i="1" s="1"/>
  <c r="CB60" i="1"/>
  <c r="CB102" i="1" s="1"/>
  <c r="CB144" i="1" s="1"/>
  <c r="CB186" i="1" s="1"/>
  <c r="CB59" i="1"/>
  <c r="CB101" i="1" s="1"/>
  <c r="CB143" i="1" s="1"/>
  <c r="CB185" i="1" s="1"/>
  <c r="CB58" i="1"/>
  <c r="CB100" i="1" s="1"/>
  <c r="CB142" i="1" s="1"/>
  <c r="CB184" i="1" s="1"/>
  <c r="CB57" i="1"/>
  <c r="CB99" i="1" s="1"/>
  <c r="CB141" i="1" s="1"/>
  <c r="CB183" i="1" s="1"/>
  <c r="CB56" i="1"/>
  <c r="CB98" i="1" s="1"/>
  <c r="CB140" i="1" s="1"/>
  <c r="CB182" i="1" s="1"/>
  <c r="CB55" i="1"/>
  <c r="CB97" i="1" s="1"/>
  <c r="CB139" i="1" s="1"/>
  <c r="CB181" i="1" s="1"/>
  <c r="CB54" i="1"/>
  <c r="CB96" i="1" s="1"/>
  <c r="CB138" i="1" s="1"/>
  <c r="CB180" i="1" s="1"/>
  <c r="CB53" i="1"/>
  <c r="CB95" i="1" s="1"/>
  <c r="CB137" i="1" s="1"/>
  <c r="CB179" i="1" s="1"/>
  <c r="CB52" i="1"/>
  <c r="CB94" i="1" s="1"/>
  <c r="CB136" i="1" s="1"/>
  <c r="CB178" i="1" s="1"/>
  <c r="CB51" i="1"/>
  <c r="CB93" i="1" s="1"/>
  <c r="CB135" i="1" s="1"/>
  <c r="CB177" i="1" s="1"/>
  <c r="CB50" i="1"/>
  <c r="CB92" i="1" s="1"/>
  <c r="CB134" i="1" s="1"/>
  <c r="CB176" i="1" s="1"/>
  <c r="CB49" i="1"/>
  <c r="CB91" i="1" s="1"/>
  <c r="CB133" i="1" s="1"/>
  <c r="CB175" i="1" s="1"/>
  <c r="CB48" i="1"/>
  <c r="CB90" i="1" s="1"/>
  <c r="CB132" i="1" s="1"/>
  <c r="CB174" i="1" s="1"/>
  <c r="CB47" i="1"/>
  <c r="CB89" i="1" s="1"/>
  <c r="CB131" i="1" s="1"/>
  <c r="CB173" i="1" s="1"/>
  <c r="CB46" i="1"/>
  <c r="CB88" i="1" s="1"/>
  <c r="CB130" i="1" s="1"/>
  <c r="CB172" i="1" s="1"/>
  <c r="CB45" i="1"/>
  <c r="CB87" i="1" s="1"/>
  <c r="CB129" i="1" s="1"/>
  <c r="CB171" i="1" s="1"/>
  <c r="P404" i="1" l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403" i="1"/>
  <c r="CG404" i="1" l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403" i="1"/>
  <c r="DM413" i="1"/>
  <c r="DW413" i="1"/>
  <c r="DM414" i="1"/>
  <c r="DW414" i="1"/>
  <c r="DM415" i="1"/>
  <c r="DW415" i="1"/>
  <c r="DM416" i="1"/>
  <c r="DW416" i="1"/>
  <c r="DM417" i="1"/>
  <c r="DW417" i="1"/>
  <c r="DM418" i="1"/>
  <c r="DW418" i="1"/>
  <c r="DM419" i="1"/>
  <c r="DW419" i="1"/>
  <c r="DM420" i="1"/>
  <c r="DW420" i="1"/>
  <c r="DM421" i="1"/>
  <c r="DW421" i="1"/>
  <c r="DM422" i="1"/>
  <c r="DW422" i="1"/>
  <c r="DM423" i="1"/>
  <c r="DW423" i="1"/>
  <c r="DM424" i="1"/>
  <c r="DW424" i="1"/>
  <c r="DM425" i="1"/>
  <c r="DW425" i="1"/>
  <c r="DM426" i="1"/>
  <c r="DW426" i="1"/>
  <c r="DM427" i="1"/>
  <c r="DW427" i="1"/>
  <c r="DM428" i="1"/>
  <c r="DW428" i="1"/>
  <c r="DM429" i="1"/>
  <c r="DW429" i="1"/>
  <c r="DM430" i="1"/>
  <c r="DW430" i="1"/>
  <c r="DM431" i="1"/>
  <c r="DW431" i="1"/>
  <c r="DM432" i="1"/>
  <c r="DW432" i="1"/>
  <c r="DM433" i="1"/>
  <c r="DW433" i="1"/>
  <c r="DM434" i="1"/>
  <c r="DW434" i="1"/>
  <c r="DM435" i="1"/>
  <c r="DW435" i="1"/>
  <c r="DM436" i="1"/>
  <c r="DW436" i="1"/>
  <c r="DM437" i="1"/>
  <c r="DW437" i="1"/>
  <c r="DM438" i="1"/>
  <c r="DW438" i="1"/>
  <c r="DM439" i="1"/>
  <c r="DW439" i="1"/>
  <c r="DM440" i="1"/>
  <c r="DW440" i="1"/>
  <c r="DM441" i="1"/>
  <c r="DW441" i="1"/>
  <c r="DM442" i="1"/>
  <c r="DW442" i="1"/>
  <c r="DM443" i="1"/>
  <c r="DW443" i="1"/>
  <c r="DM444" i="1"/>
  <c r="DW444" i="1"/>
  <c r="DM445" i="1"/>
  <c r="DW445" i="1"/>
  <c r="DM446" i="1"/>
  <c r="DW446" i="1"/>
  <c r="DM447" i="1"/>
  <c r="DW447" i="1"/>
  <c r="DM448" i="1"/>
  <c r="DW448" i="1"/>
  <c r="DM449" i="1"/>
  <c r="DW449" i="1"/>
  <c r="DM450" i="1"/>
  <c r="DW450" i="1"/>
  <c r="DM451" i="1"/>
  <c r="DW451" i="1"/>
  <c r="DM452" i="1"/>
  <c r="DW452" i="1"/>
  <c r="DM453" i="1"/>
  <c r="DW453" i="1"/>
  <c r="DM454" i="1"/>
  <c r="DW454" i="1"/>
  <c r="DM455" i="1"/>
  <c r="DW455" i="1"/>
  <c r="DM456" i="1"/>
  <c r="DW456" i="1"/>
  <c r="DM457" i="1"/>
  <c r="DW457" i="1"/>
  <c r="DM458" i="1"/>
  <c r="DW458" i="1"/>
  <c r="DM459" i="1"/>
  <c r="DW459" i="1"/>
  <c r="DM460" i="1"/>
  <c r="DW460" i="1"/>
  <c r="DM461" i="1"/>
  <c r="DW461" i="1"/>
  <c r="DM462" i="1"/>
  <c r="DW462" i="1"/>
  <c r="DM463" i="1"/>
  <c r="DW463" i="1"/>
  <c r="DM464" i="1"/>
  <c r="DW464" i="1"/>
  <c r="DM465" i="1"/>
  <c r="DW465" i="1"/>
  <c r="DM466" i="1"/>
  <c r="DW466" i="1"/>
  <c r="DM467" i="1"/>
  <c r="DW467" i="1"/>
  <c r="DM468" i="1"/>
  <c r="DW468" i="1"/>
  <c r="DM469" i="1"/>
  <c r="DW469" i="1"/>
  <c r="DM470" i="1"/>
  <c r="DW470" i="1"/>
  <c r="DM471" i="1"/>
  <c r="DW471" i="1"/>
  <c r="DM472" i="1"/>
  <c r="DW472" i="1"/>
  <c r="DM473" i="1"/>
  <c r="DW473" i="1"/>
  <c r="DM474" i="1"/>
  <c r="DW474" i="1"/>
  <c r="DM475" i="1"/>
  <c r="DW475" i="1"/>
  <c r="DM476" i="1"/>
  <c r="DW476" i="1"/>
  <c r="DM477" i="1"/>
  <c r="DW477" i="1"/>
  <c r="DM478" i="1"/>
  <c r="DW478" i="1"/>
  <c r="DM479" i="1"/>
  <c r="DW479" i="1"/>
  <c r="DM480" i="1"/>
  <c r="DW480" i="1"/>
  <c r="DM481" i="1"/>
  <c r="DW481" i="1"/>
  <c r="DM482" i="1"/>
  <c r="DW482" i="1"/>
  <c r="DM483" i="1"/>
  <c r="DW483" i="1"/>
  <c r="DM484" i="1"/>
  <c r="DW484" i="1"/>
  <c r="DM485" i="1"/>
  <c r="DW485" i="1"/>
  <c r="DM486" i="1"/>
  <c r="DW486" i="1"/>
  <c r="DM487" i="1"/>
  <c r="DW487" i="1"/>
  <c r="DM488" i="1"/>
  <c r="DW488" i="1"/>
  <c r="DM489" i="1"/>
  <c r="DW489" i="1"/>
  <c r="DM490" i="1"/>
  <c r="DW490" i="1"/>
  <c r="DM491" i="1"/>
  <c r="DW491" i="1"/>
  <c r="DM492" i="1"/>
  <c r="DW492" i="1"/>
  <c r="DM493" i="1"/>
  <c r="DW493" i="1"/>
  <c r="DM494" i="1"/>
  <c r="DW494" i="1"/>
  <c r="DM495" i="1"/>
  <c r="DW495" i="1"/>
  <c r="DM496" i="1"/>
  <c r="DW496" i="1"/>
  <c r="DM497" i="1"/>
  <c r="DW497" i="1"/>
  <c r="DM498" i="1"/>
  <c r="DW498" i="1"/>
  <c r="DM499" i="1"/>
  <c r="DW499" i="1"/>
  <c r="DM500" i="1"/>
  <c r="DW500" i="1"/>
  <c r="DM501" i="1"/>
  <c r="DW501" i="1"/>
  <c r="DM502" i="1"/>
  <c r="DW502" i="1"/>
  <c r="DM503" i="1"/>
  <c r="DW503" i="1"/>
  <c r="DM504" i="1"/>
  <c r="DW504" i="1"/>
  <c r="DM505" i="1"/>
  <c r="DW505" i="1"/>
  <c r="DM506" i="1"/>
  <c r="DW506" i="1"/>
  <c r="DM507" i="1"/>
  <c r="DW507" i="1"/>
  <c r="DM508" i="1"/>
  <c r="DW508" i="1"/>
  <c r="DM509" i="1"/>
  <c r="DW509" i="1"/>
  <c r="DM510" i="1"/>
  <c r="DW510" i="1"/>
  <c r="DM511" i="1"/>
  <c r="DW511" i="1"/>
  <c r="DM512" i="1"/>
  <c r="DW512" i="1"/>
  <c r="DM513" i="1"/>
  <c r="DW513" i="1"/>
  <c r="DM514" i="1"/>
  <c r="DW514" i="1"/>
  <c r="DM515" i="1"/>
  <c r="DW515" i="1"/>
  <c r="DM516" i="1"/>
  <c r="DW516" i="1"/>
  <c r="DM517" i="1"/>
  <c r="DW517" i="1"/>
  <c r="DM518" i="1"/>
  <c r="DW518" i="1"/>
  <c r="DM519" i="1"/>
  <c r="DW519" i="1"/>
  <c r="DM520" i="1"/>
  <c r="DW520" i="1"/>
  <c r="DM521" i="1"/>
  <c r="DW521" i="1"/>
  <c r="DM522" i="1"/>
  <c r="DW522" i="1"/>
  <c r="DM523" i="1"/>
  <c r="DW523" i="1"/>
  <c r="DM524" i="1"/>
  <c r="DW524" i="1"/>
  <c r="DM525" i="1"/>
  <c r="DW525" i="1"/>
  <c r="DM526" i="1"/>
  <c r="DW526" i="1"/>
  <c r="DM527" i="1"/>
  <c r="DW527" i="1"/>
  <c r="DM528" i="1"/>
  <c r="DW528" i="1"/>
  <c r="DM529" i="1"/>
  <c r="DW529" i="1"/>
  <c r="DM530" i="1"/>
  <c r="DW530" i="1"/>
  <c r="DM531" i="1"/>
  <c r="DW531" i="1"/>
  <c r="DM532" i="1"/>
  <c r="DW532" i="1"/>
  <c r="DM533" i="1"/>
  <c r="DW533" i="1"/>
  <c r="DM534" i="1"/>
  <c r="DW534" i="1"/>
  <c r="DM535" i="1"/>
  <c r="DW535" i="1"/>
  <c r="DM536" i="1"/>
  <c r="DW536" i="1"/>
  <c r="DM537" i="1"/>
  <c r="DW537" i="1"/>
  <c r="DM538" i="1"/>
  <c r="DW538" i="1"/>
  <c r="DM539" i="1"/>
  <c r="DW539" i="1"/>
  <c r="DM540" i="1"/>
  <c r="DW540" i="1"/>
  <c r="DM541" i="1"/>
  <c r="DW541" i="1"/>
  <c r="DM542" i="1"/>
  <c r="DW542" i="1"/>
  <c r="DM543" i="1"/>
  <c r="DW543" i="1"/>
  <c r="DM544" i="1"/>
  <c r="DW544" i="1"/>
  <c r="DM545" i="1"/>
  <c r="DW545" i="1"/>
  <c r="DM546" i="1"/>
  <c r="DW546" i="1"/>
  <c r="DM547" i="1"/>
  <c r="DW547" i="1"/>
  <c r="DM548" i="1"/>
  <c r="DW548" i="1"/>
  <c r="DM549" i="1"/>
  <c r="DW549" i="1"/>
  <c r="DM550" i="1"/>
  <c r="DW550" i="1"/>
  <c r="DM551" i="1"/>
  <c r="DW551" i="1"/>
  <c r="DM552" i="1"/>
  <c r="DW552" i="1"/>
  <c r="DM553" i="1"/>
  <c r="DW553" i="1"/>
  <c r="DM554" i="1"/>
  <c r="DW554" i="1"/>
  <c r="DM555" i="1"/>
  <c r="DW555" i="1"/>
  <c r="DM556" i="1"/>
  <c r="DW556" i="1"/>
  <c r="DM557" i="1"/>
  <c r="DW557" i="1"/>
  <c r="DM558" i="1"/>
  <c r="DW558" i="1"/>
  <c r="DM559" i="1"/>
  <c r="DW559" i="1"/>
  <c r="DM560" i="1"/>
  <c r="DW560" i="1"/>
  <c r="DM561" i="1"/>
  <c r="DW561" i="1"/>
  <c r="DM562" i="1"/>
  <c r="DW562" i="1"/>
  <c r="DM412" i="1"/>
  <c r="DY412" i="1"/>
  <c r="DW412" i="1"/>
  <c r="BA412" i="1"/>
  <c r="BA422" i="1" s="1"/>
  <c r="BA432" i="1" s="1"/>
  <c r="BA442" i="1" s="1"/>
  <c r="BA452" i="1" s="1"/>
  <c r="BA462" i="1" s="1"/>
  <c r="BA472" i="1" s="1"/>
  <c r="BA482" i="1" s="1"/>
  <c r="BA492" i="1" s="1"/>
  <c r="BA502" i="1" s="1"/>
  <c r="BA512" i="1" s="1"/>
  <c r="BA522" i="1" s="1"/>
  <c r="BA532" i="1" s="1"/>
  <c r="BA542" i="1" s="1"/>
  <c r="BA552" i="1" s="1"/>
  <c r="BA562" i="1" s="1"/>
  <c r="DY411" i="1"/>
  <c r="DW411" i="1"/>
  <c r="DM411" i="1"/>
  <c r="BA411" i="1"/>
  <c r="BA421" i="1" s="1"/>
  <c r="BA431" i="1" s="1"/>
  <c r="BA441" i="1" s="1"/>
  <c r="BA451" i="1" s="1"/>
  <c r="BA461" i="1" s="1"/>
  <c r="BA471" i="1" s="1"/>
  <c r="BA481" i="1" s="1"/>
  <c r="BA491" i="1" s="1"/>
  <c r="BA501" i="1" s="1"/>
  <c r="BA511" i="1" s="1"/>
  <c r="BA521" i="1" s="1"/>
  <c r="BA531" i="1" s="1"/>
  <c r="BA541" i="1" s="1"/>
  <c r="BA551" i="1" s="1"/>
  <c r="BA561" i="1" s="1"/>
  <c r="DY410" i="1"/>
  <c r="DW410" i="1"/>
  <c r="DM410" i="1"/>
  <c r="BA410" i="1"/>
  <c r="BA420" i="1" s="1"/>
  <c r="BA430" i="1" s="1"/>
  <c r="BA440" i="1" s="1"/>
  <c r="BA450" i="1" s="1"/>
  <c r="BA460" i="1" s="1"/>
  <c r="BA470" i="1" s="1"/>
  <c r="BA480" i="1" s="1"/>
  <c r="BA490" i="1" s="1"/>
  <c r="BA500" i="1" s="1"/>
  <c r="BA510" i="1" s="1"/>
  <c r="BA520" i="1" s="1"/>
  <c r="BA530" i="1" s="1"/>
  <c r="BA540" i="1" s="1"/>
  <c r="BA550" i="1" s="1"/>
  <c r="BA560" i="1" s="1"/>
  <c r="DY409" i="1"/>
  <c r="DW409" i="1"/>
  <c r="DM409" i="1"/>
  <c r="BA409" i="1"/>
  <c r="BA419" i="1" s="1"/>
  <c r="BA429" i="1" s="1"/>
  <c r="BA439" i="1" s="1"/>
  <c r="BA449" i="1" s="1"/>
  <c r="BA459" i="1" s="1"/>
  <c r="BA469" i="1" s="1"/>
  <c r="BA479" i="1" s="1"/>
  <c r="BA489" i="1" s="1"/>
  <c r="BA499" i="1" s="1"/>
  <c r="BA509" i="1" s="1"/>
  <c r="BA519" i="1" s="1"/>
  <c r="BA529" i="1" s="1"/>
  <c r="BA539" i="1" s="1"/>
  <c r="BA549" i="1" s="1"/>
  <c r="BA559" i="1" s="1"/>
  <c r="DY408" i="1"/>
  <c r="DW408" i="1"/>
  <c r="DM408" i="1"/>
  <c r="BA408" i="1"/>
  <c r="BA418" i="1" s="1"/>
  <c r="BA428" i="1" s="1"/>
  <c r="BA438" i="1" s="1"/>
  <c r="BA448" i="1" s="1"/>
  <c r="BA458" i="1" s="1"/>
  <c r="BA468" i="1" s="1"/>
  <c r="BA478" i="1" s="1"/>
  <c r="BA488" i="1" s="1"/>
  <c r="BA498" i="1" s="1"/>
  <c r="BA508" i="1" s="1"/>
  <c r="BA518" i="1" s="1"/>
  <c r="BA528" i="1" s="1"/>
  <c r="BA538" i="1" s="1"/>
  <c r="BA548" i="1" s="1"/>
  <c r="BA558" i="1" s="1"/>
  <c r="DY407" i="1"/>
  <c r="DW407" i="1"/>
  <c r="DM407" i="1"/>
  <c r="BA407" i="1"/>
  <c r="BA417" i="1" s="1"/>
  <c r="BA427" i="1" s="1"/>
  <c r="BA437" i="1" s="1"/>
  <c r="BA447" i="1" s="1"/>
  <c r="BA457" i="1" s="1"/>
  <c r="BA467" i="1" s="1"/>
  <c r="BA477" i="1" s="1"/>
  <c r="BA487" i="1" s="1"/>
  <c r="BA497" i="1" s="1"/>
  <c r="BA507" i="1" s="1"/>
  <c r="BA517" i="1" s="1"/>
  <c r="BA527" i="1" s="1"/>
  <c r="BA537" i="1" s="1"/>
  <c r="BA547" i="1" s="1"/>
  <c r="BA557" i="1" s="1"/>
  <c r="DY406" i="1"/>
  <c r="DW406" i="1"/>
  <c r="DM406" i="1"/>
  <c r="BA406" i="1"/>
  <c r="BA416" i="1" s="1"/>
  <c r="BA426" i="1" s="1"/>
  <c r="BA436" i="1" s="1"/>
  <c r="BA446" i="1" s="1"/>
  <c r="BA456" i="1" s="1"/>
  <c r="BA466" i="1" s="1"/>
  <c r="BA476" i="1" s="1"/>
  <c r="BA486" i="1" s="1"/>
  <c r="BA496" i="1" s="1"/>
  <c r="BA506" i="1" s="1"/>
  <c r="BA516" i="1" s="1"/>
  <c r="BA526" i="1" s="1"/>
  <c r="BA536" i="1" s="1"/>
  <c r="BA546" i="1" s="1"/>
  <c r="BA556" i="1" s="1"/>
  <c r="DY405" i="1"/>
  <c r="DW405" i="1"/>
  <c r="DM405" i="1"/>
  <c r="BA405" i="1"/>
  <c r="BA415" i="1" s="1"/>
  <c r="BA425" i="1" s="1"/>
  <c r="BA435" i="1" s="1"/>
  <c r="BA445" i="1" s="1"/>
  <c r="BA455" i="1" s="1"/>
  <c r="BA465" i="1" s="1"/>
  <c r="BA475" i="1" s="1"/>
  <c r="BA485" i="1" s="1"/>
  <c r="BA495" i="1" s="1"/>
  <c r="BA505" i="1" s="1"/>
  <c r="BA515" i="1" s="1"/>
  <c r="BA525" i="1" s="1"/>
  <c r="BA535" i="1" s="1"/>
  <c r="BA545" i="1" s="1"/>
  <c r="BA555" i="1" s="1"/>
  <c r="DY404" i="1"/>
  <c r="DW404" i="1"/>
  <c r="DM404" i="1"/>
  <c r="BA404" i="1"/>
  <c r="BA414" i="1" s="1"/>
  <c r="BA424" i="1" s="1"/>
  <c r="BA434" i="1" s="1"/>
  <c r="BA444" i="1" s="1"/>
  <c r="BA454" i="1" s="1"/>
  <c r="BA464" i="1" s="1"/>
  <c r="BA474" i="1" s="1"/>
  <c r="BA484" i="1" s="1"/>
  <c r="BA494" i="1" s="1"/>
  <c r="BA504" i="1" s="1"/>
  <c r="BA514" i="1" s="1"/>
  <c r="BA524" i="1" s="1"/>
  <c r="BA534" i="1" s="1"/>
  <c r="BA544" i="1" s="1"/>
  <c r="BA554" i="1" s="1"/>
  <c r="DY403" i="1"/>
  <c r="DW403" i="1"/>
  <c r="DM403" i="1"/>
  <c r="BL403" i="1"/>
  <c r="BL424" i="1" s="1"/>
  <c r="BL445" i="1" s="1"/>
  <c r="BL466" i="1" s="1"/>
  <c r="BL487" i="1" s="1"/>
  <c r="BL508" i="1" s="1"/>
  <c r="BL529" i="1" s="1"/>
  <c r="BL550" i="1" s="1"/>
  <c r="BL571" i="1" s="1"/>
  <c r="BA403" i="1"/>
  <c r="BA413" i="1" s="1"/>
  <c r="BA423" i="1" s="1"/>
  <c r="BA433" i="1" s="1"/>
  <c r="BA443" i="1" s="1"/>
  <c r="BA453" i="1" s="1"/>
  <c r="BA463" i="1" s="1"/>
  <c r="BA473" i="1" s="1"/>
  <c r="BA483" i="1" s="1"/>
  <c r="BA493" i="1" s="1"/>
  <c r="BA503" i="1" s="1"/>
  <c r="BA513" i="1" s="1"/>
  <c r="BA523" i="1" s="1"/>
  <c r="BA533" i="1" s="1"/>
  <c r="BA543" i="1" s="1"/>
  <c r="BA553" i="1" s="1"/>
  <c r="BK344" i="1"/>
  <c r="BK345" i="1"/>
  <c r="BK346" i="1"/>
  <c r="BK347" i="1"/>
  <c r="BK348" i="1"/>
  <c r="BK349" i="1"/>
  <c r="BK350" i="1"/>
  <c r="BK351" i="1"/>
  <c r="BK352" i="1"/>
  <c r="BJ344" i="1"/>
  <c r="BJ345" i="1"/>
  <c r="BJ346" i="1"/>
  <c r="BJ347" i="1"/>
  <c r="BJ348" i="1"/>
  <c r="BJ349" i="1"/>
  <c r="BJ350" i="1"/>
  <c r="BJ351" i="1"/>
  <c r="BJ352" i="1"/>
  <c r="BK343" i="1"/>
  <c r="BJ343" i="1"/>
  <c r="AV25" i="1" l="1"/>
  <c r="AV46" i="1" s="1"/>
  <c r="AV67" i="1" s="1"/>
  <c r="AV88" i="1" s="1"/>
  <c r="AV109" i="1" s="1"/>
  <c r="AV130" i="1" s="1"/>
  <c r="AV151" i="1" s="1"/>
  <c r="AV172" i="1" s="1"/>
  <c r="AV193" i="1" s="1"/>
  <c r="AV26" i="1"/>
  <c r="AV47" i="1" s="1"/>
  <c r="AV68" i="1" s="1"/>
  <c r="AV89" i="1" s="1"/>
  <c r="AV110" i="1" s="1"/>
  <c r="AV131" i="1" s="1"/>
  <c r="AV152" i="1" s="1"/>
  <c r="AV173" i="1" s="1"/>
  <c r="AV194" i="1" s="1"/>
  <c r="AV27" i="1"/>
  <c r="AV48" i="1" s="1"/>
  <c r="AV69" i="1" s="1"/>
  <c r="AV90" i="1" s="1"/>
  <c r="AV111" i="1" s="1"/>
  <c r="AV132" i="1" s="1"/>
  <c r="AV153" i="1" s="1"/>
  <c r="AV174" i="1" s="1"/>
  <c r="AV195" i="1" s="1"/>
  <c r="AV28" i="1"/>
  <c r="AV49" i="1" s="1"/>
  <c r="AV70" i="1" s="1"/>
  <c r="AV91" i="1" s="1"/>
  <c r="AV112" i="1" s="1"/>
  <c r="AV133" i="1" s="1"/>
  <c r="AV154" i="1" s="1"/>
  <c r="AV175" i="1" s="1"/>
  <c r="AV196" i="1" s="1"/>
  <c r="AV29" i="1"/>
  <c r="AV50" i="1" s="1"/>
  <c r="AV71" i="1" s="1"/>
  <c r="AV92" i="1" s="1"/>
  <c r="AV113" i="1" s="1"/>
  <c r="AV134" i="1" s="1"/>
  <c r="AV155" i="1" s="1"/>
  <c r="AV176" i="1" s="1"/>
  <c r="AV197" i="1" s="1"/>
  <c r="AV30" i="1"/>
  <c r="AV51" i="1" s="1"/>
  <c r="AV72" i="1" s="1"/>
  <c r="AV93" i="1" s="1"/>
  <c r="AV114" i="1" s="1"/>
  <c r="AV135" i="1" s="1"/>
  <c r="AV156" i="1" s="1"/>
  <c r="AV177" i="1" s="1"/>
  <c r="AV198" i="1" s="1"/>
  <c r="AV31" i="1"/>
  <c r="AV52" i="1" s="1"/>
  <c r="AV73" i="1" s="1"/>
  <c r="AV94" i="1" s="1"/>
  <c r="AV115" i="1" s="1"/>
  <c r="AV136" i="1" s="1"/>
  <c r="AV157" i="1" s="1"/>
  <c r="AV178" i="1" s="1"/>
  <c r="AV199" i="1" s="1"/>
  <c r="AV32" i="1"/>
  <c r="AV53" i="1" s="1"/>
  <c r="AV74" i="1" s="1"/>
  <c r="AV95" i="1" s="1"/>
  <c r="AV116" i="1" s="1"/>
  <c r="AV137" i="1" s="1"/>
  <c r="AV158" i="1" s="1"/>
  <c r="AV179" i="1" s="1"/>
  <c r="AV200" i="1" s="1"/>
  <c r="AV33" i="1"/>
  <c r="AV54" i="1" s="1"/>
  <c r="AV75" i="1" s="1"/>
  <c r="AV96" i="1" s="1"/>
  <c r="AV117" i="1" s="1"/>
  <c r="AV138" i="1" s="1"/>
  <c r="AV159" i="1" s="1"/>
  <c r="AV180" i="1" s="1"/>
  <c r="AV201" i="1" s="1"/>
  <c r="AV34" i="1"/>
  <c r="AV55" i="1" s="1"/>
  <c r="AV76" i="1" s="1"/>
  <c r="AV97" i="1" s="1"/>
  <c r="AV118" i="1" s="1"/>
  <c r="AV139" i="1" s="1"/>
  <c r="AV160" i="1" s="1"/>
  <c r="AV181" i="1" s="1"/>
  <c r="AV202" i="1" s="1"/>
  <c r="AV35" i="1"/>
  <c r="AV56" i="1" s="1"/>
  <c r="AV77" i="1" s="1"/>
  <c r="AV98" i="1" s="1"/>
  <c r="AV119" i="1" s="1"/>
  <c r="AV140" i="1" s="1"/>
  <c r="AV161" i="1" s="1"/>
  <c r="AV182" i="1" s="1"/>
  <c r="AV203" i="1" s="1"/>
  <c r="AV36" i="1"/>
  <c r="AV57" i="1" s="1"/>
  <c r="AV78" i="1" s="1"/>
  <c r="AV99" i="1" s="1"/>
  <c r="AV120" i="1" s="1"/>
  <c r="AV141" i="1" s="1"/>
  <c r="AV162" i="1" s="1"/>
  <c r="AV183" i="1" s="1"/>
  <c r="AV204" i="1" s="1"/>
  <c r="AV37" i="1"/>
  <c r="AV58" i="1" s="1"/>
  <c r="AV79" i="1" s="1"/>
  <c r="AV100" i="1" s="1"/>
  <c r="AV121" i="1" s="1"/>
  <c r="AV142" i="1" s="1"/>
  <c r="AV163" i="1" s="1"/>
  <c r="AV184" i="1" s="1"/>
  <c r="AV205" i="1" s="1"/>
  <c r="AV38" i="1"/>
  <c r="AV59" i="1" s="1"/>
  <c r="AV80" i="1" s="1"/>
  <c r="AV101" i="1" s="1"/>
  <c r="AV122" i="1" s="1"/>
  <c r="AV143" i="1" s="1"/>
  <c r="AV164" i="1" s="1"/>
  <c r="AV185" i="1" s="1"/>
  <c r="AV206" i="1" s="1"/>
  <c r="AV39" i="1"/>
  <c r="AV60" i="1" s="1"/>
  <c r="AV81" i="1" s="1"/>
  <c r="AV102" i="1" s="1"/>
  <c r="AV123" i="1" s="1"/>
  <c r="AV144" i="1" s="1"/>
  <c r="AV165" i="1" s="1"/>
  <c r="AV186" i="1" s="1"/>
  <c r="AV207" i="1" s="1"/>
  <c r="AV40" i="1"/>
  <c r="AV61" i="1" s="1"/>
  <c r="AV82" i="1" s="1"/>
  <c r="AV103" i="1" s="1"/>
  <c r="AV124" i="1" s="1"/>
  <c r="AV145" i="1" s="1"/>
  <c r="AV166" i="1" s="1"/>
  <c r="AV187" i="1" s="1"/>
  <c r="AV208" i="1" s="1"/>
  <c r="AV41" i="1"/>
  <c r="AV62" i="1" s="1"/>
  <c r="AV83" i="1" s="1"/>
  <c r="AV104" i="1" s="1"/>
  <c r="AV125" i="1" s="1"/>
  <c r="AV146" i="1" s="1"/>
  <c r="AV167" i="1" s="1"/>
  <c r="AV188" i="1" s="1"/>
  <c r="AV209" i="1" s="1"/>
  <c r="AV42" i="1"/>
  <c r="AV63" i="1" s="1"/>
  <c r="AV84" i="1" s="1"/>
  <c r="AV105" i="1" s="1"/>
  <c r="AV126" i="1" s="1"/>
  <c r="AV147" i="1" s="1"/>
  <c r="AV168" i="1" s="1"/>
  <c r="AV189" i="1" s="1"/>
  <c r="AV210" i="1" s="1"/>
  <c r="AV43" i="1"/>
  <c r="AV64" i="1" s="1"/>
  <c r="AV85" i="1" s="1"/>
  <c r="AV106" i="1" s="1"/>
  <c r="AV127" i="1" s="1"/>
  <c r="AV148" i="1" s="1"/>
  <c r="AV169" i="1" s="1"/>
  <c r="AV190" i="1" s="1"/>
  <c r="AV211" i="1" s="1"/>
  <c r="AV44" i="1"/>
  <c r="AV65" i="1" s="1"/>
  <c r="AV86" i="1" s="1"/>
  <c r="AV107" i="1" s="1"/>
  <c r="AV128" i="1" s="1"/>
  <c r="AV149" i="1" s="1"/>
  <c r="AV170" i="1" s="1"/>
  <c r="AV191" i="1" s="1"/>
  <c r="AV212" i="1" s="1"/>
  <c r="AV24" i="1"/>
  <c r="AV45" i="1" s="1"/>
  <c r="AV66" i="1" s="1"/>
  <c r="AV87" i="1" s="1"/>
  <c r="AV108" i="1" s="1"/>
  <c r="AV129" i="1" s="1"/>
  <c r="AV150" i="1" s="1"/>
  <c r="AV171" i="1" s="1"/>
  <c r="AV192" i="1" s="1"/>
  <c r="AX44" i="1"/>
  <c r="AX65" i="1" s="1"/>
  <c r="AX86" i="1" s="1"/>
  <c r="AX107" i="1" s="1"/>
  <c r="AX128" i="1" s="1"/>
  <c r="AX149" i="1" s="1"/>
  <c r="AX170" i="1" s="1"/>
  <c r="AX191" i="1" s="1"/>
  <c r="AX212" i="1" s="1"/>
  <c r="AX43" i="1"/>
  <c r="AX64" i="1" s="1"/>
  <c r="AX85" i="1" s="1"/>
  <c r="AX106" i="1" s="1"/>
  <c r="AX127" i="1" s="1"/>
  <c r="AX148" i="1" s="1"/>
  <c r="AX169" i="1" s="1"/>
  <c r="AX190" i="1" s="1"/>
  <c r="AX211" i="1" s="1"/>
  <c r="AX42" i="1"/>
  <c r="AX63" i="1" s="1"/>
  <c r="AX84" i="1" s="1"/>
  <c r="AX105" i="1" s="1"/>
  <c r="AX126" i="1" s="1"/>
  <c r="AX147" i="1" s="1"/>
  <c r="AX168" i="1" s="1"/>
  <c r="AX189" i="1" s="1"/>
  <c r="AX210" i="1" s="1"/>
  <c r="AX41" i="1"/>
  <c r="AX62" i="1" s="1"/>
  <c r="AX83" i="1" s="1"/>
  <c r="AX104" i="1" s="1"/>
  <c r="AX125" i="1" s="1"/>
  <c r="AX146" i="1" s="1"/>
  <c r="AX167" i="1" s="1"/>
  <c r="AX188" i="1" s="1"/>
  <c r="AX209" i="1" s="1"/>
  <c r="AX40" i="1"/>
  <c r="AX61" i="1" s="1"/>
  <c r="AX82" i="1" s="1"/>
  <c r="AX103" i="1" s="1"/>
  <c r="AX124" i="1" s="1"/>
  <c r="AX145" i="1" s="1"/>
  <c r="AX166" i="1" s="1"/>
  <c r="AX187" i="1" s="1"/>
  <c r="AX208" i="1" s="1"/>
  <c r="AX39" i="1"/>
  <c r="AX60" i="1" s="1"/>
  <c r="AX81" i="1" s="1"/>
  <c r="AX102" i="1" s="1"/>
  <c r="AX123" i="1" s="1"/>
  <c r="AX144" i="1" s="1"/>
  <c r="AX165" i="1" s="1"/>
  <c r="AX186" i="1" s="1"/>
  <c r="AX207" i="1" s="1"/>
  <c r="AX38" i="1"/>
  <c r="AX59" i="1" s="1"/>
  <c r="AX80" i="1" s="1"/>
  <c r="AX101" i="1" s="1"/>
  <c r="AX122" i="1" s="1"/>
  <c r="AX143" i="1" s="1"/>
  <c r="AX164" i="1" s="1"/>
  <c r="AX185" i="1" s="1"/>
  <c r="AX206" i="1" s="1"/>
  <c r="AX37" i="1"/>
  <c r="AX58" i="1" s="1"/>
  <c r="AX79" i="1" s="1"/>
  <c r="AX100" i="1" s="1"/>
  <c r="AX121" i="1" s="1"/>
  <c r="AX142" i="1" s="1"/>
  <c r="AX163" i="1" s="1"/>
  <c r="AX184" i="1" s="1"/>
  <c r="AX205" i="1" s="1"/>
  <c r="AX36" i="1"/>
  <c r="AX57" i="1" s="1"/>
  <c r="AX78" i="1" s="1"/>
  <c r="AX99" i="1" s="1"/>
  <c r="AX120" i="1" s="1"/>
  <c r="AX141" i="1" s="1"/>
  <c r="AX162" i="1" s="1"/>
  <c r="AX183" i="1" s="1"/>
  <c r="AX204" i="1" s="1"/>
  <c r="AX35" i="1"/>
  <c r="AX56" i="1" s="1"/>
  <c r="AX77" i="1" s="1"/>
  <c r="AX98" i="1" s="1"/>
  <c r="AX119" i="1" s="1"/>
  <c r="AX140" i="1" s="1"/>
  <c r="AX161" i="1" s="1"/>
  <c r="AX182" i="1" s="1"/>
  <c r="AX203" i="1" s="1"/>
  <c r="AX34" i="1"/>
  <c r="AX55" i="1" s="1"/>
  <c r="AX76" i="1" s="1"/>
  <c r="AX97" i="1" s="1"/>
  <c r="AX118" i="1" s="1"/>
  <c r="AX139" i="1" s="1"/>
  <c r="AX160" i="1" s="1"/>
  <c r="AX181" i="1" s="1"/>
  <c r="AX202" i="1" s="1"/>
  <c r="AX33" i="1"/>
  <c r="AX54" i="1" s="1"/>
  <c r="AX75" i="1" s="1"/>
  <c r="AX96" i="1" s="1"/>
  <c r="AX117" i="1" s="1"/>
  <c r="AX138" i="1" s="1"/>
  <c r="AX159" i="1" s="1"/>
  <c r="AX180" i="1" s="1"/>
  <c r="AX201" i="1" s="1"/>
  <c r="AX32" i="1"/>
  <c r="AX53" i="1" s="1"/>
  <c r="AX74" i="1" s="1"/>
  <c r="AX95" i="1" s="1"/>
  <c r="AX116" i="1" s="1"/>
  <c r="AX137" i="1" s="1"/>
  <c r="AX158" i="1" s="1"/>
  <c r="AX179" i="1" s="1"/>
  <c r="AX200" i="1" s="1"/>
  <c r="AX31" i="1"/>
  <c r="AX52" i="1" s="1"/>
  <c r="AX73" i="1" s="1"/>
  <c r="AX94" i="1" s="1"/>
  <c r="AX115" i="1" s="1"/>
  <c r="AX136" i="1" s="1"/>
  <c r="AX157" i="1" s="1"/>
  <c r="AX178" i="1" s="1"/>
  <c r="AX199" i="1" s="1"/>
  <c r="AX30" i="1"/>
  <c r="AX51" i="1" s="1"/>
  <c r="AX72" i="1" s="1"/>
  <c r="AX93" i="1" s="1"/>
  <c r="AX114" i="1" s="1"/>
  <c r="AX135" i="1" s="1"/>
  <c r="AX156" i="1" s="1"/>
  <c r="AX177" i="1" s="1"/>
  <c r="AX198" i="1" s="1"/>
  <c r="AX29" i="1"/>
  <c r="AX50" i="1" s="1"/>
  <c r="AX71" i="1" s="1"/>
  <c r="AX92" i="1" s="1"/>
  <c r="AX113" i="1" s="1"/>
  <c r="AX134" i="1" s="1"/>
  <c r="AX155" i="1" s="1"/>
  <c r="AX176" i="1" s="1"/>
  <c r="AX197" i="1" s="1"/>
  <c r="AX28" i="1"/>
  <c r="AX49" i="1" s="1"/>
  <c r="AX70" i="1" s="1"/>
  <c r="AX91" i="1" s="1"/>
  <c r="AX112" i="1" s="1"/>
  <c r="AX133" i="1" s="1"/>
  <c r="AX154" i="1" s="1"/>
  <c r="AX175" i="1" s="1"/>
  <c r="AX196" i="1" s="1"/>
  <c r="AX27" i="1"/>
  <c r="AX48" i="1" s="1"/>
  <c r="AX69" i="1" s="1"/>
  <c r="AX90" i="1" s="1"/>
  <c r="AX111" i="1" s="1"/>
  <c r="AX132" i="1" s="1"/>
  <c r="AX153" i="1" s="1"/>
  <c r="AX174" i="1" s="1"/>
  <c r="AX195" i="1" s="1"/>
  <c r="AX26" i="1"/>
  <c r="AX47" i="1" s="1"/>
  <c r="AX68" i="1" s="1"/>
  <c r="AX89" i="1" s="1"/>
  <c r="AX110" i="1" s="1"/>
  <c r="AX131" i="1" s="1"/>
  <c r="AX152" i="1" s="1"/>
  <c r="AX173" i="1" s="1"/>
  <c r="AX194" i="1" s="1"/>
  <c r="AX25" i="1"/>
  <c r="AX46" i="1" s="1"/>
  <c r="AX67" i="1" s="1"/>
  <c r="AX88" i="1" s="1"/>
  <c r="AX109" i="1" s="1"/>
  <c r="AX130" i="1" s="1"/>
  <c r="AX151" i="1" s="1"/>
  <c r="AX172" i="1" s="1"/>
  <c r="AX193" i="1" s="1"/>
  <c r="AX24" i="1"/>
  <c r="AX45" i="1" s="1"/>
  <c r="AX66" i="1" s="1"/>
  <c r="AX87" i="1" s="1"/>
  <c r="AX108" i="1" s="1"/>
  <c r="AX129" i="1" s="1"/>
  <c r="AX150" i="1" s="1"/>
  <c r="AX171" i="1" s="1"/>
  <c r="AX192" i="1" s="1"/>
  <c r="AY25" i="1"/>
  <c r="AY46" i="1" s="1"/>
  <c r="AY67" i="1" s="1"/>
  <c r="AY88" i="1" s="1"/>
  <c r="AY109" i="1" s="1"/>
  <c r="AY130" i="1" s="1"/>
  <c r="AY151" i="1" s="1"/>
  <c r="AY172" i="1" s="1"/>
  <c r="AY193" i="1" s="1"/>
  <c r="AY26" i="1"/>
  <c r="AY47" i="1" s="1"/>
  <c r="AY68" i="1" s="1"/>
  <c r="AY89" i="1" s="1"/>
  <c r="AY110" i="1" s="1"/>
  <c r="AY131" i="1" s="1"/>
  <c r="AY152" i="1" s="1"/>
  <c r="AY173" i="1" s="1"/>
  <c r="AY194" i="1" s="1"/>
  <c r="AY27" i="1"/>
  <c r="AY48" i="1" s="1"/>
  <c r="AY69" i="1" s="1"/>
  <c r="AY90" i="1" s="1"/>
  <c r="AY111" i="1" s="1"/>
  <c r="AY132" i="1" s="1"/>
  <c r="AY153" i="1" s="1"/>
  <c r="AY174" i="1" s="1"/>
  <c r="AY195" i="1" s="1"/>
  <c r="AY28" i="1"/>
  <c r="AY49" i="1" s="1"/>
  <c r="AY70" i="1" s="1"/>
  <c r="AY91" i="1" s="1"/>
  <c r="AY112" i="1" s="1"/>
  <c r="AY133" i="1" s="1"/>
  <c r="AY154" i="1" s="1"/>
  <c r="AY175" i="1" s="1"/>
  <c r="AY196" i="1" s="1"/>
  <c r="AY29" i="1"/>
  <c r="AY50" i="1" s="1"/>
  <c r="AY71" i="1" s="1"/>
  <c r="AY92" i="1" s="1"/>
  <c r="AY113" i="1" s="1"/>
  <c r="AY134" i="1" s="1"/>
  <c r="AY155" i="1" s="1"/>
  <c r="AY176" i="1" s="1"/>
  <c r="AY197" i="1" s="1"/>
  <c r="AY30" i="1"/>
  <c r="AY51" i="1" s="1"/>
  <c r="AY72" i="1" s="1"/>
  <c r="AY93" i="1" s="1"/>
  <c r="AY114" i="1" s="1"/>
  <c r="AY135" i="1" s="1"/>
  <c r="AY156" i="1" s="1"/>
  <c r="AY177" i="1" s="1"/>
  <c r="AY198" i="1" s="1"/>
  <c r="AY31" i="1"/>
  <c r="AY52" i="1" s="1"/>
  <c r="AY73" i="1" s="1"/>
  <c r="AY94" i="1" s="1"/>
  <c r="AY115" i="1" s="1"/>
  <c r="AY136" i="1" s="1"/>
  <c r="AY157" i="1" s="1"/>
  <c r="AY178" i="1" s="1"/>
  <c r="AY199" i="1" s="1"/>
  <c r="AY32" i="1"/>
  <c r="AY53" i="1" s="1"/>
  <c r="AY74" i="1" s="1"/>
  <c r="AY95" i="1" s="1"/>
  <c r="AY116" i="1" s="1"/>
  <c r="AY137" i="1" s="1"/>
  <c r="AY158" i="1" s="1"/>
  <c r="AY179" i="1" s="1"/>
  <c r="AY200" i="1" s="1"/>
  <c r="AY33" i="1"/>
  <c r="AY54" i="1" s="1"/>
  <c r="AY75" i="1" s="1"/>
  <c r="AY96" i="1" s="1"/>
  <c r="AY117" i="1" s="1"/>
  <c r="AY138" i="1" s="1"/>
  <c r="AY159" i="1" s="1"/>
  <c r="AY180" i="1" s="1"/>
  <c r="AY201" i="1" s="1"/>
  <c r="AY34" i="1"/>
  <c r="AY55" i="1" s="1"/>
  <c r="AY76" i="1" s="1"/>
  <c r="AY97" i="1" s="1"/>
  <c r="AY118" i="1" s="1"/>
  <c r="AY139" i="1" s="1"/>
  <c r="AY160" i="1" s="1"/>
  <c r="AY181" i="1" s="1"/>
  <c r="AY202" i="1" s="1"/>
  <c r="AY35" i="1"/>
  <c r="AY56" i="1" s="1"/>
  <c r="AY77" i="1" s="1"/>
  <c r="AY98" i="1" s="1"/>
  <c r="AY119" i="1" s="1"/>
  <c r="AY140" i="1" s="1"/>
  <c r="AY161" i="1" s="1"/>
  <c r="AY182" i="1" s="1"/>
  <c r="AY203" i="1" s="1"/>
  <c r="AY36" i="1"/>
  <c r="AY57" i="1" s="1"/>
  <c r="AY78" i="1" s="1"/>
  <c r="AY99" i="1" s="1"/>
  <c r="AY120" i="1" s="1"/>
  <c r="AY141" i="1" s="1"/>
  <c r="AY162" i="1" s="1"/>
  <c r="AY183" i="1" s="1"/>
  <c r="AY204" i="1" s="1"/>
  <c r="AY37" i="1"/>
  <c r="AY58" i="1" s="1"/>
  <c r="AY79" i="1" s="1"/>
  <c r="AY100" i="1" s="1"/>
  <c r="AY121" i="1" s="1"/>
  <c r="AY142" i="1" s="1"/>
  <c r="AY163" i="1" s="1"/>
  <c r="AY184" i="1" s="1"/>
  <c r="AY205" i="1" s="1"/>
  <c r="AY38" i="1"/>
  <c r="AY59" i="1" s="1"/>
  <c r="AY80" i="1" s="1"/>
  <c r="AY101" i="1" s="1"/>
  <c r="AY122" i="1" s="1"/>
  <c r="AY143" i="1" s="1"/>
  <c r="AY164" i="1" s="1"/>
  <c r="AY185" i="1" s="1"/>
  <c r="AY206" i="1" s="1"/>
  <c r="AY39" i="1"/>
  <c r="AY60" i="1" s="1"/>
  <c r="AY81" i="1" s="1"/>
  <c r="AY102" i="1" s="1"/>
  <c r="AY123" i="1" s="1"/>
  <c r="AY144" i="1" s="1"/>
  <c r="AY165" i="1" s="1"/>
  <c r="AY186" i="1" s="1"/>
  <c r="AY207" i="1" s="1"/>
  <c r="AY40" i="1"/>
  <c r="AY61" i="1" s="1"/>
  <c r="AY82" i="1" s="1"/>
  <c r="AY103" i="1" s="1"/>
  <c r="AY124" i="1" s="1"/>
  <c r="AY145" i="1" s="1"/>
  <c r="AY166" i="1" s="1"/>
  <c r="AY187" i="1" s="1"/>
  <c r="AY208" i="1" s="1"/>
  <c r="AY41" i="1"/>
  <c r="AY62" i="1" s="1"/>
  <c r="AY83" i="1" s="1"/>
  <c r="AY104" i="1" s="1"/>
  <c r="AY125" i="1" s="1"/>
  <c r="AY146" i="1" s="1"/>
  <c r="AY167" i="1" s="1"/>
  <c r="AY188" i="1" s="1"/>
  <c r="AY209" i="1" s="1"/>
  <c r="AY42" i="1"/>
  <c r="AY63" i="1" s="1"/>
  <c r="AY84" i="1" s="1"/>
  <c r="AY105" i="1" s="1"/>
  <c r="AY126" i="1" s="1"/>
  <c r="AY147" i="1" s="1"/>
  <c r="AY168" i="1" s="1"/>
  <c r="AY189" i="1" s="1"/>
  <c r="AY210" i="1" s="1"/>
  <c r="AY43" i="1"/>
  <c r="AY64" i="1" s="1"/>
  <c r="AY85" i="1" s="1"/>
  <c r="AY106" i="1" s="1"/>
  <c r="AY127" i="1" s="1"/>
  <c r="AY148" i="1" s="1"/>
  <c r="AY169" i="1" s="1"/>
  <c r="AY190" i="1" s="1"/>
  <c r="AY211" i="1" s="1"/>
  <c r="AY44" i="1"/>
  <c r="AY65" i="1" s="1"/>
  <c r="AY86" i="1" s="1"/>
  <c r="AY107" i="1" s="1"/>
  <c r="AY128" i="1" s="1"/>
  <c r="AY149" i="1" s="1"/>
  <c r="AY170" i="1" s="1"/>
  <c r="AY191" i="1" s="1"/>
  <c r="AY212" i="1" s="1"/>
  <c r="AY24" i="1"/>
  <c r="AY45" i="1" s="1"/>
  <c r="AY66" i="1" s="1"/>
  <c r="AY87" i="1" s="1"/>
  <c r="AY108" i="1" s="1"/>
  <c r="AY129" i="1" s="1"/>
  <c r="AY150" i="1" s="1"/>
  <c r="AY171" i="1" s="1"/>
  <c r="AY192" i="1" s="1"/>
  <c r="CH45" i="1"/>
  <c r="CH35" i="1"/>
  <c r="CH56" i="1" s="1"/>
  <c r="CH77" i="1" s="1"/>
  <c r="CH98" i="1" s="1"/>
  <c r="CH119" i="1" s="1"/>
  <c r="CH140" i="1" s="1"/>
  <c r="CH25" i="1"/>
  <c r="CH46" i="1" s="1"/>
  <c r="CH24" i="1"/>
  <c r="CH26" i="1"/>
  <c r="CH47" i="1" s="1"/>
  <c r="CH27" i="1"/>
  <c r="CH48" i="1" s="1"/>
  <c r="CH28" i="1"/>
  <c r="CH49" i="1" s="1"/>
  <c r="CH29" i="1"/>
  <c r="CH50" i="1" s="1"/>
  <c r="CH71" i="1" s="1"/>
  <c r="CH92" i="1" s="1"/>
  <c r="CH113" i="1" s="1"/>
  <c r="CH30" i="1"/>
  <c r="CH51" i="1" s="1"/>
  <c r="CH72" i="1" s="1"/>
  <c r="CH93" i="1" s="1"/>
  <c r="CH31" i="1"/>
  <c r="CH62" i="1" s="1"/>
  <c r="CH83" i="1" s="1"/>
  <c r="CH32" i="1"/>
  <c r="CH53" i="1" s="1"/>
  <c r="CH33" i="1"/>
  <c r="CH54" i="1" s="1"/>
  <c r="CH34" i="1"/>
  <c r="CH36" i="1"/>
  <c r="CH67" i="1" s="1"/>
  <c r="CH88" i="1" s="1"/>
  <c r="CH109" i="1" s="1"/>
  <c r="CH130" i="1" s="1"/>
  <c r="CH37" i="1"/>
  <c r="CH68" i="1" s="1"/>
  <c r="CH89" i="1" s="1"/>
  <c r="CH110" i="1" s="1"/>
  <c r="CH131" i="1" s="1"/>
  <c r="CH38" i="1"/>
  <c r="CH59" i="1" s="1"/>
  <c r="CH80" i="1" s="1"/>
  <c r="CH101" i="1" s="1"/>
  <c r="CH122" i="1" s="1"/>
  <c r="CH143" i="1" s="1"/>
  <c r="CH39" i="1"/>
  <c r="CH70" i="1" s="1"/>
  <c r="CH91" i="1" s="1"/>
  <c r="CH112" i="1" s="1"/>
  <c r="CH133" i="1" s="1"/>
  <c r="CH40" i="1"/>
  <c r="CH41" i="1"/>
  <c r="CH42" i="1"/>
  <c r="CH43" i="1"/>
  <c r="CH44" i="1"/>
  <c r="BD25" i="1"/>
  <c r="BD46" i="1" s="1"/>
  <c r="BD67" i="1" s="1"/>
  <c r="BD88" i="1" s="1"/>
  <c r="BD109" i="1" s="1"/>
  <c r="BD130" i="1" s="1"/>
  <c r="BD151" i="1" s="1"/>
  <c r="BD172" i="1" s="1"/>
  <c r="BD193" i="1" s="1"/>
  <c r="BD26" i="1"/>
  <c r="BD47" i="1" s="1"/>
  <c r="BD68" i="1" s="1"/>
  <c r="BD89" i="1" s="1"/>
  <c r="BD110" i="1" s="1"/>
  <c r="BD131" i="1" s="1"/>
  <c r="BD152" i="1" s="1"/>
  <c r="BD173" i="1" s="1"/>
  <c r="BD194" i="1" s="1"/>
  <c r="BD27" i="1"/>
  <c r="BD48" i="1" s="1"/>
  <c r="BD69" i="1" s="1"/>
  <c r="BD90" i="1" s="1"/>
  <c r="BD111" i="1" s="1"/>
  <c r="BD132" i="1" s="1"/>
  <c r="BD153" i="1" s="1"/>
  <c r="BD174" i="1" s="1"/>
  <c r="BD195" i="1" s="1"/>
  <c r="BD28" i="1"/>
  <c r="BD49" i="1" s="1"/>
  <c r="BD70" i="1" s="1"/>
  <c r="BD91" i="1" s="1"/>
  <c r="BD112" i="1" s="1"/>
  <c r="BD133" i="1" s="1"/>
  <c r="BD154" i="1" s="1"/>
  <c r="BD175" i="1" s="1"/>
  <c r="BD196" i="1" s="1"/>
  <c r="BD29" i="1"/>
  <c r="BD50" i="1" s="1"/>
  <c r="BD71" i="1" s="1"/>
  <c r="BD92" i="1" s="1"/>
  <c r="BD113" i="1" s="1"/>
  <c r="BD134" i="1" s="1"/>
  <c r="BD155" i="1" s="1"/>
  <c r="BD176" i="1" s="1"/>
  <c r="BD197" i="1" s="1"/>
  <c r="BD30" i="1"/>
  <c r="BD51" i="1" s="1"/>
  <c r="BD72" i="1" s="1"/>
  <c r="BD93" i="1" s="1"/>
  <c r="BD114" i="1" s="1"/>
  <c r="BD135" i="1" s="1"/>
  <c r="BD156" i="1" s="1"/>
  <c r="BD177" i="1" s="1"/>
  <c r="BD198" i="1" s="1"/>
  <c r="BD31" i="1"/>
  <c r="BD52" i="1" s="1"/>
  <c r="BD73" i="1" s="1"/>
  <c r="BD94" i="1" s="1"/>
  <c r="BD115" i="1" s="1"/>
  <c r="BD136" i="1" s="1"/>
  <c r="BD157" i="1" s="1"/>
  <c r="BD178" i="1" s="1"/>
  <c r="BD199" i="1" s="1"/>
  <c r="BD32" i="1"/>
  <c r="BD53" i="1" s="1"/>
  <c r="BD74" i="1" s="1"/>
  <c r="BD95" i="1" s="1"/>
  <c r="BD116" i="1" s="1"/>
  <c r="BD137" i="1" s="1"/>
  <c r="BD158" i="1" s="1"/>
  <c r="BD179" i="1" s="1"/>
  <c r="BD200" i="1" s="1"/>
  <c r="BD33" i="1"/>
  <c r="BD54" i="1" s="1"/>
  <c r="BD75" i="1" s="1"/>
  <c r="BD96" i="1" s="1"/>
  <c r="BD117" i="1" s="1"/>
  <c r="BD138" i="1" s="1"/>
  <c r="BD159" i="1" s="1"/>
  <c r="BD180" i="1" s="1"/>
  <c r="BD201" i="1" s="1"/>
  <c r="BD34" i="1"/>
  <c r="BD55" i="1" s="1"/>
  <c r="BD76" i="1" s="1"/>
  <c r="BD97" i="1" s="1"/>
  <c r="BD118" i="1" s="1"/>
  <c r="BD139" i="1" s="1"/>
  <c r="BD160" i="1" s="1"/>
  <c r="BD181" i="1" s="1"/>
  <c r="BD202" i="1" s="1"/>
  <c r="BD35" i="1"/>
  <c r="BD56" i="1" s="1"/>
  <c r="BD77" i="1" s="1"/>
  <c r="BD98" i="1" s="1"/>
  <c r="BD119" i="1" s="1"/>
  <c r="BD140" i="1" s="1"/>
  <c r="BD161" i="1" s="1"/>
  <c r="BD182" i="1" s="1"/>
  <c r="BD203" i="1" s="1"/>
  <c r="BD36" i="1"/>
  <c r="BD57" i="1" s="1"/>
  <c r="BD78" i="1" s="1"/>
  <c r="BD99" i="1" s="1"/>
  <c r="BD120" i="1" s="1"/>
  <c r="BD141" i="1" s="1"/>
  <c r="BD162" i="1" s="1"/>
  <c r="BD183" i="1" s="1"/>
  <c r="BD204" i="1" s="1"/>
  <c r="BD37" i="1"/>
  <c r="BD58" i="1" s="1"/>
  <c r="BD79" i="1" s="1"/>
  <c r="BD100" i="1" s="1"/>
  <c r="BD121" i="1" s="1"/>
  <c r="BD142" i="1" s="1"/>
  <c r="BD163" i="1" s="1"/>
  <c r="BD184" i="1" s="1"/>
  <c r="BD205" i="1" s="1"/>
  <c r="BD38" i="1"/>
  <c r="BD59" i="1" s="1"/>
  <c r="BD80" i="1" s="1"/>
  <c r="BD101" i="1" s="1"/>
  <c r="BD122" i="1" s="1"/>
  <c r="BD143" i="1" s="1"/>
  <c r="BD164" i="1" s="1"/>
  <c r="BD185" i="1" s="1"/>
  <c r="BD206" i="1" s="1"/>
  <c r="BD39" i="1"/>
  <c r="BD60" i="1" s="1"/>
  <c r="BD81" i="1" s="1"/>
  <c r="BD102" i="1" s="1"/>
  <c r="BD123" i="1" s="1"/>
  <c r="BD144" i="1" s="1"/>
  <c r="BD165" i="1" s="1"/>
  <c r="BD186" i="1" s="1"/>
  <c r="BD207" i="1" s="1"/>
  <c r="BD40" i="1"/>
  <c r="BD61" i="1" s="1"/>
  <c r="BD82" i="1" s="1"/>
  <c r="BD103" i="1" s="1"/>
  <c r="BD124" i="1" s="1"/>
  <c r="BD145" i="1" s="1"/>
  <c r="BD166" i="1" s="1"/>
  <c r="BD187" i="1" s="1"/>
  <c r="BD208" i="1" s="1"/>
  <c r="BD41" i="1"/>
  <c r="BD62" i="1" s="1"/>
  <c r="BD83" i="1" s="1"/>
  <c r="BD104" i="1" s="1"/>
  <c r="BD125" i="1" s="1"/>
  <c r="BD146" i="1" s="1"/>
  <c r="BD167" i="1" s="1"/>
  <c r="BD188" i="1" s="1"/>
  <c r="BD209" i="1" s="1"/>
  <c r="BD42" i="1"/>
  <c r="BD63" i="1" s="1"/>
  <c r="BD84" i="1" s="1"/>
  <c r="BD105" i="1" s="1"/>
  <c r="BD126" i="1" s="1"/>
  <c r="BD147" i="1" s="1"/>
  <c r="BD168" i="1" s="1"/>
  <c r="BD189" i="1" s="1"/>
  <c r="BD210" i="1" s="1"/>
  <c r="BD43" i="1"/>
  <c r="BD64" i="1" s="1"/>
  <c r="BD85" i="1" s="1"/>
  <c r="BD106" i="1" s="1"/>
  <c r="BD127" i="1" s="1"/>
  <c r="BD148" i="1" s="1"/>
  <c r="BD169" i="1" s="1"/>
  <c r="BD190" i="1" s="1"/>
  <c r="BD211" i="1" s="1"/>
  <c r="BD44" i="1"/>
  <c r="BD65" i="1" s="1"/>
  <c r="BD86" i="1" s="1"/>
  <c r="BD107" i="1" s="1"/>
  <c r="BD128" i="1" s="1"/>
  <c r="BD149" i="1" s="1"/>
  <c r="BD170" i="1" s="1"/>
  <c r="BD191" i="1" s="1"/>
  <c r="BD212" i="1" s="1"/>
  <c r="BD24" i="1"/>
  <c r="BD45" i="1" s="1"/>
  <c r="BD66" i="1" s="1"/>
  <c r="BD87" i="1" s="1"/>
  <c r="BD108" i="1" s="1"/>
  <c r="BD129" i="1" s="1"/>
  <c r="BD150" i="1" s="1"/>
  <c r="BD171" i="1" s="1"/>
  <c r="BD192" i="1" s="1"/>
  <c r="AU25" i="1"/>
  <c r="AU44" i="1" s="1"/>
  <c r="AU63" i="1" s="1"/>
  <c r="AU82" i="1" s="1"/>
  <c r="AU101" i="1" s="1"/>
  <c r="AU120" i="1" s="1"/>
  <c r="AU139" i="1" s="1"/>
  <c r="AU158" i="1" s="1"/>
  <c r="AU177" i="1" s="1"/>
  <c r="AU196" i="1" s="1"/>
  <c r="AU26" i="1"/>
  <c r="AU45" i="1" s="1"/>
  <c r="AU64" i="1" s="1"/>
  <c r="AU83" i="1" s="1"/>
  <c r="AU102" i="1" s="1"/>
  <c r="AU121" i="1" s="1"/>
  <c r="AU140" i="1" s="1"/>
  <c r="AU159" i="1" s="1"/>
  <c r="AU178" i="1" s="1"/>
  <c r="AU197" i="1" s="1"/>
  <c r="AU27" i="1"/>
  <c r="AU46" i="1" s="1"/>
  <c r="AU65" i="1" s="1"/>
  <c r="AU84" i="1" s="1"/>
  <c r="AU103" i="1" s="1"/>
  <c r="AU122" i="1" s="1"/>
  <c r="AU141" i="1" s="1"/>
  <c r="AU160" i="1" s="1"/>
  <c r="AU179" i="1" s="1"/>
  <c r="AU198" i="1" s="1"/>
  <c r="AU28" i="1"/>
  <c r="AU47" i="1" s="1"/>
  <c r="AU66" i="1" s="1"/>
  <c r="AU85" i="1" s="1"/>
  <c r="AU104" i="1" s="1"/>
  <c r="AU123" i="1" s="1"/>
  <c r="AU142" i="1" s="1"/>
  <c r="AU161" i="1" s="1"/>
  <c r="AU180" i="1" s="1"/>
  <c r="AU199" i="1" s="1"/>
  <c r="AU29" i="1"/>
  <c r="AU48" i="1" s="1"/>
  <c r="AU67" i="1" s="1"/>
  <c r="AU86" i="1" s="1"/>
  <c r="AU105" i="1" s="1"/>
  <c r="AU124" i="1" s="1"/>
  <c r="AU143" i="1" s="1"/>
  <c r="AU162" i="1" s="1"/>
  <c r="AU181" i="1" s="1"/>
  <c r="AU200" i="1" s="1"/>
  <c r="AU30" i="1"/>
  <c r="AU49" i="1" s="1"/>
  <c r="AU68" i="1" s="1"/>
  <c r="AU87" i="1" s="1"/>
  <c r="AU106" i="1" s="1"/>
  <c r="AU125" i="1" s="1"/>
  <c r="AU144" i="1" s="1"/>
  <c r="AU163" i="1" s="1"/>
  <c r="AU182" i="1" s="1"/>
  <c r="AU201" i="1" s="1"/>
  <c r="AU31" i="1"/>
  <c r="AU50" i="1" s="1"/>
  <c r="AU69" i="1" s="1"/>
  <c r="AU88" i="1" s="1"/>
  <c r="AU107" i="1" s="1"/>
  <c r="AU126" i="1" s="1"/>
  <c r="AU145" i="1" s="1"/>
  <c r="AU164" i="1" s="1"/>
  <c r="AU183" i="1" s="1"/>
  <c r="AU202" i="1" s="1"/>
  <c r="AU32" i="1"/>
  <c r="AU51" i="1" s="1"/>
  <c r="AU70" i="1" s="1"/>
  <c r="AU89" i="1" s="1"/>
  <c r="AU108" i="1" s="1"/>
  <c r="AU127" i="1" s="1"/>
  <c r="AU146" i="1" s="1"/>
  <c r="AU165" i="1" s="1"/>
  <c r="AU184" i="1" s="1"/>
  <c r="AU203" i="1" s="1"/>
  <c r="AU33" i="1"/>
  <c r="AU52" i="1" s="1"/>
  <c r="AU71" i="1" s="1"/>
  <c r="AU90" i="1" s="1"/>
  <c r="AU109" i="1" s="1"/>
  <c r="AU128" i="1" s="1"/>
  <c r="AU147" i="1" s="1"/>
  <c r="AU166" i="1" s="1"/>
  <c r="AU185" i="1" s="1"/>
  <c r="AU204" i="1" s="1"/>
  <c r="AU34" i="1"/>
  <c r="AU53" i="1" s="1"/>
  <c r="AU72" i="1" s="1"/>
  <c r="AU91" i="1" s="1"/>
  <c r="AU110" i="1" s="1"/>
  <c r="AU129" i="1" s="1"/>
  <c r="AU148" i="1" s="1"/>
  <c r="AU167" i="1" s="1"/>
  <c r="AU186" i="1" s="1"/>
  <c r="AU205" i="1" s="1"/>
  <c r="AU35" i="1"/>
  <c r="AU54" i="1" s="1"/>
  <c r="AU73" i="1" s="1"/>
  <c r="AU92" i="1" s="1"/>
  <c r="AU111" i="1" s="1"/>
  <c r="AU130" i="1" s="1"/>
  <c r="AU149" i="1" s="1"/>
  <c r="AU168" i="1" s="1"/>
  <c r="AU187" i="1" s="1"/>
  <c r="AU206" i="1" s="1"/>
  <c r="AU36" i="1"/>
  <c r="AU55" i="1" s="1"/>
  <c r="AU74" i="1" s="1"/>
  <c r="AU93" i="1" s="1"/>
  <c r="AU112" i="1" s="1"/>
  <c r="AU131" i="1" s="1"/>
  <c r="AU150" i="1" s="1"/>
  <c r="AU169" i="1" s="1"/>
  <c r="AU188" i="1" s="1"/>
  <c r="AU207" i="1" s="1"/>
  <c r="AU37" i="1"/>
  <c r="AU56" i="1" s="1"/>
  <c r="AU75" i="1" s="1"/>
  <c r="AU94" i="1" s="1"/>
  <c r="AU113" i="1" s="1"/>
  <c r="AU132" i="1" s="1"/>
  <c r="AU151" i="1" s="1"/>
  <c r="AU170" i="1" s="1"/>
  <c r="AU189" i="1" s="1"/>
  <c r="AU208" i="1" s="1"/>
  <c r="AU38" i="1"/>
  <c r="AU57" i="1" s="1"/>
  <c r="AU76" i="1" s="1"/>
  <c r="AU95" i="1" s="1"/>
  <c r="AU114" i="1" s="1"/>
  <c r="AU133" i="1" s="1"/>
  <c r="AU152" i="1" s="1"/>
  <c r="AU171" i="1" s="1"/>
  <c r="AU190" i="1" s="1"/>
  <c r="AU209" i="1" s="1"/>
  <c r="AU39" i="1"/>
  <c r="AU58" i="1" s="1"/>
  <c r="AU77" i="1" s="1"/>
  <c r="AU96" i="1" s="1"/>
  <c r="AU115" i="1" s="1"/>
  <c r="AU134" i="1" s="1"/>
  <c r="AU153" i="1" s="1"/>
  <c r="AU172" i="1" s="1"/>
  <c r="AU191" i="1" s="1"/>
  <c r="AU210" i="1" s="1"/>
  <c r="AU40" i="1"/>
  <c r="AU59" i="1" s="1"/>
  <c r="AU78" i="1" s="1"/>
  <c r="AU97" i="1" s="1"/>
  <c r="AU116" i="1" s="1"/>
  <c r="AU135" i="1" s="1"/>
  <c r="AU154" i="1" s="1"/>
  <c r="AU173" i="1" s="1"/>
  <c r="AU192" i="1" s="1"/>
  <c r="AU211" i="1" s="1"/>
  <c r="AU41" i="1"/>
  <c r="AU60" i="1" s="1"/>
  <c r="AU79" i="1" s="1"/>
  <c r="AU98" i="1" s="1"/>
  <c r="AU117" i="1" s="1"/>
  <c r="AU136" i="1" s="1"/>
  <c r="AU155" i="1" s="1"/>
  <c r="AU174" i="1" s="1"/>
  <c r="AU193" i="1" s="1"/>
  <c r="AU212" i="1" s="1"/>
  <c r="AU42" i="1"/>
  <c r="AU61" i="1" s="1"/>
  <c r="AU80" i="1" s="1"/>
  <c r="AU99" i="1" s="1"/>
  <c r="AU118" i="1" s="1"/>
  <c r="AU137" i="1" s="1"/>
  <c r="AU156" i="1" s="1"/>
  <c r="AU175" i="1" s="1"/>
  <c r="AU194" i="1" s="1"/>
  <c r="AU24" i="1"/>
  <c r="AU43" i="1" s="1"/>
  <c r="AU62" i="1" s="1"/>
  <c r="AU81" i="1" s="1"/>
  <c r="AU100" i="1" s="1"/>
  <c r="AU119" i="1" s="1"/>
  <c r="AU138" i="1" s="1"/>
  <c r="AU157" i="1" s="1"/>
  <c r="AU176" i="1" s="1"/>
  <c r="AU195" i="1" s="1"/>
  <c r="DX392" i="1"/>
  <c r="DW392" i="1" s="1"/>
  <c r="DX384" i="1"/>
  <c r="DW384" i="1" s="1"/>
  <c r="DX385" i="1"/>
  <c r="DW385" i="1" s="1"/>
  <c r="DX386" i="1"/>
  <c r="DW386" i="1" s="1"/>
  <c r="DX387" i="1"/>
  <c r="DW387" i="1" s="1"/>
  <c r="DX388" i="1"/>
  <c r="DW388" i="1" s="1"/>
  <c r="DX389" i="1"/>
  <c r="DW389" i="1" s="1"/>
  <c r="DX390" i="1"/>
  <c r="DW390" i="1" s="1"/>
  <c r="DX391" i="1"/>
  <c r="DW391" i="1" s="1"/>
  <c r="DX383" i="1"/>
  <c r="DW383" i="1" s="1"/>
  <c r="DW393" i="1"/>
  <c r="DW394" i="1"/>
  <c r="DW395" i="1"/>
  <c r="DW396" i="1"/>
  <c r="DW397" i="1"/>
  <c r="DW398" i="1"/>
  <c r="DW399" i="1"/>
  <c r="DW400" i="1"/>
  <c r="DW401" i="1"/>
  <c r="DW402" i="1"/>
  <c r="DR383" i="1"/>
  <c r="DR384" i="1"/>
  <c r="DR385" i="1"/>
  <c r="DR386" i="1"/>
  <c r="DR387" i="1"/>
  <c r="DR388" i="1"/>
  <c r="DR389" i="1"/>
  <c r="DR390" i="1"/>
  <c r="DR391" i="1"/>
  <c r="DR392" i="1"/>
  <c r="DR393" i="1"/>
  <c r="DR394" i="1"/>
  <c r="DR395" i="1"/>
  <c r="DR396" i="1"/>
  <c r="DR397" i="1"/>
  <c r="DR398" i="1"/>
  <c r="DR399" i="1"/>
  <c r="DR400" i="1"/>
  <c r="DR401" i="1"/>
  <c r="DR40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BL384" i="1"/>
  <c r="BL405" i="1" s="1"/>
  <c r="BL426" i="1" s="1"/>
  <c r="BL447" i="1" s="1"/>
  <c r="BL468" i="1" s="1"/>
  <c r="BL489" i="1" s="1"/>
  <c r="BL510" i="1" s="1"/>
  <c r="BL531" i="1" s="1"/>
  <c r="BL552" i="1" s="1"/>
  <c r="BL573" i="1" s="1"/>
  <c r="BL385" i="1"/>
  <c r="BL406" i="1" s="1"/>
  <c r="BL427" i="1" s="1"/>
  <c r="BL448" i="1" s="1"/>
  <c r="BL469" i="1" s="1"/>
  <c r="BL490" i="1" s="1"/>
  <c r="BL511" i="1" s="1"/>
  <c r="BL532" i="1" s="1"/>
  <c r="BL553" i="1" s="1"/>
  <c r="BL574" i="1" s="1"/>
  <c r="BL386" i="1"/>
  <c r="BL407" i="1" s="1"/>
  <c r="BL428" i="1" s="1"/>
  <c r="BL449" i="1" s="1"/>
  <c r="BL470" i="1" s="1"/>
  <c r="BL491" i="1" s="1"/>
  <c r="BL512" i="1" s="1"/>
  <c r="BL533" i="1" s="1"/>
  <c r="BL554" i="1" s="1"/>
  <c r="BL575" i="1" s="1"/>
  <c r="BL387" i="1"/>
  <c r="BL408" i="1" s="1"/>
  <c r="BL429" i="1" s="1"/>
  <c r="BL450" i="1" s="1"/>
  <c r="BL471" i="1" s="1"/>
  <c r="BL492" i="1" s="1"/>
  <c r="BL513" i="1" s="1"/>
  <c r="BL534" i="1" s="1"/>
  <c r="BL555" i="1" s="1"/>
  <c r="BL576" i="1" s="1"/>
  <c r="BL388" i="1"/>
  <c r="BL409" i="1" s="1"/>
  <c r="BL430" i="1" s="1"/>
  <c r="BL451" i="1" s="1"/>
  <c r="BL472" i="1" s="1"/>
  <c r="BL493" i="1" s="1"/>
  <c r="BL514" i="1" s="1"/>
  <c r="BL535" i="1" s="1"/>
  <c r="BL556" i="1" s="1"/>
  <c r="BL577" i="1" s="1"/>
  <c r="BL389" i="1"/>
  <c r="BL410" i="1" s="1"/>
  <c r="BL431" i="1" s="1"/>
  <c r="BL452" i="1" s="1"/>
  <c r="BL473" i="1" s="1"/>
  <c r="BL494" i="1" s="1"/>
  <c r="BL515" i="1" s="1"/>
  <c r="BL536" i="1" s="1"/>
  <c r="BL557" i="1" s="1"/>
  <c r="BL578" i="1" s="1"/>
  <c r="BL390" i="1"/>
  <c r="BL411" i="1" s="1"/>
  <c r="BL432" i="1" s="1"/>
  <c r="BL453" i="1" s="1"/>
  <c r="BL474" i="1" s="1"/>
  <c r="BL495" i="1" s="1"/>
  <c r="BL516" i="1" s="1"/>
  <c r="BL537" i="1" s="1"/>
  <c r="BL558" i="1" s="1"/>
  <c r="BL579" i="1" s="1"/>
  <c r="BL391" i="1"/>
  <c r="BL412" i="1" s="1"/>
  <c r="BL433" i="1" s="1"/>
  <c r="BL454" i="1" s="1"/>
  <c r="BL475" i="1" s="1"/>
  <c r="BL496" i="1" s="1"/>
  <c r="BL517" i="1" s="1"/>
  <c r="BL538" i="1" s="1"/>
  <c r="BL559" i="1" s="1"/>
  <c r="BL580" i="1" s="1"/>
  <c r="BL392" i="1"/>
  <c r="BL413" i="1" s="1"/>
  <c r="BL434" i="1" s="1"/>
  <c r="BL455" i="1" s="1"/>
  <c r="BL476" i="1" s="1"/>
  <c r="BL497" i="1" s="1"/>
  <c r="BL518" i="1" s="1"/>
  <c r="BL539" i="1" s="1"/>
  <c r="BL560" i="1" s="1"/>
  <c r="BL581" i="1" s="1"/>
  <c r="BL393" i="1"/>
  <c r="BL414" i="1" s="1"/>
  <c r="BL435" i="1" s="1"/>
  <c r="BL456" i="1" s="1"/>
  <c r="BL477" i="1" s="1"/>
  <c r="BL498" i="1" s="1"/>
  <c r="BL519" i="1" s="1"/>
  <c r="BL540" i="1" s="1"/>
  <c r="BL561" i="1" s="1"/>
  <c r="BL582" i="1" s="1"/>
  <c r="BL394" i="1"/>
  <c r="BL415" i="1" s="1"/>
  <c r="BL436" i="1" s="1"/>
  <c r="BL457" i="1" s="1"/>
  <c r="BL478" i="1" s="1"/>
  <c r="BL499" i="1" s="1"/>
  <c r="BL520" i="1" s="1"/>
  <c r="BL541" i="1" s="1"/>
  <c r="BL562" i="1" s="1"/>
  <c r="BL395" i="1"/>
  <c r="BL416" i="1" s="1"/>
  <c r="BL437" i="1" s="1"/>
  <c r="BL458" i="1" s="1"/>
  <c r="BL479" i="1" s="1"/>
  <c r="BL500" i="1" s="1"/>
  <c r="BL521" i="1" s="1"/>
  <c r="BL542" i="1" s="1"/>
  <c r="BL563" i="1" s="1"/>
  <c r="BL396" i="1"/>
  <c r="BL417" i="1" s="1"/>
  <c r="BL438" i="1" s="1"/>
  <c r="BL459" i="1" s="1"/>
  <c r="BL480" i="1" s="1"/>
  <c r="BL501" i="1" s="1"/>
  <c r="BL522" i="1" s="1"/>
  <c r="BL543" i="1" s="1"/>
  <c r="BL564" i="1" s="1"/>
  <c r="BL397" i="1"/>
  <c r="BL418" i="1" s="1"/>
  <c r="BL439" i="1" s="1"/>
  <c r="BL460" i="1" s="1"/>
  <c r="BL481" i="1" s="1"/>
  <c r="BL502" i="1" s="1"/>
  <c r="BL523" i="1" s="1"/>
  <c r="BL544" i="1" s="1"/>
  <c r="BL565" i="1" s="1"/>
  <c r="BL398" i="1"/>
  <c r="BL419" i="1" s="1"/>
  <c r="BL440" i="1" s="1"/>
  <c r="BL461" i="1" s="1"/>
  <c r="BL482" i="1" s="1"/>
  <c r="BL503" i="1" s="1"/>
  <c r="BL524" i="1" s="1"/>
  <c r="BL545" i="1" s="1"/>
  <c r="BL566" i="1" s="1"/>
  <c r="BL399" i="1"/>
  <c r="BL420" i="1" s="1"/>
  <c r="BL441" i="1" s="1"/>
  <c r="BL462" i="1" s="1"/>
  <c r="BL483" i="1" s="1"/>
  <c r="BL504" i="1" s="1"/>
  <c r="BL525" i="1" s="1"/>
  <c r="BL546" i="1" s="1"/>
  <c r="BL567" i="1" s="1"/>
  <c r="BL400" i="1"/>
  <c r="BL421" i="1" s="1"/>
  <c r="BL442" i="1" s="1"/>
  <c r="BL463" i="1" s="1"/>
  <c r="BL484" i="1" s="1"/>
  <c r="BL505" i="1" s="1"/>
  <c r="BL526" i="1" s="1"/>
  <c r="BL547" i="1" s="1"/>
  <c r="BL568" i="1" s="1"/>
  <c r="BL401" i="1"/>
  <c r="BL422" i="1" s="1"/>
  <c r="BL443" i="1" s="1"/>
  <c r="BL464" i="1" s="1"/>
  <c r="BL485" i="1" s="1"/>
  <c r="BL506" i="1" s="1"/>
  <c r="BL527" i="1" s="1"/>
  <c r="BL548" i="1" s="1"/>
  <c r="BL569" i="1" s="1"/>
  <c r="BL402" i="1"/>
  <c r="BL423" i="1" s="1"/>
  <c r="BL444" i="1" s="1"/>
  <c r="BL465" i="1" s="1"/>
  <c r="BL486" i="1" s="1"/>
  <c r="BL507" i="1" s="1"/>
  <c r="BL528" i="1" s="1"/>
  <c r="BL549" i="1" s="1"/>
  <c r="BL570" i="1" s="1"/>
  <c r="BL383" i="1"/>
  <c r="BL404" i="1" s="1"/>
  <c r="BL425" i="1" s="1"/>
  <c r="BL446" i="1" s="1"/>
  <c r="BL467" i="1" s="1"/>
  <c r="BL488" i="1" s="1"/>
  <c r="BL509" i="1" s="1"/>
  <c r="BL530" i="1" s="1"/>
  <c r="BL551" i="1" s="1"/>
  <c r="BL572" i="1" s="1"/>
  <c r="CH69" i="1" l="1"/>
  <c r="CH90" i="1" s="1"/>
  <c r="CH111" i="1" s="1"/>
  <c r="CH132" i="1" s="1"/>
  <c r="CH153" i="1" s="1"/>
  <c r="CH58" i="1"/>
  <c r="CH79" i="1" s="1"/>
  <c r="CH100" i="1" s="1"/>
  <c r="CH121" i="1" s="1"/>
  <c r="CH142" i="1" s="1"/>
  <c r="CH104" i="1"/>
  <c r="CH105" i="1"/>
  <c r="CH126" i="1" s="1"/>
  <c r="CH147" i="1" s="1"/>
  <c r="CH52" i="1"/>
  <c r="CH73" i="1" s="1"/>
  <c r="CH95" i="1" s="1"/>
  <c r="CH116" i="1" s="1"/>
  <c r="CH137" i="1" s="1"/>
  <c r="CH63" i="1"/>
  <c r="CH64" i="1"/>
  <c r="CH55" i="1"/>
  <c r="CH76" i="1" s="1"/>
  <c r="CH97" i="1" s="1"/>
  <c r="CH118" i="1" s="1"/>
  <c r="CH139" i="1" s="1"/>
  <c r="CH160" i="1" s="1"/>
  <c r="CH181" i="1" s="1"/>
  <c r="CH202" i="1" s="1"/>
  <c r="CH155" i="1"/>
  <c r="CH176" i="1" s="1"/>
  <c r="CH197" i="1" s="1"/>
  <c r="CH164" i="1"/>
  <c r="CH165" i="1"/>
  <c r="CH154" i="1"/>
  <c r="CH161" i="1"/>
  <c r="CH182" i="1" s="1"/>
  <c r="CH203" i="1" s="1"/>
  <c r="CH151" i="1"/>
  <c r="CH172" i="1" s="1"/>
  <c r="CH193" i="1" s="1"/>
  <c r="CH75" i="1"/>
  <c r="CH96" i="1" s="1"/>
  <c r="CH117" i="1" s="1"/>
  <c r="CH138" i="1" s="1"/>
  <c r="CH74" i="1"/>
  <c r="CH135" i="1"/>
  <c r="CH134" i="1"/>
  <c r="CH162" i="1"/>
  <c r="CH183" i="1" s="1"/>
  <c r="CH152" i="1"/>
  <c r="CH173" i="1" s="1"/>
  <c r="CH115" i="1"/>
  <c r="CH136" i="1" s="1"/>
  <c r="CH114" i="1"/>
  <c r="CH60" i="1"/>
  <c r="CH81" i="1" s="1"/>
  <c r="CH102" i="1" s="1"/>
  <c r="CH123" i="1" s="1"/>
  <c r="CH61" i="1"/>
  <c r="CH82" i="1" s="1"/>
  <c r="CH103" i="1" s="1"/>
  <c r="CH65" i="1"/>
  <c r="CH86" i="1" s="1"/>
  <c r="CH107" i="1" s="1"/>
  <c r="CH128" i="1" s="1"/>
  <c r="CH149" i="1" s="1"/>
  <c r="CH66" i="1"/>
  <c r="CH87" i="1" s="1"/>
  <c r="CH108" i="1" s="1"/>
  <c r="CH129" i="1" s="1"/>
  <c r="CH150" i="1" s="1"/>
  <c r="CH171" i="1" s="1"/>
  <c r="CH192" i="1" s="1"/>
  <c r="CH57" i="1"/>
  <c r="CH78" i="1" s="1"/>
  <c r="CH99" i="1" s="1"/>
  <c r="CH120" i="1" s="1"/>
  <c r="CH141" i="1" s="1"/>
  <c r="CE344" i="1"/>
  <c r="CE345" i="1"/>
  <c r="CE346" i="1"/>
  <c r="CE347" i="1"/>
  <c r="CE348" i="1"/>
  <c r="CE349" i="1"/>
  <c r="CE350" i="1"/>
  <c r="CE351" i="1"/>
  <c r="CE352" i="1"/>
  <c r="CH163" i="1" l="1"/>
  <c r="CH185" i="1" s="1"/>
  <c r="CH206" i="1" s="1"/>
  <c r="CH94" i="1"/>
  <c r="CH85" i="1"/>
  <c r="CH106" i="1" s="1"/>
  <c r="CH127" i="1" s="1"/>
  <c r="CH148" i="1" s="1"/>
  <c r="CH84" i="1"/>
  <c r="CH170" i="1"/>
  <c r="CH191" i="1" s="1"/>
  <c r="CH212" i="1" s="1"/>
  <c r="CH168" i="1"/>
  <c r="CH189" i="1" s="1"/>
  <c r="CH210" i="1" s="1"/>
  <c r="CH158" i="1"/>
  <c r="CH179" i="1" s="1"/>
  <c r="CH200" i="1" s="1"/>
  <c r="CH157" i="1"/>
  <c r="CH178" i="1" s="1"/>
  <c r="CH199" i="1" s="1"/>
  <c r="CH167" i="1"/>
  <c r="CH195" i="1"/>
  <c r="CH194" i="1"/>
  <c r="CH204" i="1"/>
  <c r="CH205" i="1"/>
  <c r="CH156" i="1"/>
  <c r="CH177" i="1" s="1"/>
  <c r="CH198" i="1" s="1"/>
  <c r="CH166" i="1"/>
  <c r="CH159" i="1"/>
  <c r="CH180" i="1" s="1"/>
  <c r="CH201" i="1" s="1"/>
  <c r="CH169" i="1"/>
  <c r="CH190" i="1" s="1"/>
  <c r="CH211" i="1" s="1"/>
  <c r="CH175" i="1"/>
  <c r="CH196" i="1" s="1"/>
  <c r="CH174" i="1"/>
  <c r="CH124" i="1"/>
  <c r="CH125" i="1"/>
  <c r="CH146" i="1" s="1"/>
  <c r="CH144" i="1"/>
  <c r="CH186" i="1" s="1"/>
  <c r="CH207" i="1" s="1"/>
  <c r="CH145" i="1"/>
  <c r="DY382" i="1"/>
  <c r="DW382" i="1"/>
  <c r="DR382" i="1"/>
  <c r="DY381" i="1"/>
  <c r="DW381" i="1"/>
  <c r="DR381" i="1"/>
  <c r="DY380" i="1"/>
  <c r="DW380" i="1"/>
  <c r="DR380" i="1"/>
  <c r="DY379" i="1"/>
  <c r="DW379" i="1"/>
  <c r="DR379" i="1"/>
  <c r="DY378" i="1"/>
  <c r="DW378" i="1"/>
  <c r="DR378" i="1"/>
  <c r="DY377" i="1"/>
  <c r="DW377" i="1"/>
  <c r="DR377" i="1"/>
  <c r="DY376" i="1"/>
  <c r="DW376" i="1"/>
  <c r="DR376" i="1"/>
  <c r="DY375" i="1"/>
  <c r="DW375" i="1"/>
  <c r="DR375" i="1"/>
  <c r="DY374" i="1"/>
  <c r="DW374" i="1"/>
  <c r="DR374" i="1"/>
  <c r="DY373" i="1"/>
  <c r="DW373" i="1"/>
  <c r="DR373" i="1"/>
  <c r="DY372" i="1"/>
  <c r="DW372" i="1"/>
  <c r="DR372" i="1"/>
  <c r="DY371" i="1"/>
  <c r="DW371" i="1"/>
  <c r="DR371" i="1"/>
  <c r="DY370" i="1"/>
  <c r="DW370" i="1"/>
  <c r="DR370" i="1"/>
  <c r="DY369" i="1"/>
  <c r="DW369" i="1"/>
  <c r="DR369" i="1"/>
  <c r="DY368" i="1"/>
  <c r="DW368" i="1"/>
  <c r="DR368" i="1"/>
  <c r="DY367" i="1"/>
  <c r="DW367" i="1"/>
  <c r="DR367" i="1"/>
  <c r="DY366" i="1"/>
  <c r="DW366" i="1"/>
  <c r="DR366" i="1"/>
  <c r="DY365" i="1"/>
  <c r="DW365" i="1"/>
  <c r="DR365" i="1"/>
  <c r="DY364" i="1"/>
  <c r="DW364" i="1"/>
  <c r="DR364" i="1"/>
  <c r="DY363" i="1"/>
  <c r="DW363" i="1"/>
  <c r="DR363" i="1"/>
  <c r="DY362" i="1"/>
  <c r="DW362" i="1"/>
  <c r="DR362" i="1"/>
  <c r="DY361" i="1"/>
  <c r="DW361" i="1"/>
  <c r="DR361" i="1"/>
  <c r="DY360" i="1"/>
  <c r="DW360" i="1"/>
  <c r="DR360" i="1"/>
  <c r="DY359" i="1"/>
  <c r="DW359" i="1"/>
  <c r="DR359" i="1"/>
  <c r="DY358" i="1"/>
  <c r="DW358" i="1"/>
  <c r="DR358" i="1"/>
  <c r="DY357" i="1"/>
  <c r="DW357" i="1"/>
  <c r="DR357" i="1"/>
  <c r="DY356" i="1"/>
  <c r="DW356" i="1"/>
  <c r="DR356" i="1"/>
  <c r="DY355" i="1"/>
  <c r="DW355" i="1"/>
  <c r="DR355" i="1"/>
  <c r="DY354" i="1"/>
  <c r="DW354" i="1"/>
  <c r="DR354" i="1"/>
  <c r="DY353" i="1"/>
  <c r="DW353" i="1"/>
  <c r="DR353" i="1"/>
  <c r="DY352" i="1"/>
  <c r="DW352" i="1"/>
  <c r="DR352" i="1"/>
  <c r="DY351" i="1"/>
  <c r="DW351" i="1"/>
  <c r="DR351" i="1"/>
  <c r="DY350" i="1"/>
  <c r="DW350" i="1"/>
  <c r="DR350" i="1"/>
  <c r="DY349" i="1"/>
  <c r="DW349" i="1"/>
  <c r="DR349" i="1"/>
  <c r="DY348" i="1"/>
  <c r="DW348" i="1"/>
  <c r="DR348" i="1"/>
  <c r="DY347" i="1"/>
  <c r="DW347" i="1"/>
  <c r="DR347" i="1"/>
  <c r="DY346" i="1"/>
  <c r="DW346" i="1"/>
  <c r="DR346" i="1"/>
  <c r="DY345" i="1"/>
  <c r="DW345" i="1"/>
  <c r="DR345" i="1"/>
  <c r="DY344" i="1"/>
  <c r="DW344" i="1"/>
  <c r="DR344" i="1"/>
  <c r="DD344" i="1"/>
  <c r="DC344" i="1" s="1"/>
  <c r="DG344" i="1"/>
  <c r="DD345" i="1"/>
  <c r="DC345" i="1" s="1"/>
  <c r="DG345" i="1"/>
  <c r="DD346" i="1"/>
  <c r="DC346" i="1" s="1"/>
  <c r="DG346" i="1"/>
  <c r="DD347" i="1"/>
  <c r="DC347" i="1" s="1"/>
  <c r="DG347" i="1"/>
  <c r="DD348" i="1"/>
  <c r="DC348" i="1" s="1"/>
  <c r="DG348" i="1"/>
  <c r="DD349" i="1"/>
  <c r="DC349" i="1" s="1"/>
  <c r="DG349" i="1"/>
  <c r="DD350" i="1"/>
  <c r="DC350" i="1" s="1"/>
  <c r="DG350" i="1"/>
  <c r="DD351" i="1"/>
  <c r="DC351" i="1" s="1"/>
  <c r="DG351" i="1"/>
  <c r="DD352" i="1"/>
  <c r="DC352" i="1" s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M344" i="1"/>
  <c r="DM345" i="1"/>
  <c r="DM346" i="1"/>
  <c r="DM347" i="1"/>
  <c r="DM348" i="1"/>
  <c r="DM349" i="1"/>
  <c r="DM350" i="1"/>
  <c r="DM351" i="1"/>
  <c r="DM352" i="1"/>
  <c r="DM353" i="1"/>
  <c r="DM354" i="1"/>
  <c r="DM355" i="1"/>
  <c r="DM356" i="1"/>
  <c r="DM357" i="1"/>
  <c r="DM358" i="1"/>
  <c r="DM359" i="1"/>
  <c r="DM360" i="1"/>
  <c r="DM361" i="1"/>
  <c r="DM362" i="1"/>
  <c r="DM363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43" i="1"/>
  <c r="BY344" i="1"/>
  <c r="BY345" i="1"/>
  <c r="BY346" i="1"/>
  <c r="BY347" i="1"/>
  <c r="BY348" i="1"/>
  <c r="BY349" i="1"/>
  <c r="BY350" i="1"/>
  <c r="BY351" i="1"/>
  <c r="BY352" i="1"/>
  <c r="BV344" i="1"/>
  <c r="BW344" i="1"/>
  <c r="BX344" i="1"/>
  <c r="BV345" i="1"/>
  <c r="BW345" i="1"/>
  <c r="BX345" i="1"/>
  <c r="BV346" i="1"/>
  <c r="BW346" i="1"/>
  <c r="BX346" i="1"/>
  <c r="BV347" i="1"/>
  <c r="BW347" i="1"/>
  <c r="BX347" i="1"/>
  <c r="BV348" i="1"/>
  <c r="BW348" i="1"/>
  <c r="BX348" i="1"/>
  <c r="BV349" i="1"/>
  <c r="DL349" i="1" s="1"/>
  <c r="BW349" i="1"/>
  <c r="BX349" i="1"/>
  <c r="BV350" i="1"/>
  <c r="DL350" i="1" s="1"/>
  <c r="BW350" i="1"/>
  <c r="BX350" i="1"/>
  <c r="BV351" i="1"/>
  <c r="BW351" i="1"/>
  <c r="BX351" i="1"/>
  <c r="BV352" i="1"/>
  <c r="BW352" i="1"/>
  <c r="BX352" i="1"/>
  <c r="BT354" i="1"/>
  <c r="BT355" i="1"/>
  <c r="BT356" i="1"/>
  <c r="BT357" i="1"/>
  <c r="BT358" i="1"/>
  <c r="BT359" i="1"/>
  <c r="BT360" i="1"/>
  <c r="BT361" i="1"/>
  <c r="BT362" i="1"/>
  <c r="BT353" i="1"/>
  <c r="DA346" i="1" l="1"/>
  <c r="DL346" i="1"/>
  <c r="DL347" i="1"/>
  <c r="DL344" i="1"/>
  <c r="DL352" i="1"/>
  <c r="DA345" i="1"/>
  <c r="DL345" i="1"/>
  <c r="DA348" i="1"/>
  <c r="DL348" i="1"/>
  <c r="DJ351" i="1"/>
  <c r="DL351" i="1"/>
  <c r="CH184" i="1"/>
  <c r="CE353" i="1"/>
  <c r="BJ353" i="1"/>
  <c r="BK353" i="1"/>
  <c r="CE355" i="1"/>
  <c r="BJ355" i="1"/>
  <c r="BK355" i="1"/>
  <c r="CE354" i="1"/>
  <c r="BJ354" i="1"/>
  <c r="BK354" i="1"/>
  <c r="BK361" i="1"/>
  <c r="BJ361" i="1"/>
  <c r="BJ360" i="1"/>
  <c r="BK360" i="1"/>
  <c r="CE358" i="1"/>
  <c r="BJ358" i="1"/>
  <c r="BK358" i="1"/>
  <c r="BJ359" i="1"/>
  <c r="BK359" i="1"/>
  <c r="CE357" i="1"/>
  <c r="BK357" i="1"/>
  <c r="BJ357" i="1"/>
  <c r="BK356" i="1"/>
  <c r="BJ356" i="1"/>
  <c r="BJ362" i="1"/>
  <c r="BK362" i="1"/>
  <c r="CH188" i="1"/>
  <c r="CH209" i="1" s="1"/>
  <c r="CH187" i="1"/>
  <c r="CH208" i="1" s="1"/>
  <c r="BY362" i="1"/>
  <c r="CE362" i="1"/>
  <c r="BV359" i="1"/>
  <c r="CE359" i="1"/>
  <c r="BY361" i="1"/>
  <c r="CE361" i="1"/>
  <c r="DD360" i="1"/>
  <c r="DC360" i="1" s="1"/>
  <c r="CE360" i="1"/>
  <c r="BX356" i="1"/>
  <c r="CE356" i="1"/>
  <c r="DJ344" i="1"/>
  <c r="BY354" i="1"/>
  <c r="DJ346" i="1"/>
  <c r="BY358" i="1"/>
  <c r="BV358" i="1"/>
  <c r="BV357" i="1"/>
  <c r="BW357" i="1"/>
  <c r="BX357" i="1"/>
  <c r="DA350" i="1"/>
  <c r="DJ350" i="1"/>
  <c r="BW356" i="1"/>
  <c r="BV356" i="1"/>
  <c r="BX355" i="1"/>
  <c r="DA352" i="1"/>
  <c r="BY356" i="1"/>
  <c r="DD361" i="1"/>
  <c r="DC361" i="1" s="1"/>
  <c r="DD359" i="1"/>
  <c r="DC359" i="1" s="1"/>
  <c r="DD357" i="1"/>
  <c r="DC357" i="1" s="1"/>
  <c r="DJ345" i="1"/>
  <c r="DD356" i="1"/>
  <c r="DC356" i="1" s="1"/>
  <c r="BX362" i="1"/>
  <c r="BW362" i="1"/>
  <c r="BY360" i="1"/>
  <c r="DD355" i="1"/>
  <c r="DC355" i="1" s="1"/>
  <c r="BV362" i="1"/>
  <c r="BY359" i="1"/>
  <c r="DJ348" i="1"/>
  <c r="BT372" i="1"/>
  <c r="BT371" i="1"/>
  <c r="BW361" i="1"/>
  <c r="BY357" i="1"/>
  <c r="DJ352" i="1"/>
  <c r="BX361" i="1"/>
  <c r="BT367" i="1"/>
  <c r="BV361" i="1"/>
  <c r="DD362" i="1"/>
  <c r="DC362" i="1" s="1"/>
  <c r="BT366" i="1"/>
  <c r="BY355" i="1"/>
  <c r="DD353" i="1"/>
  <c r="DC353" i="1" s="1"/>
  <c r="BV353" i="1"/>
  <c r="DL353" i="1" s="1"/>
  <c r="BW353" i="1"/>
  <c r="BX353" i="1"/>
  <c r="BY353" i="1"/>
  <c r="BX360" i="1"/>
  <c r="BT370" i="1"/>
  <c r="BT369" i="1"/>
  <c r="DA344" i="1"/>
  <c r="BW358" i="1"/>
  <c r="BX358" i="1"/>
  <c r="BT368" i="1"/>
  <c r="DD358" i="1"/>
  <c r="DC358" i="1" s="1"/>
  <c r="BT363" i="1"/>
  <c r="BW360" i="1"/>
  <c r="BT365" i="1"/>
  <c r="BW355" i="1"/>
  <c r="BV355" i="1"/>
  <c r="DL355" i="1" s="1"/>
  <c r="BV360" i="1"/>
  <c r="DL360" i="1" s="1"/>
  <c r="BT364" i="1"/>
  <c r="BV354" i="1"/>
  <c r="DL354" i="1" s="1"/>
  <c r="BW354" i="1"/>
  <c r="DD354" i="1"/>
  <c r="DC354" i="1" s="1"/>
  <c r="BX354" i="1"/>
  <c r="BX359" i="1"/>
  <c r="DA349" i="1"/>
  <c r="DJ349" i="1"/>
  <c r="DA351" i="1"/>
  <c r="BW359" i="1"/>
  <c r="DA347" i="1"/>
  <c r="DJ347" i="1"/>
  <c r="DJ358" i="1" l="1"/>
  <c r="DL358" i="1"/>
  <c r="DL359" i="1"/>
  <c r="DA356" i="1"/>
  <c r="DL356" i="1"/>
  <c r="DL357" i="1"/>
  <c r="DL362" i="1"/>
  <c r="DL361" i="1"/>
  <c r="BK371" i="1"/>
  <c r="BJ371" i="1"/>
  <c r="CE368" i="1"/>
  <c r="BJ368" i="1"/>
  <c r="BK368" i="1"/>
  <c r="CE366" i="1"/>
  <c r="BK366" i="1"/>
  <c r="BJ366" i="1"/>
  <c r="BJ372" i="1"/>
  <c r="BK372" i="1"/>
  <c r="CE363" i="1"/>
  <c r="BJ363" i="1"/>
  <c r="BK363" i="1"/>
  <c r="CE364" i="1"/>
  <c r="BJ364" i="1"/>
  <c r="BK364" i="1"/>
  <c r="CE365" i="1"/>
  <c r="BJ365" i="1"/>
  <c r="BK365" i="1"/>
  <c r="CE370" i="1"/>
  <c r="BJ370" i="1"/>
  <c r="BK370" i="1"/>
  <c r="CE367" i="1"/>
  <c r="BJ367" i="1"/>
  <c r="BK367" i="1"/>
  <c r="CE369" i="1"/>
  <c r="BJ369" i="1"/>
  <c r="BK369" i="1"/>
  <c r="DJ359" i="1"/>
  <c r="DA359" i="1"/>
  <c r="BT381" i="1"/>
  <c r="CE371" i="1"/>
  <c r="BT382" i="1"/>
  <c r="CE372" i="1"/>
  <c r="BV371" i="1"/>
  <c r="BW371" i="1"/>
  <c r="BX371" i="1"/>
  <c r="DJ357" i="1"/>
  <c r="DA357" i="1"/>
  <c r="DJ356" i="1"/>
  <c r="DA358" i="1"/>
  <c r="BX372" i="1"/>
  <c r="DD372" i="1"/>
  <c r="DC372" i="1" s="1"/>
  <c r="BY372" i="1"/>
  <c r="BW372" i="1"/>
  <c r="BV366" i="1"/>
  <c r="DL366" i="1" s="1"/>
  <c r="DD366" i="1"/>
  <c r="DC366" i="1" s="1"/>
  <c r="BW366" i="1"/>
  <c r="BX366" i="1"/>
  <c r="BY367" i="1"/>
  <c r="DD367" i="1"/>
  <c r="DC367" i="1" s="1"/>
  <c r="BV367" i="1"/>
  <c r="DL367" i="1" s="1"/>
  <c r="BW367" i="1"/>
  <c r="BX367" i="1"/>
  <c r="BT376" i="1"/>
  <c r="BT377" i="1"/>
  <c r="DD371" i="1"/>
  <c r="DC371" i="1" s="1"/>
  <c r="BY371" i="1"/>
  <c r="BV372" i="1"/>
  <c r="DL372" i="1" s="1"/>
  <c r="DA361" i="1"/>
  <c r="DJ361" i="1"/>
  <c r="BY366" i="1"/>
  <c r="DJ362" i="1"/>
  <c r="DA362" i="1"/>
  <c r="BT379" i="1"/>
  <c r="BV369" i="1"/>
  <c r="DL369" i="1" s="1"/>
  <c r="BY369" i="1"/>
  <c r="BW369" i="1"/>
  <c r="BX369" i="1"/>
  <c r="DD369" i="1"/>
  <c r="DC369" i="1" s="1"/>
  <c r="DA354" i="1"/>
  <c r="DJ354" i="1"/>
  <c r="DJ360" i="1"/>
  <c r="DA360" i="1"/>
  <c r="DA355" i="1"/>
  <c r="DJ355" i="1"/>
  <c r="BW363" i="1"/>
  <c r="BX363" i="1"/>
  <c r="BV363" i="1"/>
  <c r="DL363" i="1" s="1"/>
  <c r="DD363" i="1"/>
  <c r="DC363" i="1" s="1"/>
  <c r="BT373" i="1"/>
  <c r="BY363" i="1"/>
  <c r="BT374" i="1"/>
  <c r="DD364" i="1"/>
  <c r="DC364" i="1" s="1"/>
  <c r="BV364" i="1"/>
  <c r="DL364" i="1" s="1"/>
  <c r="BW364" i="1"/>
  <c r="BX364" i="1"/>
  <c r="BY364" i="1"/>
  <c r="BT380" i="1"/>
  <c r="BV370" i="1"/>
  <c r="DL370" i="1" s="1"/>
  <c r="BW370" i="1"/>
  <c r="BY370" i="1"/>
  <c r="BX370" i="1"/>
  <c r="DD370" i="1"/>
  <c r="DC370" i="1" s="1"/>
  <c r="BT375" i="1"/>
  <c r="BV365" i="1"/>
  <c r="DL365" i="1" s="1"/>
  <c r="BW365" i="1"/>
  <c r="BY365" i="1"/>
  <c r="DD365" i="1"/>
  <c r="DC365" i="1" s="1"/>
  <c r="BX365" i="1"/>
  <c r="DA353" i="1"/>
  <c r="DJ353" i="1"/>
  <c r="BT378" i="1"/>
  <c r="BX368" i="1"/>
  <c r="BY368" i="1"/>
  <c r="DD368" i="1"/>
  <c r="DC368" i="1" s="1"/>
  <c r="BW368" i="1"/>
  <c r="BV368" i="1"/>
  <c r="DL368" i="1" s="1"/>
  <c r="DY343" i="1"/>
  <c r="DW343" i="1"/>
  <c r="DR343" i="1"/>
  <c r="DG343" i="1"/>
  <c r="DD343" i="1"/>
  <c r="DC343" i="1" s="1"/>
  <c r="CE343" i="1"/>
  <c r="BY343" i="1"/>
  <c r="BX343" i="1"/>
  <c r="BW343" i="1"/>
  <c r="BV343" i="1"/>
  <c r="DL343" i="1" s="1"/>
  <c r="BR343" i="1"/>
  <c r="BQ30" i="1"/>
  <c r="BQ51" i="1" s="1"/>
  <c r="BQ72" i="1" s="1"/>
  <c r="BQ93" i="1" s="1"/>
  <c r="BQ114" i="1" s="1"/>
  <c r="BQ135" i="1" s="1"/>
  <c r="BQ156" i="1" s="1"/>
  <c r="BQ177" i="1" s="1"/>
  <c r="BQ198" i="1" s="1"/>
  <c r="BQ31" i="1"/>
  <c r="BQ52" i="1" s="1"/>
  <c r="BQ73" i="1" s="1"/>
  <c r="BQ94" i="1" s="1"/>
  <c r="BQ115" i="1" s="1"/>
  <c r="BQ136" i="1" s="1"/>
  <c r="BQ157" i="1" s="1"/>
  <c r="BQ178" i="1" s="1"/>
  <c r="BQ199" i="1" s="1"/>
  <c r="BQ32" i="1"/>
  <c r="BQ53" i="1" s="1"/>
  <c r="BQ74" i="1" s="1"/>
  <c r="BQ95" i="1" s="1"/>
  <c r="BQ116" i="1" s="1"/>
  <c r="BQ137" i="1" s="1"/>
  <c r="BQ158" i="1" s="1"/>
  <c r="BQ179" i="1" s="1"/>
  <c r="BQ200" i="1" s="1"/>
  <c r="BQ33" i="1"/>
  <c r="BQ54" i="1" s="1"/>
  <c r="BQ34" i="1"/>
  <c r="BQ55" i="1" s="1"/>
  <c r="BQ76" i="1" s="1"/>
  <c r="BQ97" i="1" s="1"/>
  <c r="BQ118" i="1" s="1"/>
  <c r="BQ139" i="1" s="1"/>
  <c r="BQ160" i="1" s="1"/>
  <c r="BQ181" i="1" s="1"/>
  <c r="BQ202" i="1" s="1"/>
  <c r="BQ35" i="1"/>
  <c r="BQ56" i="1" s="1"/>
  <c r="BQ77" i="1" s="1"/>
  <c r="BQ98" i="1" s="1"/>
  <c r="BQ119" i="1" s="1"/>
  <c r="BQ140" i="1" s="1"/>
  <c r="BQ161" i="1" s="1"/>
  <c r="BQ182" i="1" s="1"/>
  <c r="BQ203" i="1" s="1"/>
  <c r="BQ36" i="1"/>
  <c r="BQ57" i="1" s="1"/>
  <c r="BQ78" i="1" s="1"/>
  <c r="BQ99" i="1" s="1"/>
  <c r="BQ120" i="1" s="1"/>
  <c r="BQ141" i="1" s="1"/>
  <c r="BQ162" i="1" s="1"/>
  <c r="BQ183" i="1" s="1"/>
  <c r="BQ204" i="1" s="1"/>
  <c r="BQ37" i="1"/>
  <c r="BQ58" i="1" s="1"/>
  <c r="BQ79" i="1" s="1"/>
  <c r="BQ100" i="1" s="1"/>
  <c r="BQ121" i="1" s="1"/>
  <c r="BQ142" i="1" s="1"/>
  <c r="BQ163" i="1" s="1"/>
  <c r="BQ184" i="1" s="1"/>
  <c r="BQ205" i="1" s="1"/>
  <c r="BQ38" i="1"/>
  <c r="BQ59" i="1" s="1"/>
  <c r="BQ80" i="1" s="1"/>
  <c r="BQ101" i="1" s="1"/>
  <c r="BQ122" i="1" s="1"/>
  <c r="BQ143" i="1" s="1"/>
  <c r="BQ164" i="1" s="1"/>
  <c r="BQ185" i="1" s="1"/>
  <c r="BQ206" i="1" s="1"/>
  <c r="BQ39" i="1"/>
  <c r="BQ60" i="1" s="1"/>
  <c r="BQ81" i="1" s="1"/>
  <c r="BQ102" i="1" s="1"/>
  <c r="BQ123" i="1" s="1"/>
  <c r="BQ144" i="1" s="1"/>
  <c r="BQ165" i="1" s="1"/>
  <c r="BQ186" i="1" s="1"/>
  <c r="BQ207" i="1" s="1"/>
  <c r="BQ40" i="1"/>
  <c r="BQ61" i="1" s="1"/>
  <c r="BQ82" i="1" s="1"/>
  <c r="BQ103" i="1" s="1"/>
  <c r="BQ124" i="1" s="1"/>
  <c r="BQ145" i="1" s="1"/>
  <c r="BQ166" i="1" s="1"/>
  <c r="BQ187" i="1" s="1"/>
  <c r="BQ208" i="1" s="1"/>
  <c r="BQ41" i="1"/>
  <c r="BQ62" i="1" s="1"/>
  <c r="BQ83" i="1" s="1"/>
  <c r="BQ104" i="1" s="1"/>
  <c r="BQ125" i="1" s="1"/>
  <c r="BQ146" i="1" s="1"/>
  <c r="BQ167" i="1" s="1"/>
  <c r="BQ188" i="1" s="1"/>
  <c r="BQ209" i="1" s="1"/>
  <c r="BQ42" i="1"/>
  <c r="BQ63" i="1" s="1"/>
  <c r="BQ84" i="1" s="1"/>
  <c r="BQ105" i="1" s="1"/>
  <c r="BQ126" i="1" s="1"/>
  <c r="BQ147" i="1" s="1"/>
  <c r="BQ168" i="1" s="1"/>
  <c r="BQ189" i="1" s="1"/>
  <c r="BQ210" i="1" s="1"/>
  <c r="BQ43" i="1"/>
  <c r="BQ64" i="1" s="1"/>
  <c r="BQ85" i="1" s="1"/>
  <c r="BQ106" i="1" s="1"/>
  <c r="BQ127" i="1" s="1"/>
  <c r="BQ148" i="1" s="1"/>
  <c r="BQ169" i="1" s="1"/>
  <c r="BQ190" i="1" s="1"/>
  <c r="BQ211" i="1" s="1"/>
  <c r="BQ44" i="1"/>
  <c r="BQ65" i="1" s="1"/>
  <c r="BQ86" i="1" s="1"/>
  <c r="BQ107" i="1" s="1"/>
  <c r="BQ128" i="1" s="1"/>
  <c r="BQ149" i="1" s="1"/>
  <c r="BQ170" i="1" s="1"/>
  <c r="BQ191" i="1" s="1"/>
  <c r="BQ212" i="1" s="1"/>
  <c r="BQ45" i="1"/>
  <c r="BQ66" i="1" s="1"/>
  <c r="BQ87" i="1" s="1"/>
  <c r="BQ108" i="1" s="1"/>
  <c r="BQ129" i="1" s="1"/>
  <c r="BQ150" i="1" s="1"/>
  <c r="BQ171" i="1" s="1"/>
  <c r="BQ192" i="1" s="1"/>
  <c r="BQ46" i="1"/>
  <c r="BQ67" i="1" s="1"/>
  <c r="BQ88" i="1" s="1"/>
  <c r="BQ109" i="1" s="1"/>
  <c r="BQ130" i="1" s="1"/>
  <c r="BQ151" i="1" s="1"/>
  <c r="BQ172" i="1" s="1"/>
  <c r="BQ193" i="1" s="1"/>
  <c r="BQ47" i="1"/>
  <c r="BQ68" i="1" s="1"/>
  <c r="BQ89" i="1" s="1"/>
  <c r="BQ110" i="1" s="1"/>
  <c r="BQ131" i="1" s="1"/>
  <c r="BQ152" i="1" s="1"/>
  <c r="BQ173" i="1" s="1"/>
  <c r="BQ194" i="1" s="1"/>
  <c r="BQ48" i="1"/>
  <c r="BQ69" i="1" s="1"/>
  <c r="BQ90" i="1" s="1"/>
  <c r="BQ111" i="1" s="1"/>
  <c r="BQ132" i="1" s="1"/>
  <c r="BQ153" i="1" s="1"/>
  <c r="BQ174" i="1" s="1"/>
  <c r="BQ195" i="1" s="1"/>
  <c r="BQ49" i="1"/>
  <c r="BQ70" i="1" s="1"/>
  <c r="BQ91" i="1" s="1"/>
  <c r="BQ112" i="1" s="1"/>
  <c r="BQ133" i="1" s="1"/>
  <c r="BQ154" i="1" s="1"/>
  <c r="BQ175" i="1" s="1"/>
  <c r="BQ196" i="1" s="1"/>
  <c r="BQ29" i="1"/>
  <c r="BQ50" i="1" s="1"/>
  <c r="BQ71" i="1" s="1"/>
  <c r="BJ21" i="1"/>
  <c r="BJ22" i="1"/>
  <c r="BJ23" i="1"/>
  <c r="BJ24" i="1"/>
  <c r="BJ25" i="1"/>
  <c r="BJ26" i="1"/>
  <c r="BJ27" i="1"/>
  <c r="BJ28" i="1"/>
  <c r="BJ9" i="1"/>
  <c r="BJ10" i="1"/>
  <c r="BJ11" i="1"/>
  <c r="BJ12" i="1"/>
  <c r="BR12" i="1" s="1"/>
  <c r="BJ13" i="1"/>
  <c r="BR13" i="1" s="1"/>
  <c r="BJ14" i="1"/>
  <c r="BJ15" i="1"/>
  <c r="BJ16" i="1"/>
  <c r="BJ17" i="1"/>
  <c r="BJ18" i="1"/>
  <c r="BJ19" i="1"/>
  <c r="BR20" i="1"/>
  <c r="BJ8" i="1"/>
  <c r="BR8" i="1" s="1"/>
  <c r="BL30" i="1"/>
  <c r="BL51" i="1" s="1"/>
  <c r="BL31" i="1"/>
  <c r="BJ31" i="1" s="1"/>
  <c r="BL32" i="1"/>
  <c r="BJ32" i="1" s="1"/>
  <c r="BL33" i="1"/>
  <c r="BL54" i="1" s="1"/>
  <c r="BL75" i="1" s="1"/>
  <c r="BL96" i="1" s="1"/>
  <c r="BL117" i="1" s="1"/>
  <c r="BL138" i="1" s="1"/>
  <c r="BL159" i="1" s="1"/>
  <c r="BL180" i="1" s="1"/>
  <c r="BL201" i="1" s="1"/>
  <c r="BL222" i="1" s="1"/>
  <c r="BL243" i="1" s="1"/>
  <c r="BL264" i="1" s="1"/>
  <c r="BL285" i="1" s="1"/>
  <c r="BL306" i="1" s="1"/>
  <c r="BL327" i="1" s="1"/>
  <c r="BL34" i="1"/>
  <c r="BL55" i="1" s="1"/>
  <c r="BL35" i="1"/>
  <c r="BL56" i="1" s="1"/>
  <c r="BL77" i="1" s="1"/>
  <c r="BL98" i="1" s="1"/>
  <c r="BL36" i="1"/>
  <c r="BL57" i="1" s="1"/>
  <c r="BL78" i="1" s="1"/>
  <c r="BL37" i="1"/>
  <c r="BL58" i="1" s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29" i="1"/>
  <c r="BR18" i="1" l="1"/>
  <c r="BK18" i="1"/>
  <c r="DL371" i="1"/>
  <c r="BJ374" i="1"/>
  <c r="BK374" i="1"/>
  <c r="BK373" i="1"/>
  <c r="BJ373" i="1"/>
  <c r="BJ375" i="1"/>
  <c r="BK375" i="1"/>
  <c r="BK379" i="1"/>
  <c r="BJ379" i="1"/>
  <c r="BK380" i="1"/>
  <c r="BJ380" i="1"/>
  <c r="BY382" i="1"/>
  <c r="BK382" i="1"/>
  <c r="BJ382" i="1"/>
  <c r="BJ377" i="1"/>
  <c r="BK377" i="1"/>
  <c r="BJ378" i="1"/>
  <c r="BK378" i="1"/>
  <c r="BJ376" i="1"/>
  <c r="BK376" i="1"/>
  <c r="BY381" i="1"/>
  <c r="BK381" i="1"/>
  <c r="BJ381" i="1"/>
  <c r="BX381" i="1"/>
  <c r="BW381" i="1"/>
  <c r="DD381" i="1"/>
  <c r="DC381" i="1" s="1"/>
  <c r="BV381" i="1"/>
  <c r="BX382" i="1"/>
  <c r="BW382" i="1"/>
  <c r="BV382" i="1"/>
  <c r="DD382" i="1"/>
  <c r="DC382" i="1" s="1"/>
  <c r="DJ371" i="1"/>
  <c r="BT383" i="1"/>
  <c r="CE373" i="1"/>
  <c r="BV377" i="1"/>
  <c r="BT387" i="1"/>
  <c r="CE377" i="1"/>
  <c r="BT385" i="1"/>
  <c r="CE375" i="1"/>
  <c r="BT384" i="1"/>
  <c r="CE374" i="1"/>
  <c r="BW376" i="1"/>
  <c r="BT386" i="1"/>
  <c r="CE376" i="1"/>
  <c r="BT389" i="1"/>
  <c r="CE379" i="1"/>
  <c r="BT392" i="1"/>
  <c r="CE382" i="1"/>
  <c r="BT390" i="1"/>
  <c r="CE380" i="1"/>
  <c r="BT388" i="1"/>
  <c r="CE378" i="1"/>
  <c r="BT391" i="1"/>
  <c r="CE381" i="1"/>
  <c r="DA371" i="1"/>
  <c r="BJ201" i="1"/>
  <c r="BV376" i="1"/>
  <c r="DD376" i="1"/>
  <c r="DC376" i="1" s="1"/>
  <c r="BY376" i="1"/>
  <c r="BX376" i="1"/>
  <c r="BL52" i="1"/>
  <c r="BL73" i="1" s="1"/>
  <c r="BL94" i="1" s="1"/>
  <c r="BL115" i="1" s="1"/>
  <c r="BL136" i="1" s="1"/>
  <c r="BL157" i="1" s="1"/>
  <c r="BL178" i="1" s="1"/>
  <c r="BL199" i="1" s="1"/>
  <c r="DA372" i="1"/>
  <c r="DJ372" i="1"/>
  <c r="BL53" i="1"/>
  <c r="BL74" i="1" s="1"/>
  <c r="BL95" i="1" s="1"/>
  <c r="BJ34" i="1"/>
  <c r="BJ33" i="1"/>
  <c r="DD377" i="1"/>
  <c r="DC377" i="1" s="1"/>
  <c r="DJ367" i="1"/>
  <c r="DA367" i="1"/>
  <c r="BJ96" i="1"/>
  <c r="BY377" i="1"/>
  <c r="BJ30" i="1"/>
  <c r="BX377" i="1"/>
  <c r="BW377" i="1"/>
  <c r="DJ366" i="1"/>
  <c r="DA366" i="1"/>
  <c r="BJ55" i="1"/>
  <c r="BL76" i="1"/>
  <c r="BL72" i="1"/>
  <c r="BJ51" i="1"/>
  <c r="BJ77" i="1"/>
  <c r="BJ75" i="1"/>
  <c r="DJ364" i="1"/>
  <c r="DA364" i="1"/>
  <c r="BJ159" i="1"/>
  <c r="BY374" i="1"/>
  <c r="BV374" i="1"/>
  <c r="DL374" i="1" s="1"/>
  <c r="DD374" i="1"/>
  <c r="DC374" i="1" s="1"/>
  <c r="BW374" i="1"/>
  <c r="BX374" i="1"/>
  <c r="BJ57" i="1"/>
  <c r="BJ56" i="1"/>
  <c r="BY373" i="1"/>
  <c r="DD373" i="1"/>
  <c r="DC373" i="1" s="1"/>
  <c r="BV373" i="1"/>
  <c r="DL373" i="1" s="1"/>
  <c r="BW373" i="1"/>
  <c r="BX373" i="1"/>
  <c r="DA369" i="1"/>
  <c r="DJ369" i="1"/>
  <c r="DA363" i="1"/>
  <c r="DJ363" i="1"/>
  <c r="BV379" i="1"/>
  <c r="DL379" i="1" s="1"/>
  <c r="BW379" i="1"/>
  <c r="BX379" i="1"/>
  <c r="DD379" i="1"/>
  <c r="DC379" i="1" s="1"/>
  <c r="BY379" i="1"/>
  <c r="BJ180" i="1"/>
  <c r="BW378" i="1"/>
  <c r="BX378" i="1"/>
  <c r="BV378" i="1"/>
  <c r="DL378" i="1" s="1"/>
  <c r="DD378" i="1"/>
  <c r="DC378" i="1" s="1"/>
  <c r="BY378" i="1"/>
  <c r="DD380" i="1"/>
  <c r="DC380" i="1" s="1"/>
  <c r="BX380" i="1"/>
  <c r="BV380" i="1"/>
  <c r="DL380" i="1" s="1"/>
  <c r="BW380" i="1"/>
  <c r="BY380" i="1"/>
  <c r="BJ138" i="1"/>
  <c r="DJ365" i="1"/>
  <c r="DA365" i="1"/>
  <c r="BJ117" i="1"/>
  <c r="BJ37" i="1"/>
  <c r="BJ36" i="1"/>
  <c r="DJ370" i="1"/>
  <c r="DA370" i="1"/>
  <c r="BJ54" i="1"/>
  <c r="BJ35" i="1"/>
  <c r="DJ368" i="1"/>
  <c r="DA368" i="1"/>
  <c r="DD375" i="1"/>
  <c r="DC375" i="1" s="1"/>
  <c r="BY375" i="1"/>
  <c r="BW375" i="1"/>
  <c r="BV375" i="1"/>
  <c r="DL375" i="1" s="1"/>
  <c r="BX375" i="1"/>
  <c r="DA343" i="1"/>
  <c r="DJ343" i="1"/>
  <c r="BL62" i="1"/>
  <c r="BJ39" i="1"/>
  <c r="BL60" i="1"/>
  <c r="BL65" i="1"/>
  <c r="BJ44" i="1"/>
  <c r="BL64" i="1"/>
  <c r="BJ43" i="1"/>
  <c r="BL63" i="1"/>
  <c r="BJ42" i="1"/>
  <c r="BL61" i="1"/>
  <c r="BJ40" i="1"/>
  <c r="BL50" i="1"/>
  <c r="BJ29" i="1"/>
  <c r="BL70" i="1"/>
  <c r="BJ49" i="1"/>
  <c r="BL69" i="1"/>
  <c r="BJ48" i="1"/>
  <c r="BL68" i="1"/>
  <c r="BJ47" i="1"/>
  <c r="BL67" i="1"/>
  <c r="BJ46" i="1"/>
  <c r="BL66" i="1"/>
  <c r="BJ45" i="1"/>
  <c r="BL59" i="1"/>
  <c r="BJ38" i="1"/>
  <c r="BL79" i="1"/>
  <c r="BJ58" i="1"/>
  <c r="BL99" i="1"/>
  <c r="BJ78" i="1"/>
  <c r="BL119" i="1"/>
  <c r="BJ98" i="1"/>
  <c r="BQ92" i="1"/>
  <c r="BQ75" i="1"/>
  <c r="DJ376" i="1" l="1"/>
  <c r="DL376" i="1"/>
  <c r="DL381" i="1"/>
  <c r="DJ382" i="1"/>
  <c r="DL382" i="1"/>
  <c r="DJ377" i="1"/>
  <c r="DL377" i="1"/>
  <c r="DA377" i="1"/>
  <c r="DA381" i="1"/>
  <c r="DJ381" i="1"/>
  <c r="BJ157" i="1"/>
  <c r="DA382" i="1"/>
  <c r="BT394" i="1"/>
  <c r="BT404" i="1" s="1"/>
  <c r="CE404" i="1" s="1"/>
  <c r="CE384" i="1"/>
  <c r="BY384" i="1"/>
  <c r="BX384" i="1"/>
  <c r="BW384" i="1"/>
  <c r="BV384" i="1"/>
  <c r="DL384" i="1" s="1"/>
  <c r="DD384" i="1"/>
  <c r="DC384" i="1" s="1"/>
  <c r="DD388" i="1"/>
  <c r="DC388" i="1" s="1"/>
  <c r="CE388" i="1"/>
  <c r="BY388" i="1"/>
  <c r="BX388" i="1"/>
  <c r="BV388" i="1"/>
  <c r="DL388" i="1" s="1"/>
  <c r="BW388" i="1"/>
  <c r="BT398" i="1"/>
  <c r="BT408" i="1" s="1"/>
  <c r="CE408" i="1" s="1"/>
  <c r="BT395" i="1"/>
  <c r="BT405" i="1" s="1"/>
  <c r="CE405" i="1" s="1"/>
  <c r="BY385" i="1"/>
  <c r="BX385" i="1"/>
  <c r="BW385" i="1"/>
  <c r="BV385" i="1"/>
  <c r="DL385" i="1" s="1"/>
  <c r="DD385" i="1"/>
  <c r="DC385" i="1" s="1"/>
  <c r="CE385" i="1"/>
  <c r="BW390" i="1"/>
  <c r="BX390" i="1"/>
  <c r="BV390" i="1"/>
  <c r="DL390" i="1" s="1"/>
  <c r="BY390" i="1"/>
  <c r="DD390" i="1"/>
  <c r="DC390" i="1" s="1"/>
  <c r="CE390" i="1"/>
  <c r="BT400" i="1"/>
  <c r="BT410" i="1" s="1"/>
  <c r="CE410" i="1" s="1"/>
  <c r="BT402" i="1"/>
  <c r="BT412" i="1" s="1"/>
  <c r="CE412" i="1" s="1"/>
  <c r="DD392" i="1"/>
  <c r="DC392" i="1" s="1"/>
  <c r="CE392" i="1"/>
  <c r="BV392" i="1"/>
  <c r="DL392" i="1" s="1"/>
  <c r="BY392" i="1"/>
  <c r="BW392" i="1"/>
  <c r="BX392" i="1"/>
  <c r="BT397" i="1"/>
  <c r="BT407" i="1" s="1"/>
  <c r="CE407" i="1" s="1"/>
  <c r="BX387" i="1"/>
  <c r="BV387" i="1"/>
  <c r="DL387" i="1" s="1"/>
  <c r="BY387" i="1"/>
  <c r="BW387" i="1"/>
  <c r="CE387" i="1"/>
  <c r="DD387" i="1"/>
  <c r="DC387" i="1" s="1"/>
  <c r="DD389" i="1"/>
  <c r="DC389" i="1" s="1"/>
  <c r="CE389" i="1"/>
  <c r="BW389" i="1"/>
  <c r="BX389" i="1"/>
  <c r="BV389" i="1"/>
  <c r="DL389" i="1" s="1"/>
  <c r="BY389" i="1"/>
  <c r="BT399" i="1"/>
  <c r="BT409" i="1" s="1"/>
  <c r="CE409" i="1" s="1"/>
  <c r="BT396" i="1"/>
  <c r="BT406" i="1" s="1"/>
  <c r="CE406" i="1" s="1"/>
  <c r="BY386" i="1"/>
  <c r="BX386" i="1"/>
  <c r="BW386" i="1"/>
  <c r="BV386" i="1"/>
  <c r="DL386" i="1" s="1"/>
  <c r="DD386" i="1"/>
  <c r="DC386" i="1" s="1"/>
  <c r="CE386" i="1"/>
  <c r="BV391" i="1"/>
  <c r="DL391" i="1" s="1"/>
  <c r="DD391" i="1"/>
  <c r="DC391" i="1" s="1"/>
  <c r="CE391" i="1"/>
  <c r="BX391" i="1"/>
  <c r="BW391" i="1"/>
  <c r="BY391" i="1"/>
  <c r="BT401" i="1"/>
  <c r="BT411" i="1" s="1"/>
  <c r="CE411" i="1" s="1"/>
  <c r="BT393" i="1"/>
  <c r="BT403" i="1" s="1"/>
  <c r="CE403" i="1" s="1"/>
  <c r="BX383" i="1"/>
  <c r="BV383" i="1"/>
  <c r="DL383" i="1" s="1"/>
  <c r="CE383" i="1"/>
  <c r="BW383" i="1"/>
  <c r="BY383" i="1"/>
  <c r="DD383" i="1"/>
  <c r="DC383" i="1" s="1"/>
  <c r="DA376" i="1"/>
  <c r="BJ53" i="1"/>
  <c r="BL220" i="1"/>
  <c r="BL241" i="1" s="1"/>
  <c r="BL262" i="1" s="1"/>
  <c r="BL283" i="1" s="1"/>
  <c r="BL304" i="1" s="1"/>
  <c r="BL325" i="1" s="1"/>
  <c r="BJ199" i="1"/>
  <c r="BJ178" i="1"/>
  <c r="BJ136" i="1"/>
  <c r="BJ73" i="1"/>
  <c r="BJ94" i="1"/>
  <c r="BJ115" i="1"/>
  <c r="BJ74" i="1"/>
  <c r="BJ52" i="1"/>
  <c r="BL116" i="1"/>
  <c r="BJ95" i="1"/>
  <c r="DJ378" i="1"/>
  <c r="DA378" i="1"/>
  <c r="DA375" i="1"/>
  <c r="DJ375" i="1"/>
  <c r="DJ373" i="1"/>
  <c r="DA373" i="1"/>
  <c r="DA380" i="1"/>
  <c r="DJ380" i="1"/>
  <c r="DJ379" i="1"/>
  <c r="DA379" i="1"/>
  <c r="BJ76" i="1"/>
  <c r="BL97" i="1"/>
  <c r="BL93" i="1"/>
  <c r="BJ72" i="1"/>
  <c r="DJ374" i="1"/>
  <c r="DA374" i="1"/>
  <c r="BL87" i="1"/>
  <c r="BJ66" i="1"/>
  <c r="BL88" i="1"/>
  <c r="BJ67" i="1"/>
  <c r="BL81" i="1"/>
  <c r="BJ60" i="1"/>
  <c r="BL83" i="1"/>
  <c r="BL85" i="1"/>
  <c r="BJ64" i="1"/>
  <c r="BL86" i="1"/>
  <c r="BJ65" i="1"/>
  <c r="BL89" i="1"/>
  <c r="BJ68" i="1"/>
  <c r="BL90" i="1"/>
  <c r="BJ69" i="1"/>
  <c r="BL91" i="1"/>
  <c r="BJ70" i="1"/>
  <c r="BJ50" i="1"/>
  <c r="BL71" i="1"/>
  <c r="BL140" i="1"/>
  <c r="BJ119" i="1"/>
  <c r="BL82" i="1"/>
  <c r="BJ61" i="1"/>
  <c r="BL120" i="1"/>
  <c r="BJ99" i="1"/>
  <c r="BL100" i="1"/>
  <c r="BJ79" i="1"/>
  <c r="BL84" i="1"/>
  <c r="BJ63" i="1"/>
  <c r="BL80" i="1"/>
  <c r="BJ59" i="1"/>
  <c r="BQ113" i="1"/>
  <c r="BQ96" i="1"/>
  <c r="M410" i="1" l="1"/>
  <c r="K410" i="1"/>
  <c r="K411" i="1"/>
  <c r="M411" i="1"/>
  <c r="K406" i="1"/>
  <c r="M406" i="1"/>
  <c r="M409" i="1"/>
  <c r="K409" i="1"/>
  <c r="K407" i="1"/>
  <c r="M407" i="1"/>
  <c r="K403" i="1"/>
  <c r="M403" i="1"/>
  <c r="M405" i="1"/>
  <c r="K405" i="1"/>
  <c r="M404" i="1"/>
  <c r="K404" i="1"/>
  <c r="M408" i="1"/>
  <c r="K408" i="1"/>
  <c r="M412" i="1"/>
  <c r="K412" i="1"/>
  <c r="BT417" i="1"/>
  <c r="CE417" i="1" s="1"/>
  <c r="DD407" i="1"/>
  <c r="DC407" i="1" s="1"/>
  <c r="BT413" i="1"/>
  <c r="CE413" i="1" s="1"/>
  <c r="DD403" i="1"/>
  <c r="DC403" i="1" s="1"/>
  <c r="BT415" i="1"/>
  <c r="CE415" i="1" s="1"/>
  <c r="DD405" i="1"/>
  <c r="DC405" i="1" s="1"/>
  <c r="BT421" i="1"/>
  <c r="CE421" i="1" s="1"/>
  <c r="DD411" i="1"/>
  <c r="DC411" i="1" s="1"/>
  <c r="BT414" i="1"/>
  <c r="CE414" i="1" s="1"/>
  <c r="DD404" i="1"/>
  <c r="DC404" i="1" s="1"/>
  <c r="DD410" i="1"/>
  <c r="DC410" i="1" s="1"/>
  <c r="BT420" i="1"/>
  <c r="CE420" i="1" s="1"/>
  <c r="DD412" i="1"/>
  <c r="DC412" i="1" s="1"/>
  <c r="BT422" i="1"/>
  <c r="CE422" i="1" s="1"/>
  <c r="BT416" i="1"/>
  <c r="CE416" i="1" s="1"/>
  <c r="DD406" i="1"/>
  <c r="DC406" i="1" s="1"/>
  <c r="DD408" i="1"/>
  <c r="DC408" i="1" s="1"/>
  <c r="BT418" i="1"/>
  <c r="CE418" i="1" s="1"/>
  <c r="BT419" i="1"/>
  <c r="CE419" i="1" s="1"/>
  <c r="DD409" i="1"/>
  <c r="DC409" i="1" s="1"/>
  <c r="DJ387" i="1"/>
  <c r="DA387" i="1"/>
  <c r="DA392" i="1"/>
  <c r="DJ392" i="1"/>
  <c r="DJ385" i="1"/>
  <c r="DA385" i="1"/>
  <c r="BX399" i="1"/>
  <c r="BX409" i="1" s="1"/>
  <c r="BX419" i="1" s="1"/>
  <c r="BX429" i="1" s="1"/>
  <c r="BX439" i="1" s="1"/>
  <c r="BX449" i="1" s="1"/>
  <c r="BX459" i="1" s="1"/>
  <c r="BX469" i="1" s="1"/>
  <c r="BX479" i="1" s="1"/>
  <c r="BX489" i="1" s="1"/>
  <c r="BX499" i="1" s="1"/>
  <c r="BX509" i="1" s="1"/>
  <c r="BX519" i="1" s="1"/>
  <c r="BX529" i="1" s="1"/>
  <c r="BX539" i="1" s="1"/>
  <c r="BX549" i="1" s="1"/>
  <c r="BX559" i="1" s="1"/>
  <c r="BY399" i="1"/>
  <c r="BV399" i="1"/>
  <c r="DD399" i="1"/>
  <c r="DC399" i="1" s="1"/>
  <c r="BW399" i="1"/>
  <c r="BW409" i="1" s="1"/>
  <c r="BW419" i="1" s="1"/>
  <c r="BW429" i="1" s="1"/>
  <c r="BW439" i="1" s="1"/>
  <c r="BW449" i="1" s="1"/>
  <c r="BW459" i="1" s="1"/>
  <c r="BW469" i="1" s="1"/>
  <c r="BW479" i="1" s="1"/>
  <c r="BW489" i="1" s="1"/>
  <c r="BW499" i="1" s="1"/>
  <c r="BW509" i="1" s="1"/>
  <c r="BW519" i="1" s="1"/>
  <c r="BW529" i="1" s="1"/>
  <c r="BW539" i="1" s="1"/>
  <c r="BW549" i="1" s="1"/>
  <c r="BW559" i="1" s="1"/>
  <c r="DA383" i="1"/>
  <c r="DJ383" i="1"/>
  <c r="DJ384" i="1"/>
  <c r="DA384" i="1"/>
  <c r="DJ386" i="1"/>
  <c r="DA386" i="1"/>
  <c r="DD396" i="1"/>
  <c r="DC396" i="1" s="1"/>
  <c r="BX396" i="1"/>
  <c r="BX406" i="1" s="1"/>
  <c r="BX416" i="1" s="1"/>
  <c r="BX426" i="1" s="1"/>
  <c r="BX436" i="1" s="1"/>
  <c r="BX446" i="1" s="1"/>
  <c r="BX456" i="1" s="1"/>
  <c r="BX466" i="1" s="1"/>
  <c r="BX476" i="1" s="1"/>
  <c r="BX486" i="1" s="1"/>
  <c r="BX496" i="1" s="1"/>
  <c r="BX506" i="1" s="1"/>
  <c r="BX516" i="1" s="1"/>
  <c r="BX526" i="1" s="1"/>
  <c r="BX536" i="1" s="1"/>
  <c r="BX546" i="1" s="1"/>
  <c r="BX556" i="1" s="1"/>
  <c r="BV396" i="1"/>
  <c r="BY396" i="1"/>
  <c r="BW396" i="1"/>
  <c r="BW406" i="1" s="1"/>
  <c r="BW416" i="1" s="1"/>
  <c r="BW426" i="1" s="1"/>
  <c r="BW436" i="1" s="1"/>
  <c r="BW446" i="1" s="1"/>
  <c r="BW456" i="1" s="1"/>
  <c r="BW466" i="1" s="1"/>
  <c r="BW476" i="1" s="1"/>
  <c r="BW486" i="1" s="1"/>
  <c r="BW496" i="1" s="1"/>
  <c r="BW506" i="1" s="1"/>
  <c r="BW516" i="1" s="1"/>
  <c r="BW526" i="1" s="1"/>
  <c r="BW536" i="1" s="1"/>
  <c r="BW546" i="1" s="1"/>
  <c r="BW556" i="1" s="1"/>
  <c r="BY397" i="1"/>
  <c r="BX397" i="1"/>
  <c r="BX407" i="1" s="1"/>
  <c r="BX417" i="1" s="1"/>
  <c r="BX427" i="1" s="1"/>
  <c r="BX437" i="1" s="1"/>
  <c r="BX447" i="1" s="1"/>
  <c r="BX457" i="1" s="1"/>
  <c r="BX467" i="1" s="1"/>
  <c r="BX477" i="1" s="1"/>
  <c r="BX487" i="1" s="1"/>
  <c r="BX497" i="1" s="1"/>
  <c r="BX507" i="1" s="1"/>
  <c r="BX517" i="1" s="1"/>
  <c r="BX527" i="1" s="1"/>
  <c r="BX537" i="1" s="1"/>
  <c r="BX547" i="1" s="1"/>
  <c r="BX557" i="1" s="1"/>
  <c r="BV397" i="1"/>
  <c r="DD397" i="1"/>
  <c r="DC397" i="1" s="1"/>
  <c r="BW397" i="1"/>
  <c r="BW407" i="1" s="1"/>
  <c r="BW417" i="1" s="1"/>
  <c r="BW427" i="1" s="1"/>
  <c r="BW437" i="1" s="1"/>
  <c r="BW447" i="1" s="1"/>
  <c r="BW457" i="1" s="1"/>
  <c r="BW467" i="1" s="1"/>
  <c r="BW477" i="1" s="1"/>
  <c r="BW487" i="1" s="1"/>
  <c r="BW497" i="1" s="1"/>
  <c r="BW507" i="1" s="1"/>
  <c r="BW517" i="1" s="1"/>
  <c r="BW527" i="1" s="1"/>
  <c r="BW537" i="1" s="1"/>
  <c r="BW547" i="1" s="1"/>
  <c r="BW557" i="1" s="1"/>
  <c r="BY402" i="1"/>
  <c r="BW402" i="1"/>
  <c r="BW412" i="1" s="1"/>
  <c r="BW422" i="1" s="1"/>
  <c r="BW432" i="1" s="1"/>
  <c r="BW442" i="1" s="1"/>
  <c r="BW452" i="1" s="1"/>
  <c r="BW462" i="1" s="1"/>
  <c r="BW472" i="1" s="1"/>
  <c r="BW482" i="1" s="1"/>
  <c r="BW492" i="1" s="1"/>
  <c r="BW502" i="1" s="1"/>
  <c r="BW512" i="1" s="1"/>
  <c r="BW522" i="1" s="1"/>
  <c r="BW532" i="1" s="1"/>
  <c r="BW542" i="1" s="1"/>
  <c r="BW552" i="1" s="1"/>
  <c r="BW562" i="1" s="1"/>
  <c r="BX402" i="1"/>
  <c r="BX412" i="1" s="1"/>
  <c r="BX422" i="1" s="1"/>
  <c r="BX432" i="1" s="1"/>
  <c r="BX442" i="1" s="1"/>
  <c r="BX452" i="1" s="1"/>
  <c r="BX462" i="1" s="1"/>
  <c r="BX472" i="1" s="1"/>
  <c r="BX482" i="1" s="1"/>
  <c r="BX492" i="1" s="1"/>
  <c r="BX502" i="1" s="1"/>
  <c r="BX512" i="1" s="1"/>
  <c r="BX522" i="1" s="1"/>
  <c r="BX532" i="1" s="1"/>
  <c r="BX542" i="1" s="1"/>
  <c r="BX552" i="1" s="1"/>
  <c r="BX562" i="1" s="1"/>
  <c r="DD402" i="1"/>
  <c r="DC402" i="1" s="1"/>
  <c r="BV402" i="1"/>
  <c r="DA389" i="1"/>
  <c r="DJ389" i="1"/>
  <c r="BY393" i="1"/>
  <c r="BW393" i="1"/>
  <c r="BW403" i="1" s="1"/>
  <c r="BW413" i="1" s="1"/>
  <c r="BW423" i="1" s="1"/>
  <c r="BW433" i="1" s="1"/>
  <c r="BW443" i="1" s="1"/>
  <c r="BW453" i="1" s="1"/>
  <c r="BW463" i="1" s="1"/>
  <c r="BW473" i="1" s="1"/>
  <c r="BW483" i="1" s="1"/>
  <c r="BW493" i="1" s="1"/>
  <c r="BW503" i="1" s="1"/>
  <c r="BW513" i="1" s="1"/>
  <c r="BW523" i="1" s="1"/>
  <c r="BW533" i="1" s="1"/>
  <c r="BW543" i="1" s="1"/>
  <c r="BW553" i="1" s="1"/>
  <c r="BX393" i="1"/>
  <c r="BX403" i="1" s="1"/>
  <c r="BX413" i="1" s="1"/>
  <c r="BX423" i="1" s="1"/>
  <c r="BX433" i="1" s="1"/>
  <c r="BX443" i="1" s="1"/>
  <c r="BX453" i="1" s="1"/>
  <c r="BX463" i="1" s="1"/>
  <c r="BX473" i="1" s="1"/>
  <c r="BX483" i="1" s="1"/>
  <c r="BX493" i="1" s="1"/>
  <c r="BX503" i="1" s="1"/>
  <c r="BX513" i="1" s="1"/>
  <c r="BX523" i="1" s="1"/>
  <c r="BX533" i="1" s="1"/>
  <c r="BX543" i="1" s="1"/>
  <c r="BX553" i="1" s="1"/>
  <c r="DD393" i="1"/>
  <c r="DC393" i="1" s="1"/>
  <c r="BV393" i="1"/>
  <c r="DA390" i="1"/>
  <c r="DJ390" i="1"/>
  <c r="BY400" i="1"/>
  <c r="BX400" i="1"/>
  <c r="BX410" i="1" s="1"/>
  <c r="BX420" i="1" s="1"/>
  <c r="BX430" i="1" s="1"/>
  <c r="BX440" i="1" s="1"/>
  <c r="BX450" i="1" s="1"/>
  <c r="BX460" i="1" s="1"/>
  <c r="BX470" i="1" s="1"/>
  <c r="BX480" i="1" s="1"/>
  <c r="BX490" i="1" s="1"/>
  <c r="BX500" i="1" s="1"/>
  <c r="BX510" i="1" s="1"/>
  <c r="BX520" i="1" s="1"/>
  <c r="BX530" i="1" s="1"/>
  <c r="BX540" i="1" s="1"/>
  <c r="BX550" i="1" s="1"/>
  <c r="BX560" i="1" s="1"/>
  <c r="BW400" i="1"/>
  <c r="BW410" i="1" s="1"/>
  <c r="BW420" i="1" s="1"/>
  <c r="BW430" i="1" s="1"/>
  <c r="BW440" i="1" s="1"/>
  <c r="BW450" i="1" s="1"/>
  <c r="BW460" i="1" s="1"/>
  <c r="BW470" i="1" s="1"/>
  <c r="BW480" i="1" s="1"/>
  <c r="BW490" i="1" s="1"/>
  <c r="BW500" i="1" s="1"/>
  <c r="BW510" i="1" s="1"/>
  <c r="BW520" i="1" s="1"/>
  <c r="BW530" i="1" s="1"/>
  <c r="BW540" i="1" s="1"/>
  <c r="BW550" i="1" s="1"/>
  <c r="BW560" i="1" s="1"/>
  <c r="BV400" i="1"/>
  <c r="DD400" i="1"/>
  <c r="DC400" i="1" s="1"/>
  <c r="BY401" i="1"/>
  <c r="BX401" i="1"/>
  <c r="BX411" i="1" s="1"/>
  <c r="BX421" i="1" s="1"/>
  <c r="BX431" i="1" s="1"/>
  <c r="BX441" i="1" s="1"/>
  <c r="BX451" i="1" s="1"/>
  <c r="BX461" i="1" s="1"/>
  <c r="BX471" i="1" s="1"/>
  <c r="BX481" i="1" s="1"/>
  <c r="BX491" i="1" s="1"/>
  <c r="BX501" i="1" s="1"/>
  <c r="BX511" i="1" s="1"/>
  <c r="BX521" i="1" s="1"/>
  <c r="BX531" i="1" s="1"/>
  <c r="BX541" i="1" s="1"/>
  <c r="BX551" i="1" s="1"/>
  <c r="BX561" i="1" s="1"/>
  <c r="BW401" i="1"/>
  <c r="BW411" i="1" s="1"/>
  <c r="BW421" i="1" s="1"/>
  <c r="BW431" i="1" s="1"/>
  <c r="BW441" i="1" s="1"/>
  <c r="BW451" i="1" s="1"/>
  <c r="BW461" i="1" s="1"/>
  <c r="BW471" i="1" s="1"/>
  <c r="BW481" i="1" s="1"/>
  <c r="BW491" i="1" s="1"/>
  <c r="BW501" i="1" s="1"/>
  <c r="BW511" i="1" s="1"/>
  <c r="BW521" i="1" s="1"/>
  <c r="BW531" i="1" s="1"/>
  <c r="BW541" i="1" s="1"/>
  <c r="BW551" i="1" s="1"/>
  <c r="BW561" i="1" s="1"/>
  <c r="BV401" i="1"/>
  <c r="DD401" i="1"/>
  <c r="DC401" i="1" s="1"/>
  <c r="DA391" i="1"/>
  <c r="DJ391" i="1"/>
  <c r="BY398" i="1"/>
  <c r="BX398" i="1"/>
  <c r="BX408" i="1" s="1"/>
  <c r="BX418" i="1" s="1"/>
  <c r="BX428" i="1" s="1"/>
  <c r="BX438" i="1" s="1"/>
  <c r="BX448" i="1" s="1"/>
  <c r="BX458" i="1" s="1"/>
  <c r="BX468" i="1" s="1"/>
  <c r="BX478" i="1" s="1"/>
  <c r="BX488" i="1" s="1"/>
  <c r="BX498" i="1" s="1"/>
  <c r="BX508" i="1" s="1"/>
  <c r="BX518" i="1" s="1"/>
  <c r="BX528" i="1" s="1"/>
  <c r="BX538" i="1" s="1"/>
  <c r="BX548" i="1" s="1"/>
  <c r="BX558" i="1" s="1"/>
  <c r="BW398" i="1"/>
  <c r="BW408" i="1" s="1"/>
  <c r="BW418" i="1" s="1"/>
  <c r="BW428" i="1" s="1"/>
  <c r="BW438" i="1" s="1"/>
  <c r="BW448" i="1" s="1"/>
  <c r="BW458" i="1" s="1"/>
  <c r="BW468" i="1" s="1"/>
  <c r="BW478" i="1" s="1"/>
  <c r="BW488" i="1" s="1"/>
  <c r="BW498" i="1" s="1"/>
  <c r="BW508" i="1" s="1"/>
  <c r="BW518" i="1" s="1"/>
  <c r="BW528" i="1" s="1"/>
  <c r="BW538" i="1" s="1"/>
  <c r="BW548" i="1" s="1"/>
  <c r="BW558" i="1" s="1"/>
  <c r="BV398" i="1"/>
  <c r="DD398" i="1"/>
  <c r="DC398" i="1" s="1"/>
  <c r="DA388" i="1"/>
  <c r="DJ388" i="1"/>
  <c r="DD395" i="1"/>
  <c r="DC395" i="1" s="1"/>
  <c r="BY395" i="1"/>
  <c r="BX395" i="1"/>
  <c r="BX405" i="1" s="1"/>
  <c r="BX415" i="1" s="1"/>
  <c r="BX425" i="1" s="1"/>
  <c r="BX435" i="1" s="1"/>
  <c r="BX445" i="1" s="1"/>
  <c r="BX455" i="1" s="1"/>
  <c r="BX465" i="1" s="1"/>
  <c r="BX475" i="1" s="1"/>
  <c r="BX485" i="1" s="1"/>
  <c r="BX495" i="1" s="1"/>
  <c r="BX505" i="1" s="1"/>
  <c r="BX515" i="1" s="1"/>
  <c r="BX525" i="1" s="1"/>
  <c r="BX535" i="1" s="1"/>
  <c r="BX545" i="1" s="1"/>
  <c r="BX555" i="1" s="1"/>
  <c r="BW395" i="1"/>
  <c r="BW405" i="1" s="1"/>
  <c r="BW415" i="1" s="1"/>
  <c r="BW425" i="1" s="1"/>
  <c r="BW435" i="1" s="1"/>
  <c r="BW445" i="1" s="1"/>
  <c r="BW455" i="1" s="1"/>
  <c r="BW465" i="1" s="1"/>
  <c r="BW475" i="1" s="1"/>
  <c r="BW485" i="1" s="1"/>
  <c r="BW495" i="1" s="1"/>
  <c r="BW505" i="1" s="1"/>
  <c r="BW515" i="1" s="1"/>
  <c r="BW525" i="1" s="1"/>
  <c r="BW535" i="1" s="1"/>
  <c r="BW545" i="1" s="1"/>
  <c r="BW555" i="1" s="1"/>
  <c r="BV395" i="1"/>
  <c r="BY394" i="1"/>
  <c r="BX394" i="1"/>
  <c r="BX404" i="1" s="1"/>
  <c r="BX414" i="1" s="1"/>
  <c r="BX424" i="1" s="1"/>
  <c r="BX434" i="1" s="1"/>
  <c r="BX444" i="1" s="1"/>
  <c r="BX454" i="1" s="1"/>
  <c r="BX464" i="1" s="1"/>
  <c r="BX474" i="1" s="1"/>
  <c r="BX484" i="1" s="1"/>
  <c r="BX494" i="1" s="1"/>
  <c r="BX504" i="1" s="1"/>
  <c r="BX514" i="1" s="1"/>
  <c r="BX524" i="1" s="1"/>
  <c r="BX534" i="1" s="1"/>
  <c r="BX544" i="1" s="1"/>
  <c r="BX554" i="1" s="1"/>
  <c r="BW394" i="1"/>
  <c r="BW404" i="1" s="1"/>
  <c r="BW414" i="1" s="1"/>
  <c r="BW424" i="1" s="1"/>
  <c r="BW434" i="1" s="1"/>
  <c r="BW444" i="1" s="1"/>
  <c r="BW454" i="1" s="1"/>
  <c r="BW464" i="1" s="1"/>
  <c r="BW474" i="1" s="1"/>
  <c r="BW484" i="1" s="1"/>
  <c r="BW494" i="1" s="1"/>
  <c r="BW504" i="1" s="1"/>
  <c r="BW514" i="1" s="1"/>
  <c r="BW524" i="1" s="1"/>
  <c r="BW534" i="1" s="1"/>
  <c r="BW544" i="1" s="1"/>
  <c r="BW554" i="1" s="1"/>
  <c r="BV394" i="1"/>
  <c r="DD394" i="1"/>
  <c r="DC394" i="1" s="1"/>
  <c r="BL137" i="1"/>
  <c r="BJ116" i="1"/>
  <c r="BL114" i="1"/>
  <c r="BJ93" i="1"/>
  <c r="BJ97" i="1"/>
  <c r="BL118" i="1"/>
  <c r="BL104" i="1"/>
  <c r="BL141" i="1"/>
  <c r="BJ120" i="1"/>
  <c r="BJ81" i="1"/>
  <c r="BL102" i="1"/>
  <c r="BL103" i="1"/>
  <c r="BJ82" i="1"/>
  <c r="BL109" i="1"/>
  <c r="BJ88" i="1"/>
  <c r="BL161" i="1"/>
  <c r="BJ140" i="1"/>
  <c r="BL108" i="1"/>
  <c r="BJ87" i="1"/>
  <c r="BJ71" i="1"/>
  <c r="BL92" i="1"/>
  <c r="BL112" i="1"/>
  <c r="BJ91" i="1"/>
  <c r="BL111" i="1"/>
  <c r="BJ90" i="1"/>
  <c r="BL101" i="1"/>
  <c r="BJ80" i="1"/>
  <c r="BL110" i="1"/>
  <c r="BJ89" i="1"/>
  <c r="BL105" i="1"/>
  <c r="BJ84" i="1"/>
  <c r="BL107" i="1"/>
  <c r="BJ86" i="1"/>
  <c r="BL121" i="1"/>
  <c r="BJ100" i="1"/>
  <c r="BL106" i="1"/>
  <c r="BJ85" i="1"/>
  <c r="BQ117" i="1"/>
  <c r="BQ134" i="1"/>
  <c r="M413" i="1" l="1"/>
  <c r="K413" i="1"/>
  <c r="K419" i="1"/>
  <c r="M419" i="1"/>
  <c r="K416" i="1"/>
  <c r="M416" i="1"/>
  <c r="K420" i="1"/>
  <c r="M420" i="1"/>
  <c r="M421" i="1"/>
  <c r="K421" i="1"/>
  <c r="K417" i="1"/>
  <c r="M417" i="1"/>
  <c r="K418" i="1"/>
  <c r="M418" i="1"/>
  <c r="K422" i="1"/>
  <c r="M422" i="1"/>
  <c r="K414" i="1"/>
  <c r="M414" i="1"/>
  <c r="K415" i="1"/>
  <c r="M415" i="1"/>
  <c r="BV408" i="1"/>
  <c r="DL398" i="1"/>
  <c r="BV405" i="1"/>
  <c r="DL395" i="1"/>
  <c r="BV403" i="1"/>
  <c r="DL393" i="1"/>
  <c r="BV412" i="1"/>
  <c r="DL402" i="1"/>
  <c r="BV407" i="1"/>
  <c r="DL397" i="1"/>
  <c r="BV411" i="1"/>
  <c r="DL401" i="1"/>
  <c r="BV409" i="1"/>
  <c r="DL399" i="1"/>
  <c r="BV406" i="1"/>
  <c r="DL396" i="1"/>
  <c r="BV410" i="1"/>
  <c r="DL400" i="1"/>
  <c r="BV404" i="1"/>
  <c r="DL394" i="1"/>
  <c r="BY404" i="1"/>
  <c r="BY414" i="1" s="1"/>
  <c r="BY424" i="1" s="1"/>
  <c r="BY434" i="1" s="1"/>
  <c r="BY444" i="1" s="1"/>
  <c r="BY454" i="1" s="1"/>
  <c r="BY464" i="1" s="1"/>
  <c r="BY474" i="1" s="1"/>
  <c r="BY484" i="1" s="1"/>
  <c r="BY494" i="1" s="1"/>
  <c r="BY504" i="1" s="1"/>
  <c r="BY514" i="1" s="1"/>
  <c r="BY524" i="1" s="1"/>
  <c r="BY534" i="1" s="1"/>
  <c r="BY544" i="1" s="1"/>
  <c r="BY554" i="1" s="1"/>
  <c r="BY412" i="1"/>
  <c r="BY422" i="1" s="1"/>
  <c r="BY432" i="1" s="1"/>
  <c r="BY442" i="1" s="1"/>
  <c r="BY452" i="1" s="1"/>
  <c r="BY462" i="1" s="1"/>
  <c r="BY472" i="1" s="1"/>
  <c r="BY482" i="1" s="1"/>
  <c r="BY492" i="1" s="1"/>
  <c r="BY502" i="1" s="1"/>
  <c r="BY512" i="1" s="1"/>
  <c r="BY522" i="1" s="1"/>
  <c r="BY532" i="1" s="1"/>
  <c r="BY542" i="1" s="1"/>
  <c r="BY552" i="1" s="1"/>
  <c r="BY562" i="1" s="1"/>
  <c r="BY403" i="1"/>
  <c r="BY413" i="1" s="1"/>
  <c r="BY423" i="1" s="1"/>
  <c r="BY433" i="1" s="1"/>
  <c r="BY443" i="1" s="1"/>
  <c r="BY453" i="1" s="1"/>
  <c r="BY463" i="1" s="1"/>
  <c r="BY473" i="1" s="1"/>
  <c r="BY483" i="1" s="1"/>
  <c r="BY493" i="1" s="1"/>
  <c r="BY503" i="1" s="1"/>
  <c r="BY513" i="1" s="1"/>
  <c r="BY523" i="1" s="1"/>
  <c r="BY533" i="1" s="1"/>
  <c r="BY543" i="1" s="1"/>
  <c r="BY553" i="1" s="1"/>
  <c r="BY409" i="1"/>
  <c r="BY419" i="1" s="1"/>
  <c r="BY429" i="1" s="1"/>
  <c r="BY439" i="1" s="1"/>
  <c r="BY449" i="1" s="1"/>
  <c r="BY459" i="1" s="1"/>
  <c r="BY469" i="1" s="1"/>
  <c r="BY479" i="1" s="1"/>
  <c r="BY489" i="1" s="1"/>
  <c r="BY499" i="1" s="1"/>
  <c r="BY509" i="1" s="1"/>
  <c r="BY519" i="1" s="1"/>
  <c r="BY529" i="1" s="1"/>
  <c r="BY539" i="1" s="1"/>
  <c r="BY549" i="1" s="1"/>
  <c r="BY559" i="1" s="1"/>
  <c r="BY407" i="1"/>
  <c r="BY417" i="1" s="1"/>
  <c r="BY427" i="1" s="1"/>
  <c r="BY437" i="1" s="1"/>
  <c r="BY447" i="1" s="1"/>
  <c r="BY457" i="1" s="1"/>
  <c r="BY467" i="1" s="1"/>
  <c r="BY477" i="1" s="1"/>
  <c r="BY487" i="1" s="1"/>
  <c r="BY497" i="1" s="1"/>
  <c r="BY507" i="1" s="1"/>
  <c r="BY517" i="1" s="1"/>
  <c r="BY527" i="1" s="1"/>
  <c r="BY537" i="1" s="1"/>
  <c r="BY547" i="1" s="1"/>
  <c r="BY557" i="1" s="1"/>
  <c r="BY406" i="1"/>
  <c r="BY416" i="1" s="1"/>
  <c r="BY426" i="1" s="1"/>
  <c r="BY436" i="1" s="1"/>
  <c r="BY446" i="1" s="1"/>
  <c r="BY456" i="1" s="1"/>
  <c r="BY466" i="1" s="1"/>
  <c r="BY476" i="1" s="1"/>
  <c r="BY486" i="1" s="1"/>
  <c r="BY496" i="1" s="1"/>
  <c r="BY506" i="1" s="1"/>
  <c r="BY516" i="1" s="1"/>
  <c r="BY526" i="1" s="1"/>
  <c r="BY536" i="1" s="1"/>
  <c r="BY546" i="1" s="1"/>
  <c r="BY556" i="1" s="1"/>
  <c r="BY405" i="1"/>
  <c r="BY415" i="1" s="1"/>
  <c r="BY425" i="1" s="1"/>
  <c r="BY435" i="1" s="1"/>
  <c r="BY445" i="1" s="1"/>
  <c r="BY455" i="1" s="1"/>
  <c r="BY465" i="1" s="1"/>
  <c r="BY475" i="1" s="1"/>
  <c r="BY485" i="1" s="1"/>
  <c r="BY495" i="1" s="1"/>
  <c r="BY505" i="1" s="1"/>
  <c r="BY515" i="1" s="1"/>
  <c r="BY525" i="1" s="1"/>
  <c r="BY535" i="1" s="1"/>
  <c r="BY545" i="1" s="1"/>
  <c r="BY555" i="1" s="1"/>
  <c r="BY411" i="1"/>
  <c r="BY421" i="1" s="1"/>
  <c r="BY431" i="1" s="1"/>
  <c r="BY441" i="1" s="1"/>
  <c r="BY451" i="1" s="1"/>
  <c r="BY461" i="1" s="1"/>
  <c r="BY471" i="1" s="1"/>
  <c r="BY481" i="1" s="1"/>
  <c r="BY491" i="1" s="1"/>
  <c r="BY501" i="1" s="1"/>
  <c r="BY511" i="1" s="1"/>
  <c r="BY521" i="1" s="1"/>
  <c r="BY531" i="1" s="1"/>
  <c r="BY541" i="1" s="1"/>
  <c r="BY551" i="1" s="1"/>
  <c r="BY561" i="1" s="1"/>
  <c r="BY408" i="1"/>
  <c r="BY418" i="1" s="1"/>
  <c r="BY428" i="1" s="1"/>
  <c r="BY438" i="1" s="1"/>
  <c r="BY448" i="1" s="1"/>
  <c r="BY458" i="1" s="1"/>
  <c r="BY468" i="1" s="1"/>
  <c r="BY478" i="1" s="1"/>
  <c r="BY488" i="1" s="1"/>
  <c r="BY498" i="1" s="1"/>
  <c r="BY508" i="1" s="1"/>
  <c r="BY518" i="1" s="1"/>
  <c r="BY528" i="1" s="1"/>
  <c r="BY538" i="1" s="1"/>
  <c r="BY548" i="1" s="1"/>
  <c r="BY558" i="1" s="1"/>
  <c r="BY410" i="1"/>
  <c r="BY420" i="1" s="1"/>
  <c r="BY430" i="1" s="1"/>
  <c r="BY440" i="1" s="1"/>
  <c r="BY450" i="1" s="1"/>
  <c r="BY460" i="1" s="1"/>
  <c r="BY470" i="1" s="1"/>
  <c r="BY480" i="1" s="1"/>
  <c r="BY490" i="1" s="1"/>
  <c r="BY500" i="1" s="1"/>
  <c r="BY510" i="1" s="1"/>
  <c r="BY520" i="1" s="1"/>
  <c r="BY530" i="1" s="1"/>
  <c r="BY540" i="1" s="1"/>
  <c r="BY550" i="1" s="1"/>
  <c r="BY560" i="1" s="1"/>
  <c r="DA404" i="1"/>
  <c r="BV414" i="1"/>
  <c r="DD421" i="1"/>
  <c r="DC421" i="1" s="1"/>
  <c r="BT431" i="1"/>
  <c r="CE431" i="1" s="1"/>
  <c r="DD413" i="1"/>
  <c r="DC413" i="1" s="1"/>
  <c r="BT423" i="1"/>
  <c r="CE423" i="1" s="1"/>
  <c r="BV415" i="1"/>
  <c r="BT428" i="1"/>
  <c r="CE428" i="1" s="1"/>
  <c r="DD418" i="1"/>
  <c r="DC418" i="1" s="1"/>
  <c r="BT432" i="1"/>
  <c r="CE432" i="1" s="1"/>
  <c r="DD422" i="1"/>
  <c r="DC422" i="1" s="1"/>
  <c r="DD414" i="1"/>
  <c r="DC414" i="1" s="1"/>
  <c r="BT424" i="1"/>
  <c r="CE424" i="1" s="1"/>
  <c r="DD415" i="1"/>
  <c r="DC415" i="1" s="1"/>
  <c r="BT425" i="1"/>
  <c r="CE425" i="1" s="1"/>
  <c r="BT426" i="1"/>
  <c r="CE426" i="1" s="1"/>
  <c r="DD416" i="1"/>
  <c r="DC416" i="1" s="1"/>
  <c r="DD419" i="1"/>
  <c r="DC419" i="1" s="1"/>
  <c r="BT429" i="1"/>
  <c r="CE429" i="1" s="1"/>
  <c r="BT430" i="1"/>
  <c r="CE430" i="1" s="1"/>
  <c r="DD420" i="1"/>
  <c r="DC420" i="1" s="1"/>
  <c r="BT427" i="1"/>
  <c r="CE427" i="1" s="1"/>
  <c r="DD417" i="1"/>
  <c r="DC417" i="1" s="1"/>
  <c r="DJ396" i="1"/>
  <c r="DA396" i="1"/>
  <c r="DA395" i="1"/>
  <c r="DJ395" i="1"/>
  <c r="DJ400" i="1"/>
  <c r="DA400" i="1"/>
  <c r="DA393" i="1"/>
  <c r="DJ393" i="1"/>
  <c r="DJ401" i="1"/>
  <c r="DA401" i="1"/>
  <c r="DA402" i="1"/>
  <c r="DJ402" i="1"/>
  <c r="DJ398" i="1"/>
  <c r="DA398" i="1"/>
  <c r="DJ397" i="1"/>
  <c r="DA397" i="1"/>
  <c r="DJ399" i="1"/>
  <c r="DA399" i="1"/>
  <c r="DA394" i="1"/>
  <c r="DJ394" i="1"/>
  <c r="BL158" i="1"/>
  <c r="BJ137" i="1"/>
  <c r="BL139" i="1"/>
  <c r="BJ118" i="1"/>
  <c r="BL135" i="1"/>
  <c r="BJ114" i="1"/>
  <c r="BL126" i="1"/>
  <c r="BJ105" i="1"/>
  <c r="BL131" i="1"/>
  <c r="BJ110" i="1"/>
  <c r="BL162" i="1"/>
  <c r="BJ141" i="1"/>
  <c r="BL125" i="1"/>
  <c r="BL122" i="1"/>
  <c r="BJ101" i="1"/>
  <c r="BL132" i="1"/>
  <c r="BJ111" i="1"/>
  <c r="BL113" i="1"/>
  <c r="BJ92" i="1"/>
  <c r="BJ102" i="1"/>
  <c r="BL123" i="1"/>
  <c r="BL133" i="1"/>
  <c r="BJ112" i="1"/>
  <c r="BL129" i="1"/>
  <c r="BJ108" i="1"/>
  <c r="BL127" i="1"/>
  <c r="BJ106" i="1"/>
  <c r="BL182" i="1"/>
  <c r="BJ161" i="1"/>
  <c r="BL142" i="1"/>
  <c r="BJ121" i="1"/>
  <c r="BL130" i="1"/>
  <c r="BJ109" i="1"/>
  <c r="BL128" i="1"/>
  <c r="BJ107" i="1"/>
  <c r="BL124" i="1"/>
  <c r="BJ103" i="1"/>
  <c r="BQ155" i="1"/>
  <c r="BQ138" i="1"/>
  <c r="DA405" i="1" l="1"/>
  <c r="DA408" i="1"/>
  <c r="BV418" i="1"/>
  <c r="K428" i="1"/>
  <c r="M428" i="1"/>
  <c r="K429" i="1"/>
  <c r="M429" i="1"/>
  <c r="M426" i="1"/>
  <c r="K426" i="1"/>
  <c r="M425" i="1"/>
  <c r="K425" i="1"/>
  <c r="M424" i="1"/>
  <c r="K424" i="1"/>
  <c r="DA412" i="1"/>
  <c r="K423" i="1"/>
  <c r="M423" i="1"/>
  <c r="M430" i="1"/>
  <c r="K430" i="1"/>
  <c r="BV422" i="1"/>
  <c r="M432" i="1"/>
  <c r="K432" i="1"/>
  <c r="K427" i="1"/>
  <c r="M427" i="1"/>
  <c r="K431" i="1"/>
  <c r="M431" i="1"/>
  <c r="DL410" i="1"/>
  <c r="DL404" i="1"/>
  <c r="DL406" i="1"/>
  <c r="DL411" i="1"/>
  <c r="DL412" i="1"/>
  <c r="DL403" i="1"/>
  <c r="DL414" i="1"/>
  <c r="DL407" i="1"/>
  <c r="DL409" i="1"/>
  <c r="DL405" i="1"/>
  <c r="DL415" i="1"/>
  <c r="DL418" i="1"/>
  <c r="DL408" i="1"/>
  <c r="DA406" i="1"/>
  <c r="DA409" i="1"/>
  <c r="BV416" i="1"/>
  <c r="BV413" i="1"/>
  <c r="DA411" i="1"/>
  <c r="BV421" i="1"/>
  <c r="DA403" i="1"/>
  <c r="BV419" i="1"/>
  <c r="DA410" i="1"/>
  <c r="BV417" i="1"/>
  <c r="BV420" i="1"/>
  <c r="DA407" i="1"/>
  <c r="DD429" i="1"/>
  <c r="DC429" i="1" s="1"/>
  <c r="BT439" i="1"/>
  <c r="CE439" i="1" s="1"/>
  <c r="BV428" i="1"/>
  <c r="DA418" i="1"/>
  <c r="DD426" i="1"/>
  <c r="DC426" i="1" s="1"/>
  <c r="BT436" i="1"/>
  <c r="CE436" i="1" s="1"/>
  <c r="DD430" i="1"/>
  <c r="DC430" i="1" s="1"/>
  <c r="BT440" i="1"/>
  <c r="CE440" i="1" s="1"/>
  <c r="BT438" i="1"/>
  <c r="CE438" i="1" s="1"/>
  <c r="DD428" i="1"/>
  <c r="DC428" i="1" s="1"/>
  <c r="DA415" i="1"/>
  <c r="BV425" i="1"/>
  <c r="DD423" i="1"/>
  <c r="DC423" i="1" s="1"/>
  <c r="BT433" i="1"/>
  <c r="CE433" i="1" s="1"/>
  <c r="BT437" i="1"/>
  <c r="CE437" i="1" s="1"/>
  <c r="DD427" i="1"/>
  <c r="DC427" i="1" s="1"/>
  <c r="DD424" i="1"/>
  <c r="DC424" i="1" s="1"/>
  <c r="BT434" i="1"/>
  <c r="CE434" i="1" s="1"/>
  <c r="BT441" i="1"/>
  <c r="CE441" i="1" s="1"/>
  <c r="DD431" i="1"/>
  <c r="DC431" i="1" s="1"/>
  <c r="DA414" i="1"/>
  <c r="BV424" i="1"/>
  <c r="BT442" i="1"/>
  <c r="CE442" i="1" s="1"/>
  <c r="DD432" i="1"/>
  <c r="DC432" i="1" s="1"/>
  <c r="BT435" i="1"/>
  <c r="CE435" i="1" s="1"/>
  <c r="DD425" i="1"/>
  <c r="DC425" i="1" s="1"/>
  <c r="BL179" i="1"/>
  <c r="BJ158" i="1"/>
  <c r="BL156" i="1"/>
  <c r="BJ135" i="1"/>
  <c r="BL160" i="1"/>
  <c r="BJ139" i="1"/>
  <c r="BL150" i="1"/>
  <c r="BJ129" i="1"/>
  <c r="BL154" i="1"/>
  <c r="BJ133" i="1"/>
  <c r="BJ123" i="1"/>
  <c r="BL144" i="1"/>
  <c r="BL134" i="1"/>
  <c r="BJ113" i="1"/>
  <c r="BL145" i="1"/>
  <c r="BJ124" i="1"/>
  <c r="BL153" i="1"/>
  <c r="BJ132" i="1"/>
  <c r="BL149" i="1"/>
  <c r="BJ128" i="1"/>
  <c r="BL143" i="1"/>
  <c r="BJ122" i="1"/>
  <c r="BL146" i="1"/>
  <c r="BL151" i="1"/>
  <c r="BJ130" i="1"/>
  <c r="BL163" i="1"/>
  <c r="BJ142" i="1"/>
  <c r="BL183" i="1"/>
  <c r="BJ162" i="1"/>
  <c r="BL203" i="1"/>
  <c r="BJ182" i="1"/>
  <c r="BL152" i="1"/>
  <c r="BJ131" i="1"/>
  <c r="BL148" i="1"/>
  <c r="BJ127" i="1"/>
  <c r="BL147" i="1"/>
  <c r="BJ126" i="1"/>
  <c r="BQ159" i="1"/>
  <c r="BQ176" i="1"/>
  <c r="DL422" i="1" l="1"/>
  <c r="DA419" i="1"/>
  <c r="BV432" i="1"/>
  <c r="DA422" i="1"/>
  <c r="M436" i="1"/>
  <c r="K436" i="1"/>
  <c r="K439" i="1"/>
  <c r="M439" i="1"/>
  <c r="M442" i="1"/>
  <c r="K442" i="1"/>
  <c r="BV426" i="1"/>
  <c r="M440" i="1"/>
  <c r="K440" i="1"/>
  <c r="M441" i="1"/>
  <c r="K441" i="1"/>
  <c r="K434" i="1"/>
  <c r="M434" i="1"/>
  <c r="M437" i="1"/>
  <c r="K437" i="1"/>
  <c r="K433" i="1"/>
  <c r="M433" i="1"/>
  <c r="M435" i="1"/>
  <c r="K435" i="1"/>
  <c r="M438" i="1"/>
  <c r="K438" i="1"/>
  <c r="DA416" i="1"/>
  <c r="DL413" i="1"/>
  <c r="DL416" i="1"/>
  <c r="DL428" i="1"/>
  <c r="DL421" i="1"/>
  <c r="DL425" i="1"/>
  <c r="DL424" i="1"/>
  <c r="DL417" i="1"/>
  <c r="DL420" i="1"/>
  <c r="DA413" i="1"/>
  <c r="DL419" i="1"/>
  <c r="DL432" i="1"/>
  <c r="DA417" i="1"/>
  <c r="BV427" i="1"/>
  <c r="BV431" i="1"/>
  <c r="DA420" i="1"/>
  <c r="BV430" i="1"/>
  <c r="BV429" i="1"/>
  <c r="BV423" i="1"/>
  <c r="DA421" i="1"/>
  <c r="DA429" i="1"/>
  <c r="BV439" i="1"/>
  <c r="BV434" i="1"/>
  <c r="DA424" i="1"/>
  <c r="BT451" i="1"/>
  <c r="CE451" i="1" s="1"/>
  <c r="DD441" i="1"/>
  <c r="DC441" i="1" s="1"/>
  <c r="BT450" i="1"/>
  <c r="CE450" i="1" s="1"/>
  <c r="DD440" i="1"/>
  <c r="DC440" i="1" s="1"/>
  <c r="BT447" i="1"/>
  <c r="CE447" i="1" s="1"/>
  <c r="DD437" i="1"/>
  <c r="DC437" i="1" s="1"/>
  <c r="BV438" i="1"/>
  <c r="DA428" i="1"/>
  <c r="BT452" i="1"/>
  <c r="CE452" i="1" s="1"/>
  <c r="DD442" i="1"/>
  <c r="DC442" i="1" s="1"/>
  <c r="DA425" i="1"/>
  <c r="BV435" i="1"/>
  <c r="DD438" i="1"/>
  <c r="DC438" i="1" s="1"/>
  <c r="BT448" i="1"/>
  <c r="CE448" i="1" s="1"/>
  <c r="BT445" i="1"/>
  <c r="CE445" i="1" s="1"/>
  <c r="DD435" i="1"/>
  <c r="DC435" i="1" s="1"/>
  <c r="DD436" i="1"/>
  <c r="DC436" i="1" s="1"/>
  <c r="BT446" i="1"/>
  <c r="CE446" i="1" s="1"/>
  <c r="BT443" i="1"/>
  <c r="CE443" i="1" s="1"/>
  <c r="DD433" i="1"/>
  <c r="DC433" i="1" s="1"/>
  <c r="BT449" i="1"/>
  <c r="CE449" i="1" s="1"/>
  <c r="DD439" i="1"/>
  <c r="DC439" i="1" s="1"/>
  <c r="BT444" i="1"/>
  <c r="CE444" i="1" s="1"/>
  <c r="DD434" i="1"/>
  <c r="DC434" i="1" s="1"/>
  <c r="DA432" i="1"/>
  <c r="BV442" i="1"/>
  <c r="BL200" i="1"/>
  <c r="BJ179" i="1"/>
  <c r="BL181" i="1"/>
  <c r="BJ160" i="1"/>
  <c r="BL177" i="1"/>
  <c r="BJ156" i="1"/>
  <c r="BL173" i="1"/>
  <c r="BJ152" i="1"/>
  <c r="BL155" i="1"/>
  <c r="BJ134" i="1"/>
  <c r="BL165" i="1"/>
  <c r="BJ144" i="1"/>
  <c r="BL224" i="1"/>
  <c r="BL245" i="1" s="1"/>
  <c r="BL266" i="1" s="1"/>
  <c r="BL287" i="1" s="1"/>
  <c r="BL308" i="1" s="1"/>
  <c r="BL329" i="1" s="1"/>
  <c r="BJ203" i="1"/>
  <c r="BL204" i="1"/>
  <c r="BJ183" i="1"/>
  <c r="BL175" i="1"/>
  <c r="BJ154" i="1"/>
  <c r="BL184" i="1"/>
  <c r="BJ163" i="1"/>
  <c r="BL172" i="1"/>
  <c r="BJ151" i="1"/>
  <c r="BL167" i="1"/>
  <c r="BL164" i="1"/>
  <c r="BJ143" i="1"/>
  <c r="BL170" i="1"/>
  <c r="BJ149" i="1"/>
  <c r="BL168" i="1"/>
  <c r="BJ147" i="1"/>
  <c r="BL174" i="1"/>
  <c r="BJ153" i="1"/>
  <c r="BL169" i="1"/>
  <c r="BJ148" i="1"/>
  <c r="BL166" i="1"/>
  <c r="BJ145" i="1"/>
  <c r="BL171" i="1"/>
  <c r="BJ150" i="1"/>
  <c r="BQ197" i="1"/>
  <c r="BQ180" i="1"/>
  <c r="DL426" i="1" l="1"/>
  <c r="DA427" i="1"/>
  <c r="BV436" i="1"/>
  <c r="DA426" i="1"/>
  <c r="BV437" i="1"/>
  <c r="M452" i="1"/>
  <c r="K452" i="1"/>
  <c r="M444" i="1"/>
  <c r="K444" i="1"/>
  <c r="K451" i="1"/>
  <c r="M451" i="1"/>
  <c r="M443" i="1"/>
  <c r="K443" i="1"/>
  <c r="M447" i="1"/>
  <c r="K447" i="1"/>
  <c r="M445" i="1"/>
  <c r="K445" i="1"/>
  <c r="M448" i="1"/>
  <c r="K448" i="1"/>
  <c r="M450" i="1"/>
  <c r="K450" i="1"/>
  <c r="K449" i="1"/>
  <c r="M449" i="1"/>
  <c r="K446" i="1"/>
  <c r="M446" i="1"/>
  <c r="DL442" i="1"/>
  <c r="DL435" i="1"/>
  <c r="DL429" i="1"/>
  <c r="DL431" i="1"/>
  <c r="DL434" i="1"/>
  <c r="DL423" i="1"/>
  <c r="DL439" i="1"/>
  <c r="DL430" i="1"/>
  <c r="DL436" i="1"/>
  <c r="DL438" i="1"/>
  <c r="DL427" i="1"/>
  <c r="DA423" i="1"/>
  <c r="BV433" i="1"/>
  <c r="BV440" i="1"/>
  <c r="BV441" i="1"/>
  <c r="DA430" i="1"/>
  <c r="DA431" i="1"/>
  <c r="BT457" i="1"/>
  <c r="CE457" i="1" s="1"/>
  <c r="DD447" i="1"/>
  <c r="DC447" i="1" s="1"/>
  <c r="DD444" i="1"/>
  <c r="DC444" i="1" s="1"/>
  <c r="BT454" i="1"/>
  <c r="CE454" i="1" s="1"/>
  <c r="DD449" i="1"/>
  <c r="DC449" i="1" s="1"/>
  <c r="BT459" i="1"/>
  <c r="CE459" i="1" s="1"/>
  <c r="BT453" i="1"/>
  <c r="CE453" i="1" s="1"/>
  <c r="DD443" i="1"/>
  <c r="DC443" i="1" s="1"/>
  <c r="BT456" i="1"/>
  <c r="CE456" i="1" s="1"/>
  <c r="DD446" i="1"/>
  <c r="DC446" i="1" s="1"/>
  <c r="BV452" i="1"/>
  <c r="DA442" i="1"/>
  <c r="BT461" i="1"/>
  <c r="CE461" i="1" s="1"/>
  <c r="DD451" i="1"/>
  <c r="DC451" i="1" s="1"/>
  <c r="DA435" i="1"/>
  <c r="BV445" i="1"/>
  <c r="BV449" i="1"/>
  <c r="DA439" i="1"/>
  <c r="DA434" i="1"/>
  <c r="BV444" i="1"/>
  <c r="BT462" i="1"/>
  <c r="CE462" i="1" s="1"/>
  <c r="DD452" i="1"/>
  <c r="DC452" i="1" s="1"/>
  <c r="DA438" i="1"/>
  <c r="BV448" i="1"/>
  <c r="DD445" i="1"/>
  <c r="DC445" i="1" s="1"/>
  <c r="BT455" i="1"/>
  <c r="CE455" i="1" s="1"/>
  <c r="BT458" i="1"/>
  <c r="CE458" i="1" s="1"/>
  <c r="DD448" i="1"/>
  <c r="DC448" i="1" s="1"/>
  <c r="DA436" i="1"/>
  <c r="BV446" i="1"/>
  <c r="BT460" i="1"/>
  <c r="CE460" i="1" s="1"/>
  <c r="DD450" i="1"/>
  <c r="DC450" i="1" s="1"/>
  <c r="BL221" i="1"/>
  <c r="BL242" i="1" s="1"/>
  <c r="BL263" i="1" s="1"/>
  <c r="BL284" i="1" s="1"/>
  <c r="BL305" i="1" s="1"/>
  <c r="BL326" i="1" s="1"/>
  <c r="BJ200" i="1"/>
  <c r="BL198" i="1"/>
  <c r="BJ177" i="1"/>
  <c r="BL202" i="1"/>
  <c r="BJ181" i="1"/>
  <c r="BL190" i="1"/>
  <c r="BJ169" i="1"/>
  <c r="BL195" i="1"/>
  <c r="BJ174" i="1"/>
  <c r="BL186" i="1"/>
  <c r="BJ165" i="1"/>
  <c r="BL189" i="1"/>
  <c r="BJ168" i="1"/>
  <c r="BL176" i="1"/>
  <c r="BJ155" i="1"/>
  <c r="BL191" i="1"/>
  <c r="BJ170" i="1"/>
  <c r="BL194" i="1"/>
  <c r="BJ173" i="1"/>
  <c r="BL185" i="1"/>
  <c r="BJ164" i="1"/>
  <c r="BL188" i="1"/>
  <c r="BL193" i="1"/>
  <c r="BJ172" i="1"/>
  <c r="BL205" i="1"/>
  <c r="BJ184" i="1"/>
  <c r="BL192" i="1"/>
  <c r="BJ171" i="1"/>
  <c r="BL196" i="1"/>
  <c r="BJ175" i="1"/>
  <c r="BL187" i="1"/>
  <c r="BJ166" i="1"/>
  <c r="BL225" i="1"/>
  <c r="BL246" i="1" s="1"/>
  <c r="BL267" i="1" s="1"/>
  <c r="BL288" i="1" s="1"/>
  <c r="BL309" i="1" s="1"/>
  <c r="BL330" i="1" s="1"/>
  <c r="BJ204" i="1"/>
  <c r="BQ201" i="1"/>
  <c r="DA441" i="1" l="1"/>
  <c r="BV447" i="1"/>
  <c r="DL437" i="1"/>
  <c r="DA437" i="1"/>
  <c r="M459" i="1"/>
  <c r="K459" i="1"/>
  <c r="M458" i="1"/>
  <c r="K458" i="1"/>
  <c r="M457" i="1"/>
  <c r="K457" i="1"/>
  <c r="M462" i="1"/>
  <c r="K462" i="1"/>
  <c r="M456" i="1"/>
  <c r="K456" i="1"/>
  <c r="M453" i="1"/>
  <c r="K453" i="1"/>
  <c r="M460" i="1"/>
  <c r="K460" i="1"/>
  <c r="M455" i="1"/>
  <c r="K455" i="1"/>
  <c r="M454" i="1"/>
  <c r="K454" i="1"/>
  <c r="DA433" i="1"/>
  <c r="BV450" i="1"/>
  <c r="M461" i="1"/>
  <c r="K461" i="1"/>
  <c r="DA440" i="1"/>
  <c r="BV451" i="1"/>
  <c r="DL445" i="1"/>
  <c r="DL440" i="1"/>
  <c r="DL448" i="1"/>
  <c r="DL446" i="1"/>
  <c r="DL441" i="1"/>
  <c r="DL452" i="1"/>
  <c r="DL444" i="1"/>
  <c r="BV443" i="1"/>
  <c r="DL449" i="1"/>
  <c r="DL433" i="1"/>
  <c r="BT463" i="1"/>
  <c r="CE463" i="1" s="1"/>
  <c r="DD453" i="1"/>
  <c r="DC453" i="1" s="1"/>
  <c r="DA452" i="1"/>
  <c r="BV462" i="1"/>
  <c r="BV457" i="1"/>
  <c r="DA447" i="1"/>
  <c r="BV456" i="1"/>
  <c r="DA446" i="1"/>
  <c r="DA449" i="1"/>
  <c r="BV459" i="1"/>
  <c r="DD455" i="1"/>
  <c r="DC455" i="1" s="1"/>
  <c r="BT465" i="1"/>
  <c r="CE465" i="1" s="1"/>
  <c r="DD462" i="1"/>
  <c r="DC462" i="1" s="1"/>
  <c r="BT472" i="1"/>
  <c r="CE472" i="1" s="1"/>
  <c r="DD459" i="1"/>
  <c r="DC459" i="1" s="1"/>
  <c r="BT469" i="1"/>
  <c r="CE469" i="1" s="1"/>
  <c r="DD454" i="1"/>
  <c r="DC454" i="1" s="1"/>
  <c r="BT464" i="1"/>
  <c r="CE464" i="1" s="1"/>
  <c r="BT468" i="1"/>
  <c r="CE468" i="1" s="1"/>
  <c r="DD458" i="1"/>
  <c r="DC458" i="1" s="1"/>
  <c r="BV455" i="1"/>
  <c r="DA445" i="1"/>
  <c r="DA448" i="1"/>
  <c r="BV458" i="1"/>
  <c r="BT471" i="1"/>
  <c r="CE471" i="1" s="1"/>
  <c r="DD461" i="1"/>
  <c r="DC461" i="1" s="1"/>
  <c r="DD456" i="1"/>
  <c r="DC456" i="1" s="1"/>
  <c r="BT466" i="1"/>
  <c r="CE466" i="1" s="1"/>
  <c r="BV454" i="1"/>
  <c r="DA444" i="1"/>
  <c r="DD460" i="1"/>
  <c r="DC460" i="1" s="1"/>
  <c r="BT470" i="1"/>
  <c r="CE470" i="1" s="1"/>
  <c r="BT467" i="1"/>
  <c r="CE467" i="1" s="1"/>
  <c r="DD457" i="1"/>
  <c r="DC457" i="1" s="1"/>
  <c r="BJ202" i="1"/>
  <c r="BL223" i="1"/>
  <c r="BL244" i="1" s="1"/>
  <c r="BL265" i="1" s="1"/>
  <c r="BL286" i="1" s="1"/>
  <c r="BL307" i="1" s="1"/>
  <c r="BL328" i="1" s="1"/>
  <c r="BL219" i="1"/>
  <c r="BL240" i="1" s="1"/>
  <c r="BL261" i="1" s="1"/>
  <c r="BL282" i="1" s="1"/>
  <c r="BL303" i="1" s="1"/>
  <c r="BL324" i="1" s="1"/>
  <c r="BJ198" i="1"/>
  <c r="BL214" i="1"/>
  <c r="BL235" i="1" s="1"/>
  <c r="BL256" i="1" s="1"/>
  <c r="BL277" i="1" s="1"/>
  <c r="BL298" i="1" s="1"/>
  <c r="BL319" i="1" s="1"/>
  <c r="BL340" i="1" s="1"/>
  <c r="BJ193" i="1"/>
  <c r="BL209" i="1"/>
  <c r="BL215" i="1"/>
  <c r="BL236" i="1" s="1"/>
  <c r="BL257" i="1" s="1"/>
  <c r="BL278" i="1" s="1"/>
  <c r="BL299" i="1" s="1"/>
  <c r="BL320" i="1" s="1"/>
  <c r="BL341" i="1" s="1"/>
  <c r="BJ194" i="1"/>
  <c r="BL212" i="1"/>
  <c r="BJ191" i="1"/>
  <c r="BL206" i="1"/>
  <c r="BJ185" i="1"/>
  <c r="BL197" i="1"/>
  <c r="BJ176" i="1"/>
  <c r="BL208" i="1"/>
  <c r="BJ187" i="1"/>
  <c r="BL210" i="1"/>
  <c r="BJ189" i="1"/>
  <c r="BL217" i="1"/>
  <c r="BL238" i="1" s="1"/>
  <c r="BL259" i="1" s="1"/>
  <c r="BL280" i="1" s="1"/>
  <c r="BL301" i="1" s="1"/>
  <c r="BL322" i="1" s="1"/>
  <c r="BJ196" i="1"/>
  <c r="BJ186" i="1"/>
  <c r="BL207" i="1"/>
  <c r="BL213" i="1"/>
  <c r="BL234" i="1" s="1"/>
  <c r="BL255" i="1" s="1"/>
  <c r="BL276" i="1" s="1"/>
  <c r="BL297" i="1" s="1"/>
  <c r="BL318" i="1" s="1"/>
  <c r="BL339" i="1" s="1"/>
  <c r="BJ192" i="1"/>
  <c r="BL216" i="1"/>
  <c r="BL237" i="1" s="1"/>
  <c r="BL258" i="1" s="1"/>
  <c r="BL279" i="1" s="1"/>
  <c r="BL300" i="1" s="1"/>
  <c r="BL321" i="1" s="1"/>
  <c r="BL342" i="1" s="1"/>
  <c r="BJ195" i="1"/>
  <c r="BL226" i="1"/>
  <c r="BL247" i="1" s="1"/>
  <c r="BL268" i="1" s="1"/>
  <c r="BL289" i="1" s="1"/>
  <c r="BL310" i="1" s="1"/>
  <c r="BL331" i="1" s="1"/>
  <c r="BJ205" i="1"/>
  <c r="BL211" i="1"/>
  <c r="BJ190" i="1"/>
  <c r="BH44" i="1"/>
  <c r="BH65" i="1" s="1"/>
  <c r="BH86" i="1" s="1"/>
  <c r="BH107" i="1" s="1"/>
  <c r="BH128" i="1" s="1"/>
  <c r="BH149" i="1" s="1"/>
  <c r="BH170" i="1" s="1"/>
  <c r="BH191" i="1" s="1"/>
  <c r="BH212" i="1" s="1"/>
  <c r="BH43" i="1"/>
  <c r="BH64" i="1" s="1"/>
  <c r="BH85" i="1" s="1"/>
  <c r="BH106" i="1" s="1"/>
  <c r="BH127" i="1" s="1"/>
  <c r="BH148" i="1" s="1"/>
  <c r="BH169" i="1" s="1"/>
  <c r="BH190" i="1" s="1"/>
  <c r="BH211" i="1" s="1"/>
  <c r="BH42" i="1"/>
  <c r="BH63" i="1" s="1"/>
  <c r="BH84" i="1" s="1"/>
  <c r="BH105" i="1" s="1"/>
  <c r="BH126" i="1" s="1"/>
  <c r="BH147" i="1" s="1"/>
  <c r="BH168" i="1" s="1"/>
  <c r="BH189" i="1" s="1"/>
  <c r="BH210" i="1" s="1"/>
  <c r="BH41" i="1"/>
  <c r="BH62" i="1" s="1"/>
  <c r="BH83" i="1" s="1"/>
  <c r="BH104" i="1" s="1"/>
  <c r="BH125" i="1" s="1"/>
  <c r="BH146" i="1" s="1"/>
  <c r="BH167" i="1" s="1"/>
  <c r="BH188" i="1" s="1"/>
  <c r="BH209" i="1" s="1"/>
  <c r="BH40" i="1"/>
  <c r="BH61" i="1" s="1"/>
  <c r="BH82" i="1" s="1"/>
  <c r="BH103" i="1" s="1"/>
  <c r="BH124" i="1" s="1"/>
  <c r="BH145" i="1" s="1"/>
  <c r="BH166" i="1" s="1"/>
  <c r="BH187" i="1" s="1"/>
  <c r="BH208" i="1" s="1"/>
  <c r="BH39" i="1"/>
  <c r="BH60" i="1" s="1"/>
  <c r="BH81" i="1" s="1"/>
  <c r="BH102" i="1" s="1"/>
  <c r="BH123" i="1" s="1"/>
  <c r="BH144" i="1" s="1"/>
  <c r="BH165" i="1" s="1"/>
  <c r="BH186" i="1" s="1"/>
  <c r="BH207" i="1" s="1"/>
  <c r="BH38" i="1"/>
  <c r="BH59" i="1" s="1"/>
  <c r="BH80" i="1" s="1"/>
  <c r="BH101" i="1" s="1"/>
  <c r="BH122" i="1" s="1"/>
  <c r="BH143" i="1" s="1"/>
  <c r="BH164" i="1" s="1"/>
  <c r="BH185" i="1" s="1"/>
  <c r="BH206" i="1" s="1"/>
  <c r="BH37" i="1"/>
  <c r="BH58" i="1" s="1"/>
  <c r="BH79" i="1" s="1"/>
  <c r="BH100" i="1" s="1"/>
  <c r="BH121" i="1" s="1"/>
  <c r="BH142" i="1" s="1"/>
  <c r="BH163" i="1" s="1"/>
  <c r="BH184" i="1" s="1"/>
  <c r="BH205" i="1" s="1"/>
  <c r="BH36" i="1"/>
  <c r="BH57" i="1" s="1"/>
  <c r="BH78" i="1" s="1"/>
  <c r="BH99" i="1" s="1"/>
  <c r="BH120" i="1" s="1"/>
  <c r="BH141" i="1" s="1"/>
  <c r="BH162" i="1" s="1"/>
  <c r="BH183" i="1" s="1"/>
  <c r="BH204" i="1" s="1"/>
  <c r="BH35" i="1"/>
  <c r="BH56" i="1" s="1"/>
  <c r="BH77" i="1" s="1"/>
  <c r="BH98" i="1" s="1"/>
  <c r="BH119" i="1" s="1"/>
  <c r="BH140" i="1" s="1"/>
  <c r="BH161" i="1" s="1"/>
  <c r="BH182" i="1" s="1"/>
  <c r="BH203" i="1" s="1"/>
  <c r="BH34" i="1"/>
  <c r="BH55" i="1" s="1"/>
  <c r="BH76" i="1" s="1"/>
  <c r="BH97" i="1" s="1"/>
  <c r="BH118" i="1" s="1"/>
  <c r="BH139" i="1" s="1"/>
  <c r="BH160" i="1" s="1"/>
  <c r="BH181" i="1" s="1"/>
  <c r="BH202" i="1" s="1"/>
  <c r="BH33" i="1"/>
  <c r="BH54" i="1" s="1"/>
  <c r="BH75" i="1" s="1"/>
  <c r="BH96" i="1" s="1"/>
  <c r="BH117" i="1" s="1"/>
  <c r="BH138" i="1" s="1"/>
  <c r="BH159" i="1" s="1"/>
  <c r="BH180" i="1" s="1"/>
  <c r="BH201" i="1" s="1"/>
  <c r="BH32" i="1"/>
  <c r="BH53" i="1" s="1"/>
  <c r="BH74" i="1" s="1"/>
  <c r="BH95" i="1" s="1"/>
  <c r="BH116" i="1" s="1"/>
  <c r="BH137" i="1" s="1"/>
  <c r="BH158" i="1" s="1"/>
  <c r="BH179" i="1" s="1"/>
  <c r="BH200" i="1" s="1"/>
  <c r="BH31" i="1"/>
  <c r="BH52" i="1" s="1"/>
  <c r="BH73" i="1" s="1"/>
  <c r="BH94" i="1" s="1"/>
  <c r="BH115" i="1" s="1"/>
  <c r="BH136" i="1" s="1"/>
  <c r="BH157" i="1" s="1"/>
  <c r="BH178" i="1" s="1"/>
  <c r="BH199" i="1" s="1"/>
  <c r="BH30" i="1"/>
  <c r="BH51" i="1" s="1"/>
  <c r="BH72" i="1" s="1"/>
  <c r="BH93" i="1" s="1"/>
  <c r="BH114" i="1" s="1"/>
  <c r="BH135" i="1" s="1"/>
  <c r="BH156" i="1" s="1"/>
  <c r="BH177" i="1" s="1"/>
  <c r="BH198" i="1" s="1"/>
  <c r="BH29" i="1"/>
  <c r="BH50" i="1" s="1"/>
  <c r="BH71" i="1" s="1"/>
  <c r="BH92" i="1" s="1"/>
  <c r="BH113" i="1" s="1"/>
  <c r="BH134" i="1" s="1"/>
  <c r="BH155" i="1" s="1"/>
  <c r="BH176" i="1" s="1"/>
  <c r="BH197" i="1" s="1"/>
  <c r="BH28" i="1"/>
  <c r="BH49" i="1" s="1"/>
  <c r="BH70" i="1" s="1"/>
  <c r="BH91" i="1" s="1"/>
  <c r="BH112" i="1" s="1"/>
  <c r="BH133" i="1" s="1"/>
  <c r="BH154" i="1" s="1"/>
  <c r="BH175" i="1" s="1"/>
  <c r="BH196" i="1" s="1"/>
  <c r="BH27" i="1"/>
  <c r="BH48" i="1" s="1"/>
  <c r="BH69" i="1" s="1"/>
  <c r="BH90" i="1" s="1"/>
  <c r="BH111" i="1" s="1"/>
  <c r="BH132" i="1" s="1"/>
  <c r="BH153" i="1" s="1"/>
  <c r="BH174" i="1" s="1"/>
  <c r="BH195" i="1" s="1"/>
  <c r="BH26" i="1"/>
  <c r="BH47" i="1" s="1"/>
  <c r="BH68" i="1" s="1"/>
  <c r="BH89" i="1" s="1"/>
  <c r="BH110" i="1" s="1"/>
  <c r="BH131" i="1" s="1"/>
  <c r="BH152" i="1" s="1"/>
  <c r="BH173" i="1" s="1"/>
  <c r="BH194" i="1" s="1"/>
  <c r="BH25" i="1"/>
  <c r="BH46" i="1" s="1"/>
  <c r="BH67" i="1" s="1"/>
  <c r="BH88" i="1" s="1"/>
  <c r="BH109" i="1" s="1"/>
  <c r="BH130" i="1" s="1"/>
  <c r="BH151" i="1" s="1"/>
  <c r="BH172" i="1" s="1"/>
  <c r="BH193" i="1" s="1"/>
  <c r="BH24" i="1"/>
  <c r="BH45" i="1" s="1"/>
  <c r="BH66" i="1" s="1"/>
  <c r="BH87" i="1" s="1"/>
  <c r="BH108" i="1" s="1"/>
  <c r="BH129" i="1" s="1"/>
  <c r="BH150" i="1" s="1"/>
  <c r="BH171" i="1" s="1"/>
  <c r="BH192" i="1" s="1"/>
  <c r="DD11" i="1"/>
  <c r="DC11" i="1" s="1"/>
  <c r="CM70" i="1"/>
  <c r="CM27" i="1"/>
  <c r="CM48" i="1" s="1"/>
  <c r="CM69" i="1" s="1"/>
  <c r="CM90" i="1" s="1"/>
  <c r="CM111" i="1" s="1"/>
  <c r="CM132" i="1" s="1"/>
  <c r="CM153" i="1" s="1"/>
  <c r="CM174" i="1" s="1"/>
  <c r="CM195" i="1" s="1"/>
  <c r="CM29" i="1"/>
  <c r="CM50" i="1" s="1"/>
  <c r="CM71" i="1" s="1"/>
  <c r="CM92" i="1" s="1"/>
  <c r="CM113" i="1" s="1"/>
  <c r="CM134" i="1" s="1"/>
  <c r="CM155" i="1" s="1"/>
  <c r="CM176" i="1" s="1"/>
  <c r="CM197" i="1" s="1"/>
  <c r="CM44" i="1"/>
  <c r="CM65" i="1" s="1"/>
  <c r="CM86" i="1" s="1"/>
  <c r="CM107" i="1" s="1"/>
  <c r="CM128" i="1" s="1"/>
  <c r="CM149" i="1" s="1"/>
  <c r="CM170" i="1" s="1"/>
  <c r="CM191" i="1" s="1"/>
  <c r="CM212" i="1" s="1"/>
  <c r="CM43" i="1"/>
  <c r="CM64" i="1" s="1"/>
  <c r="CM85" i="1" s="1"/>
  <c r="CM106" i="1" s="1"/>
  <c r="CM127" i="1" s="1"/>
  <c r="CM148" i="1" s="1"/>
  <c r="CM169" i="1" s="1"/>
  <c r="CM190" i="1" s="1"/>
  <c r="CM211" i="1" s="1"/>
  <c r="CM42" i="1"/>
  <c r="CM63" i="1" s="1"/>
  <c r="CM84" i="1" s="1"/>
  <c r="CM105" i="1" s="1"/>
  <c r="CM126" i="1" s="1"/>
  <c r="CM147" i="1" s="1"/>
  <c r="CM168" i="1" s="1"/>
  <c r="CM189" i="1" s="1"/>
  <c r="CM210" i="1" s="1"/>
  <c r="CM41" i="1"/>
  <c r="CM62" i="1" s="1"/>
  <c r="CM83" i="1" s="1"/>
  <c r="CM104" i="1" s="1"/>
  <c r="CM125" i="1" s="1"/>
  <c r="CM146" i="1" s="1"/>
  <c r="CM167" i="1" s="1"/>
  <c r="CM188" i="1" s="1"/>
  <c r="CM209" i="1" s="1"/>
  <c r="CM40" i="1"/>
  <c r="CM61" i="1" s="1"/>
  <c r="CM82" i="1" s="1"/>
  <c r="CM103" i="1" s="1"/>
  <c r="CM124" i="1" s="1"/>
  <c r="CM145" i="1" s="1"/>
  <c r="CM166" i="1" s="1"/>
  <c r="CM187" i="1" s="1"/>
  <c r="CM208" i="1" s="1"/>
  <c r="CM39" i="1"/>
  <c r="CM60" i="1" s="1"/>
  <c r="CM81" i="1" s="1"/>
  <c r="CM102" i="1" s="1"/>
  <c r="CM123" i="1" s="1"/>
  <c r="CM144" i="1" s="1"/>
  <c r="CM165" i="1" s="1"/>
  <c r="CM186" i="1" s="1"/>
  <c r="CM207" i="1" s="1"/>
  <c r="CM38" i="1"/>
  <c r="CM59" i="1" s="1"/>
  <c r="CM80" i="1" s="1"/>
  <c r="CM101" i="1" s="1"/>
  <c r="CM122" i="1" s="1"/>
  <c r="CM143" i="1" s="1"/>
  <c r="CM164" i="1" s="1"/>
  <c r="CM185" i="1" s="1"/>
  <c r="CM206" i="1" s="1"/>
  <c r="CM37" i="1"/>
  <c r="CM58" i="1" s="1"/>
  <c r="CM79" i="1" s="1"/>
  <c r="CM100" i="1" s="1"/>
  <c r="CM121" i="1" s="1"/>
  <c r="CM142" i="1" s="1"/>
  <c r="CM163" i="1" s="1"/>
  <c r="CM184" i="1" s="1"/>
  <c r="CM205" i="1" s="1"/>
  <c r="CM36" i="1"/>
  <c r="CM57" i="1" s="1"/>
  <c r="CM78" i="1" s="1"/>
  <c r="CM99" i="1" s="1"/>
  <c r="CM120" i="1" s="1"/>
  <c r="CM141" i="1" s="1"/>
  <c r="CM162" i="1" s="1"/>
  <c r="CM183" i="1" s="1"/>
  <c r="CM204" i="1" s="1"/>
  <c r="CM35" i="1"/>
  <c r="CM56" i="1" s="1"/>
  <c r="CM77" i="1" s="1"/>
  <c r="CM98" i="1" s="1"/>
  <c r="CM119" i="1" s="1"/>
  <c r="CM140" i="1" s="1"/>
  <c r="CM161" i="1" s="1"/>
  <c r="CM182" i="1" s="1"/>
  <c r="CM203" i="1" s="1"/>
  <c r="CM34" i="1"/>
  <c r="CM55" i="1" s="1"/>
  <c r="CM76" i="1" s="1"/>
  <c r="CM97" i="1" s="1"/>
  <c r="CM118" i="1" s="1"/>
  <c r="CM139" i="1" s="1"/>
  <c r="CM160" i="1" s="1"/>
  <c r="CM181" i="1" s="1"/>
  <c r="CM202" i="1" s="1"/>
  <c r="CM33" i="1"/>
  <c r="CM54" i="1" s="1"/>
  <c r="CM75" i="1" s="1"/>
  <c r="CM96" i="1" s="1"/>
  <c r="CM117" i="1" s="1"/>
  <c r="CM138" i="1" s="1"/>
  <c r="CM159" i="1" s="1"/>
  <c r="CM180" i="1" s="1"/>
  <c r="CM201" i="1" s="1"/>
  <c r="CM32" i="1"/>
  <c r="CM53" i="1" s="1"/>
  <c r="CM74" i="1" s="1"/>
  <c r="CM95" i="1" s="1"/>
  <c r="CM116" i="1" s="1"/>
  <c r="CM137" i="1" s="1"/>
  <c r="CM158" i="1" s="1"/>
  <c r="CM179" i="1" s="1"/>
  <c r="CM200" i="1" s="1"/>
  <c r="CM31" i="1"/>
  <c r="CM52" i="1" s="1"/>
  <c r="CM73" i="1" s="1"/>
  <c r="CM94" i="1" s="1"/>
  <c r="CM115" i="1" s="1"/>
  <c r="CM136" i="1" s="1"/>
  <c r="CM157" i="1" s="1"/>
  <c r="CM178" i="1" s="1"/>
  <c r="CM199" i="1" s="1"/>
  <c r="CM30" i="1"/>
  <c r="CM51" i="1" s="1"/>
  <c r="CM72" i="1" s="1"/>
  <c r="CM93" i="1" s="1"/>
  <c r="CM114" i="1" s="1"/>
  <c r="CM135" i="1" s="1"/>
  <c r="CM156" i="1" s="1"/>
  <c r="CM177" i="1" s="1"/>
  <c r="CM198" i="1" s="1"/>
  <c r="CM26" i="1"/>
  <c r="CM47" i="1" s="1"/>
  <c r="CM68" i="1" s="1"/>
  <c r="CM89" i="1" s="1"/>
  <c r="CM110" i="1" s="1"/>
  <c r="CM131" i="1" s="1"/>
  <c r="CM152" i="1" s="1"/>
  <c r="CM173" i="1" s="1"/>
  <c r="CM194" i="1" s="1"/>
  <c r="CM25" i="1"/>
  <c r="CM46" i="1" s="1"/>
  <c r="CM67" i="1" s="1"/>
  <c r="CM88" i="1" s="1"/>
  <c r="CM109" i="1" s="1"/>
  <c r="CM130" i="1" s="1"/>
  <c r="CM151" i="1" s="1"/>
  <c r="CM172" i="1" s="1"/>
  <c r="CM193" i="1" s="1"/>
  <c r="CM24" i="1"/>
  <c r="CM45" i="1" s="1"/>
  <c r="CM66" i="1" s="1"/>
  <c r="CM87" i="1" s="1"/>
  <c r="CM108" i="1" s="1"/>
  <c r="CM129" i="1" s="1"/>
  <c r="CM150" i="1" s="1"/>
  <c r="CM171" i="1" s="1"/>
  <c r="CM192" i="1" s="1"/>
  <c r="CN25" i="1"/>
  <c r="CN46" i="1" s="1"/>
  <c r="CN67" i="1" s="1"/>
  <c r="CN88" i="1" s="1"/>
  <c r="CN109" i="1" s="1"/>
  <c r="CN130" i="1" s="1"/>
  <c r="CN151" i="1" s="1"/>
  <c r="CN172" i="1" s="1"/>
  <c r="CN193" i="1" s="1"/>
  <c r="CN26" i="1"/>
  <c r="CN47" i="1" s="1"/>
  <c r="CN68" i="1" s="1"/>
  <c r="CN89" i="1" s="1"/>
  <c r="CN110" i="1" s="1"/>
  <c r="CN131" i="1" s="1"/>
  <c r="CN152" i="1" s="1"/>
  <c r="CN173" i="1" s="1"/>
  <c r="CN194" i="1" s="1"/>
  <c r="CN27" i="1"/>
  <c r="CN48" i="1" s="1"/>
  <c r="CN69" i="1" s="1"/>
  <c r="CN90" i="1" s="1"/>
  <c r="CN111" i="1" s="1"/>
  <c r="CN132" i="1" s="1"/>
  <c r="CN153" i="1" s="1"/>
  <c r="CN174" i="1" s="1"/>
  <c r="CN195" i="1" s="1"/>
  <c r="CN29" i="1"/>
  <c r="CN50" i="1" s="1"/>
  <c r="CN71" i="1" s="1"/>
  <c r="CN92" i="1" s="1"/>
  <c r="CN113" i="1" s="1"/>
  <c r="CN134" i="1" s="1"/>
  <c r="CN155" i="1" s="1"/>
  <c r="CN176" i="1" s="1"/>
  <c r="CN197" i="1" s="1"/>
  <c r="CN30" i="1"/>
  <c r="CN51" i="1" s="1"/>
  <c r="CN72" i="1" s="1"/>
  <c r="CN93" i="1" s="1"/>
  <c r="CN114" i="1" s="1"/>
  <c r="CN135" i="1" s="1"/>
  <c r="CN156" i="1" s="1"/>
  <c r="CN177" i="1" s="1"/>
  <c r="CN198" i="1" s="1"/>
  <c r="CN31" i="1"/>
  <c r="CN52" i="1" s="1"/>
  <c r="CN73" i="1" s="1"/>
  <c r="CN94" i="1" s="1"/>
  <c r="CN115" i="1" s="1"/>
  <c r="CN136" i="1" s="1"/>
  <c r="CN157" i="1" s="1"/>
  <c r="CN178" i="1" s="1"/>
  <c r="CN199" i="1" s="1"/>
  <c r="CN32" i="1"/>
  <c r="CN53" i="1" s="1"/>
  <c r="CN74" i="1" s="1"/>
  <c r="CN95" i="1" s="1"/>
  <c r="CN116" i="1" s="1"/>
  <c r="CN137" i="1" s="1"/>
  <c r="CN158" i="1" s="1"/>
  <c r="CN179" i="1" s="1"/>
  <c r="CN200" i="1" s="1"/>
  <c r="CN33" i="1"/>
  <c r="CN54" i="1" s="1"/>
  <c r="CN75" i="1" s="1"/>
  <c r="CN96" i="1" s="1"/>
  <c r="CN117" i="1" s="1"/>
  <c r="CN138" i="1" s="1"/>
  <c r="CN159" i="1" s="1"/>
  <c r="CN180" i="1" s="1"/>
  <c r="CN201" i="1" s="1"/>
  <c r="CN34" i="1"/>
  <c r="CN55" i="1" s="1"/>
  <c r="CN76" i="1" s="1"/>
  <c r="CN97" i="1" s="1"/>
  <c r="CN118" i="1" s="1"/>
  <c r="CN139" i="1" s="1"/>
  <c r="CN160" i="1" s="1"/>
  <c r="CN181" i="1" s="1"/>
  <c r="CN202" i="1" s="1"/>
  <c r="CN35" i="1"/>
  <c r="CN56" i="1" s="1"/>
  <c r="CN77" i="1" s="1"/>
  <c r="CN98" i="1" s="1"/>
  <c r="CN119" i="1" s="1"/>
  <c r="CN140" i="1" s="1"/>
  <c r="CN161" i="1" s="1"/>
  <c r="CN182" i="1" s="1"/>
  <c r="CN203" i="1" s="1"/>
  <c r="CN36" i="1"/>
  <c r="CN57" i="1" s="1"/>
  <c r="CN78" i="1" s="1"/>
  <c r="CN99" i="1" s="1"/>
  <c r="CN120" i="1" s="1"/>
  <c r="CN141" i="1" s="1"/>
  <c r="CN162" i="1" s="1"/>
  <c r="CN183" i="1" s="1"/>
  <c r="CN204" i="1" s="1"/>
  <c r="CN37" i="1"/>
  <c r="CN58" i="1" s="1"/>
  <c r="CN79" i="1" s="1"/>
  <c r="CN100" i="1" s="1"/>
  <c r="CN121" i="1" s="1"/>
  <c r="CN142" i="1" s="1"/>
  <c r="CN163" i="1" s="1"/>
  <c r="CN184" i="1" s="1"/>
  <c r="CN205" i="1" s="1"/>
  <c r="CN38" i="1"/>
  <c r="CN59" i="1" s="1"/>
  <c r="CN80" i="1" s="1"/>
  <c r="CN101" i="1" s="1"/>
  <c r="CN122" i="1" s="1"/>
  <c r="CN143" i="1" s="1"/>
  <c r="CN164" i="1" s="1"/>
  <c r="CN185" i="1" s="1"/>
  <c r="CN206" i="1" s="1"/>
  <c r="CN39" i="1"/>
  <c r="CN60" i="1" s="1"/>
  <c r="CN81" i="1" s="1"/>
  <c r="CN102" i="1" s="1"/>
  <c r="CN123" i="1" s="1"/>
  <c r="CN144" i="1" s="1"/>
  <c r="CN165" i="1" s="1"/>
  <c r="CN186" i="1" s="1"/>
  <c r="CN207" i="1" s="1"/>
  <c r="CN40" i="1"/>
  <c r="CN61" i="1" s="1"/>
  <c r="CN82" i="1" s="1"/>
  <c r="CN103" i="1" s="1"/>
  <c r="CN124" i="1" s="1"/>
  <c r="CN145" i="1" s="1"/>
  <c r="CN166" i="1" s="1"/>
  <c r="CN187" i="1" s="1"/>
  <c r="CN208" i="1" s="1"/>
  <c r="CN41" i="1"/>
  <c r="CN62" i="1" s="1"/>
  <c r="CN83" i="1" s="1"/>
  <c r="CN104" i="1" s="1"/>
  <c r="CN125" i="1" s="1"/>
  <c r="CN146" i="1" s="1"/>
  <c r="CN167" i="1" s="1"/>
  <c r="CN188" i="1" s="1"/>
  <c r="CN209" i="1" s="1"/>
  <c r="CN42" i="1"/>
  <c r="CN63" i="1" s="1"/>
  <c r="CN84" i="1" s="1"/>
  <c r="CN105" i="1" s="1"/>
  <c r="CN126" i="1" s="1"/>
  <c r="CN147" i="1" s="1"/>
  <c r="CN168" i="1" s="1"/>
  <c r="CN189" i="1" s="1"/>
  <c r="CN210" i="1" s="1"/>
  <c r="CN43" i="1"/>
  <c r="CN64" i="1" s="1"/>
  <c r="CN85" i="1" s="1"/>
  <c r="CN106" i="1" s="1"/>
  <c r="CN127" i="1" s="1"/>
  <c r="CN148" i="1" s="1"/>
  <c r="CN169" i="1" s="1"/>
  <c r="CN190" i="1" s="1"/>
  <c r="CN211" i="1" s="1"/>
  <c r="CN44" i="1"/>
  <c r="CN65" i="1" s="1"/>
  <c r="CN86" i="1" s="1"/>
  <c r="CN107" i="1" s="1"/>
  <c r="CN128" i="1" s="1"/>
  <c r="CN149" i="1" s="1"/>
  <c r="CN170" i="1" s="1"/>
  <c r="CN191" i="1" s="1"/>
  <c r="CN212" i="1" s="1"/>
  <c r="CN24" i="1"/>
  <c r="CN45" i="1" s="1"/>
  <c r="CN66" i="1" s="1"/>
  <c r="CN87" i="1" s="1"/>
  <c r="CN108" i="1" s="1"/>
  <c r="CN129" i="1" s="1"/>
  <c r="CN150" i="1" s="1"/>
  <c r="CN171" i="1" s="1"/>
  <c r="CN192" i="1" s="1"/>
  <c r="DL451" i="1" l="1"/>
  <c r="DL447" i="1"/>
  <c r="DL450" i="1"/>
  <c r="BV460" i="1"/>
  <c r="DA451" i="1"/>
  <c r="DA450" i="1"/>
  <c r="BV461" i="1"/>
  <c r="M464" i="1"/>
  <c r="K464" i="1"/>
  <c r="M472" i="1"/>
  <c r="K472" i="1"/>
  <c r="M471" i="1"/>
  <c r="K471" i="1"/>
  <c r="M470" i="1"/>
  <c r="K470" i="1"/>
  <c r="M469" i="1"/>
  <c r="K469" i="1"/>
  <c r="M465" i="1"/>
  <c r="K465" i="1"/>
  <c r="K466" i="1"/>
  <c r="M466" i="1"/>
  <c r="K463" i="1"/>
  <c r="M463" i="1"/>
  <c r="M467" i="1"/>
  <c r="K467" i="1"/>
  <c r="M468" i="1"/>
  <c r="K468" i="1"/>
  <c r="DA443" i="1"/>
  <c r="DL456" i="1"/>
  <c r="DL454" i="1"/>
  <c r="DL458" i="1"/>
  <c r="BV453" i="1"/>
  <c r="DL462" i="1"/>
  <c r="DL443" i="1"/>
  <c r="DL457" i="1"/>
  <c r="DL455" i="1"/>
  <c r="DL459" i="1"/>
  <c r="BT475" i="1"/>
  <c r="DD465" i="1"/>
  <c r="DC465" i="1" s="1"/>
  <c r="BV469" i="1"/>
  <c r="DA459" i="1"/>
  <c r="BT476" i="1"/>
  <c r="DD466" i="1"/>
  <c r="DC466" i="1" s="1"/>
  <c r="DD467" i="1"/>
  <c r="DC467" i="1" s="1"/>
  <c r="BT477" i="1"/>
  <c r="BT481" i="1"/>
  <c r="DD471" i="1"/>
  <c r="DC471" i="1" s="1"/>
  <c r="BV472" i="1"/>
  <c r="DA462" i="1"/>
  <c r="BV467" i="1"/>
  <c r="DA457" i="1"/>
  <c r="DA454" i="1"/>
  <c r="BV464" i="1"/>
  <c r="DA458" i="1"/>
  <c r="BV468" i="1"/>
  <c r="DD468" i="1"/>
  <c r="DC468" i="1" s="1"/>
  <c r="BT478" i="1"/>
  <c r="DA455" i="1"/>
  <c r="BV465" i="1"/>
  <c r="BV466" i="1"/>
  <c r="DA456" i="1"/>
  <c r="DD472" i="1"/>
  <c r="DC472" i="1" s="1"/>
  <c r="BT482" i="1"/>
  <c r="BT480" i="1"/>
  <c r="DD470" i="1"/>
  <c r="DC470" i="1" s="1"/>
  <c r="BT474" i="1"/>
  <c r="DD464" i="1"/>
  <c r="DC464" i="1" s="1"/>
  <c r="BT479" i="1"/>
  <c r="DD469" i="1"/>
  <c r="DC469" i="1" s="1"/>
  <c r="BT473" i="1"/>
  <c r="CE473" i="1" s="1"/>
  <c r="DD463" i="1"/>
  <c r="DC463" i="1" s="1"/>
  <c r="BJ207" i="1"/>
  <c r="BL228" i="1"/>
  <c r="BL249" i="1" s="1"/>
  <c r="BL270" i="1" s="1"/>
  <c r="BL291" i="1" s="1"/>
  <c r="BL312" i="1" s="1"/>
  <c r="BL333" i="1" s="1"/>
  <c r="BL231" i="1"/>
  <c r="BL252" i="1" s="1"/>
  <c r="BL273" i="1" s="1"/>
  <c r="BL294" i="1" s="1"/>
  <c r="BL315" i="1" s="1"/>
  <c r="BL336" i="1" s="1"/>
  <c r="BJ210" i="1"/>
  <c r="BL229" i="1"/>
  <c r="BL250" i="1" s="1"/>
  <c r="BL271" i="1" s="1"/>
  <c r="BL292" i="1" s="1"/>
  <c r="BL313" i="1" s="1"/>
  <c r="BL334" i="1" s="1"/>
  <c r="BJ208" i="1"/>
  <c r="BL218" i="1"/>
  <c r="BL239" i="1" s="1"/>
  <c r="BL260" i="1" s="1"/>
  <c r="BL281" i="1" s="1"/>
  <c r="BL302" i="1" s="1"/>
  <c r="BL323" i="1" s="1"/>
  <c r="BJ197" i="1"/>
  <c r="BL227" i="1"/>
  <c r="BL248" i="1" s="1"/>
  <c r="BL269" i="1" s="1"/>
  <c r="BL290" i="1" s="1"/>
  <c r="BL311" i="1" s="1"/>
  <c r="BL332" i="1" s="1"/>
  <c r="BJ206" i="1"/>
  <c r="BL232" i="1"/>
  <c r="BL253" i="1" s="1"/>
  <c r="BL274" i="1" s="1"/>
  <c r="BL295" i="1" s="1"/>
  <c r="BL316" i="1" s="1"/>
  <c r="BL337" i="1" s="1"/>
  <c r="BJ211" i="1"/>
  <c r="BL233" i="1"/>
  <c r="BL254" i="1" s="1"/>
  <c r="BL275" i="1" s="1"/>
  <c r="BL296" i="1" s="1"/>
  <c r="BL317" i="1" s="1"/>
  <c r="BL338" i="1" s="1"/>
  <c r="BJ212" i="1"/>
  <c r="BL230" i="1"/>
  <c r="BL251" i="1" s="1"/>
  <c r="BL272" i="1" s="1"/>
  <c r="BL293" i="1" s="1"/>
  <c r="BL314" i="1" s="1"/>
  <c r="BL335" i="1" s="1"/>
  <c r="CV25" i="1"/>
  <c r="CV46" i="1" s="1"/>
  <c r="CV67" i="1" s="1"/>
  <c r="CV88" i="1" s="1"/>
  <c r="CV109" i="1" s="1"/>
  <c r="CV130" i="1" s="1"/>
  <c r="CV151" i="1" s="1"/>
  <c r="CV172" i="1" s="1"/>
  <c r="CV193" i="1" s="1"/>
  <c r="CW25" i="1"/>
  <c r="CW46" i="1" s="1"/>
  <c r="CW67" i="1" s="1"/>
  <c r="CW88" i="1" s="1"/>
  <c r="CW109" i="1" s="1"/>
  <c r="CW130" i="1" s="1"/>
  <c r="CW151" i="1" s="1"/>
  <c r="CW172" i="1" s="1"/>
  <c r="CW193" i="1" s="1"/>
  <c r="CX25" i="1"/>
  <c r="CX46" i="1" s="1"/>
  <c r="CX67" i="1" s="1"/>
  <c r="CX88" i="1" s="1"/>
  <c r="CX109" i="1" s="1"/>
  <c r="CX130" i="1" s="1"/>
  <c r="CX151" i="1" s="1"/>
  <c r="CX172" i="1" s="1"/>
  <c r="CX193" i="1" s="1"/>
  <c r="CY25" i="1"/>
  <c r="CY46" i="1" s="1"/>
  <c r="CY67" i="1" s="1"/>
  <c r="CY88" i="1" s="1"/>
  <c r="CY109" i="1" s="1"/>
  <c r="CY130" i="1" s="1"/>
  <c r="CY151" i="1" s="1"/>
  <c r="CY172" i="1" s="1"/>
  <c r="CY193" i="1" s="1"/>
  <c r="CV26" i="1"/>
  <c r="CV47" i="1" s="1"/>
  <c r="CV68" i="1" s="1"/>
  <c r="CV89" i="1" s="1"/>
  <c r="CV110" i="1" s="1"/>
  <c r="CV131" i="1" s="1"/>
  <c r="CV152" i="1" s="1"/>
  <c r="CV173" i="1" s="1"/>
  <c r="CV194" i="1" s="1"/>
  <c r="CW26" i="1"/>
  <c r="CW47" i="1" s="1"/>
  <c r="CW68" i="1" s="1"/>
  <c r="CW89" i="1" s="1"/>
  <c r="CW110" i="1" s="1"/>
  <c r="CW131" i="1" s="1"/>
  <c r="CW152" i="1" s="1"/>
  <c r="CW173" i="1" s="1"/>
  <c r="CW194" i="1" s="1"/>
  <c r="CX26" i="1"/>
  <c r="CX47" i="1" s="1"/>
  <c r="CX68" i="1" s="1"/>
  <c r="CX89" i="1" s="1"/>
  <c r="CX110" i="1" s="1"/>
  <c r="CX131" i="1" s="1"/>
  <c r="CX152" i="1" s="1"/>
  <c r="CX173" i="1" s="1"/>
  <c r="CX194" i="1" s="1"/>
  <c r="CY26" i="1"/>
  <c r="CY47" i="1" s="1"/>
  <c r="CY68" i="1" s="1"/>
  <c r="CY89" i="1" s="1"/>
  <c r="CY110" i="1" s="1"/>
  <c r="CY131" i="1" s="1"/>
  <c r="CY152" i="1" s="1"/>
  <c r="CY173" i="1" s="1"/>
  <c r="CY194" i="1" s="1"/>
  <c r="CV27" i="1"/>
  <c r="CV48" i="1" s="1"/>
  <c r="CV69" i="1" s="1"/>
  <c r="CV90" i="1" s="1"/>
  <c r="CV111" i="1" s="1"/>
  <c r="CV132" i="1" s="1"/>
  <c r="CV153" i="1" s="1"/>
  <c r="CV174" i="1" s="1"/>
  <c r="CV195" i="1" s="1"/>
  <c r="CW27" i="1"/>
  <c r="CW48" i="1" s="1"/>
  <c r="CW69" i="1" s="1"/>
  <c r="CW90" i="1" s="1"/>
  <c r="CW111" i="1" s="1"/>
  <c r="CW132" i="1" s="1"/>
  <c r="CW153" i="1" s="1"/>
  <c r="CW174" i="1" s="1"/>
  <c r="CW195" i="1" s="1"/>
  <c r="CX27" i="1"/>
  <c r="CX48" i="1" s="1"/>
  <c r="CX69" i="1" s="1"/>
  <c r="CX90" i="1" s="1"/>
  <c r="CX111" i="1" s="1"/>
  <c r="CX132" i="1" s="1"/>
  <c r="CX153" i="1" s="1"/>
  <c r="CX174" i="1" s="1"/>
  <c r="CX195" i="1" s="1"/>
  <c r="CY27" i="1"/>
  <c r="CY48" i="1" s="1"/>
  <c r="CY69" i="1" s="1"/>
  <c r="CY90" i="1" s="1"/>
  <c r="CY111" i="1" s="1"/>
  <c r="CY132" i="1" s="1"/>
  <c r="CY153" i="1" s="1"/>
  <c r="CY174" i="1" s="1"/>
  <c r="CY195" i="1" s="1"/>
  <c r="CV28" i="1"/>
  <c r="CV49" i="1" s="1"/>
  <c r="CV70" i="1" s="1"/>
  <c r="CV91" i="1" s="1"/>
  <c r="CV112" i="1" s="1"/>
  <c r="CV133" i="1" s="1"/>
  <c r="CV154" i="1" s="1"/>
  <c r="CV175" i="1" s="1"/>
  <c r="CV196" i="1" s="1"/>
  <c r="CW28" i="1"/>
  <c r="CW49" i="1" s="1"/>
  <c r="CW70" i="1" s="1"/>
  <c r="CW91" i="1" s="1"/>
  <c r="CW112" i="1" s="1"/>
  <c r="CW133" i="1" s="1"/>
  <c r="CW154" i="1" s="1"/>
  <c r="CW175" i="1" s="1"/>
  <c r="CW196" i="1" s="1"/>
  <c r="CX28" i="1"/>
  <c r="CX49" i="1" s="1"/>
  <c r="CX70" i="1" s="1"/>
  <c r="CX91" i="1" s="1"/>
  <c r="CX112" i="1" s="1"/>
  <c r="CX133" i="1" s="1"/>
  <c r="CX154" i="1" s="1"/>
  <c r="CX175" i="1" s="1"/>
  <c r="CX196" i="1" s="1"/>
  <c r="CY28" i="1"/>
  <c r="CY49" i="1" s="1"/>
  <c r="CY70" i="1" s="1"/>
  <c r="CY91" i="1" s="1"/>
  <c r="CY112" i="1" s="1"/>
  <c r="CY133" i="1" s="1"/>
  <c r="CY154" i="1" s="1"/>
  <c r="CY175" i="1" s="1"/>
  <c r="CY196" i="1" s="1"/>
  <c r="CV29" i="1"/>
  <c r="CV50" i="1" s="1"/>
  <c r="CV71" i="1" s="1"/>
  <c r="CV92" i="1" s="1"/>
  <c r="CV113" i="1" s="1"/>
  <c r="CV134" i="1" s="1"/>
  <c r="CV155" i="1" s="1"/>
  <c r="CV176" i="1" s="1"/>
  <c r="CV197" i="1" s="1"/>
  <c r="CW29" i="1"/>
  <c r="CW50" i="1" s="1"/>
  <c r="CW71" i="1" s="1"/>
  <c r="CW92" i="1" s="1"/>
  <c r="CW113" i="1" s="1"/>
  <c r="CW134" i="1" s="1"/>
  <c r="CW155" i="1" s="1"/>
  <c r="CW176" i="1" s="1"/>
  <c r="CW197" i="1" s="1"/>
  <c r="CX29" i="1"/>
  <c r="CX50" i="1" s="1"/>
  <c r="CX71" i="1" s="1"/>
  <c r="CX92" i="1" s="1"/>
  <c r="CX113" i="1" s="1"/>
  <c r="CX134" i="1" s="1"/>
  <c r="CX155" i="1" s="1"/>
  <c r="CX176" i="1" s="1"/>
  <c r="CX197" i="1" s="1"/>
  <c r="CY29" i="1"/>
  <c r="CY50" i="1" s="1"/>
  <c r="CY71" i="1" s="1"/>
  <c r="CY92" i="1" s="1"/>
  <c r="CY113" i="1" s="1"/>
  <c r="CY134" i="1" s="1"/>
  <c r="CY155" i="1" s="1"/>
  <c r="CY176" i="1" s="1"/>
  <c r="CY197" i="1" s="1"/>
  <c r="CV30" i="1"/>
  <c r="CV51" i="1" s="1"/>
  <c r="CV72" i="1" s="1"/>
  <c r="CV93" i="1" s="1"/>
  <c r="CV114" i="1" s="1"/>
  <c r="CV135" i="1" s="1"/>
  <c r="CV156" i="1" s="1"/>
  <c r="CV177" i="1" s="1"/>
  <c r="CV198" i="1" s="1"/>
  <c r="CW30" i="1"/>
  <c r="CW51" i="1" s="1"/>
  <c r="CW72" i="1" s="1"/>
  <c r="CW93" i="1" s="1"/>
  <c r="CW114" i="1" s="1"/>
  <c r="CW135" i="1" s="1"/>
  <c r="CW156" i="1" s="1"/>
  <c r="CW177" i="1" s="1"/>
  <c r="CW198" i="1" s="1"/>
  <c r="CX30" i="1"/>
  <c r="CX51" i="1" s="1"/>
  <c r="CX72" i="1" s="1"/>
  <c r="CX93" i="1" s="1"/>
  <c r="CX114" i="1" s="1"/>
  <c r="CX135" i="1" s="1"/>
  <c r="CX156" i="1" s="1"/>
  <c r="CX177" i="1" s="1"/>
  <c r="CX198" i="1" s="1"/>
  <c r="CY30" i="1"/>
  <c r="CY51" i="1" s="1"/>
  <c r="CY72" i="1" s="1"/>
  <c r="CY93" i="1" s="1"/>
  <c r="CY114" i="1" s="1"/>
  <c r="CY135" i="1" s="1"/>
  <c r="CY156" i="1" s="1"/>
  <c r="CY177" i="1" s="1"/>
  <c r="CY198" i="1" s="1"/>
  <c r="CV31" i="1"/>
  <c r="CV52" i="1" s="1"/>
  <c r="CV73" i="1" s="1"/>
  <c r="CV94" i="1" s="1"/>
  <c r="CV115" i="1" s="1"/>
  <c r="CV136" i="1" s="1"/>
  <c r="CV157" i="1" s="1"/>
  <c r="CV178" i="1" s="1"/>
  <c r="CV199" i="1" s="1"/>
  <c r="CW31" i="1"/>
  <c r="CW52" i="1" s="1"/>
  <c r="CW73" i="1" s="1"/>
  <c r="CW94" i="1" s="1"/>
  <c r="CW115" i="1" s="1"/>
  <c r="CW136" i="1" s="1"/>
  <c r="CW157" i="1" s="1"/>
  <c r="CW178" i="1" s="1"/>
  <c r="CW199" i="1" s="1"/>
  <c r="CX31" i="1"/>
  <c r="CX52" i="1" s="1"/>
  <c r="CX73" i="1" s="1"/>
  <c r="CX94" i="1" s="1"/>
  <c r="CX115" i="1" s="1"/>
  <c r="CX136" i="1" s="1"/>
  <c r="CX157" i="1" s="1"/>
  <c r="CX178" i="1" s="1"/>
  <c r="CX199" i="1" s="1"/>
  <c r="CY31" i="1"/>
  <c r="CY52" i="1" s="1"/>
  <c r="CY73" i="1" s="1"/>
  <c r="CY94" i="1" s="1"/>
  <c r="CY115" i="1" s="1"/>
  <c r="CY136" i="1" s="1"/>
  <c r="CY157" i="1" s="1"/>
  <c r="CY178" i="1" s="1"/>
  <c r="CY199" i="1" s="1"/>
  <c r="CV32" i="1"/>
  <c r="CV53" i="1" s="1"/>
  <c r="CV74" i="1" s="1"/>
  <c r="CV95" i="1" s="1"/>
  <c r="CV116" i="1" s="1"/>
  <c r="CV137" i="1" s="1"/>
  <c r="CV158" i="1" s="1"/>
  <c r="CV179" i="1" s="1"/>
  <c r="CV200" i="1" s="1"/>
  <c r="CW32" i="1"/>
  <c r="CW53" i="1" s="1"/>
  <c r="CW74" i="1" s="1"/>
  <c r="CW95" i="1" s="1"/>
  <c r="CW116" i="1" s="1"/>
  <c r="CW137" i="1" s="1"/>
  <c r="CW158" i="1" s="1"/>
  <c r="CW179" i="1" s="1"/>
  <c r="CW200" i="1" s="1"/>
  <c r="CX32" i="1"/>
  <c r="CX53" i="1" s="1"/>
  <c r="CX74" i="1" s="1"/>
  <c r="CX95" i="1" s="1"/>
  <c r="CX116" i="1" s="1"/>
  <c r="CX137" i="1" s="1"/>
  <c r="CX158" i="1" s="1"/>
  <c r="CX179" i="1" s="1"/>
  <c r="CX200" i="1" s="1"/>
  <c r="CY32" i="1"/>
  <c r="CY53" i="1" s="1"/>
  <c r="CY74" i="1" s="1"/>
  <c r="CY95" i="1" s="1"/>
  <c r="CY116" i="1" s="1"/>
  <c r="CY137" i="1" s="1"/>
  <c r="CY158" i="1" s="1"/>
  <c r="CY179" i="1" s="1"/>
  <c r="CY200" i="1" s="1"/>
  <c r="CV33" i="1"/>
  <c r="CV54" i="1" s="1"/>
  <c r="CV75" i="1" s="1"/>
  <c r="CV96" i="1" s="1"/>
  <c r="CV117" i="1" s="1"/>
  <c r="CV138" i="1" s="1"/>
  <c r="CV159" i="1" s="1"/>
  <c r="CV180" i="1" s="1"/>
  <c r="CV201" i="1" s="1"/>
  <c r="CW33" i="1"/>
  <c r="CW54" i="1" s="1"/>
  <c r="CW75" i="1" s="1"/>
  <c r="CW96" i="1" s="1"/>
  <c r="CW117" i="1" s="1"/>
  <c r="CW138" i="1" s="1"/>
  <c r="CW159" i="1" s="1"/>
  <c r="CW180" i="1" s="1"/>
  <c r="CW201" i="1" s="1"/>
  <c r="CX33" i="1"/>
  <c r="CX54" i="1" s="1"/>
  <c r="CX75" i="1" s="1"/>
  <c r="CX96" i="1" s="1"/>
  <c r="CX117" i="1" s="1"/>
  <c r="CX138" i="1" s="1"/>
  <c r="CX159" i="1" s="1"/>
  <c r="CX180" i="1" s="1"/>
  <c r="CX201" i="1" s="1"/>
  <c r="CY33" i="1"/>
  <c r="CY54" i="1" s="1"/>
  <c r="CY75" i="1" s="1"/>
  <c r="CY96" i="1" s="1"/>
  <c r="CY117" i="1" s="1"/>
  <c r="CY138" i="1" s="1"/>
  <c r="CY159" i="1" s="1"/>
  <c r="CY180" i="1" s="1"/>
  <c r="CY201" i="1" s="1"/>
  <c r="CV34" i="1"/>
  <c r="CV55" i="1" s="1"/>
  <c r="CV76" i="1" s="1"/>
  <c r="CV97" i="1" s="1"/>
  <c r="CV118" i="1" s="1"/>
  <c r="CV139" i="1" s="1"/>
  <c r="CV160" i="1" s="1"/>
  <c r="CV181" i="1" s="1"/>
  <c r="CV202" i="1" s="1"/>
  <c r="CW34" i="1"/>
  <c r="CW55" i="1" s="1"/>
  <c r="CW76" i="1" s="1"/>
  <c r="CW97" i="1" s="1"/>
  <c r="CW118" i="1" s="1"/>
  <c r="CW139" i="1" s="1"/>
  <c r="CW160" i="1" s="1"/>
  <c r="CW181" i="1" s="1"/>
  <c r="CW202" i="1" s="1"/>
  <c r="CX34" i="1"/>
  <c r="CX55" i="1" s="1"/>
  <c r="CX76" i="1" s="1"/>
  <c r="CX97" i="1" s="1"/>
  <c r="CX118" i="1" s="1"/>
  <c r="CX139" i="1" s="1"/>
  <c r="CX160" i="1" s="1"/>
  <c r="CX181" i="1" s="1"/>
  <c r="CX202" i="1" s="1"/>
  <c r="CY34" i="1"/>
  <c r="CY55" i="1" s="1"/>
  <c r="CY76" i="1" s="1"/>
  <c r="CY97" i="1" s="1"/>
  <c r="CY118" i="1" s="1"/>
  <c r="CY139" i="1" s="1"/>
  <c r="CY160" i="1" s="1"/>
  <c r="CY181" i="1" s="1"/>
  <c r="CY202" i="1" s="1"/>
  <c r="CV35" i="1"/>
  <c r="CV56" i="1" s="1"/>
  <c r="CV77" i="1" s="1"/>
  <c r="CV98" i="1" s="1"/>
  <c r="CV119" i="1" s="1"/>
  <c r="CV140" i="1" s="1"/>
  <c r="CV161" i="1" s="1"/>
  <c r="CV182" i="1" s="1"/>
  <c r="CV203" i="1" s="1"/>
  <c r="CW35" i="1"/>
  <c r="CW56" i="1" s="1"/>
  <c r="CW77" i="1" s="1"/>
  <c r="CW98" i="1" s="1"/>
  <c r="CW119" i="1" s="1"/>
  <c r="CW140" i="1" s="1"/>
  <c r="CW161" i="1" s="1"/>
  <c r="CW182" i="1" s="1"/>
  <c r="CW203" i="1" s="1"/>
  <c r="CX35" i="1"/>
  <c r="CX56" i="1" s="1"/>
  <c r="CX77" i="1" s="1"/>
  <c r="CX98" i="1" s="1"/>
  <c r="CX119" i="1" s="1"/>
  <c r="CX140" i="1" s="1"/>
  <c r="CX161" i="1" s="1"/>
  <c r="CX182" i="1" s="1"/>
  <c r="CX203" i="1" s="1"/>
  <c r="CY35" i="1"/>
  <c r="CY56" i="1" s="1"/>
  <c r="CY77" i="1" s="1"/>
  <c r="CY98" i="1" s="1"/>
  <c r="CY119" i="1" s="1"/>
  <c r="CY140" i="1" s="1"/>
  <c r="CY161" i="1" s="1"/>
  <c r="CY182" i="1" s="1"/>
  <c r="CY203" i="1" s="1"/>
  <c r="CV36" i="1"/>
  <c r="CV57" i="1" s="1"/>
  <c r="CV78" i="1" s="1"/>
  <c r="CV99" i="1" s="1"/>
  <c r="CV120" i="1" s="1"/>
  <c r="CV141" i="1" s="1"/>
  <c r="CV162" i="1" s="1"/>
  <c r="CV183" i="1" s="1"/>
  <c r="CV204" i="1" s="1"/>
  <c r="CW36" i="1"/>
  <c r="CW57" i="1" s="1"/>
  <c r="CW78" i="1" s="1"/>
  <c r="CW99" i="1" s="1"/>
  <c r="CW120" i="1" s="1"/>
  <c r="CW141" i="1" s="1"/>
  <c r="CW162" i="1" s="1"/>
  <c r="CW183" i="1" s="1"/>
  <c r="CW204" i="1" s="1"/>
  <c r="CX36" i="1"/>
  <c r="CX57" i="1" s="1"/>
  <c r="CX78" i="1" s="1"/>
  <c r="CX99" i="1" s="1"/>
  <c r="CX120" i="1" s="1"/>
  <c r="CX141" i="1" s="1"/>
  <c r="CX162" i="1" s="1"/>
  <c r="CX183" i="1" s="1"/>
  <c r="CX204" i="1" s="1"/>
  <c r="CY36" i="1"/>
  <c r="CY57" i="1" s="1"/>
  <c r="CY78" i="1" s="1"/>
  <c r="CY99" i="1" s="1"/>
  <c r="CY120" i="1" s="1"/>
  <c r="CY141" i="1" s="1"/>
  <c r="CY162" i="1" s="1"/>
  <c r="CY183" i="1" s="1"/>
  <c r="CY204" i="1" s="1"/>
  <c r="CV37" i="1"/>
  <c r="CV58" i="1" s="1"/>
  <c r="CV79" i="1" s="1"/>
  <c r="CV100" i="1" s="1"/>
  <c r="CV121" i="1" s="1"/>
  <c r="CV142" i="1" s="1"/>
  <c r="CV163" i="1" s="1"/>
  <c r="CV184" i="1" s="1"/>
  <c r="CV205" i="1" s="1"/>
  <c r="CW37" i="1"/>
  <c r="CW58" i="1" s="1"/>
  <c r="CW79" i="1" s="1"/>
  <c r="CW100" i="1" s="1"/>
  <c r="CW121" i="1" s="1"/>
  <c r="CW142" i="1" s="1"/>
  <c r="CW163" i="1" s="1"/>
  <c r="CW184" i="1" s="1"/>
  <c r="CW205" i="1" s="1"/>
  <c r="CX37" i="1"/>
  <c r="CX58" i="1" s="1"/>
  <c r="CX79" i="1" s="1"/>
  <c r="CX100" i="1" s="1"/>
  <c r="CX121" i="1" s="1"/>
  <c r="CX142" i="1" s="1"/>
  <c r="CX163" i="1" s="1"/>
  <c r="CX184" i="1" s="1"/>
  <c r="CX205" i="1" s="1"/>
  <c r="CY37" i="1"/>
  <c r="CY58" i="1" s="1"/>
  <c r="CY79" i="1" s="1"/>
  <c r="CY100" i="1" s="1"/>
  <c r="CY121" i="1" s="1"/>
  <c r="CY142" i="1" s="1"/>
  <c r="CY163" i="1" s="1"/>
  <c r="CY184" i="1" s="1"/>
  <c r="CY205" i="1" s="1"/>
  <c r="CV38" i="1"/>
  <c r="CV59" i="1" s="1"/>
  <c r="CV80" i="1" s="1"/>
  <c r="CV101" i="1" s="1"/>
  <c r="CV122" i="1" s="1"/>
  <c r="CV143" i="1" s="1"/>
  <c r="CV164" i="1" s="1"/>
  <c r="CV185" i="1" s="1"/>
  <c r="CV206" i="1" s="1"/>
  <c r="CW38" i="1"/>
  <c r="CW59" i="1" s="1"/>
  <c r="CW80" i="1" s="1"/>
  <c r="CW101" i="1" s="1"/>
  <c r="CW122" i="1" s="1"/>
  <c r="CW143" i="1" s="1"/>
  <c r="CW164" i="1" s="1"/>
  <c r="CW185" i="1" s="1"/>
  <c r="CW206" i="1" s="1"/>
  <c r="CX38" i="1"/>
  <c r="CX59" i="1" s="1"/>
  <c r="CX80" i="1" s="1"/>
  <c r="CX101" i="1" s="1"/>
  <c r="CX122" i="1" s="1"/>
  <c r="CX143" i="1" s="1"/>
  <c r="CX164" i="1" s="1"/>
  <c r="CX185" i="1" s="1"/>
  <c r="CX206" i="1" s="1"/>
  <c r="CY38" i="1"/>
  <c r="CY59" i="1" s="1"/>
  <c r="CY80" i="1" s="1"/>
  <c r="CY101" i="1" s="1"/>
  <c r="CY122" i="1" s="1"/>
  <c r="CY143" i="1" s="1"/>
  <c r="CY164" i="1" s="1"/>
  <c r="CY185" i="1" s="1"/>
  <c r="CY206" i="1" s="1"/>
  <c r="CV39" i="1"/>
  <c r="CV60" i="1" s="1"/>
  <c r="CV81" i="1" s="1"/>
  <c r="CV102" i="1" s="1"/>
  <c r="CV123" i="1" s="1"/>
  <c r="CV144" i="1" s="1"/>
  <c r="CV165" i="1" s="1"/>
  <c r="CV186" i="1" s="1"/>
  <c r="CV207" i="1" s="1"/>
  <c r="CW39" i="1"/>
  <c r="CW60" i="1" s="1"/>
  <c r="CW81" i="1" s="1"/>
  <c r="CW102" i="1" s="1"/>
  <c r="CW123" i="1" s="1"/>
  <c r="CW144" i="1" s="1"/>
  <c r="CW165" i="1" s="1"/>
  <c r="CW186" i="1" s="1"/>
  <c r="CW207" i="1" s="1"/>
  <c r="CX39" i="1"/>
  <c r="CX60" i="1" s="1"/>
  <c r="CX81" i="1" s="1"/>
  <c r="CX102" i="1" s="1"/>
  <c r="CX123" i="1" s="1"/>
  <c r="CX144" i="1" s="1"/>
  <c r="CX165" i="1" s="1"/>
  <c r="CX186" i="1" s="1"/>
  <c r="CX207" i="1" s="1"/>
  <c r="CY39" i="1"/>
  <c r="CY60" i="1" s="1"/>
  <c r="CY81" i="1" s="1"/>
  <c r="CY102" i="1" s="1"/>
  <c r="CY123" i="1" s="1"/>
  <c r="CY144" i="1" s="1"/>
  <c r="CY165" i="1" s="1"/>
  <c r="CY186" i="1" s="1"/>
  <c r="CY207" i="1" s="1"/>
  <c r="CV40" i="1"/>
  <c r="CV61" i="1" s="1"/>
  <c r="CV82" i="1" s="1"/>
  <c r="CV103" i="1" s="1"/>
  <c r="CV124" i="1" s="1"/>
  <c r="CV145" i="1" s="1"/>
  <c r="CV166" i="1" s="1"/>
  <c r="CV187" i="1" s="1"/>
  <c r="CV208" i="1" s="1"/>
  <c r="CW40" i="1"/>
  <c r="CW61" i="1" s="1"/>
  <c r="CW82" i="1" s="1"/>
  <c r="CW103" i="1" s="1"/>
  <c r="CW124" i="1" s="1"/>
  <c r="CW145" i="1" s="1"/>
  <c r="CW166" i="1" s="1"/>
  <c r="CW187" i="1" s="1"/>
  <c r="CW208" i="1" s="1"/>
  <c r="CX40" i="1"/>
  <c r="CX61" i="1" s="1"/>
  <c r="CX82" i="1" s="1"/>
  <c r="CX103" i="1" s="1"/>
  <c r="CX124" i="1" s="1"/>
  <c r="CX145" i="1" s="1"/>
  <c r="CX166" i="1" s="1"/>
  <c r="CX187" i="1" s="1"/>
  <c r="CX208" i="1" s="1"/>
  <c r="CY40" i="1"/>
  <c r="CY61" i="1" s="1"/>
  <c r="CY82" i="1" s="1"/>
  <c r="CY103" i="1" s="1"/>
  <c r="CY124" i="1" s="1"/>
  <c r="CY145" i="1" s="1"/>
  <c r="CY166" i="1" s="1"/>
  <c r="CY187" i="1" s="1"/>
  <c r="CY208" i="1" s="1"/>
  <c r="CV41" i="1"/>
  <c r="CV62" i="1" s="1"/>
  <c r="CV83" i="1" s="1"/>
  <c r="CV104" i="1" s="1"/>
  <c r="CV125" i="1" s="1"/>
  <c r="CV146" i="1" s="1"/>
  <c r="CV167" i="1" s="1"/>
  <c r="CV188" i="1" s="1"/>
  <c r="CV209" i="1" s="1"/>
  <c r="CW41" i="1"/>
  <c r="CW62" i="1" s="1"/>
  <c r="CW83" i="1" s="1"/>
  <c r="CW104" i="1" s="1"/>
  <c r="CW125" i="1" s="1"/>
  <c r="CW146" i="1" s="1"/>
  <c r="CW167" i="1" s="1"/>
  <c r="CW188" i="1" s="1"/>
  <c r="CW209" i="1" s="1"/>
  <c r="CX41" i="1"/>
  <c r="CX62" i="1" s="1"/>
  <c r="CX83" i="1" s="1"/>
  <c r="CX104" i="1" s="1"/>
  <c r="CX125" i="1" s="1"/>
  <c r="CX146" i="1" s="1"/>
  <c r="CX167" i="1" s="1"/>
  <c r="CX188" i="1" s="1"/>
  <c r="CX209" i="1" s="1"/>
  <c r="CY41" i="1"/>
  <c r="CY62" i="1" s="1"/>
  <c r="CY83" i="1" s="1"/>
  <c r="CY104" i="1" s="1"/>
  <c r="CY125" i="1" s="1"/>
  <c r="CY146" i="1" s="1"/>
  <c r="CY167" i="1" s="1"/>
  <c r="CY188" i="1" s="1"/>
  <c r="CY209" i="1" s="1"/>
  <c r="CV42" i="1"/>
  <c r="CV63" i="1" s="1"/>
  <c r="CV84" i="1" s="1"/>
  <c r="CV105" i="1" s="1"/>
  <c r="CV126" i="1" s="1"/>
  <c r="CV147" i="1" s="1"/>
  <c r="CV168" i="1" s="1"/>
  <c r="CV189" i="1" s="1"/>
  <c r="CV210" i="1" s="1"/>
  <c r="CW42" i="1"/>
  <c r="CW63" i="1" s="1"/>
  <c r="CW84" i="1" s="1"/>
  <c r="CW105" i="1" s="1"/>
  <c r="CW126" i="1" s="1"/>
  <c r="CW147" i="1" s="1"/>
  <c r="CW168" i="1" s="1"/>
  <c r="CW189" i="1" s="1"/>
  <c r="CW210" i="1" s="1"/>
  <c r="CX42" i="1"/>
  <c r="CX63" i="1" s="1"/>
  <c r="CX84" i="1" s="1"/>
  <c r="CX105" i="1" s="1"/>
  <c r="CX126" i="1" s="1"/>
  <c r="CX147" i="1" s="1"/>
  <c r="CX168" i="1" s="1"/>
  <c r="CX189" i="1" s="1"/>
  <c r="CX210" i="1" s="1"/>
  <c r="CY42" i="1"/>
  <c r="CY63" i="1" s="1"/>
  <c r="CY84" i="1" s="1"/>
  <c r="CY105" i="1" s="1"/>
  <c r="CY126" i="1" s="1"/>
  <c r="CY147" i="1" s="1"/>
  <c r="CY168" i="1" s="1"/>
  <c r="CY189" i="1" s="1"/>
  <c r="CY210" i="1" s="1"/>
  <c r="CV43" i="1"/>
  <c r="CV64" i="1" s="1"/>
  <c r="CV85" i="1" s="1"/>
  <c r="CV106" i="1" s="1"/>
  <c r="CV127" i="1" s="1"/>
  <c r="CV148" i="1" s="1"/>
  <c r="CV169" i="1" s="1"/>
  <c r="CV190" i="1" s="1"/>
  <c r="CV211" i="1" s="1"/>
  <c r="CW43" i="1"/>
  <c r="CW64" i="1" s="1"/>
  <c r="CW85" i="1" s="1"/>
  <c r="CW106" i="1" s="1"/>
  <c r="CW127" i="1" s="1"/>
  <c r="CW148" i="1" s="1"/>
  <c r="CW169" i="1" s="1"/>
  <c r="CW190" i="1" s="1"/>
  <c r="CW211" i="1" s="1"/>
  <c r="CX43" i="1"/>
  <c r="CX64" i="1" s="1"/>
  <c r="CX85" i="1" s="1"/>
  <c r="CX106" i="1" s="1"/>
  <c r="CX127" i="1" s="1"/>
  <c r="CX148" i="1" s="1"/>
  <c r="CX169" i="1" s="1"/>
  <c r="CX190" i="1" s="1"/>
  <c r="CX211" i="1" s="1"/>
  <c r="CY43" i="1"/>
  <c r="CY64" i="1" s="1"/>
  <c r="CY85" i="1" s="1"/>
  <c r="CY106" i="1" s="1"/>
  <c r="CY127" i="1" s="1"/>
  <c r="CY148" i="1" s="1"/>
  <c r="CY169" i="1" s="1"/>
  <c r="CY190" i="1" s="1"/>
  <c r="CY211" i="1" s="1"/>
  <c r="CV44" i="1"/>
  <c r="CV65" i="1" s="1"/>
  <c r="CV86" i="1" s="1"/>
  <c r="CV107" i="1" s="1"/>
  <c r="CV128" i="1" s="1"/>
  <c r="CV149" i="1" s="1"/>
  <c r="CV170" i="1" s="1"/>
  <c r="CV191" i="1" s="1"/>
  <c r="CV212" i="1" s="1"/>
  <c r="CW44" i="1"/>
  <c r="CW65" i="1" s="1"/>
  <c r="CW86" i="1" s="1"/>
  <c r="CW107" i="1" s="1"/>
  <c r="CW128" i="1" s="1"/>
  <c r="CW149" i="1" s="1"/>
  <c r="CW170" i="1" s="1"/>
  <c r="CW191" i="1" s="1"/>
  <c r="CW212" i="1" s="1"/>
  <c r="CX44" i="1"/>
  <c r="CX65" i="1" s="1"/>
  <c r="CX86" i="1" s="1"/>
  <c r="CX107" i="1" s="1"/>
  <c r="CX128" i="1" s="1"/>
  <c r="CX149" i="1" s="1"/>
  <c r="CX170" i="1" s="1"/>
  <c r="CX191" i="1" s="1"/>
  <c r="CX212" i="1" s="1"/>
  <c r="CY44" i="1"/>
  <c r="CY65" i="1" s="1"/>
  <c r="CY86" i="1" s="1"/>
  <c r="CY107" i="1" s="1"/>
  <c r="CY128" i="1" s="1"/>
  <c r="CY149" i="1" s="1"/>
  <c r="CY170" i="1" s="1"/>
  <c r="CY191" i="1" s="1"/>
  <c r="CY212" i="1" s="1"/>
  <c r="CY24" i="1"/>
  <c r="CY45" i="1" s="1"/>
  <c r="CY66" i="1" s="1"/>
  <c r="CY87" i="1" s="1"/>
  <c r="CY108" i="1" s="1"/>
  <c r="CY129" i="1" s="1"/>
  <c r="CY150" i="1" s="1"/>
  <c r="CY171" i="1" s="1"/>
  <c r="CY192" i="1" s="1"/>
  <c r="CX24" i="1"/>
  <c r="CX45" i="1" s="1"/>
  <c r="CX66" i="1" s="1"/>
  <c r="CX87" i="1" s="1"/>
  <c r="CX108" i="1" s="1"/>
  <c r="CX129" i="1" s="1"/>
  <c r="CX150" i="1" s="1"/>
  <c r="CX171" i="1" s="1"/>
  <c r="CX192" i="1" s="1"/>
  <c r="CW24" i="1"/>
  <c r="CW45" i="1" s="1"/>
  <c r="CW66" i="1" s="1"/>
  <c r="CW87" i="1" s="1"/>
  <c r="CW108" i="1" s="1"/>
  <c r="CW129" i="1" s="1"/>
  <c r="CW150" i="1" s="1"/>
  <c r="CW171" i="1" s="1"/>
  <c r="CW192" i="1" s="1"/>
  <c r="CV24" i="1"/>
  <c r="CV45" i="1" s="1"/>
  <c r="CV66" i="1" s="1"/>
  <c r="CV87" i="1" s="1"/>
  <c r="CV108" i="1" s="1"/>
  <c r="CV129" i="1" s="1"/>
  <c r="CV150" i="1" s="1"/>
  <c r="CV171" i="1" s="1"/>
  <c r="CV192" i="1" s="1"/>
  <c r="DN25" i="1"/>
  <c r="DN46" i="1" s="1"/>
  <c r="DN67" i="1" s="1"/>
  <c r="DN88" i="1" s="1"/>
  <c r="DN109" i="1" s="1"/>
  <c r="DN130" i="1" s="1"/>
  <c r="DN151" i="1" s="1"/>
  <c r="DN172" i="1" s="1"/>
  <c r="DN193" i="1" s="1"/>
  <c r="DO25" i="1"/>
  <c r="DO46" i="1" s="1"/>
  <c r="DO67" i="1" s="1"/>
  <c r="DO88" i="1" s="1"/>
  <c r="DO109" i="1" s="1"/>
  <c r="DO130" i="1" s="1"/>
  <c r="DO151" i="1" s="1"/>
  <c r="DO172" i="1" s="1"/>
  <c r="DO193" i="1" s="1"/>
  <c r="DP25" i="1"/>
  <c r="DP46" i="1" s="1"/>
  <c r="DP67" i="1" s="1"/>
  <c r="DP88" i="1" s="1"/>
  <c r="DP109" i="1" s="1"/>
  <c r="DP130" i="1" s="1"/>
  <c r="DP151" i="1" s="1"/>
  <c r="DP172" i="1" s="1"/>
  <c r="DP193" i="1" s="1"/>
  <c r="DN26" i="1"/>
  <c r="DN47" i="1" s="1"/>
  <c r="DN68" i="1" s="1"/>
  <c r="DN89" i="1" s="1"/>
  <c r="DN110" i="1" s="1"/>
  <c r="DN131" i="1" s="1"/>
  <c r="DN152" i="1" s="1"/>
  <c r="DN173" i="1" s="1"/>
  <c r="DN194" i="1" s="1"/>
  <c r="DO26" i="1"/>
  <c r="DO47" i="1" s="1"/>
  <c r="DO68" i="1" s="1"/>
  <c r="DO89" i="1" s="1"/>
  <c r="DO110" i="1" s="1"/>
  <c r="DO131" i="1" s="1"/>
  <c r="DO152" i="1" s="1"/>
  <c r="DO173" i="1" s="1"/>
  <c r="DO194" i="1" s="1"/>
  <c r="DP26" i="1"/>
  <c r="DP47" i="1" s="1"/>
  <c r="DP68" i="1" s="1"/>
  <c r="DP89" i="1" s="1"/>
  <c r="DP110" i="1" s="1"/>
  <c r="DP131" i="1" s="1"/>
  <c r="DP152" i="1" s="1"/>
  <c r="DP173" i="1" s="1"/>
  <c r="DP194" i="1" s="1"/>
  <c r="DN27" i="1"/>
  <c r="DN48" i="1" s="1"/>
  <c r="DN69" i="1" s="1"/>
  <c r="DN90" i="1" s="1"/>
  <c r="DN111" i="1" s="1"/>
  <c r="DN132" i="1" s="1"/>
  <c r="DN153" i="1" s="1"/>
  <c r="DN174" i="1" s="1"/>
  <c r="DN195" i="1" s="1"/>
  <c r="DO27" i="1"/>
  <c r="DO48" i="1" s="1"/>
  <c r="DO69" i="1" s="1"/>
  <c r="DO90" i="1" s="1"/>
  <c r="DO111" i="1" s="1"/>
  <c r="DO132" i="1" s="1"/>
  <c r="DO153" i="1" s="1"/>
  <c r="DO174" i="1" s="1"/>
  <c r="DO195" i="1" s="1"/>
  <c r="DP27" i="1"/>
  <c r="DP48" i="1" s="1"/>
  <c r="DP69" i="1" s="1"/>
  <c r="DP90" i="1" s="1"/>
  <c r="DP111" i="1" s="1"/>
  <c r="DP132" i="1" s="1"/>
  <c r="DP153" i="1" s="1"/>
  <c r="DP174" i="1" s="1"/>
  <c r="DP195" i="1" s="1"/>
  <c r="DN28" i="1"/>
  <c r="DN49" i="1" s="1"/>
  <c r="DN70" i="1" s="1"/>
  <c r="DN91" i="1" s="1"/>
  <c r="DN112" i="1" s="1"/>
  <c r="DN133" i="1" s="1"/>
  <c r="DN154" i="1" s="1"/>
  <c r="DN175" i="1" s="1"/>
  <c r="DN196" i="1" s="1"/>
  <c r="DO28" i="1"/>
  <c r="DO49" i="1" s="1"/>
  <c r="DO70" i="1" s="1"/>
  <c r="DO91" i="1" s="1"/>
  <c r="DO112" i="1" s="1"/>
  <c r="DO133" i="1" s="1"/>
  <c r="DO154" i="1" s="1"/>
  <c r="DO175" i="1" s="1"/>
  <c r="DO196" i="1" s="1"/>
  <c r="DP28" i="1"/>
  <c r="DP49" i="1" s="1"/>
  <c r="DP70" i="1" s="1"/>
  <c r="DP91" i="1" s="1"/>
  <c r="DP112" i="1" s="1"/>
  <c r="DP133" i="1" s="1"/>
  <c r="DP154" i="1" s="1"/>
  <c r="DP175" i="1" s="1"/>
  <c r="DP196" i="1" s="1"/>
  <c r="DN29" i="1"/>
  <c r="DN50" i="1" s="1"/>
  <c r="DN71" i="1" s="1"/>
  <c r="DN92" i="1" s="1"/>
  <c r="DN113" i="1" s="1"/>
  <c r="DN134" i="1" s="1"/>
  <c r="DN155" i="1" s="1"/>
  <c r="DN176" i="1" s="1"/>
  <c r="DN197" i="1" s="1"/>
  <c r="DO29" i="1"/>
  <c r="DO50" i="1" s="1"/>
  <c r="DO71" i="1" s="1"/>
  <c r="DO92" i="1" s="1"/>
  <c r="DO113" i="1" s="1"/>
  <c r="DO134" i="1" s="1"/>
  <c r="DO155" i="1" s="1"/>
  <c r="DO176" i="1" s="1"/>
  <c r="DO197" i="1" s="1"/>
  <c r="DP29" i="1"/>
  <c r="DP50" i="1" s="1"/>
  <c r="DP71" i="1" s="1"/>
  <c r="DP92" i="1" s="1"/>
  <c r="DP113" i="1" s="1"/>
  <c r="DP134" i="1" s="1"/>
  <c r="DP155" i="1" s="1"/>
  <c r="DP176" i="1" s="1"/>
  <c r="DP197" i="1" s="1"/>
  <c r="DN30" i="1"/>
  <c r="DN51" i="1" s="1"/>
  <c r="DN72" i="1" s="1"/>
  <c r="DN93" i="1" s="1"/>
  <c r="DN114" i="1" s="1"/>
  <c r="DN135" i="1" s="1"/>
  <c r="DN156" i="1" s="1"/>
  <c r="DN177" i="1" s="1"/>
  <c r="DN198" i="1" s="1"/>
  <c r="DO30" i="1"/>
  <c r="DO51" i="1" s="1"/>
  <c r="DO72" i="1" s="1"/>
  <c r="DO93" i="1" s="1"/>
  <c r="DO114" i="1" s="1"/>
  <c r="DO135" i="1" s="1"/>
  <c r="DO156" i="1" s="1"/>
  <c r="DO177" i="1" s="1"/>
  <c r="DO198" i="1" s="1"/>
  <c r="DP30" i="1"/>
  <c r="DP51" i="1" s="1"/>
  <c r="DP72" i="1" s="1"/>
  <c r="DP93" i="1" s="1"/>
  <c r="DP114" i="1" s="1"/>
  <c r="DP135" i="1" s="1"/>
  <c r="DP156" i="1" s="1"/>
  <c r="DP177" i="1" s="1"/>
  <c r="DP198" i="1" s="1"/>
  <c r="DN31" i="1"/>
  <c r="DN52" i="1" s="1"/>
  <c r="DN73" i="1" s="1"/>
  <c r="DN94" i="1" s="1"/>
  <c r="DN115" i="1" s="1"/>
  <c r="DN136" i="1" s="1"/>
  <c r="DN157" i="1" s="1"/>
  <c r="DN178" i="1" s="1"/>
  <c r="DN199" i="1" s="1"/>
  <c r="DO31" i="1"/>
  <c r="DO52" i="1" s="1"/>
  <c r="DO73" i="1" s="1"/>
  <c r="DO94" i="1" s="1"/>
  <c r="DO115" i="1" s="1"/>
  <c r="DO136" i="1" s="1"/>
  <c r="DO157" i="1" s="1"/>
  <c r="DO178" i="1" s="1"/>
  <c r="DO199" i="1" s="1"/>
  <c r="DP31" i="1"/>
  <c r="DP52" i="1" s="1"/>
  <c r="DP73" i="1" s="1"/>
  <c r="DP94" i="1" s="1"/>
  <c r="DP115" i="1" s="1"/>
  <c r="DP136" i="1" s="1"/>
  <c r="DP157" i="1" s="1"/>
  <c r="DP178" i="1" s="1"/>
  <c r="DP199" i="1" s="1"/>
  <c r="DN32" i="1"/>
  <c r="DN53" i="1" s="1"/>
  <c r="DN74" i="1" s="1"/>
  <c r="DN95" i="1" s="1"/>
  <c r="DN116" i="1" s="1"/>
  <c r="DN137" i="1" s="1"/>
  <c r="DN158" i="1" s="1"/>
  <c r="DN179" i="1" s="1"/>
  <c r="DN200" i="1" s="1"/>
  <c r="DO32" i="1"/>
  <c r="DO53" i="1" s="1"/>
  <c r="DO74" i="1" s="1"/>
  <c r="DO95" i="1" s="1"/>
  <c r="DO116" i="1" s="1"/>
  <c r="DO137" i="1" s="1"/>
  <c r="DO158" i="1" s="1"/>
  <c r="DO179" i="1" s="1"/>
  <c r="DO200" i="1" s="1"/>
  <c r="DP32" i="1"/>
  <c r="DP53" i="1" s="1"/>
  <c r="DP74" i="1" s="1"/>
  <c r="DP95" i="1" s="1"/>
  <c r="DP116" i="1" s="1"/>
  <c r="DP137" i="1" s="1"/>
  <c r="DP158" i="1" s="1"/>
  <c r="DP179" i="1" s="1"/>
  <c r="DP200" i="1" s="1"/>
  <c r="DN33" i="1"/>
  <c r="DN54" i="1" s="1"/>
  <c r="DN75" i="1" s="1"/>
  <c r="DN96" i="1" s="1"/>
  <c r="DN117" i="1" s="1"/>
  <c r="DN138" i="1" s="1"/>
  <c r="DN159" i="1" s="1"/>
  <c r="DN180" i="1" s="1"/>
  <c r="DN201" i="1" s="1"/>
  <c r="DO33" i="1"/>
  <c r="DO54" i="1" s="1"/>
  <c r="DO75" i="1" s="1"/>
  <c r="DO96" i="1" s="1"/>
  <c r="DO117" i="1" s="1"/>
  <c r="DO138" i="1" s="1"/>
  <c r="DO159" i="1" s="1"/>
  <c r="DO180" i="1" s="1"/>
  <c r="DO201" i="1" s="1"/>
  <c r="DP33" i="1"/>
  <c r="DP54" i="1" s="1"/>
  <c r="DP75" i="1" s="1"/>
  <c r="DP96" i="1" s="1"/>
  <c r="DP117" i="1" s="1"/>
  <c r="DP138" i="1" s="1"/>
  <c r="DP159" i="1" s="1"/>
  <c r="DP180" i="1" s="1"/>
  <c r="DP201" i="1" s="1"/>
  <c r="DN34" i="1"/>
  <c r="DN55" i="1" s="1"/>
  <c r="DN76" i="1" s="1"/>
  <c r="DN97" i="1" s="1"/>
  <c r="DN118" i="1" s="1"/>
  <c r="DN139" i="1" s="1"/>
  <c r="DN160" i="1" s="1"/>
  <c r="DN181" i="1" s="1"/>
  <c r="DN202" i="1" s="1"/>
  <c r="DO34" i="1"/>
  <c r="DO55" i="1" s="1"/>
  <c r="DO76" i="1" s="1"/>
  <c r="DO97" i="1" s="1"/>
  <c r="DO118" i="1" s="1"/>
  <c r="DO139" i="1" s="1"/>
  <c r="DO160" i="1" s="1"/>
  <c r="DO181" i="1" s="1"/>
  <c r="DO202" i="1" s="1"/>
  <c r="DP34" i="1"/>
  <c r="DP55" i="1" s="1"/>
  <c r="DP76" i="1" s="1"/>
  <c r="DP97" i="1" s="1"/>
  <c r="DP118" i="1" s="1"/>
  <c r="DP139" i="1" s="1"/>
  <c r="DP160" i="1" s="1"/>
  <c r="DP181" i="1" s="1"/>
  <c r="DP202" i="1" s="1"/>
  <c r="DN35" i="1"/>
  <c r="DN56" i="1" s="1"/>
  <c r="DN77" i="1" s="1"/>
  <c r="DN98" i="1" s="1"/>
  <c r="DN119" i="1" s="1"/>
  <c r="DN140" i="1" s="1"/>
  <c r="DN161" i="1" s="1"/>
  <c r="DN182" i="1" s="1"/>
  <c r="DN203" i="1" s="1"/>
  <c r="DO35" i="1"/>
  <c r="DO56" i="1" s="1"/>
  <c r="DO77" i="1" s="1"/>
  <c r="DO98" i="1" s="1"/>
  <c r="DO119" i="1" s="1"/>
  <c r="DO140" i="1" s="1"/>
  <c r="DO161" i="1" s="1"/>
  <c r="DO182" i="1" s="1"/>
  <c r="DO203" i="1" s="1"/>
  <c r="DP35" i="1"/>
  <c r="DP56" i="1" s="1"/>
  <c r="DP77" i="1" s="1"/>
  <c r="DP98" i="1" s="1"/>
  <c r="DP119" i="1" s="1"/>
  <c r="DP140" i="1" s="1"/>
  <c r="DP161" i="1" s="1"/>
  <c r="DP182" i="1" s="1"/>
  <c r="DP203" i="1" s="1"/>
  <c r="DN36" i="1"/>
  <c r="DN57" i="1" s="1"/>
  <c r="DN78" i="1" s="1"/>
  <c r="DN99" i="1" s="1"/>
  <c r="DN120" i="1" s="1"/>
  <c r="DN141" i="1" s="1"/>
  <c r="DN162" i="1" s="1"/>
  <c r="DN183" i="1" s="1"/>
  <c r="DN204" i="1" s="1"/>
  <c r="DO36" i="1"/>
  <c r="DO57" i="1" s="1"/>
  <c r="DO78" i="1" s="1"/>
  <c r="DO99" i="1" s="1"/>
  <c r="DO120" i="1" s="1"/>
  <c r="DO141" i="1" s="1"/>
  <c r="DO162" i="1" s="1"/>
  <c r="DO183" i="1" s="1"/>
  <c r="DO204" i="1" s="1"/>
  <c r="DP36" i="1"/>
  <c r="DP57" i="1" s="1"/>
  <c r="DP78" i="1" s="1"/>
  <c r="DP99" i="1" s="1"/>
  <c r="DP120" i="1" s="1"/>
  <c r="DP141" i="1" s="1"/>
  <c r="DP162" i="1" s="1"/>
  <c r="DP183" i="1" s="1"/>
  <c r="DP204" i="1" s="1"/>
  <c r="DN37" i="1"/>
  <c r="DN58" i="1" s="1"/>
  <c r="DN79" i="1" s="1"/>
  <c r="DN100" i="1" s="1"/>
  <c r="DN121" i="1" s="1"/>
  <c r="DN142" i="1" s="1"/>
  <c r="DN163" i="1" s="1"/>
  <c r="DN184" i="1" s="1"/>
  <c r="DN205" i="1" s="1"/>
  <c r="DO37" i="1"/>
  <c r="DO58" i="1" s="1"/>
  <c r="DO79" i="1" s="1"/>
  <c r="DO100" i="1" s="1"/>
  <c r="DO121" i="1" s="1"/>
  <c r="DO142" i="1" s="1"/>
  <c r="DO163" i="1" s="1"/>
  <c r="DO184" i="1" s="1"/>
  <c r="DO205" i="1" s="1"/>
  <c r="DP37" i="1"/>
  <c r="DP58" i="1" s="1"/>
  <c r="DP79" i="1" s="1"/>
  <c r="DP100" i="1" s="1"/>
  <c r="DP121" i="1" s="1"/>
  <c r="DP142" i="1" s="1"/>
  <c r="DP163" i="1" s="1"/>
  <c r="DP184" i="1" s="1"/>
  <c r="DP205" i="1" s="1"/>
  <c r="DN38" i="1"/>
  <c r="DN59" i="1" s="1"/>
  <c r="DN80" i="1" s="1"/>
  <c r="DN101" i="1" s="1"/>
  <c r="DN122" i="1" s="1"/>
  <c r="DN143" i="1" s="1"/>
  <c r="DN164" i="1" s="1"/>
  <c r="DN185" i="1" s="1"/>
  <c r="DN206" i="1" s="1"/>
  <c r="DO38" i="1"/>
  <c r="DO59" i="1" s="1"/>
  <c r="DO80" i="1" s="1"/>
  <c r="DO101" i="1" s="1"/>
  <c r="DO122" i="1" s="1"/>
  <c r="DO143" i="1" s="1"/>
  <c r="DO164" i="1" s="1"/>
  <c r="DO185" i="1" s="1"/>
  <c r="DO206" i="1" s="1"/>
  <c r="DP38" i="1"/>
  <c r="DP59" i="1" s="1"/>
  <c r="DP80" i="1" s="1"/>
  <c r="DP101" i="1" s="1"/>
  <c r="DP122" i="1" s="1"/>
  <c r="DP143" i="1" s="1"/>
  <c r="DP164" i="1" s="1"/>
  <c r="DP185" i="1" s="1"/>
  <c r="DP206" i="1" s="1"/>
  <c r="DN39" i="1"/>
  <c r="DN60" i="1" s="1"/>
  <c r="DN81" i="1" s="1"/>
  <c r="DN102" i="1" s="1"/>
  <c r="DN123" i="1" s="1"/>
  <c r="DN144" i="1" s="1"/>
  <c r="DN165" i="1" s="1"/>
  <c r="DN186" i="1" s="1"/>
  <c r="DN207" i="1" s="1"/>
  <c r="DO39" i="1"/>
  <c r="DO60" i="1" s="1"/>
  <c r="DO81" i="1" s="1"/>
  <c r="DO102" i="1" s="1"/>
  <c r="DO123" i="1" s="1"/>
  <c r="DO144" i="1" s="1"/>
  <c r="DO165" i="1" s="1"/>
  <c r="DO186" i="1" s="1"/>
  <c r="DO207" i="1" s="1"/>
  <c r="DP39" i="1"/>
  <c r="DP60" i="1" s="1"/>
  <c r="DP81" i="1" s="1"/>
  <c r="DP102" i="1" s="1"/>
  <c r="DP123" i="1" s="1"/>
  <c r="DP144" i="1" s="1"/>
  <c r="DP165" i="1" s="1"/>
  <c r="DP186" i="1" s="1"/>
  <c r="DP207" i="1" s="1"/>
  <c r="DN40" i="1"/>
  <c r="DN61" i="1" s="1"/>
  <c r="DN82" i="1" s="1"/>
  <c r="DN103" i="1" s="1"/>
  <c r="DN124" i="1" s="1"/>
  <c r="DN145" i="1" s="1"/>
  <c r="DN166" i="1" s="1"/>
  <c r="DN187" i="1" s="1"/>
  <c r="DN208" i="1" s="1"/>
  <c r="DO40" i="1"/>
  <c r="DO61" i="1" s="1"/>
  <c r="DO82" i="1" s="1"/>
  <c r="DO103" i="1" s="1"/>
  <c r="DO124" i="1" s="1"/>
  <c r="DO145" i="1" s="1"/>
  <c r="DO166" i="1" s="1"/>
  <c r="DO187" i="1" s="1"/>
  <c r="DO208" i="1" s="1"/>
  <c r="DP40" i="1"/>
  <c r="DP61" i="1" s="1"/>
  <c r="DP82" i="1" s="1"/>
  <c r="DP103" i="1" s="1"/>
  <c r="DP124" i="1" s="1"/>
  <c r="DP145" i="1" s="1"/>
  <c r="DP166" i="1" s="1"/>
  <c r="DP187" i="1" s="1"/>
  <c r="DP208" i="1" s="1"/>
  <c r="DN41" i="1"/>
  <c r="DN62" i="1" s="1"/>
  <c r="DN83" i="1" s="1"/>
  <c r="DN104" i="1" s="1"/>
  <c r="DN125" i="1" s="1"/>
  <c r="DN146" i="1" s="1"/>
  <c r="DN167" i="1" s="1"/>
  <c r="DN188" i="1" s="1"/>
  <c r="DN209" i="1" s="1"/>
  <c r="DO41" i="1"/>
  <c r="DO62" i="1" s="1"/>
  <c r="DO83" i="1" s="1"/>
  <c r="DO104" i="1" s="1"/>
  <c r="DO125" i="1" s="1"/>
  <c r="DO146" i="1" s="1"/>
  <c r="DO167" i="1" s="1"/>
  <c r="DO188" i="1" s="1"/>
  <c r="DO209" i="1" s="1"/>
  <c r="DP41" i="1"/>
  <c r="DP62" i="1" s="1"/>
  <c r="DP83" i="1" s="1"/>
  <c r="DP104" i="1" s="1"/>
  <c r="DP125" i="1" s="1"/>
  <c r="DP146" i="1" s="1"/>
  <c r="DP167" i="1" s="1"/>
  <c r="DP188" i="1" s="1"/>
  <c r="DP209" i="1" s="1"/>
  <c r="DN42" i="1"/>
  <c r="DN63" i="1" s="1"/>
  <c r="DN84" i="1" s="1"/>
  <c r="DN105" i="1" s="1"/>
  <c r="DN126" i="1" s="1"/>
  <c r="DN147" i="1" s="1"/>
  <c r="DN168" i="1" s="1"/>
  <c r="DN189" i="1" s="1"/>
  <c r="DN210" i="1" s="1"/>
  <c r="DO42" i="1"/>
  <c r="DO63" i="1" s="1"/>
  <c r="DO84" i="1" s="1"/>
  <c r="DO105" i="1" s="1"/>
  <c r="DO126" i="1" s="1"/>
  <c r="DO147" i="1" s="1"/>
  <c r="DO168" i="1" s="1"/>
  <c r="DO189" i="1" s="1"/>
  <c r="DO210" i="1" s="1"/>
  <c r="DP42" i="1"/>
  <c r="DP63" i="1" s="1"/>
  <c r="DP84" i="1" s="1"/>
  <c r="DP105" i="1" s="1"/>
  <c r="DP126" i="1" s="1"/>
  <c r="DP147" i="1" s="1"/>
  <c r="DP168" i="1" s="1"/>
  <c r="DP189" i="1" s="1"/>
  <c r="DP210" i="1" s="1"/>
  <c r="DN43" i="1"/>
  <c r="DN64" i="1" s="1"/>
  <c r="DN85" i="1" s="1"/>
  <c r="DN106" i="1" s="1"/>
  <c r="DN127" i="1" s="1"/>
  <c r="DN148" i="1" s="1"/>
  <c r="DN169" i="1" s="1"/>
  <c r="DN190" i="1" s="1"/>
  <c r="DN211" i="1" s="1"/>
  <c r="DO43" i="1"/>
  <c r="DO64" i="1" s="1"/>
  <c r="DO85" i="1" s="1"/>
  <c r="DO106" i="1" s="1"/>
  <c r="DO127" i="1" s="1"/>
  <c r="DO148" i="1" s="1"/>
  <c r="DO169" i="1" s="1"/>
  <c r="DO190" i="1" s="1"/>
  <c r="DO211" i="1" s="1"/>
  <c r="DP43" i="1"/>
  <c r="DP64" i="1" s="1"/>
  <c r="DP85" i="1" s="1"/>
  <c r="DP106" i="1" s="1"/>
  <c r="DP127" i="1" s="1"/>
  <c r="DP148" i="1" s="1"/>
  <c r="DP169" i="1" s="1"/>
  <c r="DP190" i="1" s="1"/>
  <c r="DP211" i="1" s="1"/>
  <c r="DN44" i="1"/>
  <c r="DN65" i="1" s="1"/>
  <c r="DN86" i="1" s="1"/>
  <c r="DN107" i="1" s="1"/>
  <c r="DN128" i="1" s="1"/>
  <c r="DN149" i="1" s="1"/>
  <c r="DN170" i="1" s="1"/>
  <c r="DN191" i="1" s="1"/>
  <c r="DN212" i="1" s="1"/>
  <c r="DO44" i="1"/>
  <c r="DO65" i="1" s="1"/>
  <c r="DO86" i="1" s="1"/>
  <c r="DO107" i="1" s="1"/>
  <c r="DO128" i="1" s="1"/>
  <c r="DO149" i="1" s="1"/>
  <c r="DO170" i="1" s="1"/>
  <c r="DO191" i="1" s="1"/>
  <c r="DO212" i="1" s="1"/>
  <c r="DP44" i="1"/>
  <c r="DP65" i="1" s="1"/>
  <c r="DP86" i="1" s="1"/>
  <c r="DP107" i="1" s="1"/>
  <c r="DP128" i="1" s="1"/>
  <c r="DP149" i="1" s="1"/>
  <c r="DP170" i="1" s="1"/>
  <c r="DP191" i="1" s="1"/>
  <c r="DP212" i="1" s="1"/>
  <c r="DP24" i="1"/>
  <c r="DP45" i="1" s="1"/>
  <c r="DP66" i="1" s="1"/>
  <c r="DP87" i="1" s="1"/>
  <c r="DP108" i="1" s="1"/>
  <c r="DP129" i="1" s="1"/>
  <c r="DP150" i="1" s="1"/>
  <c r="DP171" i="1" s="1"/>
  <c r="DP192" i="1" s="1"/>
  <c r="DO24" i="1"/>
  <c r="DO45" i="1" s="1"/>
  <c r="DO66" i="1" s="1"/>
  <c r="DO87" i="1" s="1"/>
  <c r="DO108" i="1" s="1"/>
  <c r="DO129" i="1" s="1"/>
  <c r="DO150" i="1" s="1"/>
  <c r="DO171" i="1" s="1"/>
  <c r="DO192" i="1" s="1"/>
  <c r="DN24" i="1"/>
  <c r="DN45" i="1" s="1"/>
  <c r="DN66" i="1" s="1"/>
  <c r="DN87" i="1" s="1"/>
  <c r="DN108" i="1" s="1"/>
  <c r="DN129" i="1" s="1"/>
  <c r="DN150" i="1" s="1"/>
  <c r="DN171" i="1" s="1"/>
  <c r="DN192" i="1" s="1"/>
  <c r="DX25" i="1"/>
  <c r="DX46" i="1" s="1"/>
  <c r="DZ25" i="1"/>
  <c r="DY25" i="1" s="1"/>
  <c r="DX26" i="1"/>
  <c r="DX47" i="1" s="1"/>
  <c r="DZ26" i="1"/>
  <c r="DY26" i="1" s="1"/>
  <c r="DX27" i="1"/>
  <c r="DW27" i="1" s="1"/>
  <c r="DZ27" i="1"/>
  <c r="DY27" i="1" s="1"/>
  <c r="DX28" i="1"/>
  <c r="DX49" i="1" s="1"/>
  <c r="DW49" i="1" s="1"/>
  <c r="DZ28" i="1"/>
  <c r="DY28" i="1" s="1"/>
  <c r="DX29" i="1"/>
  <c r="DW29" i="1" s="1"/>
  <c r="DZ29" i="1"/>
  <c r="DY29" i="1" s="1"/>
  <c r="DX30" i="1"/>
  <c r="DW30" i="1" s="1"/>
  <c r="DZ30" i="1"/>
  <c r="DX31" i="1"/>
  <c r="DZ31" i="1"/>
  <c r="DZ52" i="1" s="1"/>
  <c r="DX32" i="1"/>
  <c r="DX53" i="1" s="1"/>
  <c r="DZ32" i="1"/>
  <c r="DZ53" i="1" s="1"/>
  <c r="DX33" i="1"/>
  <c r="DX54" i="1" s="1"/>
  <c r="DZ33" i="1"/>
  <c r="DZ54" i="1" s="1"/>
  <c r="DY54" i="1" s="1"/>
  <c r="DX34" i="1"/>
  <c r="DW34" i="1" s="1"/>
  <c r="DZ34" i="1"/>
  <c r="DY34" i="1" s="1"/>
  <c r="DX35" i="1"/>
  <c r="DX56" i="1" s="1"/>
  <c r="DW56" i="1" s="1"/>
  <c r="DZ35" i="1"/>
  <c r="DY35" i="1" s="1"/>
  <c r="DX36" i="1"/>
  <c r="DW36" i="1" s="1"/>
  <c r="DZ36" i="1"/>
  <c r="DY36" i="1" s="1"/>
  <c r="DX37" i="1"/>
  <c r="DW37" i="1" s="1"/>
  <c r="DZ37" i="1"/>
  <c r="DZ58" i="1" s="1"/>
  <c r="DX38" i="1"/>
  <c r="DZ38" i="1"/>
  <c r="DZ59" i="1" s="1"/>
  <c r="DY59" i="1" s="1"/>
  <c r="DX39" i="1"/>
  <c r="DX60" i="1" s="1"/>
  <c r="DZ39" i="1"/>
  <c r="DY39" i="1" s="1"/>
  <c r="DX40" i="1"/>
  <c r="DX61" i="1" s="1"/>
  <c r="DZ40" i="1"/>
  <c r="DY40" i="1" s="1"/>
  <c r="DX41" i="1"/>
  <c r="DX62" i="1" s="1"/>
  <c r="DZ41" i="1"/>
  <c r="DY41" i="1" s="1"/>
  <c r="DX42" i="1"/>
  <c r="DX63" i="1" s="1"/>
  <c r="DZ42" i="1"/>
  <c r="DY42" i="1" s="1"/>
  <c r="DX43" i="1"/>
  <c r="DW43" i="1" s="1"/>
  <c r="DZ43" i="1"/>
  <c r="DY43" i="1" s="1"/>
  <c r="DX44" i="1"/>
  <c r="DX65" i="1" s="1"/>
  <c r="DX86" i="1" s="1"/>
  <c r="DX107" i="1" s="1"/>
  <c r="DZ44" i="1"/>
  <c r="DZ65" i="1" s="1"/>
  <c r="DX24" i="1"/>
  <c r="DW24" i="1" s="1"/>
  <c r="DZ24" i="1"/>
  <c r="DZ45" i="1" s="1"/>
  <c r="DY45" i="1" s="1"/>
  <c r="DV25" i="1"/>
  <c r="DV46" i="1" s="1"/>
  <c r="DV67" i="1" s="1"/>
  <c r="DV88" i="1" s="1"/>
  <c r="DV109" i="1" s="1"/>
  <c r="DV130" i="1" s="1"/>
  <c r="DV151" i="1" s="1"/>
  <c r="DV172" i="1" s="1"/>
  <c r="DV193" i="1" s="1"/>
  <c r="DV26" i="1"/>
  <c r="DV47" i="1" s="1"/>
  <c r="DV68" i="1" s="1"/>
  <c r="DV89" i="1" s="1"/>
  <c r="DV110" i="1" s="1"/>
  <c r="DV131" i="1" s="1"/>
  <c r="DV152" i="1" s="1"/>
  <c r="DV173" i="1" s="1"/>
  <c r="DV194" i="1" s="1"/>
  <c r="DV27" i="1"/>
  <c r="DV48" i="1" s="1"/>
  <c r="DV69" i="1" s="1"/>
  <c r="DV90" i="1" s="1"/>
  <c r="DV111" i="1" s="1"/>
  <c r="DV132" i="1" s="1"/>
  <c r="DV153" i="1" s="1"/>
  <c r="DV174" i="1" s="1"/>
  <c r="DV195" i="1" s="1"/>
  <c r="DV28" i="1"/>
  <c r="DV49" i="1" s="1"/>
  <c r="DV70" i="1" s="1"/>
  <c r="DV91" i="1" s="1"/>
  <c r="DV112" i="1" s="1"/>
  <c r="DV133" i="1" s="1"/>
  <c r="DV154" i="1" s="1"/>
  <c r="DV175" i="1" s="1"/>
  <c r="DV196" i="1" s="1"/>
  <c r="DV29" i="1"/>
  <c r="DV50" i="1" s="1"/>
  <c r="DV71" i="1" s="1"/>
  <c r="DV92" i="1" s="1"/>
  <c r="DV113" i="1" s="1"/>
  <c r="DV134" i="1" s="1"/>
  <c r="DV155" i="1" s="1"/>
  <c r="DV176" i="1" s="1"/>
  <c r="DV197" i="1" s="1"/>
  <c r="DV30" i="1"/>
  <c r="DV51" i="1" s="1"/>
  <c r="DV72" i="1" s="1"/>
  <c r="DV93" i="1" s="1"/>
  <c r="DV114" i="1" s="1"/>
  <c r="DV135" i="1" s="1"/>
  <c r="DV156" i="1" s="1"/>
  <c r="DV177" i="1" s="1"/>
  <c r="DV198" i="1" s="1"/>
  <c r="DV31" i="1"/>
  <c r="DV52" i="1" s="1"/>
  <c r="DV73" i="1" s="1"/>
  <c r="DV94" i="1" s="1"/>
  <c r="DV115" i="1" s="1"/>
  <c r="DV136" i="1" s="1"/>
  <c r="DV157" i="1" s="1"/>
  <c r="DV178" i="1" s="1"/>
  <c r="DV199" i="1" s="1"/>
  <c r="DV32" i="1"/>
  <c r="DV53" i="1" s="1"/>
  <c r="DV74" i="1" s="1"/>
  <c r="DV95" i="1" s="1"/>
  <c r="DV116" i="1" s="1"/>
  <c r="DV137" i="1" s="1"/>
  <c r="DV158" i="1" s="1"/>
  <c r="DV179" i="1" s="1"/>
  <c r="DV200" i="1" s="1"/>
  <c r="DV33" i="1"/>
  <c r="DV54" i="1" s="1"/>
  <c r="DV75" i="1" s="1"/>
  <c r="DV96" i="1" s="1"/>
  <c r="DV117" i="1" s="1"/>
  <c r="DV138" i="1" s="1"/>
  <c r="DV159" i="1" s="1"/>
  <c r="DV180" i="1" s="1"/>
  <c r="DV201" i="1" s="1"/>
  <c r="DV34" i="1"/>
  <c r="DV55" i="1" s="1"/>
  <c r="DV76" i="1" s="1"/>
  <c r="DV97" i="1" s="1"/>
  <c r="DV118" i="1" s="1"/>
  <c r="DV139" i="1" s="1"/>
  <c r="DV160" i="1" s="1"/>
  <c r="DV181" i="1" s="1"/>
  <c r="DV202" i="1" s="1"/>
  <c r="DV35" i="1"/>
  <c r="DV56" i="1" s="1"/>
  <c r="DV77" i="1" s="1"/>
  <c r="DV98" i="1" s="1"/>
  <c r="DV119" i="1" s="1"/>
  <c r="DV140" i="1" s="1"/>
  <c r="DV161" i="1" s="1"/>
  <c r="DV182" i="1" s="1"/>
  <c r="DV203" i="1" s="1"/>
  <c r="DV36" i="1"/>
  <c r="DV57" i="1" s="1"/>
  <c r="DV78" i="1" s="1"/>
  <c r="DV99" i="1" s="1"/>
  <c r="DV120" i="1" s="1"/>
  <c r="DV141" i="1" s="1"/>
  <c r="DV162" i="1" s="1"/>
  <c r="DV183" i="1" s="1"/>
  <c r="DV204" i="1" s="1"/>
  <c r="DV37" i="1"/>
  <c r="DV58" i="1" s="1"/>
  <c r="DV79" i="1" s="1"/>
  <c r="DV100" i="1" s="1"/>
  <c r="DV121" i="1" s="1"/>
  <c r="DV142" i="1" s="1"/>
  <c r="DV163" i="1" s="1"/>
  <c r="DV184" i="1" s="1"/>
  <c r="DV205" i="1" s="1"/>
  <c r="DV38" i="1"/>
  <c r="DV59" i="1" s="1"/>
  <c r="DV80" i="1" s="1"/>
  <c r="DV101" i="1" s="1"/>
  <c r="DV122" i="1" s="1"/>
  <c r="DV143" i="1" s="1"/>
  <c r="DV164" i="1" s="1"/>
  <c r="DV185" i="1" s="1"/>
  <c r="DV206" i="1" s="1"/>
  <c r="DV39" i="1"/>
  <c r="DV60" i="1" s="1"/>
  <c r="DV81" i="1" s="1"/>
  <c r="DV102" i="1" s="1"/>
  <c r="DV123" i="1" s="1"/>
  <c r="DV144" i="1" s="1"/>
  <c r="DV165" i="1" s="1"/>
  <c r="DV186" i="1" s="1"/>
  <c r="DV207" i="1" s="1"/>
  <c r="DV40" i="1"/>
  <c r="DV61" i="1" s="1"/>
  <c r="DV82" i="1" s="1"/>
  <c r="DV103" i="1" s="1"/>
  <c r="DV124" i="1" s="1"/>
  <c r="DV145" i="1" s="1"/>
  <c r="DV166" i="1" s="1"/>
  <c r="DV187" i="1" s="1"/>
  <c r="DV208" i="1" s="1"/>
  <c r="DV41" i="1"/>
  <c r="DV62" i="1" s="1"/>
  <c r="DV83" i="1" s="1"/>
  <c r="DV104" i="1" s="1"/>
  <c r="DV125" i="1" s="1"/>
  <c r="DV146" i="1" s="1"/>
  <c r="DV167" i="1" s="1"/>
  <c r="DV188" i="1" s="1"/>
  <c r="DV209" i="1" s="1"/>
  <c r="DV42" i="1"/>
  <c r="DV63" i="1" s="1"/>
  <c r="DV84" i="1" s="1"/>
  <c r="DV105" i="1" s="1"/>
  <c r="DV126" i="1" s="1"/>
  <c r="DV147" i="1" s="1"/>
  <c r="DV168" i="1" s="1"/>
  <c r="DV189" i="1" s="1"/>
  <c r="DV210" i="1" s="1"/>
  <c r="DV43" i="1"/>
  <c r="DV64" i="1" s="1"/>
  <c r="DV85" i="1" s="1"/>
  <c r="DV106" i="1" s="1"/>
  <c r="DV127" i="1" s="1"/>
  <c r="DV148" i="1" s="1"/>
  <c r="DV169" i="1" s="1"/>
  <c r="DV190" i="1" s="1"/>
  <c r="DV211" i="1" s="1"/>
  <c r="DV44" i="1"/>
  <c r="DV65" i="1" s="1"/>
  <c r="DV86" i="1" s="1"/>
  <c r="DV107" i="1" s="1"/>
  <c r="DV128" i="1" s="1"/>
  <c r="DV149" i="1" s="1"/>
  <c r="DV170" i="1" s="1"/>
  <c r="DV191" i="1" s="1"/>
  <c r="DV212" i="1" s="1"/>
  <c r="DV24" i="1"/>
  <c r="DV45" i="1" s="1"/>
  <c r="DV66" i="1" s="1"/>
  <c r="DV87" i="1" s="1"/>
  <c r="DV108" i="1" s="1"/>
  <c r="DV129" i="1" s="1"/>
  <c r="DV150" i="1" s="1"/>
  <c r="DV171" i="1" s="1"/>
  <c r="DV192" i="1" s="1"/>
  <c r="DT25" i="1"/>
  <c r="DT46" i="1" s="1"/>
  <c r="DT67" i="1" s="1"/>
  <c r="DT88" i="1" s="1"/>
  <c r="DT109" i="1" s="1"/>
  <c r="DT130" i="1" s="1"/>
  <c r="DT151" i="1" s="1"/>
  <c r="DT172" i="1" s="1"/>
  <c r="DT193" i="1" s="1"/>
  <c r="DT214" i="1" s="1"/>
  <c r="DU25" i="1"/>
  <c r="DU46" i="1" s="1"/>
  <c r="DU67" i="1" s="1"/>
  <c r="DU88" i="1" s="1"/>
  <c r="DU109" i="1" s="1"/>
  <c r="DU130" i="1" s="1"/>
  <c r="DU151" i="1" s="1"/>
  <c r="DU172" i="1" s="1"/>
  <c r="DU193" i="1" s="1"/>
  <c r="DU214" i="1" s="1"/>
  <c r="DT26" i="1"/>
  <c r="DT47" i="1" s="1"/>
  <c r="DT68" i="1" s="1"/>
  <c r="DT89" i="1" s="1"/>
  <c r="DT110" i="1" s="1"/>
  <c r="DT131" i="1" s="1"/>
  <c r="DT152" i="1" s="1"/>
  <c r="DT173" i="1" s="1"/>
  <c r="DT194" i="1" s="1"/>
  <c r="DT215" i="1" s="1"/>
  <c r="DU26" i="1"/>
  <c r="DU47" i="1" s="1"/>
  <c r="DU68" i="1" s="1"/>
  <c r="DU89" i="1" s="1"/>
  <c r="DU110" i="1" s="1"/>
  <c r="DU131" i="1" s="1"/>
  <c r="DU152" i="1" s="1"/>
  <c r="DU173" i="1" s="1"/>
  <c r="DU194" i="1" s="1"/>
  <c r="DU215" i="1" s="1"/>
  <c r="DT27" i="1"/>
  <c r="DT48" i="1" s="1"/>
  <c r="DT69" i="1" s="1"/>
  <c r="DT90" i="1" s="1"/>
  <c r="DT111" i="1" s="1"/>
  <c r="DT132" i="1" s="1"/>
  <c r="DT153" i="1" s="1"/>
  <c r="DT174" i="1" s="1"/>
  <c r="DT195" i="1" s="1"/>
  <c r="DT216" i="1" s="1"/>
  <c r="DU27" i="1"/>
  <c r="DU48" i="1" s="1"/>
  <c r="DU69" i="1" s="1"/>
  <c r="DU90" i="1" s="1"/>
  <c r="DU111" i="1" s="1"/>
  <c r="DU132" i="1" s="1"/>
  <c r="DU153" i="1" s="1"/>
  <c r="DU174" i="1" s="1"/>
  <c r="DU195" i="1" s="1"/>
  <c r="DU216" i="1" s="1"/>
  <c r="DT28" i="1"/>
  <c r="DT49" i="1" s="1"/>
  <c r="DT70" i="1" s="1"/>
  <c r="DT91" i="1" s="1"/>
  <c r="DT112" i="1" s="1"/>
  <c r="DT133" i="1" s="1"/>
  <c r="DT154" i="1" s="1"/>
  <c r="DT175" i="1" s="1"/>
  <c r="DT196" i="1" s="1"/>
  <c r="DT217" i="1" s="1"/>
  <c r="DU28" i="1"/>
  <c r="DU49" i="1" s="1"/>
  <c r="DU70" i="1" s="1"/>
  <c r="DU91" i="1" s="1"/>
  <c r="DU112" i="1" s="1"/>
  <c r="DU133" i="1" s="1"/>
  <c r="DU154" i="1" s="1"/>
  <c r="DU175" i="1" s="1"/>
  <c r="DU196" i="1" s="1"/>
  <c r="DU217" i="1" s="1"/>
  <c r="DT29" i="1"/>
  <c r="DT50" i="1" s="1"/>
  <c r="DT71" i="1" s="1"/>
  <c r="DT92" i="1" s="1"/>
  <c r="DT113" i="1" s="1"/>
  <c r="DT134" i="1" s="1"/>
  <c r="DT155" i="1" s="1"/>
  <c r="DT176" i="1" s="1"/>
  <c r="DT197" i="1" s="1"/>
  <c r="DT218" i="1" s="1"/>
  <c r="DU29" i="1"/>
  <c r="DU50" i="1" s="1"/>
  <c r="DU71" i="1" s="1"/>
  <c r="DU92" i="1" s="1"/>
  <c r="DU113" i="1" s="1"/>
  <c r="DU134" i="1" s="1"/>
  <c r="DU155" i="1" s="1"/>
  <c r="DU176" i="1" s="1"/>
  <c r="DU197" i="1" s="1"/>
  <c r="DU218" i="1" s="1"/>
  <c r="DT30" i="1"/>
  <c r="DT51" i="1" s="1"/>
  <c r="DT72" i="1" s="1"/>
  <c r="DT93" i="1" s="1"/>
  <c r="DT114" i="1" s="1"/>
  <c r="DT135" i="1" s="1"/>
  <c r="DT156" i="1" s="1"/>
  <c r="DT177" i="1" s="1"/>
  <c r="DT198" i="1" s="1"/>
  <c r="DT219" i="1" s="1"/>
  <c r="DU30" i="1"/>
  <c r="DU51" i="1" s="1"/>
  <c r="DU72" i="1" s="1"/>
  <c r="DU93" i="1" s="1"/>
  <c r="DU114" i="1" s="1"/>
  <c r="DU135" i="1" s="1"/>
  <c r="DU156" i="1" s="1"/>
  <c r="DU177" i="1" s="1"/>
  <c r="DU198" i="1" s="1"/>
  <c r="DU219" i="1" s="1"/>
  <c r="DT31" i="1"/>
  <c r="DT52" i="1" s="1"/>
  <c r="DT73" i="1" s="1"/>
  <c r="DT94" i="1" s="1"/>
  <c r="DT115" i="1" s="1"/>
  <c r="DT136" i="1" s="1"/>
  <c r="DT157" i="1" s="1"/>
  <c r="DT178" i="1" s="1"/>
  <c r="DT199" i="1" s="1"/>
  <c r="DT220" i="1" s="1"/>
  <c r="DU31" i="1"/>
  <c r="DU52" i="1" s="1"/>
  <c r="DU73" i="1" s="1"/>
  <c r="DU94" i="1" s="1"/>
  <c r="DU115" i="1" s="1"/>
  <c r="DU136" i="1" s="1"/>
  <c r="DU157" i="1" s="1"/>
  <c r="DU178" i="1" s="1"/>
  <c r="DU199" i="1" s="1"/>
  <c r="DU220" i="1" s="1"/>
  <c r="DT32" i="1"/>
  <c r="DT53" i="1" s="1"/>
  <c r="DT74" i="1" s="1"/>
  <c r="DT95" i="1" s="1"/>
  <c r="DT116" i="1" s="1"/>
  <c r="DT137" i="1" s="1"/>
  <c r="DT158" i="1" s="1"/>
  <c r="DT179" i="1" s="1"/>
  <c r="DT200" i="1" s="1"/>
  <c r="DT221" i="1" s="1"/>
  <c r="DU32" i="1"/>
  <c r="DU53" i="1" s="1"/>
  <c r="DU74" i="1" s="1"/>
  <c r="DU95" i="1" s="1"/>
  <c r="DU116" i="1" s="1"/>
  <c r="DU137" i="1" s="1"/>
  <c r="DU158" i="1" s="1"/>
  <c r="DU179" i="1" s="1"/>
  <c r="DU200" i="1" s="1"/>
  <c r="DU221" i="1" s="1"/>
  <c r="DT33" i="1"/>
  <c r="DT54" i="1" s="1"/>
  <c r="DT75" i="1" s="1"/>
  <c r="DT96" i="1" s="1"/>
  <c r="DT117" i="1" s="1"/>
  <c r="DT138" i="1" s="1"/>
  <c r="DT159" i="1" s="1"/>
  <c r="DT180" i="1" s="1"/>
  <c r="DT201" i="1" s="1"/>
  <c r="DT222" i="1" s="1"/>
  <c r="DU33" i="1"/>
  <c r="DU54" i="1" s="1"/>
  <c r="DU75" i="1" s="1"/>
  <c r="DU96" i="1" s="1"/>
  <c r="DU117" i="1" s="1"/>
  <c r="DU138" i="1" s="1"/>
  <c r="DU159" i="1" s="1"/>
  <c r="DU180" i="1" s="1"/>
  <c r="DU201" i="1" s="1"/>
  <c r="DU222" i="1" s="1"/>
  <c r="DT34" i="1"/>
  <c r="DT55" i="1" s="1"/>
  <c r="DT76" i="1" s="1"/>
  <c r="DT97" i="1" s="1"/>
  <c r="DT118" i="1" s="1"/>
  <c r="DT139" i="1" s="1"/>
  <c r="DT160" i="1" s="1"/>
  <c r="DT181" i="1" s="1"/>
  <c r="DT202" i="1" s="1"/>
  <c r="DU34" i="1"/>
  <c r="DU55" i="1" s="1"/>
  <c r="DU76" i="1" s="1"/>
  <c r="DU97" i="1" s="1"/>
  <c r="DU118" i="1" s="1"/>
  <c r="DU139" i="1" s="1"/>
  <c r="DU160" i="1" s="1"/>
  <c r="DU181" i="1" s="1"/>
  <c r="DU202" i="1" s="1"/>
  <c r="DT35" i="1"/>
  <c r="DT56" i="1" s="1"/>
  <c r="DT77" i="1" s="1"/>
  <c r="DT98" i="1" s="1"/>
  <c r="DT119" i="1" s="1"/>
  <c r="DT140" i="1" s="1"/>
  <c r="DT161" i="1" s="1"/>
  <c r="DT182" i="1" s="1"/>
  <c r="DT203" i="1" s="1"/>
  <c r="DU35" i="1"/>
  <c r="DU56" i="1" s="1"/>
  <c r="DU77" i="1" s="1"/>
  <c r="DU98" i="1" s="1"/>
  <c r="DU119" i="1" s="1"/>
  <c r="DU140" i="1" s="1"/>
  <c r="DU161" i="1" s="1"/>
  <c r="DU182" i="1" s="1"/>
  <c r="DU203" i="1" s="1"/>
  <c r="DT36" i="1"/>
  <c r="DT57" i="1" s="1"/>
  <c r="DT78" i="1" s="1"/>
  <c r="DT99" i="1" s="1"/>
  <c r="DT120" i="1" s="1"/>
  <c r="DT141" i="1" s="1"/>
  <c r="DT162" i="1" s="1"/>
  <c r="DT183" i="1" s="1"/>
  <c r="DT204" i="1" s="1"/>
  <c r="DU36" i="1"/>
  <c r="DU57" i="1" s="1"/>
  <c r="DU78" i="1" s="1"/>
  <c r="DU99" i="1" s="1"/>
  <c r="DU120" i="1" s="1"/>
  <c r="DU141" i="1" s="1"/>
  <c r="DU162" i="1" s="1"/>
  <c r="DU183" i="1" s="1"/>
  <c r="DU204" i="1" s="1"/>
  <c r="DT37" i="1"/>
  <c r="DT58" i="1" s="1"/>
  <c r="DT79" i="1" s="1"/>
  <c r="DT100" i="1" s="1"/>
  <c r="DT121" i="1" s="1"/>
  <c r="DT142" i="1" s="1"/>
  <c r="DT163" i="1" s="1"/>
  <c r="DT184" i="1" s="1"/>
  <c r="DT205" i="1" s="1"/>
  <c r="DU37" i="1"/>
  <c r="DU58" i="1" s="1"/>
  <c r="DU79" i="1" s="1"/>
  <c r="DU100" i="1" s="1"/>
  <c r="DU121" i="1" s="1"/>
  <c r="DU142" i="1" s="1"/>
  <c r="DU163" i="1" s="1"/>
  <c r="DU184" i="1" s="1"/>
  <c r="DU205" i="1" s="1"/>
  <c r="DT38" i="1"/>
  <c r="DT59" i="1" s="1"/>
  <c r="DT80" i="1" s="1"/>
  <c r="DT101" i="1" s="1"/>
  <c r="DT122" i="1" s="1"/>
  <c r="DT143" i="1" s="1"/>
  <c r="DT164" i="1" s="1"/>
  <c r="DT185" i="1" s="1"/>
  <c r="DT206" i="1" s="1"/>
  <c r="DU38" i="1"/>
  <c r="DU59" i="1" s="1"/>
  <c r="DU80" i="1" s="1"/>
  <c r="DU101" i="1" s="1"/>
  <c r="DU122" i="1" s="1"/>
  <c r="DU143" i="1" s="1"/>
  <c r="DU164" i="1" s="1"/>
  <c r="DU185" i="1" s="1"/>
  <c r="DU206" i="1" s="1"/>
  <c r="DT39" i="1"/>
  <c r="DT60" i="1" s="1"/>
  <c r="DT81" i="1" s="1"/>
  <c r="DT102" i="1" s="1"/>
  <c r="DT123" i="1" s="1"/>
  <c r="DT144" i="1" s="1"/>
  <c r="DT165" i="1" s="1"/>
  <c r="DT186" i="1" s="1"/>
  <c r="DT207" i="1" s="1"/>
  <c r="DU39" i="1"/>
  <c r="DU60" i="1" s="1"/>
  <c r="DU81" i="1" s="1"/>
  <c r="DU102" i="1" s="1"/>
  <c r="DU123" i="1" s="1"/>
  <c r="DU144" i="1" s="1"/>
  <c r="DU165" i="1" s="1"/>
  <c r="DU186" i="1" s="1"/>
  <c r="DU207" i="1" s="1"/>
  <c r="DT40" i="1"/>
  <c r="DT61" i="1" s="1"/>
  <c r="DT82" i="1" s="1"/>
  <c r="DT103" i="1" s="1"/>
  <c r="DT124" i="1" s="1"/>
  <c r="DT145" i="1" s="1"/>
  <c r="DT166" i="1" s="1"/>
  <c r="DT187" i="1" s="1"/>
  <c r="DT208" i="1" s="1"/>
  <c r="DU40" i="1"/>
  <c r="DU61" i="1" s="1"/>
  <c r="DU82" i="1" s="1"/>
  <c r="DU103" i="1" s="1"/>
  <c r="DU124" i="1" s="1"/>
  <c r="DU145" i="1" s="1"/>
  <c r="DU166" i="1" s="1"/>
  <c r="DU187" i="1" s="1"/>
  <c r="DU208" i="1" s="1"/>
  <c r="DT41" i="1"/>
  <c r="DT62" i="1" s="1"/>
  <c r="DT83" i="1" s="1"/>
  <c r="DT104" i="1" s="1"/>
  <c r="DT125" i="1" s="1"/>
  <c r="DT146" i="1" s="1"/>
  <c r="DT167" i="1" s="1"/>
  <c r="DT188" i="1" s="1"/>
  <c r="DT209" i="1" s="1"/>
  <c r="DU41" i="1"/>
  <c r="DU62" i="1" s="1"/>
  <c r="DU83" i="1" s="1"/>
  <c r="DU104" i="1" s="1"/>
  <c r="DU125" i="1" s="1"/>
  <c r="DU146" i="1" s="1"/>
  <c r="DU167" i="1" s="1"/>
  <c r="DU188" i="1" s="1"/>
  <c r="DU209" i="1" s="1"/>
  <c r="DT42" i="1"/>
  <c r="DT63" i="1" s="1"/>
  <c r="DT84" i="1" s="1"/>
  <c r="DT105" i="1" s="1"/>
  <c r="DT126" i="1" s="1"/>
  <c r="DT147" i="1" s="1"/>
  <c r="DT168" i="1" s="1"/>
  <c r="DT189" i="1" s="1"/>
  <c r="DT210" i="1" s="1"/>
  <c r="DU42" i="1"/>
  <c r="DU63" i="1" s="1"/>
  <c r="DU84" i="1" s="1"/>
  <c r="DU105" i="1" s="1"/>
  <c r="DU126" i="1" s="1"/>
  <c r="DU147" i="1" s="1"/>
  <c r="DU168" i="1" s="1"/>
  <c r="DU189" i="1" s="1"/>
  <c r="DU210" i="1" s="1"/>
  <c r="DT43" i="1"/>
  <c r="DT64" i="1" s="1"/>
  <c r="DT85" i="1" s="1"/>
  <c r="DT106" i="1" s="1"/>
  <c r="DT127" i="1" s="1"/>
  <c r="DT148" i="1" s="1"/>
  <c r="DT169" i="1" s="1"/>
  <c r="DT190" i="1" s="1"/>
  <c r="DT211" i="1" s="1"/>
  <c r="DU43" i="1"/>
  <c r="DU64" i="1" s="1"/>
  <c r="DU85" i="1" s="1"/>
  <c r="DU106" i="1" s="1"/>
  <c r="DU127" i="1" s="1"/>
  <c r="DU148" i="1" s="1"/>
  <c r="DU169" i="1" s="1"/>
  <c r="DU190" i="1" s="1"/>
  <c r="DU211" i="1" s="1"/>
  <c r="DT44" i="1"/>
  <c r="DT65" i="1" s="1"/>
  <c r="DT86" i="1" s="1"/>
  <c r="DT107" i="1" s="1"/>
  <c r="DT128" i="1" s="1"/>
  <c r="DT149" i="1" s="1"/>
  <c r="DT170" i="1" s="1"/>
  <c r="DT191" i="1" s="1"/>
  <c r="DT212" i="1" s="1"/>
  <c r="DU44" i="1"/>
  <c r="DU65" i="1" s="1"/>
  <c r="DU86" i="1" s="1"/>
  <c r="DU107" i="1" s="1"/>
  <c r="DU128" i="1" s="1"/>
  <c r="DU149" i="1" s="1"/>
  <c r="DU170" i="1" s="1"/>
  <c r="DU191" i="1" s="1"/>
  <c r="DU212" i="1" s="1"/>
  <c r="DU24" i="1"/>
  <c r="DU45" i="1" s="1"/>
  <c r="DU66" i="1" s="1"/>
  <c r="DU87" i="1" s="1"/>
  <c r="DU108" i="1" s="1"/>
  <c r="DU129" i="1" s="1"/>
  <c r="DU150" i="1" s="1"/>
  <c r="DU171" i="1" s="1"/>
  <c r="DU192" i="1" s="1"/>
  <c r="DU213" i="1" s="1"/>
  <c r="DT24" i="1"/>
  <c r="DT45" i="1" s="1"/>
  <c r="DT66" i="1" s="1"/>
  <c r="DT87" i="1" s="1"/>
  <c r="DT108" i="1" s="1"/>
  <c r="DT129" i="1" s="1"/>
  <c r="DT150" i="1" s="1"/>
  <c r="DT171" i="1" s="1"/>
  <c r="DT192" i="1" s="1"/>
  <c r="DT213" i="1" s="1"/>
  <c r="DS25" i="1"/>
  <c r="DS46" i="1" s="1"/>
  <c r="DR46" i="1" s="1"/>
  <c r="DS26" i="1"/>
  <c r="DS47" i="1" s="1"/>
  <c r="DR47" i="1" s="1"/>
  <c r="DS27" i="1"/>
  <c r="DR27" i="1" s="1"/>
  <c r="DS28" i="1"/>
  <c r="DS49" i="1" s="1"/>
  <c r="DS29" i="1"/>
  <c r="DS50" i="1" s="1"/>
  <c r="DS30" i="1"/>
  <c r="DR30" i="1" s="1"/>
  <c r="DS31" i="1"/>
  <c r="DR31" i="1" s="1"/>
  <c r="DS32" i="1"/>
  <c r="DS53" i="1" s="1"/>
  <c r="DS74" i="1" s="1"/>
  <c r="DS33" i="1"/>
  <c r="DS54" i="1" s="1"/>
  <c r="DS34" i="1"/>
  <c r="DR34" i="1" s="1"/>
  <c r="DS35" i="1"/>
  <c r="DS56" i="1" s="1"/>
  <c r="DS36" i="1"/>
  <c r="DS57" i="1" s="1"/>
  <c r="DS37" i="1"/>
  <c r="DS58" i="1" s="1"/>
  <c r="DS38" i="1"/>
  <c r="DR38" i="1" s="1"/>
  <c r="DS39" i="1"/>
  <c r="DS60" i="1" s="1"/>
  <c r="DS40" i="1"/>
  <c r="DR40" i="1" s="1"/>
  <c r="DS41" i="1"/>
  <c r="DR41" i="1" s="1"/>
  <c r="DS42" i="1"/>
  <c r="DR42" i="1" s="1"/>
  <c r="DS43" i="1"/>
  <c r="DR43" i="1" s="1"/>
  <c r="DS44" i="1"/>
  <c r="DS65" i="1" s="1"/>
  <c r="DS24" i="1"/>
  <c r="DS45" i="1" s="1"/>
  <c r="DQ25" i="1"/>
  <c r="DQ46" i="1" s="1"/>
  <c r="DQ67" i="1" s="1"/>
  <c r="DQ88" i="1" s="1"/>
  <c r="DQ109" i="1" s="1"/>
  <c r="DQ130" i="1" s="1"/>
  <c r="DQ151" i="1" s="1"/>
  <c r="DQ172" i="1" s="1"/>
  <c r="DQ193" i="1" s="1"/>
  <c r="DQ26" i="1"/>
  <c r="DQ47" i="1" s="1"/>
  <c r="DQ68" i="1" s="1"/>
  <c r="DQ89" i="1" s="1"/>
  <c r="DQ110" i="1" s="1"/>
  <c r="DQ131" i="1" s="1"/>
  <c r="DQ152" i="1" s="1"/>
  <c r="DQ173" i="1" s="1"/>
  <c r="DQ194" i="1" s="1"/>
  <c r="DQ27" i="1"/>
  <c r="DQ48" i="1" s="1"/>
  <c r="DQ69" i="1" s="1"/>
  <c r="DQ90" i="1" s="1"/>
  <c r="DQ111" i="1" s="1"/>
  <c r="DQ132" i="1" s="1"/>
  <c r="DQ153" i="1" s="1"/>
  <c r="DQ174" i="1" s="1"/>
  <c r="DQ195" i="1" s="1"/>
  <c r="DQ28" i="1"/>
  <c r="DQ49" i="1" s="1"/>
  <c r="DQ70" i="1" s="1"/>
  <c r="DQ91" i="1" s="1"/>
  <c r="DQ112" i="1" s="1"/>
  <c r="DQ133" i="1" s="1"/>
  <c r="DQ154" i="1" s="1"/>
  <c r="DQ175" i="1" s="1"/>
  <c r="DQ196" i="1" s="1"/>
  <c r="DQ29" i="1"/>
  <c r="DQ50" i="1" s="1"/>
  <c r="DQ71" i="1" s="1"/>
  <c r="DQ92" i="1" s="1"/>
  <c r="DQ113" i="1" s="1"/>
  <c r="DQ134" i="1" s="1"/>
  <c r="DQ155" i="1" s="1"/>
  <c r="DQ176" i="1" s="1"/>
  <c r="DQ197" i="1" s="1"/>
  <c r="DQ30" i="1"/>
  <c r="DQ51" i="1" s="1"/>
  <c r="DQ72" i="1" s="1"/>
  <c r="DQ93" i="1" s="1"/>
  <c r="DQ114" i="1" s="1"/>
  <c r="DQ135" i="1" s="1"/>
  <c r="DQ156" i="1" s="1"/>
  <c r="DQ177" i="1" s="1"/>
  <c r="DQ198" i="1" s="1"/>
  <c r="DQ31" i="1"/>
  <c r="DQ52" i="1" s="1"/>
  <c r="DQ73" i="1" s="1"/>
  <c r="DQ94" i="1" s="1"/>
  <c r="DQ115" i="1" s="1"/>
  <c r="DQ136" i="1" s="1"/>
  <c r="DQ157" i="1" s="1"/>
  <c r="DQ178" i="1" s="1"/>
  <c r="DQ199" i="1" s="1"/>
  <c r="DQ32" i="1"/>
  <c r="DQ53" i="1" s="1"/>
  <c r="DQ74" i="1" s="1"/>
  <c r="DQ95" i="1" s="1"/>
  <c r="DQ116" i="1" s="1"/>
  <c r="DQ137" i="1" s="1"/>
  <c r="DQ158" i="1" s="1"/>
  <c r="DQ179" i="1" s="1"/>
  <c r="DQ200" i="1" s="1"/>
  <c r="DQ33" i="1"/>
  <c r="DQ54" i="1" s="1"/>
  <c r="DQ75" i="1" s="1"/>
  <c r="DQ96" i="1" s="1"/>
  <c r="DQ117" i="1" s="1"/>
  <c r="DQ138" i="1" s="1"/>
  <c r="DQ159" i="1" s="1"/>
  <c r="DQ180" i="1" s="1"/>
  <c r="DQ201" i="1" s="1"/>
  <c r="DQ34" i="1"/>
  <c r="DQ55" i="1" s="1"/>
  <c r="DQ76" i="1" s="1"/>
  <c r="DQ97" i="1" s="1"/>
  <c r="DQ118" i="1" s="1"/>
  <c r="DQ139" i="1" s="1"/>
  <c r="DQ160" i="1" s="1"/>
  <c r="DQ181" i="1" s="1"/>
  <c r="DQ202" i="1" s="1"/>
  <c r="DQ35" i="1"/>
  <c r="DQ56" i="1" s="1"/>
  <c r="DQ77" i="1" s="1"/>
  <c r="DQ98" i="1" s="1"/>
  <c r="DQ119" i="1" s="1"/>
  <c r="DQ140" i="1" s="1"/>
  <c r="DQ161" i="1" s="1"/>
  <c r="DQ182" i="1" s="1"/>
  <c r="DQ203" i="1" s="1"/>
  <c r="DQ36" i="1"/>
  <c r="DQ57" i="1" s="1"/>
  <c r="DQ78" i="1" s="1"/>
  <c r="DQ99" i="1" s="1"/>
  <c r="DQ120" i="1" s="1"/>
  <c r="DQ141" i="1" s="1"/>
  <c r="DQ162" i="1" s="1"/>
  <c r="DQ183" i="1" s="1"/>
  <c r="DQ204" i="1" s="1"/>
  <c r="DQ37" i="1"/>
  <c r="DQ58" i="1" s="1"/>
  <c r="DQ79" i="1" s="1"/>
  <c r="DQ100" i="1" s="1"/>
  <c r="DQ121" i="1" s="1"/>
  <c r="DQ142" i="1" s="1"/>
  <c r="DQ163" i="1" s="1"/>
  <c r="DQ184" i="1" s="1"/>
  <c r="DQ205" i="1" s="1"/>
  <c r="DQ38" i="1"/>
  <c r="DQ59" i="1" s="1"/>
  <c r="DQ80" i="1" s="1"/>
  <c r="DQ101" i="1" s="1"/>
  <c r="DQ122" i="1" s="1"/>
  <c r="DQ143" i="1" s="1"/>
  <c r="DQ164" i="1" s="1"/>
  <c r="DQ185" i="1" s="1"/>
  <c r="DQ206" i="1" s="1"/>
  <c r="DQ39" i="1"/>
  <c r="DQ60" i="1" s="1"/>
  <c r="DQ81" i="1" s="1"/>
  <c r="DQ102" i="1" s="1"/>
  <c r="DQ123" i="1" s="1"/>
  <c r="DQ144" i="1" s="1"/>
  <c r="DQ165" i="1" s="1"/>
  <c r="DQ186" i="1" s="1"/>
  <c r="DQ207" i="1" s="1"/>
  <c r="DQ40" i="1"/>
  <c r="DQ61" i="1" s="1"/>
  <c r="DQ82" i="1" s="1"/>
  <c r="DQ103" i="1" s="1"/>
  <c r="DQ124" i="1" s="1"/>
  <c r="DQ145" i="1" s="1"/>
  <c r="DQ166" i="1" s="1"/>
  <c r="DQ187" i="1" s="1"/>
  <c r="DQ208" i="1" s="1"/>
  <c r="DQ41" i="1"/>
  <c r="DQ62" i="1" s="1"/>
  <c r="DQ83" i="1" s="1"/>
  <c r="DQ104" i="1" s="1"/>
  <c r="DQ125" i="1" s="1"/>
  <c r="DQ146" i="1" s="1"/>
  <c r="DQ167" i="1" s="1"/>
  <c r="DQ188" i="1" s="1"/>
  <c r="DQ209" i="1" s="1"/>
  <c r="DQ42" i="1"/>
  <c r="DQ63" i="1" s="1"/>
  <c r="DQ84" i="1" s="1"/>
  <c r="DQ105" i="1" s="1"/>
  <c r="DQ126" i="1" s="1"/>
  <c r="DQ147" i="1" s="1"/>
  <c r="DQ168" i="1" s="1"/>
  <c r="DQ189" i="1" s="1"/>
  <c r="DQ210" i="1" s="1"/>
  <c r="DQ43" i="1"/>
  <c r="DQ64" i="1" s="1"/>
  <c r="DQ85" i="1" s="1"/>
  <c r="DQ106" i="1" s="1"/>
  <c r="DQ127" i="1" s="1"/>
  <c r="DQ148" i="1" s="1"/>
  <c r="DQ169" i="1" s="1"/>
  <c r="DQ190" i="1" s="1"/>
  <c r="DQ211" i="1" s="1"/>
  <c r="DQ44" i="1"/>
  <c r="DQ65" i="1" s="1"/>
  <c r="DQ86" i="1" s="1"/>
  <c r="DQ107" i="1" s="1"/>
  <c r="DQ128" i="1" s="1"/>
  <c r="DQ149" i="1" s="1"/>
  <c r="DQ170" i="1" s="1"/>
  <c r="DQ191" i="1" s="1"/>
  <c r="DQ212" i="1" s="1"/>
  <c r="DQ24" i="1"/>
  <c r="DQ45" i="1" s="1"/>
  <c r="DQ66" i="1" s="1"/>
  <c r="DQ87" i="1" s="1"/>
  <c r="DQ108" i="1" s="1"/>
  <c r="DQ129" i="1" s="1"/>
  <c r="DQ150" i="1" s="1"/>
  <c r="DQ171" i="1" s="1"/>
  <c r="DQ192" i="1" s="1"/>
  <c r="DR213" i="1"/>
  <c r="DR214" i="1"/>
  <c r="DR215" i="1"/>
  <c r="DR216" i="1"/>
  <c r="DR217" i="1"/>
  <c r="DR218" i="1"/>
  <c r="DR219" i="1"/>
  <c r="DR220" i="1"/>
  <c r="DR221" i="1"/>
  <c r="DR222" i="1"/>
  <c r="CF234" i="1"/>
  <c r="CF244" i="1" s="1"/>
  <c r="CF254" i="1" s="1"/>
  <c r="CF264" i="1" s="1"/>
  <c r="CF274" i="1" s="1"/>
  <c r="CF284" i="1" s="1"/>
  <c r="CF294" i="1" s="1"/>
  <c r="CF235" i="1"/>
  <c r="CF245" i="1" s="1"/>
  <c r="CF255" i="1" s="1"/>
  <c r="CF265" i="1" s="1"/>
  <c r="CF275" i="1" s="1"/>
  <c r="CF285" i="1" s="1"/>
  <c r="CF295" i="1" s="1"/>
  <c r="CF236" i="1"/>
  <c r="CF246" i="1" s="1"/>
  <c r="CF256" i="1" s="1"/>
  <c r="CF266" i="1" s="1"/>
  <c r="CF276" i="1" s="1"/>
  <c r="CF286" i="1" s="1"/>
  <c r="CF296" i="1" s="1"/>
  <c r="CF237" i="1"/>
  <c r="CF247" i="1" s="1"/>
  <c r="CF257" i="1" s="1"/>
  <c r="CF267" i="1" s="1"/>
  <c r="CF277" i="1" s="1"/>
  <c r="CF287" i="1" s="1"/>
  <c r="CF297" i="1" s="1"/>
  <c r="CF238" i="1"/>
  <c r="CF248" i="1" s="1"/>
  <c r="CF258" i="1" s="1"/>
  <c r="CF268" i="1" s="1"/>
  <c r="CF278" i="1" s="1"/>
  <c r="CF288" i="1" s="1"/>
  <c r="CF298" i="1" s="1"/>
  <c r="CF239" i="1"/>
  <c r="CF249" i="1" s="1"/>
  <c r="CF259" i="1" s="1"/>
  <c r="CF269" i="1" s="1"/>
  <c r="CF279" i="1" s="1"/>
  <c r="CF289" i="1" s="1"/>
  <c r="CF299" i="1" s="1"/>
  <c r="CF240" i="1"/>
  <c r="CF250" i="1" s="1"/>
  <c r="CF260" i="1" s="1"/>
  <c r="CF270" i="1" s="1"/>
  <c r="CF280" i="1" s="1"/>
  <c r="CF290" i="1" s="1"/>
  <c r="CF300" i="1" s="1"/>
  <c r="CF241" i="1"/>
  <c r="CF251" i="1" s="1"/>
  <c r="CF261" i="1" s="1"/>
  <c r="CF271" i="1" s="1"/>
  <c r="CF281" i="1" s="1"/>
  <c r="CF291" i="1" s="1"/>
  <c r="CF301" i="1" s="1"/>
  <c r="CF242" i="1"/>
  <c r="CF252" i="1" s="1"/>
  <c r="CF262" i="1" s="1"/>
  <c r="CF272" i="1" s="1"/>
  <c r="CF282" i="1" s="1"/>
  <c r="CF292" i="1" s="1"/>
  <c r="CF233" i="1"/>
  <c r="CF243" i="1" s="1"/>
  <c r="CF253" i="1" s="1"/>
  <c r="CF263" i="1" s="1"/>
  <c r="CF273" i="1" s="1"/>
  <c r="CF283" i="1" s="1"/>
  <c r="CF293" i="1" s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3" i="1"/>
  <c r="CF25" i="1"/>
  <c r="CF46" i="1" s="1"/>
  <c r="CF67" i="1" s="1"/>
  <c r="CF88" i="1" s="1"/>
  <c r="CF109" i="1" s="1"/>
  <c r="CF130" i="1" s="1"/>
  <c r="CF151" i="1" s="1"/>
  <c r="CF172" i="1" s="1"/>
  <c r="CF193" i="1" s="1"/>
  <c r="CE193" i="1" s="1"/>
  <c r="CF26" i="1"/>
  <c r="CF47" i="1" s="1"/>
  <c r="CF68" i="1" s="1"/>
  <c r="CF89" i="1" s="1"/>
  <c r="CF110" i="1" s="1"/>
  <c r="CF131" i="1" s="1"/>
  <c r="CF152" i="1" s="1"/>
  <c r="CF173" i="1" s="1"/>
  <c r="CF194" i="1" s="1"/>
  <c r="CE194" i="1" s="1"/>
  <c r="CF27" i="1"/>
  <c r="CF48" i="1" s="1"/>
  <c r="CF69" i="1" s="1"/>
  <c r="CF90" i="1" s="1"/>
  <c r="CF111" i="1" s="1"/>
  <c r="CF132" i="1" s="1"/>
  <c r="CF153" i="1" s="1"/>
  <c r="CF174" i="1" s="1"/>
  <c r="CF195" i="1" s="1"/>
  <c r="CE195" i="1" s="1"/>
  <c r="CF28" i="1"/>
  <c r="CF49" i="1" s="1"/>
  <c r="CF70" i="1" s="1"/>
  <c r="CF91" i="1" s="1"/>
  <c r="CF112" i="1" s="1"/>
  <c r="CF133" i="1" s="1"/>
  <c r="CF154" i="1" s="1"/>
  <c r="CF175" i="1" s="1"/>
  <c r="CF196" i="1" s="1"/>
  <c r="CE196" i="1" s="1"/>
  <c r="CF29" i="1"/>
  <c r="CF50" i="1" s="1"/>
  <c r="CF71" i="1" s="1"/>
  <c r="CF92" i="1" s="1"/>
  <c r="CF113" i="1" s="1"/>
  <c r="CF134" i="1" s="1"/>
  <c r="CF155" i="1" s="1"/>
  <c r="CF176" i="1" s="1"/>
  <c r="CF197" i="1" s="1"/>
  <c r="CE197" i="1" s="1"/>
  <c r="CF30" i="1"/>
  <c r="CF51" i="1" s="1"/>
  <c r="CF72" i="1" s="1"/>
  <c r="CF93" i="1" s="1"/>
  <c r="CF114" i="1" s="1"/>
  <c r="CF135" i="1" s="1"/>
  <c r="CF156" i="1" s="1"/>
  <c r="CF177" i="1" s="1"/>
  <c r="CF198" i="1" s="1"/>
  <c r="CE198" i="1" s="1"/>
  <c r="CF31" i="1"/>
  <c r="CF52" i="1" s="1"/>
  <c r="CF73" i="1" s="1"/>
  <c r="CF94" i="1" s="1"/>
  <c r="CF115" i="1" s="1"/>
  <c r="CF136" i="1" s="1"/>
  <c r="CF157" i="1" s="1"/>
  <c r="CF178" i="1" s="1"/>
  <c r="CF199" i="1" s="1"/>
  <c r="CE199" i="1" s="1"/>
  <c r="CF32" i="1"/>
  <c r="CF53" i="1" s="1"/>
  <c r="CF74" i="1" s="1"/>
  <c r="CF95" i="1" s="1"/>
  <c r="CF116" i="1" s="1"/>
  <c r="CF137" i="1" s="1"/>
  <c r="CF158" i="1" s="1"/>
  <c r="CF179" i="1" s="1"/>
  <c r="CF200" i="1" s="1"/>
  <c r="CE200" i="1" s="1"/>
  <c r="CF33" i="1"/>
  <c r="CF54" i="1" s="1"/>
  <c r="CF75" i="1" s="1"/>
  <c r="CF96" i="1" s="1"/>
  <c r="CF117" i="1" s="1"/>
  <c r="CF138" i="1" s="1"/>
  <c r="CF159" i="1" s="1"/>
  <c r="CF180" i="1" s="1"/>
  <c r="CF201" i="1" s="1"/>
  <c r="CE201" i="1" s="1"/>
  <c r="CF34" i="1"/>
  <c r="CF55" i="1" s="1"/>
  <c r="CF76" i="1" s="1"/>
  <c r="CF97" i="1" s="1"/>
  <c r="CF118" i="1" s="1"/>
  <c r="CF139" i="1" s="1"/>
  <c r="CF160" i="1" s="1"/>
  <c r="CF181" i="1" s="1"/>
  <c r="CF202" i="1" s="1"/>
  <c r="CE202" i="1" s="1"/>
  <c r="CF35" i="1"/>
  <c r="CF56" i="1" s="1"/>
  <c r="CF77" i="1" s="1"/>
  <c r="CF98" i="1" s="1"/>
  <c r="CF119" i="1" s="1"/>
  <c r="CF140" i="1" s="1"/>
  <c r="CF161" i="1" s="1"/>
  <c r="CF182" i="1" s="1"/>
  <c r="CF203" i="1" s="1"/>
  <c r="CE203" i="1" s="1"/>
  <c r="CF36" i="1"/>
  <c r="CE36" i="1" s="1"/>
  <c r="CF37" i="1"/>
  <c r="CE37" i="1" s="1"/>
  <c r="CF38" i="1"/>
  <c r="CE38" i="1" s="1"/>
  <c r="CF39" i="1"/>
  <c r="CF60" i="1" s="1"/>
  <c r="CF40" i="1"/>
  <c r="CF61" i="1" s="1"/>
  <c r="CF41" i="1"/>
  <c r="CF62" i="1" s="1"/>
  <c r="CF83" i="1" s="1"/>
  <c r="CF104" i="1" s="1"/>
  <c r="CF125" i="1" s="1"/>
  <c r="CF146" i="1" s="1"/>
  <c r="CF167" i="1" s="1"/>
  <c r="CF188" i="1" s="1"/>
  <c r="CF209" i="1" s="1"/>
  <c r="CE209" i="1" s="1"/>
  <c r="CF42" i="1"/>
  <c r="CF63" i="1" s="1"/>
  <c r="CF84" i="1" s="1"/>
  <c r="CF105" i="1" s="1"/>
  <c r="CF126" i="1" s="1"/>
  <c r="CF147" i="1" s="1"/>
  <c r="CF168" i="1" s="1"/>
  <c r="CF189" i="1" s="1"/>
  <c r="CF210" i="1" s="1"/>
  <c r="CE210" i="1" s="1"/>
  <c r="CF43" i="1"/>
  <c r="CF64" i="1" s="1"/>
  <c r="CF85" i="1" s="1"/>
  <c r="CF106" i="1" s="1"/>
  <c r="CF127" i="1" s="1"/>
  <c r="CF148" i="1" s="1"/>
  <c r="CF169" i="1" s="1"/>
  <c r="CF190" i="1" s="1"/>
  <c r="CF211" i="1" s="1"/>
  <c r="CE211" i="1" s="1"/>
  <c r="CF44" i="1"/>
  <c r="CF65" i="1" s="1"/>
  <c r="CF86" i="1" s="1"/>
  <c r="CF107" i="1" s="1"/>
  <c r="CF128" i="1" s="1"/>
  <c r="CF149" i="1" s="1"/>
  <c r="CF170" i="1" s="1"/>
  <c r="CF191" i="1" s="1"/>
  <c r="CF212" i="1" s="1"/>
  <c r="CE212" i="1" s="1"/>
  <c r="CF24" i="1"/>
  <c r="CE24" i="1" s="1"/>
  <c r="DW342" i="1"/>
  <c r="DR342" i="1"/>
  <c r="DM342" i="1"/>
  <c r="DW341" i="1"/>
  <c r="DR341" i="1"/>
  <c r="DM341" i="1"/>
  <c r="DW340" i="1"/>
  <c r="DR340" i="1"/>
  <c r="DM340" i="1"/>
  <c r="DW339" i="1"/>
  <c r="DR339" i="1"/>
  <c r="DM339" i="1"/>
  <c r="DW338" i="1"/>
  <c r="DR338" i="1"/>
  <c r="DM338" i="1"/>
  <c r="DW337" i="1"/>
  <c r="DR337" i="1"/>
  <c r="DM337" i="1"/>
  <c r="DW336" i="1"/>
  <c r="DR336" i="1"/>
  <c r="DM336" i="1"/>
  <c r="CI336" i="1"/>
  <c r="CI338" i="1" s="1"/>
  <c r="CI340" i="1" s="1"/>
  <c r="CI342" i="1" s="1"/>
  <c r="DW335" i="1"/>
  <c r="DR335" i="1"/>
  <c r="DM335" i="1"/>
  <c r="CI335" i="1"/>
  <c r="CI337" i="1" s="1"/>
  <c r="CI339" i="1" s="1"/>
  <c r="CI341" i="1" s="1"/>
  <c r="DW334" i="1"/>
  <c r="DR334" i="1"/>
  <c r="DM334" i="1"/>
  <c r="DW333" i="1"/>
  <c r="DR333" i="1"/>
  <c r="DM333" i="1"/>
  <c r="DW332" i="1"/>
  <c r="DR332" i="1"/>
  <c r="DM332" i="1"/>
  <c r="DW331" i="1"/>
  <c r="DR331" i="1"/>
  <c r="DM331" i="1"/>
  <c r="DW330" i="1"/>
  <c r="DR330" i="1"/>
  <c r="DM330" i="1"/>
  <c r="DW329" i="1"/>
  <c r="DR329" i="1"/>
  <c r="DM329" i="1"/>
  <c r="DW328" i="1"/>
  <c r="DR328" i="1"/>
  <c r="DM328" i="1"/>
  <c r="DW327" i="1"/>
  <c r="DR327" i="1"/>
  <c r="DM327" i="1"/>
  <c r="DW326" i="1"/>
  <c r="DR326" i="1"/>
  <c r="DM326" i="1"/>
  <c r="DW325" i="1"/>
  <c r="DR325" i="1"/>
  <c r="DM325" i="1"/>
  <c r="DW324" i="1"/>
  <c r="DR324" i="1"/>
  <c r="DM324" i="1"/>
  <c r="DW323" i="1"/>
  <c r="DR323" i="1"/>
  <c r="DM323" i="1"/>
  <c r="DW322" i="1"/>
  <c r="DR322" i="1"/>
  <c r="DM322" i="1"/>
  <c r="DW321" i="1"/>
  <c r="DR321" i="1"/>
  <c r="DM321" i="1"/>
  <c r="DW320" i="1"/>
  <c r="DR320" i="1"/>
  <c r="DM320" i="1"/>
  <c r="DW319" i="1"/>
  <c r="DR319" i="1"/>
  <c r="DM319" i="1"/>
  <c r="DW318" i="1"/>
  <c r="DR318" i="1"/>
  <c r="DM318" i="1"/>
  <c r="DW317" i="1"/>
  <c r="DR317" i="1"/>
  <c r="DM317" i="1"/>
  <c r="DW316" i="1"/>
  <c r="DR316" i="1"/>
  <c r="DM316" i="1"/>
  <c r="CJ316" i="1"/>
  <c r="CJ318" i="1" s="1"/>
  <c r="CJ320" i="1" s="1"/>
  <c r="CJ322" i="1" s="1"/>
  <c r="CJ324" i="1" s="1"/>
  <c r="CJ326" i="1" s="1"/>
  <c r="CJ328" i="1" s="1"/>
  <c r="CJ330" i="1" s="1"/>
  <c r="CJ332" i="1" s="1"/>
  <c r="CJ334" i="1" s="1"/>
  <c r="CJ336" i="1" s="1"/>
  <c r="CJ338" i="1" s="1"/>
  <c r="CJ340" i="1" s="1"/>
  <c r="CJ342" i="1" s="1"/>
  <c r="CI316" i="1"/>
  <c r="CI318" i="1" s="1"/>
  <c r="CI320" i="1" s="1"/>
  <c r="CI322" i="1" s="1"/>
  <c r="DW315" i="1"/>
  <c r="DR315" i="1"/>
  <c r="DM315" i="1"/>
  <c r="CJ315" i="1"/>
  <c r="CJ317" i="1" s="1"/>
  <c r="CJ319" i="1" s="1"/>
  <c r="CJ321" i="1" s="1"/>
  <c r="CJ323" i="1" s="1"/>
  <c r="CJ325" i="1" s="1"/>
  <c r="CJ327" i="1" s="1"/>
  <c r="CJ329" i="1" s="1"/>
  <c r="CJ331" i="1" s="1"/>
  <c r="CJ333" i="1" s="1"/>
  <c r="CJ335" i="1" s="1"/>
  <c r="CJ337" i="1" s="1"/>
  <c r="CJ339" i="1" s="1"/>
  <c r="CJ341" i="1" s="1"/>
  <c r="CI315" i="1"/>
  <c r="CI317" i="1" s="1"/>
  <c r="CI319" i="1" s="1"/>
  <c r="CI321" i="1" s="1"/>
  <c r="DW314" i="1"/>
  <c r="DR314" i="1"/>
  <c r="DM314" i="1"/>
  <c r="DW313" i="1"/>
  <c r="DR313" i="1"/>
  <c r="DM313" i="1"/>
  <c r="DY312" i="1"/>
  <c r="DW312" i="1"/>
  <c r="DM312" i="1"/>
  <c r="CA312" i="1"/>
  <c r="CB312" i="1" s="1"/>
  <c r="DY311" i="1"/>
  <c r="DW311" i="1"/>
  <c r="DM311" i="1"/>
  <c r="CA311" i="1"/>
  <c r="CB311" i="1" s="1"/>
  <c r="DY310" i="1"/>
  <c r="DW310" i="1"/>
  <c r="DM310" i="1"/>
  <c r="CA310" i="1"/>
  <c r="CB310" i="1" s="1"/>
  <c r="DY309" i="1"/>
  <c r="DW309" i="1"/>
  <c r="DM309" i="1"/>
  <c r="CA309" i="1"/>
  <c r="CB309" i="1" s="1"/>
  <c r="DY308" i="1"/>
  <c r="DW308" i="1"/>
  <c r="DM308" i="1"/>
  <c r="CA308" i="1"/>
  <c r="CB308" i="1" s="1"/>
  <c r="DY307" i="1"/>
  <c r="DW307" i="1"/>
  <c r="DM307" i="1"/>
  <c r="CA307" i="1"/>
  <c r="CB307" i="1" s="1"/>
  <c r="DY306" i="1"/>
  <c r="DW306" i="1"/>
  <c r="DM306" i="1"/>
  <c r="CA306" i="1"/>
  <c r="CB306" i="1" s="1"/>
  <c r="DY305" i="1"/>
  <c r="DW305" i="1"/>
  <c r="DM305" i="1"/>
  <c r="CA305" i="1"/>
  <c r="CB305" i="1" s="1"/>
  <c r="DY304" i="1"/>
  <c r="DW304" i="1"/>
  <c r="DM304" i="1"/>
  <c r="CA304" i="1"/>
  <c r="CB304" i="1" s="1"/>
  <c r="DY303" i="1"/>
  <c r="DW303" i="1"/>
  <c r="DM303" i="1"/>
  <c r="CA303" i="1"/>
  <c r="CB303" i="1" s="1"/>
  <c r="DY302" i="1"/>
  <c r="DW302" i="1"/>
  <c r="DM302" i="1"/>
  <c r="CA302" i="1"/>
  <c r="CB302" i="1" s="1"/>
  <c r="DY301" i="1"/>
  <c r="DW301" i="1"/>
  <c r="DM301" i="1"/>
  <c r="CA301" i="1"/>
  <c r="CB301" i="1" s="1"/>
  <c r="DY300" i="1"/>
  <c r="DW300" i="1"/>
  <c r="DM300" i="1"/>
  <c r="CA300" i="1"/>
  <c r="CB300" i="1" s="1"/>
  <c r="DY299" i="1"/>
  <c r="DW299" i="1"/>
  <c r="DM299" i="1"/>
  <c r="CA299" i="1"/>
  <c r="CB299" i="1" s="1"/>
  <c r="DY298" i="1"/>
  <c r="DW298" i="1"/>
  <c r="DM298" i="1"/>
  <c r="CA298" i="1"/>
  <c r="CB298" i="1" s="1"/>
  <c r="DY297" i="1"/>
  <c r="DW297" i="1"/>
  <c r="DM297" i="1"/>
  <c r="CA297" i="1"/>
  <c r="CB297" i="1" s="1"/>
  <c r="DY296" i="1"/>
  <c r="DW296" i="1"/>
  <c r="DM296" i="1"/>
  <c r="CA296" i="1"/>
  <c r="CB296" i="1" s="1"/>
  <c r="DY295" i="1"/>
  <c r="DW295" i="1"/>
  <c r="DM295" i="1"/>
  <c r="CA295" i="1"/>
  <c r="CB295" i="1" s="1"/>
  <c r="DY294" i="1"/>
  <c r="DW294" i="1"/>
  <c r="DM294" i="1"/>
  <c r="CA294" i="1"/>
  <c r="CB294" i="1" s="1"/>
  <c r="DY293" i="1"/>
  <c r="DW293" i="1"/>
  <c r="DM293" i="1"/>
  <c r="CA293" i="1"/>
  <c r="CB293" i="1" s="1"/>
  <c r="DY292" i="1"/>
  <c r="DW292" i="1"/>
  <c r="DM292" i="1"/>
  <c r="CA292" i="1"/>
  <c r="CB292" i="1" s="1"/>
  <c r="DY291" i="1"/>
  <c r="DW291" i="1"/>
  <c r="DM291" i="1"/>
  <c r="CA291" i="1"/>
  <c r="CB291" i="1" s="1"/>
  <c r="DY290" i="1"/>
  <c r="DW290" i="1"/>
  <c r="DM290" i="1"/>
  <c r="CA290" i="1"/>
  <c r="CB290" i="1" s="1"/>
  <c r="DY289" i="1"/>
  <c r="DW289" i="1"/>
  <c r="DM289" i="1"/>
  <c r="CA289" i="1"/>
  <c r="CB289" i="1" s="1"/>
  <c r="DY288" i="1"/>
  <c r="DW288" i="1"/>
  <c r="DM288" i="1"/>
  <c r="CA288" i="1"/>
  <c r="CB288" i="1" s="1"/>
  <c r="DY287" i="1"/>
  <c r="DW287" i="1"/>
  <c r="DM287" i="1"/>
  <c r="CA287" i="1"/>
  <c r="CB287" i="1" s="1"/>
  <c r="DY286" i="1"/>
  <c r="DW286" i="1"/>
  <c r="DM286" i="1"/>
  <c r="CA286" i="1"/>
  <c r="CB286" i="1" s="1"/>
  <c r="DY285" i="1"/>
  <c r="DW285" i="1"/>
  <c r="DM285" i="1"/>
  <c r="CA285" i="1"/>
  <c r="CB285" i="1" s="1"/>
  <c r="DY284" i="1"/>
  <c r="DW284" i="1"/>
  <c r="DM284" i="1"/>
  <c r="CA284" i="1"/>
  <c r="CB284" i="1" s="1"/>
  <c r="DY283" i="1"/>
  <c r="DW283" i="1"/>
  <c r="DM283" i="1"/>
  <c r="CA283" i="1"/>
  <c r="CB283" i="1" s="1"/>
  <c r="DY282" i="1"/>
  <c r="DW282" i="1"/>
  <c r="DM282" i="1"/>
  <c r="CA282" i="1"/>
  <c r="CB282" i="1" s="1"/>
  <c r="DY281" i="1"/>
  <c r="DW281" i="1"/>
  <c r="DM281" i="1"/>
  <c r="CA281" i="1"/>
  <c r="CB281" i="1" s="1"/>
  <c r="DY280" i="1"/>
  <c r="DW280" i="1"/>
  <c r="DM280" i="1"/>
  <c r="CA280" i="1"/>
  <c r="CB280" i="1" s="1"/>
  <c r="DY279" i="1"/>
  <c r="DW279" i="1"/>
  <c r="DM279" i="1"/>
  <c r="CA279" i="1"/>
  <c r="CB279" i="1" s="1"/>
  <c r="DY278" i="1"/>
  <c r="DW278" i="1"/>
  <c r="DM278" i="1"/>
  <c r="CA278" i="1"/>
  <c r="CB278" i="1" s="1"/>
  <c r="DY277" i="1"/>
  <c r="DW277" i="1"/>
  <c r="DM277" i="1"/>
  <c r="CA277" i="1"/>
  <c r="CB277" i="1" s="1"/>
  <c r="DY276" i="1"/>
  <c r="DW276" i="1"/>
  <c r="DM276" i="1"/>
  <c r="CA276" i="1"/>
  <c r="CB276" i="1" s="1"/>
  <c r="DY275" i="1"/>
  <c r="DW275" i="1"/>
  <c r="DM275" i="1"/>
  <c r="CA275" i="1"/>
  <c r="CB275" i="1" s="1"/>
  <c r="DY274" i="1"/>
  <c r="DW274" i="1"/>
  <c r="DM274" i="1"/>
  <c r="CA274" i="1"/>
  <c r="CB274" i="1" s="1"/>
  <c r="DY273" i="1"/>
  <c r="DW273" i="1"/>
  <c r="DM273" i="1"/>
  <c r="CA273" i="1"/>
  <c r="CB273" i="1" s="1"/>
  <c r="DY272" i="1"/>
  <c r="DW272" i="1"/>
  <c r="DM272" i="1"/>
  <c r="CA272" i="1"/>
  <c r="CB272" i="1" s="1"/>
  <c r="DY271" i="1"/>
  <c r="DW271" i="1"/>
  <c r="DM271" i="1"/>
  <c r="CA271" i="1"/>
  <c r="CB271" i="1" s="1"/>
  <c r="DY270" i="1"/>
  <c r="DW270" i="1"/>
  <c r="DM270" i="1"/>
  <c r="CA270" i="1"/>
  <c r="CB270" i="1" s="1"/>
  <c r="DY269" i="1"/>
  <c r="DW269" i="1"/>
  <c r="DM269" i="1"/>
  <c r="CA269" i="1"/>
  <c r="CB269" i="1" s="1"/>
  <c r="DY268" i="1"/>
  <c r="DW268" i="1"/>
  <c r="DM268" i="1"/>
  <c r="CA268" i="1"/>
  <c r="CB268" i="1" s="1"/>
  <c r="DY267" i="1"/>
  <c r="DW267" i="1"/>
  <c r="DM267" i="1"/>
  <c r="CA267" i="1"/>
  <c r="CB267" i="1" s="1"/>
  <c r="DY266" i="1"/>
  <c r="DW266" i="1"/>
  <c r="DM266" i="1"/>
  <c r="CA266" i="1"/>
  <c r="CB266" i="1" s="1"/>
  <c r="DY265" i="1"/>
  <c r="DW265" i="1"/>
  <c r="DM265" i="1"/>
  <c r="CA265" i="1"/>
  <c r="CB265" i="1" s="1"/>
  <c r="DY264" i="1"/>
  <c r="DW264" i="1"/>
  <c r="DM264" i="1"/>
  <c r="CA264" i="1"/>
  <c r="CB264" i="1" s="1"/>
  <c r="DY263" i="1"/>
  <c r="DW263" i="1"/>
  <c r="DM263" i="1"/>
  <c r="CA263" i="1"/>
  <c r="CB263" i="1" s="1"/>
  <c r="DY262" i="1"/>
  <c r="DW262" i="1"/>
  <c r="DM262" i="1"/>
  <c r="CA262" i="1"/>
  <c r="CB262" i="1" s="1"/>
  <c r="DY261" i="1"/>
  <c r="DW261" i="1"/>
  <c r="DM261" i="1"/>
  <c r="CA261" i="1"/>
  <c r="CB261" i="1" s="1"/>
  <c r="DY260" i="1"/>
  <c r="DW260" i="1"/>
  <c r="DM260" i="1"/>
  <c r="CA260" i="1"/>
  <c r="CB260" i="1" s="1"/>
  <c r="DY259" i="1"/>
  <c r="DW259" i="1"/>
  <c r="DM259" i="1"/>
  <c r="CA259" i="1"/>
  <c r="CB259" i="1" s="1"/>
  <c r="DY258" i="1"/>
  <c r="DW258" i="1"/>
  <c r="DM258" i="1"/>
  <c r="CA258" i="1"/>
  <c r="CB258" i="1" s="1"/>
  <c r="DY257" i="1"/>
  <c r="DW257" i="1"/>
  <c r="DM257" i="1"/>
  <c r="CA257" i="1"/>
  <c r="CB257" i="1" s="1"/>
  <c r="DY256" i="1"/>
  <c r="DW256" i="1"/>
  <c r="DM256" i="1"/>
  <c r="CA256" i="1"/>
  <c r="CB256" i="1" s="1"/>
  <c r="DY255" i="1"/>
  <c r="DW255" i="1"/>
  <c r="DM255" i="1"/>
  <c r="CA255" i="1"/>
  <c r="CB255" i="1" s="1"/>
  <c r="DY254" i="1"/>
  <c r="DW254" i="1"/>
  <c r="DM254" i="1"/>
  <c r="CA254" i="1"/>
  <c r="CB254" i="1" s="1"/>
  <c r="DY253" i="1"/>
  <c r="DW253" i="1"/>
  <c r="DM253" i="1"/>
  <c r="CA253" i="1"/>
  <c r="CB253" i="1" s="1"/>
  <c r="DY252" i="1"/>
  <c r="DW252" i="1"/>
  <c r="DM252" i="1"/>
  <c r="CA252" i="1"/>
  <c r="CB252" i="1" s="1"/>
  <c r="DY251" i="1"/>
  <c r="DW251" i="1"/>
  <c r="DM251" i="1"/>
  <c r="CA251" i="1"/>
  <c r="CB251" i="1" s="1"/>
  <c r="DY250" i="1"/>
  <c r="DW250" i="1"/>
  <c r="DM250" i="1"/>
  <c r="CA250" i="1"/>
  <c r="CB250" i="1" s="1"/>
  <c r="DY249" i="1"/>
  <c r="DW249" i="1"/>
  <c r="DM249" i="1"/>
  <c r="CA249" i="1"/>
  <c r="CB249" i="1" s="1"/>
  <c r="DY248" i="1"/>
  <c r="DW248" i="1"/>
  <c r="DM248" i="1"/>
  <c r="CA248" i="1"/>
  <c r="CB248" i="1" s="1"/>
  <c r="DY247" i="1"/>
  <c r="DW247" i="1"/>
  <c r="DM247" i="1"/>
  <c r="CA247" i="1"/>
  <c r="CB247" i="1" s="1"/>
  <c r="DY246" i="1"/>
  <c r="DW246" i="1"/>
  <c r="DM246" i="1"/>
  <c r="CA246" i="1"/>
  <c r="CB246" i="1" s="1"/>
  <c r="DY245" i="1"/>
  <c r="DW245" i="1"/>
  <c r="DM245" i="1"/>
  <c r="CA245" i="1"/>
  <c r="CB245" i="1" s="1"/>
  <c r="DY244" i="1"/>
  <c r="DW244" i="1"/>
  <c r="DM244" i="1"/>
  <c r="CA244" i="1"/>
  <c r="CB244" i="1" s="1"/>
  <c r="DY243" i="1"/>
  <c r="DW243" i="1"/>
  <c r="DM243" i="1"/>
  <c r="CA243" i="1"/>
  <c r="CB243" i="1" s="1"/>
  <c r="DY242" i="1"/>
  <c r="DW242" i="1"/>
  <c r="DM242" i="1"/>
  <c r="CA242" i="1"/>
  <c r="CB242" i="1" s="1"/>
  <c r="DY241" i="1"/>
  <c r="DW241" i="1"/>
  <c r="DM241" i="1"/>
  <c r="CA241" i="1"/>
  <c r="CB241" i="1" s="1"/>
  <c r="DY240" i="1"/>
  <c r="DW240" i="1"/>
  <c r="DM240" i="1"/>
  <c r="CA240" i="1"/>
  <c r="CB240" i="1" s="1"/>
  <c r="DY239" i="1"/>
  <c r="DW239" i="1"/>
  <c r="DM239" i="1"/>
  <c r="CA239" i="1"/>
  <c r="CB239" i="1" s="1"/>
  <c r="DY238" i="1"/>
  <c r="DW238" i="1"/>
  <c r="DM238" i="1"/>
  <c r="CA238" i="1"/>
  <c r="CB238" i="1" s="1"/>
  <c r="DY237" i="1"/>
  <c r="DW237" i="1"/>
  <c r="DM237" i="1"/>
  <c r="CA237" i="1"/>
  <c r="CB237" i="1" s="1"/>
  <c r="DY236" i="1"/>
  <c r="DW236" i="1"/>
  <c r="DM236" i="1"/>
  <c r="CA236" i="1"/>
  <c r="CB236" i="1" s="1"/>
  <c r="DY235" i="1"/>
  <c r="DW235" i="1"/>
  <c r="DM235" i="1"/>
  <c r="CA235" i="1"/>
  <c r="CB235" i="1" s="1"/>
  <c r="DY234" i="1"/>
  <c r="DW234" i="1"/>
  <c r="DM234" i="1"/>
  <c r="CA234" i="1"/>
  <c r="CB234" i="1" s="1"/>
  <c r="DY233" i="1"/>
  <c r="DW233" i="1"/>
  <c r="DM233" i="1"/>
  <c r="CA233" i="1"/>
  <c r="CB233" i="1" s="1"/>
  <c r="DY232" i="1"/>
  <c r="DW232" i="1"/>
  <c r="DM232" i="1"/>
  <c r="CA232" i="1"/>
  <c r="CB232" i="1" s="1"/>
  <c r="BT232" i="1"/>
  <c r="DD232" i="1" s="1"/>
  <c r="DC232" i="1" s="1"/>
  <c r="BA232" i="1"/>
  <c r="BA242" i="1" s="1"/>
  <c r="BA252" i="1" s="1"/>
  <c r="BA262" i="1" s="1"/>
  <c r="BA272" i="1" s="1"/>
  <c r="BA282" i="1" s="1"/>
  <c r="BA292" i="1" s="1"/>
  <c r="BA302" i="1" s="1"/>
  <c r="BA312" i="1" s="1"/>
  <c r="DY231" i="1"/>
  <c r="DW231" i="1"/>
  <c r="DM231" i="1"/>
  <c r="CA231" i="1"/>
  <c r="CB231" i="1" s="1"/>
  <c r="BT231" i="1"/>
  <c r="CE231" i="1" s="1"/>
  <c r="CE241" i="1" s="1"/>
  <c r="CE251" i="1" s="1"/>
  <c r="CE261" i="1" s="1"/>
  <c r="CE271" i="1" s="1"/>
  <c r="CE281" i="1" s="1"/>
  <c r="CE291" i="1" s="1"/>
  <c r="CE301" i="1" s="1"/>
  <c r="BA231" i="1"/>
  <c r="BA241" i="1" s="1"/>
  <c r="BA251" i="1" s="1"/>
  <c r="BA261" i="1" s="1"/>
  <c r="BA271" i="1" s="1"/>
  <c r="BA281" i="1" s="1"/>
  <c r="BA291" i="1" s="1"/>
  <c r="BA301" i="1" s="1"/>
  <c r="BA311" i="1" s="1"/>
  <c r="DY230" i="1"/>
  <c r="DW230" i="1"/>
  <c r="DM230" i="1"/>
  <c r="CA230" i="1"/>
  <c r="CB230" i="1" s="1"/>
  <c r="BT230" i="1"/>
  <c r="BT240" i="1" s="1"/>
  <c r="BA230" i="1"/>
  <c r="BA240" i="1" s="1"/>
  <c r="BA250" i="1" s="1"/>
  <c r="BA260" i="1" s="1"/>
  <c r="BA270" i="1" s="1"/>
  <c r="BA280" i="1" s="1"/>
  <c r="BA290" i="1" s="1"/>
  <c r="BA300" i="1" s="1"/>
  <c r="BA310" i="1" s="1"/>
  <c r="DY229" i="1"/>
  <c r="DW229" i="1"/>
  <c r="DM229" i="1"/>
  <c r="CA229" i="1"/>
  <c r="CB229" i="1" s="1"/>
  <c r="BT229" i="1"/>
  <c r="DD229" i="1" s="1"/>
  <c r="DC229" i="1" s="1"/>
  <c r="BA229" i="1"/>
  <c r="BA239" i="1" s="1"/>
  <c r="BA249" i="1" s="1"/>
  <c r="BA259" i="1" s="1"/>
  <c r="BA269" i="1" s="1"/>
  <c r="BA279" i="1" s="1"/>
  <c r="BA289" i="1" s="1"/>
  <c r="BA299" i="1" s="1"/>
  <c r="BA309" i="1" s="1"/>
  <c r="DY228" i="1"/>
  <c r="DW228" i="1"/>
  <c r="DM228" i="1"/>
  <c r="CA228" i="1"/>
  <c r="CB228" i="1" s="1"/>
  <c r="BT228" i="1"/>
  <c r="CE228" i="1" s="1"/>
  <c r="CE238" i="1" s="1"/>
  <c r="CE248" i="1" s="1"/>
  <c r="CE258" i="1" s="1"/>
  <c r="CE268" i="1" s="1"/>
  <c r="CE278" i="1" s="1"/>
  <c r="CE288" i="1" s="1"/>
  <c r="CE298" i="1" s="1"/>
  <c r="BA228" i="1"/>
  <c r="BA238" i="1" s="1"/>
  <c r="BA248" i="1" s="1"/>
  <c r="BA258" i="1" s="1"/>
  <c r="BA268" i="1" s="1"/>
  <c r="BA278" i="1" s="1"/>
  <c r="BA288" i="1" s="1"/>
  <c r="BA298" i="1" s="1"/>
  <c r="BA308" i="1" s="1"/>
  <c r="DY227" i="1"/>
  <c r="DW227" i="1"/>
  <c r="DM227" i="1"/>
  <c r="CA227" i="1"/>
  <c r="CB227" i="1" s="1"/>
  <c r="BT227" i="1"/>
  <c r="CE227" i="1" s="1"/>
  <c r="CE237" i="1" s="1"/>
  <c r="CE247" i="1" s="1"/>
  <c r="CE257" i="1" s="1"/>
  <c r="CE267" i="1" s="1"/>
  <c r="CE277" i="1" s="1"/>
  <c r="CE287" i="1" s="1"/>
  <c r="CE297" i="1" s="1"/>
  <c r="BA227" i="1"/>
  <c r="BA237" i="1" s="1"/>
  <c r="BA247" i="1" s="1"/>
  <c r="BA257" i="1" s="1"/>
  <c r="BA267" i="1" s="1"/>
  <c r="BA277" i="1" s="1"/>
  <c r="BA287" i="1" s="1"/>
  <c r="BA297" i="1" s="1"/>
  <c r="BA307" i="1" s="1"/>
  <c r="DY226" i="1"/>
  <c r="DW226" i="1"/>
  <c r="DM226" i="1"/>
  <c r="CA226" i="1"/>
  <c r="CB226" i="1" s="1"/>
  <c r="BT226" i="1"/>
  <c r="CE226" i="1" s="1"/>
  <c r="CE236" i="1" s="1"/>
  <c r="CE246" i="1" s="1"/>
  <c r="CE256" i="1" s="1"/>
  <c r="CE266" i="1" s="1"/>
  <c r="CE276" i="1" s="1"/>
  <c r="CE286" i="1" s="1"/>
  <c r="CE296" i="1" s="1"/>
  <c r="BA226" i="1"/>
  <c r="BA236" i="1" s="1"/>
  <c r="BA246" i="1" s="1"/>
  <c r="BA256" i="1" s="1"/>
  <c r="BA266" i="1" s="1"/>
  <c r="BA276" i="1" s="1"/>
  <c r="BA286" i="1" s="1"/>
  <c r="BA296" i="1" s="1"/>
  <c r="BA306" i="1" s="1"/>
  <c r="DY225" i="1"/>
  <c r="DW225" i="1"/>
  <c r="DM225" i="1"/>
  <c r="CA225" i="1"/>
  <c r="CB225" i="1" s="1"/>
  <c r="BT225" i="1"/>
  <c r="CE225" i="1" s="1"/>
  <c r="CE235" i="1" s="1"/>
  <c r="CE245" i="1" s="1"/>
  <c r="CE255" i="1" s="1"/>
  <c r="CE265" i="1" s="1"/>
  <c r="CE275" i="1" s="1"/>
  <c r="CE285" i="1" s="1"/>
  <c r="CE295" i="1" s="1"/>
  <c r="BA225" i="1"/>
  <c r="BA235" i="1" s="1"/>
  <c r="BA245" i="1" s="1"/>
  <c r="BA255" i="1" s="1"/>
  <c r="BA265" i="1" s="1"/>
  <c r="BA275" i="1" s="1"/>
  <c r="BA285" i="1" s="1"/>
  <c r="BA295" i="1" s="1"/>
  <c r="BA305" i="1" s="1"/>
  <c r="DY224" i="1"/>
  <c r="DW224" i="1"/>
  <c r="DM224" i="1"/>
  <c r="CA224" i="1"/>
  <c r="CB224" i="1" s="1"/>
  <c r="BT224" i="1"/>
  <c r="BT234" i="1" s="1"/>
  <c r="BA224" i="1"/>
  <c r="BA234" i="1" s="1"/>
  <c r="BA244" i="1" s="1"/>
  <c r="BA254" i="1" s="1"/>
  <c r="BA264" i="1" s="1"/>
  <c r="BA274" i="1" s="1"/>
  <c r="BA284" i="1" s="1"/>
  <c r="BA294" i="1" s="1"/>
  <c r="BA304" i="1" s="1"/>
  <c r="DY223" i="1"/>
  <c r="DW223" i="1"/>
  <c r="DM223" i="1"/>
  <c r="CA223" i="1"/>
  <c r="CB223" i="1" s="1"/>
  <c r="BT223" i="1"/>
  <c r="BT233" i="1" s="1"/>
  <c r="DD233" i="1" s="1"/>
  <c r="DC233" i="1" s="1"/>
  <c r="BA223" i="1"/>
  <c r="BA233" i="1" s="1"/>
  <c r="BA243" i="1" s="1"/>
  <c r="BA253" i="1" s="1"/>
  <c r="BA263" i="1" s="1"/>
  <c r="BA273" i="1" s="1"/>
  <c r="BA283" i="1" s="1"/>
  <c r="BA293" i="1" s="1"/>
  <c r="BA303" i="1" s="1"/>
  <c r="DY222" i="1"/>
  <c r="DW222" i="1"/>
  <c r="DM222" i="1"/>
  <c r="DD222" i="1"/>
  <c r="DC222" i="1" s="1"/>
  <c r="BY222" i="1"/>
  <c r="BY232" i="1" s="1"/>
  <c r="BY242" i="1" s="1"/>
  <c r="BX222" i="1"/>
  <c r="BX232" i="1" s="1"/>
  <c r="BX242" i="1" s="1"/>
  <c r="BX252" i="1" s="1"/>
  <c r="BX262" i="1" s="1"/>
  <c r="BX272" i="1" s="1"/>
  <c r="BX282" i="1" s="1"/>
  <c r="BX292" i="1" s="1"/>
  <c r="BX302" i="1" s="1"/>
  <c r="BX312" i="1" s="1"/>
  <c r="BX322" i="1" s="1"/>
  <c r="BX332" i="1" s="1"/>
  <c r="BX342" i="1" s="1"/>
  <c r="BW222" i="1"/>
  <c r="BW232" i="1" s="1"/>
  <c r="BW242" i="1" s="1"/>
  <c r="BW252" i="1" s="1"/>
  <c r="BW262" i="1" s="1"/>
  <c r="BW272" i="1" s="1"/>
  <c r="BW282" i="1" s="1"/>
  <c r="BW292" i="1" s="1"/>
  <c r="BW302" i="1" s="1"/>
  <c r="BW312" i="1" s="1"/>
  <c r="BW322" i="1" s="1"/>
  <c r="BW332" i="1" s="1"/>
  <c r="BW342" i="1" s="1"/>
  <c r="BV222" i="1"/>
  <c r="DY221" i="1"/>
  <c r="DW221" i="1"/>
  <c r="DM221" i="1"/>
  <c r="DD221" i="1"/>
  <c r="DC221" i="1" s="1"/>
  <c r="BY221" i="1"/>
  <c r="BY231" i="1" s="1"/>
  <c r="BY241" i="1" s="1"/>
  <c r="BX221" i="1"/>
  <c r="BX231" i="1" s="1"/>
  <c r="BX241" i="1" s="1"/>
  <c r="BX251" i="1" s="1"/>
  <c r="BX261" i="1" s="1"/>
  <c r="BX271" i="1" s="1"/>
  <c r="BX281" i="1" s="1"/>
  <c r="BX291" i="1" s="1"/>
  <c r="BX301" i="1" s="1"/>
  <c r="BX311" i="1" s="1"/>
  <c r="BX321" i="1" s="1"/>
  <c r="BX331" i="1" s="1"/>
  <c r="BX341" i="1" s="1"/>
  <c r="BW221" i="1"/>
  <c r="BW231" i="1" s="1"/>
  <c r="BW241" i="1" s="1"/>
  <c r="BW251" i="1" s="1"/>
  <c r="BW261" i="1" s="1"/>
  <c r="BW271" i="1" s="1"/>
  <c r="BW281" i="1" s="1"/>
  <c r="BW291" i="1" s="1"/>
  <c r="BW301" i="1" s="1"/>
  <c r="BW311" i="1" s="1"/>
  <c r="BW321" i="1" s="1"/>
  <c r="BW331" i="1" s="1"/>
  <c r="BW341" i="1" s="1"/>
  <c r="BV221" i="1"/>
  <c r="DY220" i="1"/>
  <c r="DW220" i="1"/>
  <c r="DM220" i="1"/>
  <c r="DD220" i="1"/>
  <c r="DC220" i="1" s="1"/>
  <c r="BY220" i="1"/>
  <c r="BY230" i="1" s="1"/>
  <c r="BY240" i="1" s="1"/>
  <c r="BX220" i="1"/>
  <c r="BX230" i="1" s="1"/>
  <c r="BX240" i="1" s="1"/>
  <c r="BX250" i="1" s="1"/>
  <c r="BX260" i="1" s="1"/>
  <c r="BX270" i="1" s="1"/>
  <c r="BX280" i="1" s="1"/>
  <c r="BX290" i="1" s="1"/>
  <c r="BX300" i="1" s="1"/>
  <c r="BX310" i="1" s="1"/>
  <c r="BX320" i="1" s="1"/>
  <c r="BX330" i="1" s="1"/>
  <c r="BX340" i="1" s="1"/>
  <c r="BW220" i="1"/>
  <c r="BW230" i="1" s="1"/>
  <c r="BW240" i="1" s="1"/>
  <c r="BW250" i="1" s="1"/>
  <c r="BW260" i="1" s="1"/>
  <c r="BW270" i="1" s="1"/>
  <c r="BW280" i="1" s="1"/>
  <c r="BW290" i="1" s="1"/>
  <c r="BW300" i="1" s="1"/>
  <c r="BW310" i="1" s="1"/>
  <c r="BW320" i="1" s="1"/>
  <c r="BW330" i="1" s="1"/>
  <c r="BW340" i="1" s="1"/>
  <c r="BV220" i="1"/>
  <c r="DY219" i="1"/>
  <c r="DW219" i="1"/>
  <c r="DM219" i="1"/>
  <c r="DD219" i="1"/>
  <c r="DC219" i="1" s="1"/>
  <c r="BY219" i="1"/>
  <c r="BY229" i="1" s="1"/>
  <c r="BY239" i="1" s="1"/>
  <c r="BX219" i="1"/>
  <c r="BX229" i="1" s="1"/>
  <c r="BX239" i="1" s="1"/>
  <c r="BX249" i="1" s="1"/>
  <c r="BX259" i="1" s="1"/>
  <c r="BX269" i="1" s="1"/>
  <c r="BX279" i="1" s="1"/>
  <c r="BX289" i="1" s="1"/>
  <c r="BX299" i="1" s="1"/>
  <c r="BX309" i="1" s="1"/>
  <c r="BX319" i="1" s="1"/>
  <c r="BX329" i="1" s="1"/>
  <c r="BX339" i="1" s="1"/>
  <c r="BW219" i="1"/>
  <c r="BW229" i="1" s="1"/>
  <c r="BW239" i="1" s="1"/>
  <c r="BW249" i="1" s="1"/>
  <c r="BW259" i="1" s="1"/>
  <c r="BW269" i="1" s="1"/>
  <c r="BW279" i="1" s="1"/>
  <c r="BW289" i="1" s="1"/>
  <c r="BW299" i="1" s="1"/>
  <c r="BW309" i="1" s="1"/>
  <c r="BW319" i="1" s="1"/>
  <c r="BW329" i="1" s="1"/>
  <c r="BW339" i="1" s="1"/>
  <c r="BV219" i="1"/>
  <c r="DY218" i="1"/>
  <c r="DW218" i="1"/>
  <c r="DM218" i="1"/>
  <c r="DD218" i="1"/>
  <c r="DC218" i="1" s="1"/>
  <c r="BY218" i="1"/>
  <c r="BY228" i="1" s="1"/>
  <c r="BY238" i="1" s="1"/>
  <c r="BX218" i="1"/>
  <c r="BX228" i="1" s="1"/>
  <c r="BX238" i="1" s="1"/>
  <c r="BX248" i="1" s="1"/>
  <c r="BX258" i="1" s="1"/>
  <c r="BX268" i="1" s="1"/>
  <c r="BX278" i="1" s="1"/>
  <c r="BX288" i="1" s="1"/>
  <c r="BX298" i="1" s="1"/>
  <c r="BX308" i="1" s="1"/>
  <c r="BX318" i="1" s="1"/>
  <c r="BX328" i="1" s="1"/>
  <c r="BX338" i="1" s="1"/>
  <c r="BW218" i="1"/>
  <c r="BW228" i="1" s="1"/>
  <c r="BW238" i="1" s="1"/>
  <c r="BW248" i="1" s="1"/>
  <c r="BW258" i="1" s="1"/>
  <c r="BW268" i="1" s="1"/>
  <c r="BW278" i="1" s="1"/>
  <c r="BW288" i="1" s="1"/>
  <c r="BW298" i="1" s="1"/>
  <c r="BW308" i="1" s="1"/>
  <c r="BW318" i="1" s="1"/>
  <c r="BW328" i="1" s="1"/>
  <c r="BW338" i="1" s="1"/>
  <c r="BV218" i="1"/>
  <c r="DL218" i="1" s="1"/>
  <c r="DY217" i="1"/>
  <c r="DW217" i="1"/>
  <c r="DM217" i="1"/>
  <c r="DD217" i="1"/>
  <c r="DC217" i="1" s="1"/>
  <c r="BY217" i="1"/>
  <c r="BY227" i="1" s="1"/>
  <c r="BY237" i="1" s="1"/>
  <c r="BX217" i="1"/>
  <c r="BX227" i="1" s="1"/>
  <c r="BX237" i="1" s="1"/>
  <c r="BX247" i="1" s="1"/>
  <c r="BX257" i="1" s="1"/>
  <c r="BX267" i="1" s="1"/>
  <c r="BX277" i="1" s="1"/>
  <c r="BX287" i="1" s="1"/>
  <c r="BX297" i="1" s="1"/>
  <c r="BX307" i="1" s="1"/>
  <c r="BX317" i="1" s="1"/>
  <c r="BX327" i="1" s="1"/>
  <c r="BX337" i="1" s="1"/>
  <c r="BW217" i="1"/>
  <c r="BW227" i="1" s="1"/>
  <c r="BW237" i="1" s="1"/>
  <c r="BW247" i="1" s="1"/>
  <c r="BW257" i="1" s="1"/>
  <c r="BW267" i="1" s="1"/>
  <c r="BW277" i="1" s="1"/>
  <c r="BW287" i="1" s="1"/>
  <c r="BW297" i="1" s="1"/>
  <c r="BW307" i="1" s="1"/>
  <c r="BW317" i="1" s="1"/>
  <c r="BW327" i="1" s="1"/>
  <c r="BW337" i="1" s="1"/>
  <c r="BV217" i="1"/>
  <c r="DY216" i="1"/>
  <c r="DW216" i="1"/>
  <c r="DM216" i="1"/>
  <c r="DD216" i="1"/>
  <c r="DC216" i="1" s="1"/>
  <c r="BY216" i="1"/>
  <c r="BY226" i="1" s="1"/>
  <c r="BY236" i="1" s="1"/>
  <c r="BX216" i="1"/>
  <c r="BX226" i="1" s="1"/>
  <c r="BX236" i="1" s="1"/>
  <c r="BX246" i="1" s="1"/>
  <c r="BX256" i="1" s="1"/>
  <c r="BX266" i="1" s="1"/>
  <c r="BX276" i="1" s="1"/>
  <c r="BX286" i="1" s="1"/>
  <c r="BX296" i="1" s="1"/>
  <c r="BX306" i="1" s="1"/>
  <c r="BX316" i="1" s="1"/>
  <c r="BX326" i="1" s="1"/>
  <c r="BX336" i="1" s="1"/>
  <c r="BW216" i="1"/>
  <c r="BW226" i="1" s="1"/>
  <c r="BW236" i="1" s="1"/>
  <c r="BW246" i="1" s="1"/>
  <c r="BW256" i="1" s="1"/>
  <c r="BW266" i="1" s="1"/>
  <c r="BW276" i="1" s="1"/>
  <c r="BW286" i="1" s="1"/>
  <c r="BW296" i="1" s="1"/>
  <c r="BW306" i="1" s="1"/>
  <c r="BW316" i="1" s="1"/>
  <c r="BW326" i="1" s="1"/>
  <c r="BW336" i="1" s="1"/>
  <c r="BV216" i="1"/>
  <c r="DY215" i="1"/>
  <c r="DW215" i="1"/>
  <c r="DM215" i="1"/>
  <c r="DD215" i="1"/>
  <c r="DC215" i="1" s="1"/>
  <c r="BY215" i="1"/>
  <c r="BY225" i="1" s="1"/>
  <c r="BY235" i="1" s="1"/>
  <c r="BX215" i="1"/>
  <c r="BX225" i="1" s="1"/>
  <c r="BX235" i="1" s="1"/>
  <c r="BX245" i="1" s="1"/>
  <c r="BX255" i="1" s="1"/>
  <c r="BX265" i="1" s="1"/>
  <c r="BX275" i="1" s="1"/>
  <c r="BX285" i="1" s="1"/>
  <c r="BX295" i="1" s="1"/>
  <c r="BX305" i="1" s="1"/>
  <c r="BX315" i="1" s="1"/>
  <c r="BX325" i="1" s="1"/>
  <c r="BX335" i="1" s="1"/>
  <c r="BW215" i="1"/>
  <c r="BW225" i="1" s="1"/>
  <c r="BW235" i="1" s="1"/>
  <c r="BW245" i="1" s="1"/>
  <c r="BW255" i="1" s="1"/>
  <c r="BW265" i="1" s="1"/>
  <c r="BW275" i="1" s="1"/>
  <c r="BW285" i="1" s="1"/>
  <c r="BW295" i="1" s="1"/>
  <c r="BW305" i="1" s="1"/>
  <c r="BW315" i="1" s="1"/>
  <c r="BW325" i="1" s="1"/>
  <c r="BW335" i="1" s="1"/>
  <c r="BV215" i="1"/>
  <c r="DL215" i="1" s="1"/>
  <c r="DY214" i="1"/>
  <c r="DW214" i="1"/>
  <c r="DM214" i="1"/>
  <c r="DD214" i="1"/>
  <c r="DC214" i="1" s="1"/>
  <c r="BY214" i="1"/>
  <c r="BY224" i="1" s="1"/>
  <c r="BY234" i="1" s="1"/>
  <c r="BX214" i="1"/>
  <c r="BX224" i="1" s="1"/>
  <c r="BX234" i="1" s="1"/>
  <c r="BX244" i="1" s="1"/>
  <c r="BX254" i="1" s="1"/>
  <c r="BX264" i="1" s="1"/>
  <c r="BX274" i="1" s="1"/>
  <c r="BX284" i="1" s="1"/>
  <c r="BX294" i="1" s="1"/>
  <c r="BX304" i="1" s="1"/>
  <c r="BX314" i="1" s="1"/>
  <c r="BX324" i="1" s="1"/>
  <c r="BX334" i="1" s="1"/>
  <c r="BW214" i="1"/>
  <c r="BW224" i="1" s="1"/>
  <c r="BW234" i="1" s="1"/>
  <c r="BW244" i="1" s="1"/>
  <c r="BW254" i="1" s="1"/>
  <c r="BW264" i="1" s="1"/>
  <c r="BW274" i="1" s="1"/>
  <c r="BW284" i="1" s="1"/>
  <c r="BW294" i="1" s="1"/>
  <c r="BW304" i="1" s="1"/>
  <c r="BW314" i="1" s="1"/>
  <c r="BW324" i="1" s="1"/>
  <c r="BW334" i="1" s="1"/>
  <c r="BV214" i="1"/>
  <c r="DL214" i="1" s="1"/>
  <c r="DY213" i="1"/>
  <c r="DW213" i="1"/>
  <c r="DM213" i="1"/>
  <c r="DD213" i="1"/>
  <c r="DC213" i="1" s="1"/>
  <c r="BY213" i="1"/>
  <c r="BY223" i="1" s="1"/>
  <c r="BY233" i="1" s="1"/>
  <c r="BX213" i="1"/>
  <c r="BX223" i="1" s="1"/>
  <c r="BX233" i="1" s="1"/>
  <c r="BX243" i="1" s="1"/>
  <c r="BX253" i="1" s="1"/>
  <c r="BX263" i="1" s="1"/>
  <c r="BX273" i="1" s="1"/>
  <c r="BX283" i="1" s="1"/>
  <c r="BX293" i="1" s="1"/>
  <c r="BX303" i="1" s="1"/>
  <c r="BX313" i="1" s="1"/>
  <c r="BX323" i="1" s="1"/>
  <c r="BX333" i="1" s="1"/>
  <c r="BW213" i="1"/>
  <c r="BW223" i="1" s="1"/>
  <c r="BW233" i="1" s="1"/>
  <c r="BW243" i="1" s="1"/>
  <c r="BW253" i="1" s="1"/>
  <c r="BW263" i="1" s="1"/>
  <c r="BW273" i="1" s="1"/>
  <c r="BW283" i="1" s="1"/>
  <c r="BW293" i="1" s="1"/>
  <c r="BW303" i="1" s="1"/>
  <c r="BW313" i="1" s="1"/>
  <c r="BW323" i="1" s="1"/>
  <c r="BW333" i="1" s="1"/>
  <c r="BV213" i="1"/>
  <c r="BY212" i="1"/>
  <c r="BX212" i="1"/>
  <c r="BW212" i="1"/>
  <c r="BV212" i="1"/>
  <c r="DL212" i="1" s="1"/>
  <c r="BY211" i="1"/>
  <c r="BX211" i="1"/>
  <c r="BW211" i="1"/>
  <c r="BV211" i="1"/>
  <c r="DL211" i="1" s="1"/>
  <c r="BY210" i="1"/>
  <c r="BX210" i="1"/>
  <c r="BW210" i="1"/>
  <c r="BV210" i="1"/>
  <c r="DL210" i="1" s="1"/>
  <c r="BY209" i="1"/>
  <c r="BX209" i="1"/>
  <c r="BW209" i="1"/>
  <c r="BV209" i="1"/>
  <c r="DL209" i="1" s="1"/>
  <c r="BY208" i="1"/>
  <c r="BX208" i="1"/>
  <c r="BW208" i="1"/>
  <c r="BV208" i="1"/>
  <c r="DL208" i="1" s="1"/>
  <c r="BY207" i="1"/>
  <c r="BX207" i="1"/>
  <c r="BW207" i="1"/>
  <c r="BV207" i="1"/>
  <c r="DL207" i="1" s="1"/>
  <c r="BY206" i="1"/>
  <c r="BX206" i="1"/>
  <c r="BW206" i="1"/>
  <c r="BV206" i="1"/>
  <c r="DL206" i="1" s="1"/>
  <c r="BY205" i="1"/>
  <c r="BX205" i="1"/>
  <c r="BW205" i="1"/>
  <c r="BV205" i="1"/>
  <c r="DL205" i="1" s="1"/>
  <c r="BY204" i="1"/>
  <c r="BX204" i="1"/>
  <c r="BW204" i="1"/>
  <c r="BV204" i="1"/>
  <c r="DL204" i="1" s="1"/>
  <c r="BY203" i="1"/>
  <c r="BX203" i="1"/>
  <c r="BW203" i="1"/>
  <c r="BV203" i="1"/>
  <c r="DL203" i="1" s="1"/>
  <c r="BY202" i="1"/>
  <c r="BX202" i="1"/>
  <c r="BW202" i="1"/>
  <c r="BV202" i="1"/>
  <c r="DL202" i="1" s="1"/>
  <c r="BY201" i="1"/>
  <c r="BX201" i="1"/>
  <c r="BW201" i="1"/>
  <c r="BV201" i="1"/>
  <c r="DL201" i="1" s="1"/>
  <c r="BY200" i="1"/>
  <c r="BX200" i="1"/>
  <c r="BW200" i="1"/>
  <c r="BV200" i="1"/>
  <c r="DL200" i="1" s="1"/>
  <c r="BY199" i="1"/>
  <c r="BX199" i="1"/>
  <c r="BW199" i="1"/>
  <c r="BV199" i="1"/>
  <c r="DL199" i="1" s="1"/>
  <c r="CD198" i="1"/>
  <c r="BY198" i="1"/>
  <c r="BX198" i="1"/>
  <c r="BW198" i="1"/>
  <c r="BV198" i="1"/>
  <c r="DL198" i="1" s="1"/>
  <c r="BY197" i="1"/>
  <c r="BX197" i="1"/>
  <c r="BW197" i="1"/>
  <c r="BV197" i="1"/>
  <c r="DL197" i="1" s="1"/>
  <c r="BY196" i="1"/>
  <c r="BX196" i="1"/>
  <c r="BW196" i="1"/>
  <c r="BV196" i="1"/>
  <c r="DL196" i="1" s="1"/>
  <c r="BY195" i="1"/>
  <c r="BX195" i="1"/>
  <c r="BW195" i="1"/>
  <c r="BV195" i="1"/>
  <c r="DL195" i="1" s="1"/>
  <c r="BY194" i="1"/>
  <c r="BX194" i="1"/>
  <c r="BW194" i="1"/>
  <c r="BV194" i="1"/>
  <c r="DL194" i="1" s="1"/>
  <c r="BY193" i="1"/>
  <c r="BX193" i="1"/>
  <c r="BW193" i="1"/>
  <c r="BV193" i="1"/>
  <c r="DL193" i="1" s="1"/>
  <c r="BY192" i="1"/>
  <c r="BX192" i="1"/>
  <c r="BW192" i="1"/>
  <c r="BV192" i="1"/>
  <c r="DL192" i="1" s="1"/>
  <c r="BY191" i="1"/>
  <c r="BX191" i="1"/>
  <c r="BW191" i="1"/>
  <c r="BV191" i="1"/>
  <c r="DL191" i="1" s="1"/>
  <c r="BY190" i="1"/>
  <c r="BX190" i="1"/>
  <c r="BW190" i="1"/>
  <c r="BV190" i="1"/>
  <c r="DL190" i="1" s="1"/>
  <c r="BY189" i="1"/>
  <c r="BX189" i="1"/>
  <c r="BW189" i="1"/>
  <c r="BV189" i="1"/>
  <c r="DL189" i="1" s="1"/>
  <c r="BY188" i="1"/>
  <c r="BX188" i="1"/>
  <c r="BW188" i="1"/>
  <c r="BV188" i="1"/>
  <c r="DL188" i="1" s="1"/>
  <c r="BY187" i="1"/>
  <c r="BX187" i="1"/>
  <c r="BW187" i="1"/>
  <c r="BV187" i="1"/>
  <c r="DL187" i="1" s="1"/>
  <c r="BY186" i="1"/>
  <c r="BX186" i="1"/>
  <c r="BW186" i="1"/>
  <c r="BV186" i="1"/>
  <c r="DL186" i="1" s="1"/>
  <c r="BY185" i="1"/>
  <c r="BX185" i="1"/>
  <c r="BW185" i="1"/>
  <c r="BV185" i="1"/>
  <c r="DL185" i="1" s="1"/>
  <c r="BY184" i="1"/>
  <c r="BX184" i="1"/>
  <c r="BW184" i="1"/>
  <c r="BV184" i="1"/>
  <c r="DL184" i="1" s="1"/>
  <c r="BY183" i="1"/>
  <c r="BX183" i="1"/>
  <c r="BW183" i="1"/>
  <c r="BV183" i="1"/>
  <c r="DL183" i="1" s="1"/>
  <c r="BY182" i="1"/>
  <c r="BX182" i="1"/>
  <c r="BW182" i="1"/>
  <c r="BV182" i="1"/>
  <c r="DL182" i="1" s="1"/>
  <c r="BY181" i="1"/>
  <c r="BX181" i="1"/>
  <c r="BW181" i="1"/>
  <c r="BV181" i="1"/>
  <c r="DL181" i="1" s="1"/>
  <c r="BY180" i="1"/>
  <c r="BX180" i="1"/>
  <c r="BW180" i="1"/>
  <c r="BV180" i="1"/>
  <c r="DL180" i="1" s="1"/>
  <c r="BY179" i="1"/>
  <c r="BX179" i="1"/>
  <c r="BW179" i="1"/>
  <c r="BV179" i="1"/>
  <c r="DL179" i="1" s="1"/>
  <c r="BY178" i="1"/>
  <c r="BX178" i="1"/>
  <c r="BW178" i="1"/>
  <c r="BV178" i="1"/>
  <c r="DL178" i="1" s="1"/>
  <c r="BY177" i="1"/>
  <c r="BX177" i="1"/>
  <c r="BW177" i="1"/>
  <c r="BV177" i="1"/>
  <c r="DL177" i="1" s="1"/>
  <c r="BY176" i="1"/>
  <c r="BX176" i="1"/>
  <c r="BW176" i="1"/>
  <c r="BV176" i="1"/>
  <c r="DL176" i="1" s="1"/>
  <c r="BY175" i="1"/>
  <c r="BX175" i="1"/>
  <c r="BW175" i="1"/>
  <c r="BV175" i="1"/>
  <c r="DL175" i="1" s="1"/>
  <c r="BY174" i="1"/>
  <c r="BX174" i="1"/>
  <c r="BW174" i="1"/>
  <c r="BV174" i="1"/>
  <c r="DL174" i="1" s="1"/>
  <c r="BY173" i="1"/>
  <c r="BX173" i="1"/>
  <c r="BW173" i="1"/>
  <c r="BV173" i="1"/>
  <c r="DL173" i="1" s="1"/>
  <c r="BY172" i="1"/>
  <c r="BX172" i="1"/>
  <c r="BW172" i="1"/>
  <c r="BV172" i="1"/>
  <c r="DL172" i="1" s="1"/>
  <c r="BY171" i="1"/>
  <c r="BX171" i="1"/>
  <c r="BW171" i="1"/>
  <c r="BV171" i="1"/>
  <c r="DL171" i="1" s="1"/>
  <c r="BY170" i="1"/>
  <c r="BX170" i="1"/>
  <c r="BW170" i="1"/>
  <c r="BV170" i="1"/>
  <c r="DL170" i="1" s="1"/>
  <c r="BY169" i="1"/>
  <c r="BX169" i="1"/>
  <c r="BW169" i="1"/>
  <c r="BV169" i="1"/>
  <c r="DL169" i="1" s="1"/>
  <c r="BY168" i="1"/>
  <c r="BX168" i="1"/>
  <c r="BW168" i="1"/>
  <c r="BV168" i="1"/>
  <c r="DL168" i="1" s="1"/>
  <c r="BY167" i="1"/>
  <c r="BX167" i="1"/>
  <c r="BW167" i="1"/>
  <c r="BV167" i="1"/>
  <c r="DL167" i="1" s="1"/>
  <c r="BY166" i="1"/>
  <c r="BX166" i="1"/>
  <c r="BW166" i="1"/>
  <c r="BV166" i="1"/>
  <c r="DL166" i="1" s="1"/>
  <c r="BY165" i="1"/>
  <c r="BX165" i="1"/>
  <c r="BW165" i="1"/>
  <c r="BV165" i="1"/>
  <c r="DL165" i="1" s="1"/>
  <c r="BY164" i="1"/>
  <c r="BX164" i="1"/>
  <c r="BW164" i="1"/>
  <c r="BV164" i="1"/>
  <c r="DL164" i="1" s="1"/>
  <c r="BY163" i="1"/>
  <c r="BX163" i="1"/>
  <c r="BW163" i="1"/>
  <c r="BV163" i="1"/>
  <c r="DL163" i="1" s="1"/>
  <c r="BY162" i="1"/>
  <c r="BX162" i="1"/>
  <c r="BW162" i="1"/>
  <c r="BV162" i="1"/>
  <c r="DL162" i="1" s="1"/>
  <c r="BY161" i="1"/>
  <c r="BX161" i="1"/>
  <c r="BW161" i="1"/>
  <c r="BV161" i="1"/>
  <c r="DL161" i="1" s="1"/>
  <c r="BY160" i="1"/>
  <c r="BX160" i="1"/>
  <c r="BW160" i="1"/>
  <c r="BV160" i="1"/>
  <c r="DL160" i="1" s="1"/>
  <c r="BY159" i="1"/>
  <c r="BX159" i="1"/>
  <c r="BW159" i="1"/>
  <c r="BV159" i="1"/>
  <c r="DL159" i="1" s="1"/>
  <c r="BY158" i="1"/>
  <c r="BX158" i="1"/>
  <c r="BW158" i="1"/>
  <c r="BV158" i="1"/>
  <c r="DL158" i="1" s="1"/>
  <c r="BY157" i="1"/>
  <c r="BX157" i="1"/>
  <c r="BW157" i="1"/>
  <c r="BV157" i="1"/>
  <c r="DL157" i="1" s="1"/>
  <c r="BY156" i="1"/>
  <c r="BX156" i="1"/>
  <c r="BW156" i="1"/>
  <c r="BV156" i="1"/>
  <c r="DL156" i="1" s="1"/>
  <c r="BY155" i="1"/>
  <c r="BX155" i="1"/>
  <c r="BW155" i="1"/>
  <c r="BV155" i="1"/>
  <c r="DL155" i="1" s="1"/>
  <c r="BY154" i="1"/>
  <c r="BX154" i="1"/>
  <c r="BW154" i="1"/>
  <c r="BV154" i="1"/>
  <c r="DL154" i="1" s="1"/>
  <c r="BY153" i="1"/>
  <c r="BX153" i="1"/>
  <c r="BW153" i="1"/>
  <c r="BV153" i="1"/>
  <c r="DL153" i="1" s="1"/>
  <c r="BY152" i="1"/>
  <c r="BX152" i="1"/>
  <c r="BW152" i="1"/>
  <c r="BV152" i="1"/>
  <c r="DL152" i="1" s="1"/>
  <c r="BY151" i="1"/>
  <c r="BX151" i="1"/>
  <c r="BW151" i="1"/>
  <c r="BV151" i="1"/>
  <c r="DL151" i="1" s="1"/>
  <c r="BY150" i="1"/>
  <c r="BX150" i="1"/>
  <c r="BW150" i="1"/>
  <c r="BV150" i="1"/>
  <c r="DL150" i="1" s="1"/>
  <c r="BY149" i="1"/>
  <c r="BX149" i="1"/>
  <c r="BW149" i="1"/>
  <c r="BV149" i="1"/>
  <c r="DL149" i="1" s="1"/>
  <c r="BY148" i="1"/>
  <c r="BX148" i="1"/>
  <c r="BW148" i="1"/>
  <c r="BV148" i="1"/>
  <c r="DL148" i="1" s="1"/>
  <c r="BY147" i="1"/>
  <c r="BX147" i="1"/>
  <c r="BW147" i="1"/>
  <c r="BV147" i="1"/>
  <c r="DL147" i="1" s="1"/>
  <c r="BY146" i="1"/>
  <c r="BX146" i="1"/>
  <c r="BW146" i="1"/>
  <c r="BV146" i="1"/>
  <c r="DL146" i="1" s="1"/>
  <c r="BY145" i="1"/>
  <c r="BX145" i="1"/>
  <c r="BW145" i="1"/>
  <c r="BV145" i="1"/>
  <c r="DL145" i="1" s="1"/>
  <c r="BY144" i="1"/>
  <c r="BX144" i="1"/>
  <c r="BW144" i="1"/>
  <c r="BV144" i="1"/>
  <c r="DL144" i="1" s="1"/>
  <c r="BY143" i="1"/>
  <c r="BX143" i="1"/>
  <c r="BW143" i="1"/>
  <c r="BV143" i="1"/>
  <c r="DL143" i="1" s="1"/>
  <c r="BY142" i="1"/>
  <c r="BX142" i="1"/>
  <c r="BW142" i="1"/>
  <c r="BV142" i="1"/>
  <c r="DL142" i="1" s="1"/>
  <c r="BY141" i="1"/>
  <c r="BX141" i="1"/>
  <c r="BW141" i="1"/>
  <c r="BV141" i="1"/>
  <c r="DL141" i="1" s="1"/>
  <c r="BY140" i="1"/>
  <c r="BX140" i="1"/>
  <c r="BW140" i="1"/>
  <c r="BV140" i="1"/>
  <c r="DL140" i="1" s="1"/>
  <c r="BY139" i="1"/>
  <c r="BX139" i="1"/>
  <c r="BW139" i="1"/>
  <c r="BV139" i="1"/>
  <c r="DL139" i="1" s="1"/>
  <c r="BY138" i="1"/>
  <c r="BX138" i="1"/>
  <c r="BW138" i="1"/>
  <c r="BV138" i="1"/>
  <c r="DL138" i="1" s="1"/>
  <c r="BY137" i="1"/>
  <c r="BX137" i="1"/>
  <c r="BW137" i="1"/>
  <c r="BV137" i="1"/>
  <c r="DL137" i="1" s="1"/>
  <c r="BY136" i="1"/>
  <c r="BX136" i="1"/>
  <c r="BW136" i="1"/>
  <c r="BV136" i="1"/>
  <c r="DL136" i="1" s="1"/>
  <c r="BY135" i="1"/>
  <c r="BX135" i="1"/>
  <c r="BW135" i="1"/>
  <c r="BV135" i="1"/>
  <c r="DL135" i="1" s="1"/>
  <c r="BY134" i="1"/>
  <c r="BX134" i="1"/>
  <c r="BW134" i="1"/>
  <c r="BV134" i="1"/>
  <c r="DL134" i="1" s="1"/>
  <c r="BY133" i="1"/>
  <c r="BX133" i="1"/>
  <c r="BW133" i="1"/>
  <c r="BV133" i="1"/>
  <c r="DL133" i="1" s="1"/>
  <c r="BY132" i="1"/>
  <c r="BX132" i="1"/>
  <c r="BW132" i="1"/>
  <c r="BV132" i="1"/>
  <c r="DL132" i="1" s="1"/>
  <c r="BY131" i="1"/>
  <c r="BX131" i="1"/>
  <c r="BW131" i="1"/>
  <c r="BV131" i="1"/>
  <c r="DL131" i="1" s="1"/>
  <c r="BY130" i="1"/>
  <c r="BX130" i="1"/>
  <c r="BW130" i="1"/>
  <c r="BV130" i="1"/>
  <c r="DL130" i="1" s="1"/>
  <c r="BY129" i="1"/>
  <c r="BX129" i="1"/>
  <c r="BW129" i="1"/>
  <c r="BV129" i="1"/>
  <c r="DL129" i="1" s="1"/>
  <c r="BY128" i="1"/>
  <c r="BX128" i="1"/>
  <c r="BW128" i="1"/>
  <c r="BV128" i="1"/>
  <c r="DL128" i="1" s="1"/>
  <c r="BY127" i="1"/>
  <c r="BX127" i="1"/>
  <c r="BW127" i="1"/>
  <c r="BV127" i="1"/>
  <c r="DL127" i="1" s="1"/>
  <c r="BY126" i="1"/>
  <c r="BX126" i="1"/>
  <c r="BW126" i="1"/>
  <c r="BV126" i="1"/>
  <c r="DL126" i="1" s="1"/>
  <c r="BY125" i="1"/>
  <c r="BX125" i="1"/>
  <c r="BW125" i="1"/>
  <c r="BV125" i="1"/>
  <c r="DL125" i="1" s="1"/>
  <c r="BY124" i="1"/>
  <c r="BX124" i="1"/>
  <c r="BW124" i="1"/>
  <c r="BV124" i="1"/>
  <c r="DL124" i="1" s="1"/>
  <c r="BY123" i="1"/>
  <c r="BX123" i="1"/>
  <c r="BW123" i="1"/>
  <c r="BV123" i="1"/>
  <c r="DL123" i="1" s="1"/>
  <c r="BY122" i="1"/>
  <c r="BX122" i="1"/>
  <c r="BW122" i="1"/>
  <c r="BV122" i="1"/>
  <c r="DL122" i="1" s="1"/>
  <c r="BY121" i="1"/>
  <c r="BX121" i="1"/>
  <c r="BW121" i="1"/>
  <c r="BV121" i="1"/>
  <c r="DL121" i="1" s="1"/>
  <c r="BY120" i="1"/>
  <c r="BX120" i="1"/>
  <c r="BW120" i="1"/>
  <c r="BV120" i="1"/>
  <c r="DL120" i="1" s="1"/>
  <c r="BY119" i="1"/>
  <c r="BX119" i="1"/>
  <c r="BW119" i="1"/>
  <c r="BV119" i="1"/>
  <c r="DL119" i="1" s="1"/>
  <c r="BY118" i="1"/>
  <c r="BX118" i="1"/>
  <c r="BW118" i="1"/>
  <c r="BV118" i="1"/>
  <c r="DL118" i="1" s="1"/>
  <c r="BY117" i="1"/>
  <c r="BX117" i="1"/>
  <c r="BW117" i="1"/>
  <c r="BV117" i="1"/>
  <c r="DL117" i="1" s="1"/>
  <c r="BY116" i="1"/>
  <c r="BX116" i="1"/>
  <c r="BW116" i="1"/>
  <c r="BV116" i="1"/>
  <c r="DL116" i="1" s="1"/>
  <c r="BY115" i="1"/>
  <c r="BX115" i="1"/>
  <c r="BW115" i="1"/>
  <c r="BV115" i="1"/>
  <c r="DL115" i="1" s="1"/>
  <c r="BY114" i="1"/>
  <c r="BX114" i="1"/>
  <c r="BW114" i="1"/>
  <c r="BV114" i="1"/>
  <c r="DL114" i="1" s="1"/>
  <c r="BY113" i="1"/>
  <c r="BX113" i="1"/>
  <c r="BW113" i="1"/>
  <c r="BV113" i="1"/>
  <c r="DL113" i="1" s="1"/>
  <c r="BY112" i="1"/>
  <c r="BX112" i="1"/>
  <c r="BW112" i="1"/>
  <c r="BV112" i="1"/>
  <c r="DL112" i="1" s="1"/>
  <c r="BY111" i="1"/>
  <c r="BX111" i="1"/>
  <c r="BW111" i="1"/>
  <c r="BV111" i="1"/>
  <c r="DL111" i="1" s="1"/>
  <c r="BY110" i="1"/>
  <c r="BX110" i="1"/>
  <c r="BW110" i="1"/>
  <c r="BV110" i="1"/>
  <c r="DL110" i="1" s="1"/>
  <c r="BY109" i="1"/>
  <c r="BX109" i="1"/>
  <c r="BW109" i="1"/>
  <c r="BV109" i="1"/>
  <c r="DL109" i="1" s="1"/>
  <c r="BY108" i="1"/>
  <c r="BX108" i="1"/>
  <c r="BW108" i="1"/>
  <c r="BV108" i="1"/>
  <c r="DL108" i="1" s="1"/>
  <c r="BY107" i="1"/>
  <c r="BX107" i="1"/>
  <c r="BW107" i="1"/>
  <c r="BV107" i="1"/>
  <c r="DL107" i="1" s="1"/>
  <c r="BY106" i="1"/>
  <c r="BX106" i="1"/>
  <c r="BW106" i="1"/>
  <c r="BV106" i="1"/>
  <c r="DL106" i="1" s="1"/>
  <c r="BY105" i="1"/>
  <c r="BX105" i="1"/>
  <c r="BW105" i="1"/>
  <c r="BV105" i="1"/>
  <c r="DL105" i="1" s="1"/>
  <c r="BY104" i="1"/>
  <c r="BX104" i="1"/>
  <c r="BW104" i="1"/>
  <c r="BV104" i="1"/>
  <c r="DL104" i="1" s="1"/>
  <c r="BY103" i="1"/>
  <c r="BX103" i="1"/>
  <c r="BW103" i="1"/>
  <c r="BV103" i="1"/>
  <c r="DL103" i="1" s="1"/>
  <c r="BY102" i="1"/>
  <c r="BX102" i="1"/>
  <c r="BW102" i="1"/>
  <c r="BV102" i="1"/>
  <c r="DL102" i="1" s="1"/>
  <c r="BY101" i="1"/>
  <c r="BX101" i="1"/>
  <c r="BW101" i="1"/>
  <c r="BV101" i="1"/>
  <c r="DL101" i="1" s="1"/>
  <c r="BY100" i="1"/>
  <c r="BX100" i="1"/>
  <c r="BW100" i="1"/>
  <c r="BV100" i="1"/>
  <c r="DL100" i="1" s="1"/>
  <c r="BY99" i="1"/>
  <c r="BX99" i="1"/>
  <c r="BW99" i="1"/>
  <c r="BV99" i="1"/>
  <c r="DL99" i="1" s="1"/>
  <c r="BY98" i="1"/>
  <c r="BX98" i="1"/>
  <c r="BW98" i="1"/>
  <c r="BV98" i="1"/>
  <c r="DL98" i="1" s="1"/>
  <c r="BY97" i="1"/>
  <c r="BX97" i="1"/>
  <c r="BW97" i="1"/>
  <c r="BV97" i="1"/>
  <c r="DL97" i="1" s="1"/>
  <c r="BY96" i="1"/>
  <c r="BX96" i="1"/>
  <c r="BW96" i="1"/>
  <c r="BV96" i="1"/>
  <c r="DL96" i="1" s="1"/>
  <c r="BY95" i="1"/>
  <c r="BX95" i="1"/>
  <c r="BW95" i="1"/>
  <c r="BV95" i="1"/>
  <c r="DL95" i="1" s="1"/>
  <c r="BY94" i="1"/>
  <c r="BX94" i="1"/>
  <c r="BW94" i="1"/>
  <c r="BV94" i="1"/>
  <c r="DL94" i="1" s="1"/>
  <c r="BY93" i="1"/>
  <c r="BX93" i="1"/>
  <c r="BW93" i="1"/>
  <c r="BV93" i="1"/>
  <c r="DL93" i="1" s="1"/>
  <c r="BY92" i="1"/>
  <c r="BX92" i="1"/>
  <c r="BW92" i="1"/>
  <c r="BV92" i="1"/>
  <c r="DL92" i="1" s="1"/>
  <c r="BY91" i="1"/>
  <c r="BX91" i="1"/>
  <c r="BW91" i="1"/>
  <c r="BV91" i="1"/>
  <c r="DL91" i="1" s="1"/>
  <c r="BY90" i="1"/>
  <c r="BX90" i="1"/>
  <c r="BW90" i="1"/>
  <c r="BV90" i="1"/>
  <c r="DL90" i="1" s="1"/>
  <c r="BY89" i="1"/>
  <c r="BX89" i="1"/>
  <c r="BW89" i="1"/>
  <c r="BV89" i="1"/>
  <c r="DL89" i="1" s="1"/>
  <c r="BY88" i="1"/>
  <c r="BX88" i="1"/>
  <c r="BW88" i="1"/>
  <c r="BV88" i="1"/>
  <c r="DL88" i="1" s="1"/>
  <c r="BY87" i="1"/>
  <c r="BX87" i="1"/>
  <c r="BW87" i="1"/>
  <c r="BV87" i="1"/>
  <c r="DL87" i="1" s="1"/>
  <c r="CA86" i="1"/>
  <c r="CA128" i="1" s="1"/>
  <c r="CA170" i="1" s="1"/>
  <c r="CA212" i="1" s="1"/>
  <c r="BY86" i="1"/>
  <c r="BX86" i="1"/>
  <c r="BW86" i="1"/>
  <c r="BV86" i="1"/>
  <c r="DL86" i="1" s="1"/>
  <c r="CA85" i="1"/>
  <c r="CA127" i="1" s="1"/>
  <c r="CA169" i="1" s="1"/>
  <c r="CA211" i="1" s="1"/>
  <c r="BY85" i="1"/>
  <c r="BX85" i="1"/>
  <c r="BW85" i="1"/>
  <c r="BV85" i="1"/>
  <c r="DL85" i="1" s="1"/>
  <c r="CA84" i="1"/>
  <c r="CA126" i="1" s="1"/>
  <c r="CA168" i="1" s="1"/>
  <c r="CA210" i="1" s="1"/>
  <c r="BY84" i="1"/>
  <c r="BX84" i="1"/>
  <c r="BW84" i="1"/>
  <c r="BV84" i="1"/>
  <c r="DL84" i="1" s="1"/>
  <c r="CA83" i="1"/>
  <c r="CA125" i="1" s="1"/>
  <c r="CA167" i="1" s="1"/>
  <c r="CA209" i="1" s="1"/>
  <c r="BY83" i="1"/>
  <c r="BX83" i="1"/>
  <c r="BW83" i="1"/>
  <c r="BV83" i="1"/>
  <c r="DL83" i="1" s="1"/>
  <c r="CA82" i="1"/>
  <c r="CA124" i="1" s="1"/>
  <c r="CA166" i="1" s="1"/>
  <c r="CA208" i="1" s="1"/>
  <c r="BY82" i="1"/>
  <c r="BX82" i="1"/>
  <c r="BW82" i="1"/>
  <c r="BV82" i="1"/>
  <c r="DL82" i="1" s="1"/>
  <c r="CA81" i="1"/>
  <c r="CA123" i="1" s="1"/>
  <c r="CA165" i="1" s="1"/>
  <c r="CA207" i="1" s="1"/>
  <c r="BY81" i="1"/>
  <c r="BX81" i="1"/>
  <c r="BW81" i="1"/>
  <c r="BV81" i="1"/>
  <c r="DL81" i="1" s="1"/>
  <c r="CA80" i="1"/>
  <c r="CA122" i="1" s="1"/>
  <c r="CA164" i="1" s="1"/>
  <c r="CA206" i="1" s="1"/>
  <c r="BY80" i="1"/>
  <c r="BX80" i="1"/>
  <c r="BW80" i="1"/>
  <c r="BV80" i="1"/>
  <c r="DL80" i="1" s="1"/>
  <c r="CA79" i="1"/>
  <c r="CA121" i="1" s="1"/>
  <c r="CA163" i="1" s="1"/>
  <c r="CA205" i="1" s="1"/>
  <c r="BY79" i="1"/>
  <c r="BX79" i="1"/>
  <c r="BW79" i="1"/>
  <c r="BV79" i="1"/>
  <c r="DL79" i="1" s="1"/>
  <c r="CA78" i="1"/>
  <c r="CA120" i="1" s="1"/>
  <c r="CA162" i="1" s="1"/>
  <c r="CA204" i="1" s="1"/>
  <c r="BY78" i="1"/>
  <c r="BX78" i="1"/>
  <c r="BW78" i="1"/>
  <c r="BV78" i="1"/>
  <c r="DL78" i="1" s="1"/>
  <c r="CA77" i="1"/>
  <c r="CA119" i="1" s="1"/>
  <c r="CA161" i="1" s="1"/>
  <c r="CA203" i="1" s="1"/>
  <c r="BY77" i="1"/>
  <c r="BX77" i="1"/>
  <c r="BW77" i="1"/>
  <c r="BV77" i="1"/>
  <c r="DL77" i="1" s="1"/>
  <c r="CA76" i="1"/>
  <c r="CA118" i="1" s="1"/>
  <c r="CA160" i="1" s="1"/>
  <c r="CA202" i="1" s="1"/>
  <c r="BY76" i="1"/>
  <c r="BX76" i="1"/>
  <c r="BW76" i="1"/>
  <c r="BV76" i="1"/>
  <c r="DL76" i="1" s="1"/>
  <c r="CA75" i="1"/>
  <c r="CA117" i="1" s="1"/>
  <c r="CA159" i="1" s="1"/>
  <c r="CA201" i="1" s="1"/>
  <c r="BY75" i="1"/>
  <c r="BX75" i="1"/>
  <c r="BW75" i="1"/>
  <c r="BV75" i="1"/>
  <c r="DL75" i="1" s="1"/>
  <c r="CA74" i="1"/>
  <c r="CA116" i="1" s="1"/>
  <c r="CA158" i="1" s="1"/>
  <c r="CA200" i="1" s="1"/>
  <c r="BY74" i="1"/>
  <c r="BX74" i="1"/>
  <c r="BW74" i="1"/>
  <c r="BV74" i="1"/>
  <c r="DL74" i="1" s="1"/>
  <c r="CA73" i="1"/>
  <c r="CA115" i="1" s="1"/>
  <c r="CA157" i="1" s="1"/>
  <c r="CA199" i="1" s="1"/>
  <c r="BY73" i="1"/>
  <c r="BX73" i="1"/>
  <c r="BW73" i="1"/>
  <c r="BV73" i="1"/>
  <c r="DL73" i="1" s="1"/>
  <c r="CA72" i="1"/>
  <c r="CA114" i="1" s="1"/>
  <c r="CA156" i="1" s="1"/>
  <c r="CA198" i="1" s="1"/>
  <c r="BY72" i="1"/>
  <c r="BX72" i="1"/>
  <c r="BW72" i="1"/>
  <c r="BV72" i="1"/>
  <c r="DL72" i="1" s="1"/>
  <c r="CA71" i="1"/>
  <c r="CA113" i="1" s="1"/>
  <c r="CA155" i="1" s="1"/>
  <c r="CA197" i="1" s="1"/>
  <c r="BY71" i="1"/>
  <c r="BX71" i="1"/>
  <c r="BW71" i="1"/>
  <c r="BV71" i="1"/>
  <c r="DL71" i="1" s="1"/>
  <c r="CA70" i="1"/>
  <c r="CA112" i="1" s="1"/>
  <c r="CA154" i="1" s="1"/>
  <c r="CA196" i="1" s="1"/>
  <c r="BY70" i="1"/>
  <c r="BX70" i="1"/>
  <c r="BW70" i="1"/>
  <c r="BV70" i="1"/>
  <c r="DL70" i="1" s="1"/>
  <c r="CA69" i="1"/>
  <c r="CA111" i="1" s="1"/>
  <c r="CA153" i="1" s="1"/>
  <c r="CA195" i="1" s="1"/>
  <c r="BY69" i="1"/>
  <c r="BX69" i="1"/>
  <c r="BW69" i="1"/>
  <c r="BV69" i="1"/>
  <c r="DL69" i="1" s="1"/>
  <c r="CA68" i="1"/>
  <c r="CA110" i="1" s="1"/>
  <c r="CA152" i="1" s="1"/>
  <c r="CA194" i="1" s="1"/>
  <c r="BY68" i="1"/>
  <c r="BX68" i="1"/>
  <c r="BW68" i="1"/>
  <c r="BV68" i="1"/>
  <c r="DL68" i="1" s="1"/>
  <c r="CA67" i="1"/>
  <c r="CA109" i="1" s="1"/>
  <c r="CA151" i="1" s="1"/>
  <c r="CA193" i="1" s="1"/>
  <c r="BY67" i="1"/>
  <c r="BX67" i="1"/>
  <c r="BW67" i="1"/>
  <c r="BV67" i="1"/>
  <c r="DL67" i="1" s="1"/>
  <c r="CA66" i="1"/>
  <c r="CA108" i="1" s="1"/>
  <c r="CA150" i="1" s="1"/>
  <c r="CA192" i="1" s="1"/>
  <c r="BY66" i="1"/>
  <c r="BX66" i="1"/>
  <c r="BW66" i="1"/>
  <c r="BV66" i="1"/>
  <c r="DL66" i="1" s="1"/>
  <c r="CA65" i="1"/>
  <c r="CA107" i="1" s="1"/>
  <c r="CA149" i="1" s="1"/>
  <c r="CA191" i="1" s="1"/>
  <c r="BY65" i="1"/>
  <c r="BX65" i="1"/>
  <c r="BW65" i="1"/>
  <c r="BV65" i="1"/>
  <c r="DL65" i="1" s="1"/>
  <c r="CA64" i="1"/>
  <c r="CA106" i="1" s="1"/>
  <c r="CA148" i="1" s="1"/>
  <c r="CA190" i="1" s="1"/>
  <c r="BY64" i="1"/>
  <c r="BX64" i="1"/>
  <c r="BW64" i="1"/>
  <c r="BV64" i="1"/>
  <c r="DL64" i="1" s="1"/>
  <c r="CA63" i="1"/>
  <c r="CA105" i="1" s="1"/>
  <c r="CA147" i="1" s="1"/>
  <c r="CA189" i="1" s="1"/>
  <c r="BY63" i="1"/>
  <c r="BX63" i="1"/>
  <c r="BW63" i="1"/>
  <c r="BV63" i="1"/>
  <c r="DL63" i="1" s="1"/>
  <c r="CA62" i="1"/>
  <c r="CA104" i="1" s="1"/>
  <c r="CA146" i="1" s="1"/>
  <c r="CA188" i="1" s="1"/>
  <c r="BY62" i="1"/>
  <c r="BX62" i="1"/>
  <c r="BW62" i="1"/>
  <c r="BV62" i="1"/>
  <c r="DL62" i="1" s="1"/>
  <c r="CA61" i="1"/>
  <c r="CA103" i="1" s="1"/>
  <c r="CA145" i="1" s="1"/>
  <c r="CA187" i="1" s="1"/>
  <c r="BY61" i="1"/>
  <c r="BX61" i="1"/>
  <c r="BW61" i="1"/>
  <c r="BV61" i="1"/>
  <c r="DL61" i="1" s="1"/>
  <c r="CA60" i="1"/>
  <c r="CA102" i="1" s="1"/>
  <c r="CA144" i="1" s="1"/>
  <c r="CA186" i="1" s="1"/>
  <c r="BY60" i="1"/>
  <c r="BX60" i="1"/>
  <c r="BW60" i="1"/>
  <c r="BV60" i="1"/>
  <c r="DL60" i="1" s="1"/>
  <c r="CA59" i="1"/>
  <c r="CA101" i="1" s="1"/>
  <c r="CA143" i="1" s="1"/>
  <c r="CA185" i="1" s="1"/>
  <c r="BY59" i="1"/>
  <c r="BX59" i="1"/>
  <c r="BW59" i="1"/>
  <c r="BV59" i="1"/>
  <c r="DL59" i="1" s="1"/>
  <c r="CA58" i="1"/>
  <c r="CA100" i="1" s="1"/>
  <c r="CA142" i="1" s="1"/>
  <c r="CA184" i="1" s="1"/>
  <c r="BY58" i="1"/>
  <c r="BX58" i="1"/>
  <c r="BW58" i="1"/>
  <c r="BV58" i="1"/>
  <c r="DL58" i="1" s="1"/>
  <c r="CA57" i="1"/>
  <c r="CA99" i="1" s="1"/>
  <c r="CA141" i="1" s="1"/>
  <c r="CA183" i="1" s="1"/>
  <c r="BY57" i="1"/>
  <c r="BX57" i="1"/>
  <c r="BW57" i="1"/>
  <c r="BV57" i="1"/>
  <c r="DL57" i="1" s="1"/>
  <c r="CA56" i="1"/>
  <c r="CA98" i="1" s="1"/>
  <c r="CA140" i="1" s="1"/>
  <c r="CA182" i="1" s="1"/>
  <c r="BY56" i="1"/>
  <c r="BX56" i="1"/>
  <c r="BW56" i="1"/>
  <c r="BV56" i="1"/>
  <c r="DL56" i="1" s="1"/>
  <c r="CA55" i="1"/>
  <c r="CA97" i="1" s="1"/>
  <c r="CA139" i="1" s="1"/>
  <c r="CA181" i="1" s="1"/>
  <c r="BY55" i="1"/>
  <c r="BX55" i="1"/>
  <c r="BW55" i="1"/>
  <c r="BV55" i="1"/>
  <c r="DL55" i="1" s="1"/>
  <c r="CA54" i="1"/>
  <c r="CA96" i="1" s="1"/>
  <c r="CA138" i="1" s="1"/>
  <c r="CA180" i="1" s="1"/>
  <c r="BY54" i="1"/>
  <c r="BX54" i="1"/>
  <c r="BW54" i="1"/>
  <c r="BV54" i="1"/>
  <c r="DL54" i="1" s="1"/>
  <c r="CA53" i="1"/>
  <c r="CA95" i="1" s="1"/>
  <c r="CA137" i="1" s="1"/>
  <c r="CA179" i="1" s="1"/>
  <c r="BY53" i="1"/>
  <c r="BX53" i="1"/>
  <c r="BW53" i="1"/>
  <c r="BV53" i="1"/>
  <c r="DL53" i="1" s="1"/>
  <c r="CA52" i="1"/>
  <c r="CA94" i="1" s="1"/>
  <c r="CA136" i="1" s="1"/>
  <c r="CA178" i="1" s="1"/>
  <c r="BY52" i="1"/>
  <c r="BX52" i="1"/>
  <c r="BW52" i="1"/>
  <c r="BV52" i="1"/>
  <c r="DL52" i="1" s="1"/>
  <c r="CA51" i="1"/>
  <c r="CA93" i="1" s="1"/>
  <c r="CA135" i="1" s="1"/>
  <c r="CA177" i="1" s="1"/>
  <c r="BY51" i="1"/>
  <c r="BX51" i="1"/>
  <c r="BW51" i="1"/>
  <c r="BV51" i="1"/>
  <c r="DL51" i="1" s="1"/>
  <c r="CA50" i="1"/>
  <c r="CA92" i="1" s="1"/>
  <c r="CA134" i="1" s="1"/>
  <c r="CA176" i="1" s="1"/>
  <c r="BY50" i="1"/>
  <c r="BX50" i="1"/>
  <c r="BW50" i="1"/>
  <c r="BV50" i="1"/>
  <c r="DL50" i="1" s="1"/>
  <c r="CA49" i="1"/>
  <c r="CA91" i="1" s="1"/>
  <c r="CA133" i="1" s="1"/>
  <c r="CA175" i="1" s="1"/>
  <c r="BY49" i="1"/>
  <c r="BX49" i="1"/>
  <c r="BW49" i="1"/>
  <c r="BV49" i="1"/>
  <c r="DL49" i="1" s="1"/>
  <c r="CA48" i="1"/>
  <c r="CA90" i="1" s="1"/>
  <c r="CA132" i="1" s="1"/>
  <c r="CA174" i="1" s="1"/>
  <c r="BY48" i="1"/>
  <c r="BX48" i="1"/>
  <c r="BW48" i="1"/>
  <c r="BV48" i="1"/>
  <c r="DL48" i="1" s="1"/>
  <c r="CA47" i="1"/>
  <c r="CA89" i="1" s="1"/>
  <c r="CA131" i="1" s="1"/>
  <c r="CA173" i="1" s="1"/>
  <c r="BY47" i="1"/>
  <c r="BX47" i="1"/>
  <c r="BW47" i="1"/>
  <c r="BV47" i="1"/>
  <c r="DL47" i="1" s="1"/>
  <c r="CA46" i="1"/>
  <c r="CA88" i="1" s="1"/>
  <c r="CA130" i="1" s="1"/>
  <c r="CA172" i="1" s="1"/>
  <c r="BY46" i="1"/>
  <c r="BX46" i="1"/>
  <c r="BW46" i="1"/>
  <c r="BV46" i="1"/>
  <c r="DL46" i="1" s="1"/>
  <c r="CA45" i="1"/>
  <c r="CA87" i="1" s="1"/>
  <c r="CA129" i="1" s="1"/>
  <c r="CA171" i="1" s="1"/>
  <c r="BY45" i="1"/>
  <c r="BX45" i="1"/>
  <c r="BW45" i="1"/>
  <c r="BV45" i="1"/>
  <c r="DL45" i="1" s="1"/>
  <c r="AR44" i="1"/>
  <c r="AR65" i="1" s="1"/>
  <c r="DI44" i="1"/>
  <c r="DI65" i="1" s="1"/>
  <c r="DI86" i="1" s="1"/>
  <c r="DE44" i="1"/>
  <c r="DB44" i="1"/>
  <c r="DB65" i="1" s="1"/>
  <c r="DB86" i="1" s="1"/>
  <c r="DB107" i="1" s="1"/>
  <c r="DB128" i="1" s="1"/>
  <c r="DB149" i="1" s="1"/>
  <c r="DB170" i="1" s="1"/>
  <c r="DB191" i="1" s="1"/>
  <c r="DB212" i="1" s="1"/>
  <c r="CZ44" i="1"/>
  <c r="CZ65" i="1" s="1"/>
  <c r="CZ86" i="1" s="1"/>
  <c r="CD44" i="1"/>
  <c r="CD65" i="1" s="1"/>
  <c r="CD86" i="1" s="1"/>
  <c r="CD107" i="1" s="1"/>
  <c r="CD128" i="1" s="1"/>
  <c r="CD149" i="1" s="1"/>
  <c r="CD170" i="1" s="1"/>
  <c r="CD191" i="1" s="1"/>
  <c r="CD212" i="1" s="1"/>
  <c r="BY44" i="1"/>
  <c r="BX44" i="1"/>
  <c r="BW44" i="1"/>
  <c r="BV44" i="1"/>
  <c r="DL44" i="1" s="1"/>
  <c r="BP44" i="1"/>
  <c r="BP65" i="1" s="1"/>
  <c r="BP86" i="1" s="1"/>
  <c r="BP107" i="1" s="1"/>
  <c r="BP128" i="1" s="1"/>
  <c r="BP149" i="1" s="1"/>
  <c r="BP170" i="1" s="1"/>
  <c r="BP191" i="1" s="1"/>
  <c r="BP212" i="1" s="1"/>
  <c r="BO44" i="1"/>
  <c r="BO65" i="1" s="1"/>
  <c r="BO86" i="1" s="1"/>
  <c r="BO107" i="1" s="1"/>
  <c r="BO128" i="1" s="1"/>
  <c r="BO149" i="1" s="1"/>
  <c r="BO170" i="1" s="1"/>
  <c r="BO191" i="1" s="1"/>
  <c r="BO212" i="1" s="1"/>
  <c r="BN44" i="1"/>
  <c r="BN65" i="1" s="1"/>
  <c r="BN86" i="1" s="1"/>
  <c r="BN107" i="1" s="1"/>
  <c r="BN128" i="1" s="1"/>
  <c r="BN149" i="1" s="1"/>
  <c r="BN170" i="1" s="1"/>
  <c r="BN191" i="1" s="1"/>
  <c r="BN212" i="1" s="1"/>
  <c r="BM44" i="1"/>
  <c r="BI44" i="1"/>
  <c r="BI65" i="1" s="1"/>
  <c r="BI86" i="1" s="1"/>
  <c r="BI107" i="1" s="1"/>
  <c r="BI128" i="1" s="1"/>
  <c r="BI149" i="1" s="1"/>
  <c r="BI170" i="1" s="1"/>
  <c r="BI191" i="1" s="1"/>
  <c r="BI212" i="1" s="1"/>
  <c r="BG44" i="1"/>
  <c r="BG65" i="1" s="1"/>
  <c r="BG86" i="1" s="1"/>
  <c r="BG107" i="1" s="1"/>
  <c r="BG128" i="1" s="1"/>
  <c r="BG149" i="1" s="1"/>
  <c r="BG170" i="1" s="1"/>
  <c r="BG191" i="1" s="1"/>
  <c r="BG212" i="1" s="1"/>
  <c r="BF44" i="1"/>
  <c r="BF65" i="1" s="1"/>
  <c r="BF86" i="1" s="1"/>
  <c r="BF107" i="1" s="1"/>
  <c r="BF128" i="1" s="1"/>
  <c r="BF149" i="1" s="1"/>
  <c r="BF170" i="1" s="1"/>
  <c r="BF191" i="1" s="1"/>
  <c r="BF212" i="1" s="1"/>
  <c r="BE44" i="1"/>
  <c r="BE65" i="1" s="1"/>
  <c r="BE86" i="1" s="1"/>
  <c r="BE107" i="1" s="1"/>
  <c r="BE128" i="1" s="1"/>
  <c r="BE149" i="1" s="1"/>
  <c r="BE170" i="1" s="1"/>
  <c r="BE191" i="1" s="1"/>
  <c r="BE212" i="1" s="1"/>
  <c r="BA44" i="1"/>
  <c r="BA65" i="1" s="1"/>
  <c r="BA86" i="1" s="1"/>
  <c r="BA107" i="1" s="1"/>
  <c r="BA128" i="1" s="1"/>
  <c r="BA149" i="1" s="1"/>
  <c r="BA170" i="1" s="1"/>
  <c r="BA191" i="1" s="1"/>
  <c r="BA212" i="1" s="1"/>
  <c r="AZ44" i="1"/>
  <c r="AZ65" i="1" s="1"/>
  <c r="AZ86" i="1" s="1"/>
  <c r="AZ107" i="1" s="1"/>
  <c r="AZ128" i="1" s="1"/>
  <c r="AZ149" i="1" s="1"/>
  <c r="AZ170" i="1" s="1"/>
  <c r="AZ191" i="1" s="1"/>
  <c r="AZ212" i="1" s="1"/>
  <c r="AW44" i="1"/>
  <c r="AW65" i="1" s="1"/>
  <c r="AW86" i="1" s="1"/>
  <c r="AW107" i="1" s="1"/>
  <c r="AW128" i="1" s="1"/>
  <c r="AW149" i="1" s="1"/>
  <c r="AW170" i="1" s="1"/>
  <c r="AW191" i="1" s="1"/>
  <c r="AW212" i="1" s="1"/>
  <c r="AR43" i="1"/>
  <c r="DI43" i="1"/>
  <c r="DI64" i="1" s="1"/>
  <c r="DE43" i="1"/>
  <c r="DE64" i="1" s="1"/>
  <c r="DB43" i="1"/>
  <c r="DB64" i="1" s="1"/>
  <c r="DB85" i="1" s="1"/>
  <c r="DB106" i="1" s="1"/>
  <c r="DB127" i="1" s="1"/>
  <c r="DB148" i="1" s="1"/>
  <c r="DB169" i="1" s="1"/>
  <c r="DB190" i="1" s="1"/>
  <c r="DB211" i="1" s="1"/>
  <c r="CZ43" i="1"/>
  <c r="CD43" i="1"/>
  <c r="CD64" i="1" s="1"/>
  <c r="CD85" i="1" s="1"/>
  <c r="CD106" i="1" s="1"/>
  <c r="CD127" i="1" s="1"/>
  <c r="CD148" i="1" s="1"/>
  <c r="CD169" i="1" s="1"/>
  <c r="CD190" i="1" s="1"/>
  <c r="CD211" i="1" s="1"/>
  <c r="BY43" i="1"/>
  <c r="BX43" i="1"/>
  <c r="BW43" i="1"/>
  <c r="BV43" i="1"/>
  <c r="DL43" i="1" s="1"/>
  <c r="BU43" i="1"/>
  <c r="BU64" i="1" s="1"/>
  <c r="BU85" i="1" s="1"/>
  <c r="BU106" i="1" s="1"/>
  <c r="BU127" i="1" s="1"/>
  <c r="BU148" i="1" s="1"/>
  <c r="BU169" i="1" s="1"/>
  <c r="BU190" i="1" s="1"/>
  <c r="BU211" i="1" s="1"/>
  <c r="BP43" i="1"/>
  <c r="BP64" i="1" s="1"/>
  <c r="BP85" i="1" s="1"/>
  <c r="BP106" i="1" s="1"/>
  <c r="BP127" i="1" s="1"/>
  <c r="BP148" i="1" s="1"/>
  <c r="BP169" i="1" s="1"/>
  <c r="BP190" i="1" s="1"/>
  <c r="BP211" i="1" s="1"/>
  <c r="BO43" i="1"/>
  <c r="BO64" i="1" s="1"/>
  <c r="BO85" i="1" s="1"/>
  <c r="BO106" i="1" s="1"/>
  <c r="BO127" i="1" s="1"/>
  <c r="BO148" i="1" s="1"/>
  <c r="BO169" i="1" s="1"/>
  <c r="BO190" i="1" s="1"/>
  <c r="BO211" i="1" s="1"/>
  <c r="BN43" i="1"/>
  <c r="BN64" i="1" s="1"/>
  <c r="BN85" i="1" s="1"/>
  <c r="BN106" i="1" s="1"/>
  <c r="BN127" i="1" s="1"/>
  <c r="BN148" i="1" s="1"/>
  <c r="BN169" i="1" s="1"/>
  <c r="BN190" i="1" s="1"/>
  <c r="BN211" i="1" s="1"/>
  <c r="BM43" i="1"/>
  <c r="BI43" i="1"/>
  <c r="BI64" i="1" s="1"/>
  <c r="BI85" i="1" s="1"/>
  <c r="BI106" i="1" s="1"/>
  <c r="BI127" i="1" s="1"/>
  <c r="BI148" i="1" s="1"/>
  <c r="BI169" i="1" s="1"/>
  <c r="BI190" i="1" s="1"/>
  <c r="BI211" i="1" s="1"/>
  <c r="BG43" i="1"/>
  <c r="BG64" i="1" s="1"/>
  <c r="BG85" i="1" s="1"/>
  <c r="BG106" i="1" s="1"/>
  <c r="BG127" i="1" s="1"/>
  <c r="BG148" i="1" s="1"/>
  <c r="BG169" i="1" s="1"/>
  <c r="BG190" i="1" s="1"/>
  <c r="BG211" i="1" s="1"/>
  <c r="BF43" i="1"/>
  <c r="BF64" i="1" s="1"/>
  <c r="BF85" i="1" s="1"/>
  <c r="BF106" i="1" s="1"/>
  <c r="BF127" i="1" s="1"/>
  <c r="BF148" i="1" s="1"/>
  <c r="BF169" i="1" s="1"/>
  <c r="BF190" i="1" s="1"/>
  <c r="BF211" i="1" s="1"/>
  <c r="BE43" i="1"/>
  <c r="BE64" i="1" s="1"/>
  <c r="BE85" i="1" s="1"/>
  <c r="BE106" i="1" s="1"/>
  <c r="BE127" i="1" s="1"/>
  <c r="BE148" i="1" s="1"/>
  <c r="BE169" i="1" s="1"/>
  <c r="BE190" i="1" s="1"/>
  <c r="BE211" i="1" s="1"/>
  <c r="BA43" i="1"/>
  <c r="BA64" i="1" s="1"/>
  <c r="BA85" i="1" s="1"/>
  <c r="BA106" i="1" s="1"/>
  <c r="BA127" i="1" s="1"/>
  <c r="BA148" i="1" s="1"/>
  <c r="BA169" i="1" s="1"/>
  <c r="BA190" i="1" s="1"/>
  <c r="BA211" i="1" s="1"/>
  <c r="AZ43" i="1"/>
  <c r="AZ64" i="1" s="1"/>
  <c r="AZ85" i="1" s="1"/>
  <c r="AZ106" i="1" s="1"/>
  <c r="AZ127" i="1" s="1"/>
  <c r="AZ148" i="1" s="1"/>
  <c r="AZ169" i="1" s="1"/>
  <c r="AZ190" i="1" s="1"/>
  <c r="AZ211" i="1" s="1"/>
  <c r="AW43" i="1"/>
  <c r="AW64" i="1" s="1"/>
  <c r="AW85" i="1" s="1"/>
  <c r="AW106" i="1" s="1"/>
  <c r="AW127" i="1" s="1"/>
  <c r="AW148" i="1" s="1"/>
  <c r="AW169" i="1" s="1"/>
  <c r="AW190" i="1" s="1"/>
  <c r="AW211" i="1" s="1"/>
  <c r="AR42" i="1"/>
  <c r="DI42" i="1"/>
  <c r="DI63" i="1" s="1"/>
  <c r="DI84" i="1" s="1"/>
  <c r="DE42" i="1"/>
  <c r="DD42" i="1" s="1"/>
  <c r="DC42" i="1" s="1"/>
  <c r="DB42" i="1"/>
  <c r="DB63" i="1" s="1"/>
  <c r="DB84" i="1" s="1"/>
  <c r="DB105" i="1" s="1"/>
  <c r="DB126" i="1" s="1"/>
  <c r="DB147" i="1" s="1"/>
  <c r="DB168" i="1" s="1"/>
  <c r="DB189" i="1" s="1"/>
  <c r="DB210" i="1" s="1"/>
  <c r="CZ42" i="1"/>
  <c r="CD42" i="1"/>
  <c r="CD63" i="1" s="1"/>
  <c r="CD84" i="1" s="1"/>
  <c r="CD105" i="1" s="1"/>
  <c r="CD126" i="1" s="1"/>
  <c r="CD147" i="1" s="1"/>
  <c r="CD168" i="1" s="1"/>
  <c r="CD189" i="1" s="1"/>
  <c r="CD210" i="1" s="1"/>
  <c r="BY42" i="1"/>
  <c r="BX42" i="1"/>
  <c r="BW42" i="1"/>
  <c r="BV42" i="1"/>
  <c r="DL42" i="1" s="1"/>
  <c r="BU42" i="1"/>
  <c r="BU63" i="1" s="1"/>
  <c r="BU84" i="1" s="1"/>
  <c r="BU105" i="1" s="1"/>
  <c r="BU126" i="1" s="1"/>
  <c r="BU147" i="1" s="1"/>
  <c r="BU168" i="1" s="1"/>
  <c r="BU189" i="1" s="1"/>
  <c r="BU210" i="1" s="1"/>
  <c r="BP42" i="1"/>
  <c r="BP63" i="1" s="1"/>
  <c r="BP84" i="1" s="1"/>
  <c r="BP105" i="1" s="1"/>
  <c r="BP126" i="1" s="1"/>
  <c r="BP147" i="1" s="1"/>
  <c r="BP168" i="1" s="1"/>
  <c r="BP189" i="1" s="1"/>
  <c r="BP210" i="1" s="1"/>
  <c r="BO42" i="1"/>
  <c r="BO63" i="1" s="1"/>
  <c r="BO84" i="1" s="1"/>
  <c r="BO105" i="1" s="1"/>
  <c r="BO126" i="1" s="1"/>
  <c r="BO147" i="1" s="1"/>
  <c r="BO168" i="1" s="1"/>
  <c r="BO189" i="1" s="1"/>
  <c r="BO210" i="1" s="1"/>
  <c r="BN42" i="1"/>
  <c r="BN63" i="1" s="1"/>
  <c r="BN84" i="1" s="1"/>
  <c r="BN105" i="1" s="1"/>
  <c r="BN126" i="1" s="1"/>
  <c r="BN147" i="1" s="1"/>
  <c r="BN168" i="1" s="1"/>
  <c r="BN189" i="1" s="1"/>
  <c r="BN210" i="1" s="1"/>
  <c r="BM42" i="1"/>
  <c r="BI42" i="1"/>
  <c r="BI63" i="1" s="1"/>
  <c r="BI84" i="1" s="1"/>
  <c r="BI105" i="1" s="1"/>
  <c r="BI126" i="1" s="1"/>
  <c r="BI147" i="1" s="1"/>
  <c r="BI168" i="1" s="1"/>
  <c r="BI189" i="1" s="1"/>
  <c r="BI210" i="1" s="1"/>
  <c r="BG42" i="1"/>
  <c r="BG63" i="1" s="1"/>
  <c r="BG84" i="1" s="1"/>
  <c r="BG105" i="1" s="1"/>
  <c r="BG126" i="1" s="1"/>
  <c r="BG147" i="1" s="1"/>
  <c r="BG168" i="1" s="1"/>
  <c r="BG189" i="1" s="1"/>
  <c r="BG210" i="1" s="1"/>
  <c r="BF42" i="1"/>
  <c r="BF63" i="1" s="1"/>
  <c r="BF84" i="1" s="1"/>
  <c r="BF105" i="1" s="1"/>
  <c r="BF126" i="1" s="1"/>
  <c r="BF147" i="1" s="1"/>
  <c r="BF168" i="1" s="1"/>
  <c r="BF189" i="1" s="1"/>
  <c r="BF210" i="1" s="1"/>
  <c r="BE42" i="1"/>
  <c r="BE63" i="1" s="1"/>
  <c r="BE84" i="1" s="1"/>
  <c r="BE105" i="1" s="1"/>
  <c r="BE126" i="1" s="1"/>
  <c r="BE147" i="1" s="1"/>
  <c r="BE168" i="1" s="1"/>
  <c r="BE189" i="1" s="1"/>
  <c r="BE210" i="1" s="1"/>
  <c r="BA42" i="1"/>
  <c r="BA63" i="1" s="1"/>
  <c r="BA84" i="1" s="1"/>
  <c r="BA105" i="1" s="1"/>
  <c r="BA126" i="1" s="1"/>
  <c r="BA147" i="1" s="1"/>
  <c r="BA168" i="1" s="1"/>
  <c r="BA189" i="1" s="1"/>
  <c r="BA210" i="1" s="1"/>
  <c r="AZ42" i="1"/>
  <c r="AZ63" i="1" s="1"/>
  <c r="AZ84" i="1" s="1"/>
  <c r="AZ105" i="1" s="1"/>
  <c r="AZ126" i="1" s="1"/>
  <c r="AZ147" i="1" s="1"/>
  <c r="AZ168" i="1" s="1"/>
  <c r="AZ189" i="1" s="1"/>
  <c r="AZ210" i="1" s="1"/>
  <c r="AW42" i="1"/>
  <c r="AW63" i="1" s="1"/>
  <c r="AW84" i="1" s="1"/>
  <c r="AW105" i="1" s="1"/>
  <c r="AW126" i="1" s="1"/>
  <c r="AW147" i="1" s="1"/>
  <c r="AW168" i="1" s="1"/>
  <c r="AW189" i="1" s="1"/>
  <c r="AW210" i="1" s="1"/>
  <c r="AR41" i="1"/>
  <c r="AR62" i="1" s="1"/>
  <c r="AR83" i="1" s="1"/>
  <c r="DI41" i="1"/>
  <c r="DE41" i="1"/>
  <c r="DB41" i="1"/>
  <c r="DB62" i="1" s="1"/>
  <c r="DB83" i="1" s="1"/>
  <c r="DB104" i="1" s="1"/>
  <c r="DB125" i="1" s="1"/>
  <c r="DB146" i="1" s="1"/>
  <c r="DB167" i="1" s="1"/>
  <c r="DB188" i="1" s="1"/>
  <c r="DB209" i="1" s="1"/>
  <c r="CZ41" i="1"/>
  <c r="CD41" i="1"/>
  <c r="CD62" i="1" s="1"/>
  <c r="CD83" i="1" s="1"/>
  <c r="CD104" i="1" s="1"/>
  <c r="CD125" i="1" s="1"/>
  <c r="CD146" i="1" s="1"/>
  <c r="CD167" i="1" s="1"/>
  <c r="CD188" i="1" s="1"/>
  <c r="CD209" i="1" s="1"/>
  <c r="BY41" i="1"/>
  <c r="BX41" i="1"/>
  <c r="BW41" i="1"/>
  <c r="BV41" i="1"/>
  <c r="DL41" i="1" s="1"/>
  <c r="BU41" i="1"/>
  <c r="BU62" i="1" s="1"/>
  <c r="BU83" i="1" s="1"/>
  <c r="BU104" i="1" s="1"/>
  <c r="BU125" i="1" s="1"/>
  <c r="BU146" i="1" s="1"/>
  <c r="BU167" i="1" s="1"/>
  <c r="BU188" i="1" s="1"/>
  <c r="BU209" i="1" s="1"/>
  <c r="BP41" i="1"/>
  <c r="BP62" i="1" s="1"/>
  <c r="BP83" i="1" s="1"/>
  <c r="BP104" i="1" s="1"/>
  <c r="BP125" i="1" s="1"/>
  <c r="BP146" i="1" s="1"/>
  <c r="BP167" i="1" s="1"/>
  <c r="BP188" i="1" s="1"/>
  <c r="BP209" i="1" s="1"/>
  <c r="BO41" i="1"/>
  <c r="BO62" i="1" s="1"/>
  <c r="BO83" i="1" s="1"/>
  <c r="BO104" i="1" s="1"/>
  <c r="BO125" i="1" s="1"/>
  <c r="BO146" i="1" s="1"/>
  <c r="BO167" i="1" s="1"/>
  <c r="BO188" i="1" s="1"/>
  <c r="BO209" i="1" s="1"/>
  <c r="BN41" i="1"/>
  <c r="BN62" i="1" s="1"/>
  <c r="BN83" i="1" s="1"/>
  <c r="BN104" i="1" s="1"/>
  <c r="BN125" i="1" s="1"/>
  <c r="BN146" i="1" s="1"/>
  <c r="BN167" i="1" s="1"/>
  <c r="BN188" i="1" s="1"/>
  <c r="BN209" i="1" s="1"/>
  <c r="BM41" i="1"/>
  <c r="BK41" i="1" s="1"/>
  <c r="BI41" i="1"/>
  <c r="BI62" i="1" s="1"/>
  <c r="BI83" i="1" s="1"/>
  <c r="BI104" i="1" s="1"/>
  <c r="BI125" i="1" s="1"/>
  <c r="BI146" i="1" s="1"/>
  <c r="BI167" i="1" s="1"/>
  <c r="BI188" i="1" s="1"/>
  <c r="BI209" i="1" s="1"/>
  <c r="BG41" i="1"/>
  <c r="BG62" i="1" s="1"/>
  <c r="BG83" i="1" s="1"/>
  <c r="BG104" i="1" s="1"/>
  <c r="BG125" i="1" s="1"/>
  <c r="BG146" i="1" s="1"/>
  <c r="BG167" i="1" s="1"/>
  <c r="BG188" i="1" s="1"/>
  <c r="BG209" i="1" s="1"/>
  <c r="BF41" i="1"/>
  <c r="BF62" i="1" s="1"/>
  <c r="BF83" i="1" s="1"/>
  <c r="BF104" i="1" s="1"/>
  <c r="BF125" i="1" s="1"/>
  <c r="BF146" i="1" s="1"/>
  <c r="BF167" i="1" s="1"/>
  <c r="BF188" i="1" s="1"/>
  <c r="BF209" i="1" s="1"/>
  <c r="BE41" i="1"/>
  <c r="BE62" i="1" s="1"/>
  <c r="BE83" i="1" s="1"/>
  <c r="BE104" i="1" s="1"/>
  <c r="BE125" i="1" s="1"/>
  <c r="BE146" i="1" s="1"/>
  <c r="BE167" i="1" s="1"/>
  <c r="BE188" i="1" s="1"/>
  <c r="BE209" i="1" s="1"/>
  <c r="BA41" i="1"/>
  <c r="BA62" i="1" s="1"/>
  <c r="BA83" i="1" s="1"/>
  <c r="BA104" i="1" s="1"/>
  <c r="BA125" i="1" s="1"/>
  <c r="BA146" i="1" s="1"/>
  <c r="BA167" i="1" s="1"/>
  <c r="BA188" i="1" s="1"/>
  <c r="BA209" i="1" s="1"/>
  <c r="AZ41" i="1"/>
  <c r="AZ62" i="1" s="1"/>
  <c r="AZ83" i="1" s="1"/>
  <c r="AZ104" i="1" s="1"/>
  <c r="AZ125" i="1" s="1"/>
  <c r="AZ146" i="1" s="1"/>
  <c r="AZ167" i="1" s="1"/>
  <c r="AZ188" i="1" s="1"/>
  <c r="AZ209" i="1" s="1"/>
  <c r="AW41" i="1"/>
  <c r="AW62" i="1" s="1"/>
  <c r="AW83" i="1" s="1"/>
  <c r="AW104" i="1" s="1"/>
  <c r="AW125" i="1" s="1"/>
  <c r="AW146" i="1" s="1"/>
  <c r="AW167" i="1" s="1"/>
  <c r="AW188" i="1" s="1"/>
  <c r="AW209" i="1" s="1"/>
  <c r="AR40" i="1"/>
  <c r="DI40" i="1"/>
  <c r="DI61" i="1" s="1"/>
  <c r="DE40" i="1"/>
  <c r="DE61" i="1" s="1"/>
  <c r="DE82" i="1" s="1"/>
  <c r="DD82" i="1" s="1"/>
  <c r="DC82" i="1" s="1"/>
  <c r="DB40" i="1"/>
  <c r="DB61" i="1" s="1"/>
  <c r="DB82" i="1" s="1"/>
  <c r="DB103" i="1" s="1"/>
  <c r="DB124" i="1" s="1"/>
  <c r="DB145" i="1" s="1"/>
  <c r="DB166" i="1" s="1"/>
  <c r="DB187" i="1" s="1"/>
  <c r="DB208" i="1" s="1"/>
  <c r="CZ40" i="1"/>
  <c r="CZ61" i="1" s="1"/>
  <c r="CD40" i="1"/>
  <c r="CD61" i="1" s="1"/>
  <c r="CD82" i="1" s="1"/>
  <c r="CD103" i="1" s="1"/>
  <c r="CD124" i="1" s="1"/>
  <c r="CD145" i="1" s="1"/>
  <c r="CD166" i="1" s="1"/>
  <c r="CD187" i="1" s="1"/>
  <c r="CD208" i="1" s="1"/>
  <c r="BY40" i="1"/>
  <c r="BX40" i="1"/>
  <c r="BW40" i="1"/>
  <c r="BV40" i="1"/>
  <c r="DL40" i="1" s="1"/>
  <c r="BU40" i="1"/>
  <c r="BU61" i="1" s="1"/>
  <c r="BU82" i="1" s="1"/>
  <c r="BU103" i="1" s="1"/>
  <c r="BU124" i="1" s="1"/>
  <c r="BU145" i="1" s="1"/>
  <c r="BU166" i="1" s="1"/>
  <c r="BU187" i="1" s="1"/>
  <c r="BU208" i="1" s="1"/>
  <c r="BP40" i="1"/>
  <c r="BP61" i="1" s="1"/>
  <c r="BP82" i="1" s="1"/>
  <c r="BP103" i="1" s="1"/>
  <c r="BP124" i="1" s="1"/>
  <c r="BP145" i="1" s="1"/>
  <c r="BP166" i="1" s="1"/>
  <c r="BP187" i="1" s="1"/>
  <c r="BP208" i="1" s="1"/>
  <c r="BO40" i="1"/>
  <c r="BO61" i="1" s="1"/>
  <c r="BO82" i="1" s="1"/>
  <c r="BO103" i="1" s="1"/>
  <c r="BO124" i="1" s="1"/>
  <c r="BO145" i="1" s="1"/>
  <c r="BO166" i="1" s="1"/>
  <c r="BO187" i="1" s="1"/>
  <c r="BO208" i="1" s="1"/>
  <c r="BN40" i="1"/>
  <c r="BN61" i="1" s="1"/>
  <c r="BN82" i="1" s="1"/>
  <c r="BN103" i="1" s="1"/>
  <c r="BN124" i="1" s="1"/>
  <c r="BN145" i="1" s="1"/>
  <c r="BN166" i="1" s="1"/>
  <c r="BN187" i="1" s="1"/>
  <c r="BN208" i="1" s="1"/>
  <c r="BM40" i="1"/>
  <c r="BI40" i="1"/>
  <c r="BI61" i="1" s="1"/>
  <c r="BI82" i="1" s="1"/>
  <c r="BI103" i="1" s="1"/>
  <c r="BI124" i="1" s="1"/>
  <c r="BI145" i="1" s="1"/>
  <c r="BI166" i="1" s="1"/>
  <c r="BI187" i="1" s="1"/>
  <c r="BI208" i="1" s="1"/>
  <c r="BG40" i="1"/>
  <c r="BG61" i="1" s="1"/>
  <c r="BG82" i="1" s="1"/>
  <c r="BG103" i="1" s="1"/>
  <c r="BG124" i="1" s="1"/>
  <c r="BG145" i="1" s="1"/>
  <c r="BG166" i="1" s="1"/>
  <c r="BG187" i="1" s="1"/>
  <c r="BG208" i="1" s="1"/>
  <c r="BF40" i="1"/>
  <c r="BF61" i="1" s="1"/>
  <c r="BF82" i="1" s="1"/>
  <c r="BF103" i="1" s="1"/>
  <c r="BF124" i="1" s="1"/>
  <c r="BF145" i="1" s="1"/>
  <c r="BF166" i="1" s="1"/>
  <c r="BF187" i="1" s="1"/>
  <c r="BF208" i="1" s="1"/>
  <c r="BE40" i="1"/>
  <c r="BE61" i="1" s="1"/>
  <c r="BE82" i="1" s="1"/>
  <c r="BE103" i="1" s="1"/>
  <c r="BE124" i="1" s="1"/>
  <c r="BE145" i="1" s="1"/>
  <c r="BE166" i="1" s="1"/>
  <c r="BE187" i="1" s="1"/>
  <c r="BE208" i="1" s="1"/>
  <c r="BA40" i="1"/>
  <c r="BA61" i="1" s="1"/>
  <c r="BA82" i="1" s="1"/>
  <c r="BA103" i="1" s="1"/>
  <c r="BA124" i="1" s="1"/>
  <c r="BA145" i="1" s="1"/>
  <c r="BA166" i="1" s="1"/>
  <c r="BA187" i="1" s="1"/>
  <c r="BA208" i="1" s="1"/>
  <c r="AZ40" i="1"/>
  <c r="AZ61" i="1" s="1"/>
  <c r="AZ82" i="1" s="1"/>
  <c r="AZ103" i="1" s="1"/>
  <c r="AZ124" i="1" s="1"/>
  <c r="AZ145" i="1" s="1"/>
  <c r="AZ166" i="1" s="1"/>
  <c r="AZ187" i="1" s="1"/>
  <c r="AZ208" i="1" s="1"/>
  <c r="AW40" i="1"/>
  <c r="AW61" i="1" s="1"/>
  <c r="AW82" i="1" s="1"/>
  <c r="AW103" i="1" s="1"/>
  <c r="AW124" i="1" s="1"/>
  <c r="AW145" i="1" s="1"/>
  <c r="AW166" i="1" s="1"/>
  <c r="AW187" i="1" s="1"/>
  <c r="AW208" i="1" s="1"/>
  <c r="AR39" i="1"/>
  <c r="AR60" i="1" s="1"/>
  <c r="DI39" i="1"/>
  <c r="DI60" i="1" s="1"/>
  <c r="DI81" i="1" s="1"/>
  <c r="DI102" i="1" s="1"/>
  <c r="DI123" i="1" s="1"/>
  <c r="DE39" i="1"/>
  <c r="DB39" i="1"/>
  <c r="DB60" i="1" s="1"/>
  <c r="DB81" i="1" s="1"/>
  <c r="DB102" i="1" s="1"/>
  <c r="DB123" i="1" s="1"/>
  <c r="DB144" i="1" s="1"/>
  <c r="DB165" i="1" s="1"/>
  <c r="DB186" i="1" s="1"/>
  <c r="DB207" i="1" s="1"/>
  <c r="CZ39" i="1"/>
  <c r="CD39" i="1"/>
  <c r="CD60" i="1" s="1"/>
  <c r="CD81" i="1" s="1"/>
  <c r="CD102" i="1" s="1"/>
  <c r="CD123" i="1" s="1"/>
  <c r="CD144" i="1" s="1"/>
  <c r="CD165" i="1" s="1"/>
  <c r="CD186" i="1" s="1"/>
  <c r="CD207" i="1" s="1"/>
  <c r="BY39" i="1"/>
  <c r="BX39" i="1"/>
  <c r="BW39" i="1"/>
  <c r="BV39" i="1"/>
  <c r="DL39" i="1" s="1"/>
  <c r="BU39" i="1"/>
  <c r="BU60" i="1" s="1"/>
  <c r="BU81" i="1" s="1"/>
  <c r="BU102" i="1" s="1"/>
  <c r="BU123" i="1" s="1"/>
  <c r="BU144" i="1" s="1"/>
  <c r="BU165" i="1" s="1"/>
  <c r="BU186" i="1" s="1"/>
  <c r="BU207" i="1" s="1"/>
  <c r="BP39" i="1"/>
  <c r="BP60" i="1" s="1"/>
  <c r="BP81" i="1" s="1"/>
  <c r="BP102" i="1" s="1"/>
  <c r="BP123" i="1" s="1"/>
  <c r="BP144" i="1" s="1"/>
  <c r="BP165" i="1" s="1"/>
  <c r="BP186" i="1" s="1"/>
  <c r="BP207" i="1" s="1"/>
  <c r="BO39" i="1"/>
  <c r="BO60" i="1" s="1"/>
  <c r="BO81" i="1" s="1"/>
  <c r="BO102" i="1" s="1"/>
  <c r="BO123" i="1" s="1"/>
  <c r="BO144" i="1" s="1"/>
  <c r="BO165" i="1" s="1"/>
  <c r="BO186" i="1" s="1"/>
  <c r="BO207" i="1" s="1"/>
  <c r="BN39" i="1"/>
  <c r="BN60" i="1" s="1"/>
  <c r="BN81" i="1" s="1"/>
  <c r="BN102" i="1" s="1"/>
  <c r="BN123" i="1" s="1"/>
  <c r="BN144" i="1" s="1"/>
  <c r="BN165" i="1" s="1"/>
  <c r="BN186" i="1" s="1"/>
  <c r="BN207" i="1" s="1"/>
  <c r="BM39" i="1"/>
  <c r="BK39" i="1" s="1"/>
  <c r="BI39" i="1"/>
  <c r="BI60" i="1" s="1"/>
  <c r="BI81" i="1" s="1"/>
  <c r="BI102" i="1" s="1"/>
  <c r="BI123" i="1" s="1"/>
  <c r="BI144" i="1" s="1"/>
  <c r="BI165" i="1" s="1"/>
  <c r="BI186" i="1" s="1"/>
  <c r="BI207" i="1" s="1"/>
  <c r="BG39" i="1"/>
  <c r="BG60" i="1" s="1"/>
  <c r="BG81" i="1" s="1"/>
  <c r="BG102" i="1" s="1"/>
  <c r="BG123" i="1" s="1"/>
  <c r="BG144" i="1" s="1"/>
  <c r="BG165" i="1" s="1"/>
  <c r="BG186" i="1" s="1"/>
  <c r="BG207" i="1" s="1"/>
  <c r="BF39" i="1"/>
  <c r="BF60" i="1" s="1"/>
  <c r="BF81" i="1" s="1"/>
  <c r="BF102" i="1" s="1"/>
  <c r="BF123" i="1" s="1"/>
  <c r="BF144" i="1" s="1"/>
  <c r="BF165" i="1" s="1"/>
  <c r="BF186" i="1" s="1"/>
  <c r="BF207" i="1" s="1"/>
  <c r="BE39" i="1"/>
  <c r="BE60" i="1" s="1"/>
  <c r="BE81" i="1" s="1"/>
  <c r="BE102" i="1" s="1"/>
  <c r="BE123" i="1" s="1"/>
  <c r="BE144" i="1" s="1"/>
  <c r="BE165" i="1" s="1"/>
  <c r="BE186" i="1" s="1"/>
  <c r="BE207" i="1" s="1"/>
  <c r="BA39" i="1"/>
  <c r="BA60" i="1" s="1"/>
  <c r="BA81" i="1" s="1"/>
  <c r="BA102" i="1" s="1"/>
  <c r="BA123" i="1" s="1"/>
  <c r="BA144" i="1" s="1"/>
  <c r="BA165" i="1" s="1"/>
  <c r="BA186" i="1" s="1"/>
  <c r="BA207" i="1" s="1"/>
  <c r="AZ39" i="1"/>
  <c r="AZ60" i="1" s="1"/>
  <c r="AZ81" i="1" s="1"/>
  <c r="AZ102" i="1" s="1"/>
  <c r="AZ123" i="1" s="1"/>
  <c r="AZ144" i="1" s="1"/>
  <c r="AZ165" i="1" s="1"/>
  <c r="AZ186" i="1" s="1"/>
  <c r="AZ207" i="1" s="1"/>
  <c r="AW39" i="1"/>
  <c r="AW60" i="1" s="1"/>
  <c r="AW81" i="1" s="1"/>
  <c r="AW102" i="1" s="1"/>
  <c r="AW123" i="1" s="1"/>
  <c r="AW144" i="1" s="1"/>
  <c r="AW165" i="1" s="1"/>
  <c r="AW186" i="1" s="1"/>
  <c r="AW207" i="1" s="1"/>
  <c r="AR38" i="1"/>
  <c r="DI38" i="1"/>
  <c r="DI59" i="1" s="1"/>
  <c r="DE38" i="1"/>
  <c r="DB38" i="1"/>
  <c r="DB59" i="1" s="1"/>
  <c r="DB80" i="1" s="1"/>
  <c r="DB101" i="1" s="1"/>
  <c r="DB122" i="1" s="1"/>
  <c r="DB143" i="1" s="1"/>
  <c r="DB164" i="1" s="1"/>
  <c r="DB185" i="1" s="1"/>
  <c r="DB206" i="1" s="1"/>
  <c r="CZ38" i="1"/>
  <c r="CZ59" i="1" s="1"/>
  <c r="CD38" i="1"/>
  <c r="CD59" i="1" s="1"/>
  <c r="CD80" i="1" s="1"/>
  <c r="CD101" i="1" s="1"/>
  <c r="CD122" i="1" s="1"/>
  <c r="CD143" i="1" s="1"/>
  <c r="CD164" i="1" s="1"/>
  <c r="CD185" i="1" s="1"/>
  <c r="CD206" i="1" s="1"/>
  <c r="BY38" i="1"/>
  <c r="BX38" i="1"/>
  <c r="BW38" i="1"/>
  <c r="BV38" i="1"/>
  <c r="DL38" i="1" s="1"/>
  <c r="BU38" i="1"/>
  <c r="BU59" i="1" s="1"/>
  <c r="BU80" i="1" s="1"/>
  <c r="BU101" i="1" s="1"/>
  <c r="BU122" i="1" s="1"/>
  <c r="BU143" i="1" s="1"/>
  <c r="BU164" i="1" s="1"/>
  <c r="BU185" i="1" s="1"/>
  <c r="BU206" i="1" s="1"/>
  <c r="BP38" i="1"/>
  <c r="BP59" i="1" s="1"/>
  <c r="BP80" i="1" s="1"/>
  <c r="BP101" i="1" s="1"/>
  <c r="BP122" i="1" s="1"/>
  <c r="BP143" i="1" s="1"/>
  <c r="BP164" i="1" s="1"/>
  <c r="BP185" i="1" s="1"/>
  <c r="BP206" i="1" s="1"/>
  <c r="BO38" i="1"/>
  <c r="BO59" i="1" s="1"/>
  <c r="BO80" i="1" s="1"/>
  <c r="BO101" i="1" s="1"/>
  <c r="BO122" i="1" s="1"/>
  <c r="BO143" i="1" s="1"/>
  <c r="BO164" i="1" s="1"/>
  <c r="BO185" i="1" s="1"/>
  <c r="BO206" i="1" s="1"/>
  <c r="BN38" i="1"/>
  <c r="BN59" i="1" s="1"/>
  <c r="BN80" i="1" s="1"/>
  <c r="BN101" i="1" s="1"/>
  <c r="BN122" i="1" s="1"/>
  <c r="BN143" i="1" s="1"/>
  <c r="BN164" i="1" s="1"/>
  <c r="BN185" i="1" s="1"/>
  <c r="BN206" i="1" s="1"/>
  <c r="BM38" i="1"/>
  <c r="BI38" i="1"/>
  <c r="BI59" i="1" s="1"/>
  <c r="BI80" i="1" s="1"/>
  <c r="BI101" i="1" s="1"/>
  <c r="BI122" i="1" s="1"/>
  <c r="BI143" i="1" s="1"/>
  <c r="BI164" i="1" s="1"/>
  <c r="BI185" i="1" s="1"/>
  <c r="BI206" i="1" s="1"/>
  <c r="BG38" i="1"/>
  <c r="BG59" i="1" s="1"/>
  <c r="BG80" i="1" s="1"/>
  <c r="BG101" i="1" s="1"/>
  <c r="BG122" i="1" s="1"/>
  <c r="BG143" i="1" s="1"/>
  <c r="BG164" i="1" s="1"/>
  <c r="BG185" i="1" s="1"/>
  <c r="BG206" i="1" s="1"/>
  <c r="BF38" i="1"/>
  <c r="BF59" i="1" s="1"/>
  <c r="BF80" i="1" s="1"/>
  <c r="BF101" i="1" s="1"/>
  <c r="BF122" i="1" s="1"/>
  <c r="BF143" i="1" s="1"/>
  <c r="BF164" i="1" s="1"/>
  <c r="BF185" i="1" s="1"/>
  <c r="BF206" i="1" s="1"/>
  <c r="BE38" i="1"/>
  <c r="BE59" i="1" s="1"/>
  <c r="BE80" i="1" s="1"/>
  <c r="BE101" i="1" s="1"/>
  <c r="BE122" i="1" s="1"/>
  <c r="BE143" i="1" s="1"/>
  <c r="BE164" i="1" s="1"/>
  <c r="BE185" i="1" s="1"/>
  <c r="BE206" i="1" s="1"/>
  <c r="BA38" i="1"/>
  <c r="BA59" i="1" s="1"/>
  <c r="BA80" i="1" s="1"/>
  <c r="BA101" i="1" s="1"/>
  <c r="BA122" i="1" s="1"/>
  <c r="BA143" i="1" s="1"/>
  <c r="BA164" i="1" s="1"/>
  <c r="BA185" i="1" s="1"/>
  <c r="BA206" i="1" s="1"/>
  <c r="AZ38" i="1"/>
  <c r="AZ59" i="1" s="1"/>
  <c r="AZ80" i="1" s="1"/>
  <c r="AZ101" i="1" s="1"/>
  <c r="AZ122" i="1" s="1"/>
  <c r="AZ143" i="1" s="1"/>
  <c r="AZ164" i="1" s="1"/>
  <c r="AZ185" i="1" s="1"/>
  <c r="AZ206" i="1" s="1"/>
  <c r="AW38" i="1"/>
  <c r="AW59" i="1" s="1"/>
  <c r="AW80" i="1" s="1"/>
  <c r="AW101" i="1" s="1"/>
  <c r="AW122" i="1" s="1"/>
  <c r="AW143" i="1" s="1"/>
  <c r="AW164" i="1" s="1"/>
  <c r="AW185" i="1" s="1"/>
  <c r="AW206" i="1" s="1"/>
  <c r="AR37" i="1"/>
  <c r="AR58" i="1" s="1"/>
  <c r="DI37" i="1"/>
  <c r="DI58" i="1" s="1"/>
  <c r="DI79" i="1" s="1"/>
  <c r="DE37" i="1"/>
  <c r="DB37" i="1"/>
  <c r="DB58" i="1" s="1"/>
  <c r="DB79" i="1" s="1"/>
  <c r="DB100" i="1" s="1"/>
  <c r="DB121" i="1" s="1"/>
  <c r="DB142" i="1" s="1"/>
  <c r="DB163" i="1" s="1"/>
  <c r="DB184" i="1" s="1"/>
  <c r="DB205" i="1" s="1"/>
  <c r="CZ37" i="1"/>
  <c r="CD37" i="1"/>
  <c r="CD58" i="1" s="1"/>
  <c r="CD79" i="1" s="1"/>
  <c r="CD100" i="1" s="1"/>
  <c r="CD121" i="1" s="1"/>
  <c r="CD142" i="1" s="1"/>
  <c r="CD163" i="1" s="1"/>
  <c r="CD184" i="1" s="1"/>
  <c r="CD205" i="1" s="1"/>
  <c r="BY37" i="1"/>
  <c r="BX37" i="1"/>
  <c r="BW37" i="1"/>
  <c r="BV37" i="1"/>
  <c r="DL37" i="1" s="1"/>
  <c r="BU37" i="1"/>
  <c r="BU58" i="1" s="1"/>
  <c r="BU79" i="1" s="1"/>
  <c r="BU100" i="1" s="1"/>
  <c r="BU121" i="1" s="1"/>
  <c r="BU142" i="1" s="1"/>
  <c r="BU163" i="1" s="1"/>
  <c r="BU184" i="1" s="1"/>
  <c r="BU205" i="1" s="1"/>
  <c r="BP37" i="1"/>
  <c r="BP58" i="1" s="1"/>
  <c r="BP79" i="1" s="1"/>
  <c r="BP100" i="1" s="1"/>
  <c r="BP121" i="1" s="1"/>
  <c r="BP142" i="1" s="1"/>
  <c r="BP163" i="1" s="1"/>
  <c r="BP184" i="1" s="1"/>
  <c r="BP205" i="1" s="1"/>
  <c r="BO37" i="1"/>
  <c r="BO58" i="1" s="1"/>
  <c r="BO79" i="1" s="1"/>
  <c r="BO100" i="1" s="1"/>
  <c r="BO121" i="1" s="1"/>
  <c r="BO142" i="1" s="1"/>
  <c r="BO163" i="1" s="1"/>
  <c r="BO184" i="1" s="1"/>
  <c r="BO205" i="1" s="1"/>
  <c r="BN37" i="1"/>
  <c r="BN58" i="1" s="1"/>
  <c r="BN79" i="1" s="1"/>
  <c r="BN100" i="1" s="1"/>
  <c r="BN121" i="1" s="1"/>
  <c r="BN142" i="1" s="1"/>
  <c r="BN163" i="1" s="1"/>
  <c r="BN184" i="1" s="1"/>
  <c r="BN205" i="1" s="1"/>
  <c r="BM37" i="1"/>
  <c r="BI37" i="1"/>
  <c r="BI58" i="1" s="1"/>
  <c r="BI79" i="1" s="1"/>
  <c r="BI100" i="1" s="1"/>
  <c r="BI121" i="1" s="1"/>
  <c r="BI142" i="1" s="1"/>
  <c r="BI163" i="1" s="1"/>
  <c r="BI184" i="1" s="1"/>
  <c r="BI205" i="1" s="1"/>
  <c r="BG37" i="1"/>
  <c r="BG58" i="1" s="1"/>
  <c r="BG79" i="1" s="1"/>
  <c r="BG100" i="1" s="1"/>
  <c r="BG121" i="1" s="1"/>
  <c r="BG142" i="1" s="1"/>
  <c r="BG163" i="1" s="1"/>
  <c r="BG184" i="1" s="1"/>
  <c r="BG205" i="1" s="1"/>
  <c r="BF37" i="1"/>
  <c r="BF58" i="1" s="1"/>
  <c r="BF79" i="1" s="1"/>
  <c r="BF100" i="1" s="1"/>
  <c r="BF121" i="1" s="1"/>
  <c r="BF142" i="1" s="1"/>
  <c r="BF163" i="1" s="1"/>
  <c r="BF184" i="1" s="1"/>
  <c r="BF205" i="1" s="1"/>
  <c r="BE37" i="1"/>
  <c r="BE58" i="1" s="1"/>
  <c r="BE79" i="1" s="1"/>
  <c r="BE100" i="1" s="1"/>
  <c r="BE121" i="1" s="1"/>
  <c r="BE142" i="1" s="1"/>
  <c r="BE163" i="1" s="1"/>
  <c r="BE184" i="1" s="1"/>
  <c r="BE205" i="1" s="1"/>
  <c r="BA37" i="1"/>
  <c r="BA58" i="1" s="1"/>
  <c r="BA79" i="1" s="1"/>
  <c r="BA100" i="1" s="1"/>
  <c r="BA121" i="1" s="1"/>
  <c r="BA142" i="1" s="1"/>
  <c r="BA163" i="1" s="1"/>
  <c r="BA184" i="1" s="1"/>
  <c r="BA205" i="1" s="1"/>
  <c r="AZ37" i="1"/>
  <c r="AZ58" i="1" s="1"/>
  <c r="AZ79" i="1" s="1"/>
  <c r="AZ100" i="1" s="1"/>
  <c r="AZ121" i="1" s="1"/>
  <c r="AZ142" i="1" s="1"/>
  <c r="AZ163" i="1" s="1"/>
  <c r="AZ184" i="1" s="1"/>
  <c r="AZ205" i="1" s="1"/>
  <c r="AW37" i="1"/>
  <c r="AW58" i="1" s="1"/>
  <c r="AW79" i="1" s="1"/>
  <c r="AW100" i="1" s="1"/>
  <c r="AW121" i="1" s="1"/>
  <c r="AW142" i="1" s="1"/>
  <c r="AW163" i="1" s="1"/>
  <c r="AW184" i="1" s="1"/>
  <c r="AW205" i="1" s="1"/>
  <c r="AR36" i="1"/>
  <c r="DI36" i="1"/>
  <c r="DE36" i="1"/>
  <c r="DB36" i="1"/>
  <c r="DB57" i="1" s="1"/>
  <c r="DB78" i="1" s="1"/>
  <c r="DB99" i="1" s="1"/>
  <c r="DB120" i="1" s="1"/>
  <c r="DB141" i="1" s="1"/>
  <c r="DB162" i="1" s="1"/>
  <c r="DB183" i="1" s="1"/>
  <c r="DB204" i="1" s="1"/>
  <c r="CZ36" i="1"/>
  <c r="CZ57" i="1" s="1"/>
  <c r="CD36" i="1"/>
  <c r="CD57" i="1" s="1"/>
  <c r="CD78" i="1" s="1"/>
  <c r="CD99" i="1" s="1"/>
  <c r="CD120" i="1" s="1"/>
  <c r="CD141" i="1" s="1"/>
  <c r="CD162" i="1" s="1"/>
  <c r="CD183" i="1" s="1"/>
  <c r="CD204" i="1" s="1"/>
  <c r="BY36" i="1"/>
  <c r="BX36" i="1"/>
  <c r="BW36" i="1"/>
  <c r="BV36" i="1"/>
  <c r="DL36" i="1" s="1"/>
  <c r="BU36" i="1"/>
  <c r="BU57" i="1" s="1"/>
  <c r="BU78" i="1" s="1"/>
  <c r="BU99" i="1" s="1"/>
  <c r="BU120" i="1" s="1"/>
  <c r="BU141" i="1" s="1"/>
  <c r="BU162" i="1" s="1"/>
  <c r="BU183" i="1" s="1"/>
  <c r="BU204" i="1" s="1"/>
  <c r="BP36" i="1"/>
  <c r="BP57" i="1" s="1"/>
  <c r="BP78" i="1" s="1"/>
  <c r="BP99" i="1" s="1"/>
  <c r="BP120" i="1" s="1"/>
  <c r="BP141" i="1" s="1"/>
  <c r="BP162" i="1" s="1"/>
  <c r="BP183" i="1" s="1"/>
  <c r="BP204" i="1" s="1"/>
  <c r="BO36" i="1"/>
  <c r="BO57" i="1" s="1"/>
  <c r="BO78" i="1" s="1"/>
  <c r="BO99" i="1" s="1"/>
  <c r="BO120" i="1" s="1"/>
  <c r="BO141" i="1" s="1"/>
  <c r="BO162" i="1" s="1"/>
  <c r="BO183" i="1" s="1"/>
  <c r="BO204" i="1" s="1"/>
  <c r="BN36" i="1"/>
  <c r="BN57" i="1" s="1"/>
  <c r="BN78" i="1" s="1"/>
  <c r="BN99" i="1" s="1"/>
  <c r="BN120" i="1" s="1"/>
  <c r="BN141" i="1" s="1"/>
  <c r="BN162" i="1" s="1"/>
  <c r="BN183" i="1" s="1"/>
  <c r="BN204" i="1" s="1"/>
  <c r="BM36" i="1"/>
  <c r="BI36" i="1"/>
  <c r="BI57" i="1" s="1"/>
  <c r="BI78" i="1" s="1"/>
  <c r="BI99" i="1" s="1"/>
  <c r="BI120" i="1" s="1"/>
  <c r="BI141" i="1" s="1"/>
  <c r="BI162" i="1" s="1"/>
  <c r="BI183" i="1" s="1"/>
  <c r="BI204" i="1" s="1"/>
  <c r="BG36" i="1"/>
  <c r="BG57" i="1" s="1"/>
  <c r="BG78" i="1" s="1"/>
  <c r="BG99" i="1" s="1"/>
  <c r="BG120" i="1" s="1"/>
  <c r="BG141" i="1" s="1"/>
  <c r="BG162" i="1" s="1"/>
  <c r="BG183" i="1" s="1"/>
  <c r="BG204" i="1" s="1"/>
  <c r="BF36" i="1"/>
  <c r="BF57" i="1" s="1"/>
  <c r="BF78" i="1" s="1"/>
  <c r="BF99" i="1" s="1"/>
  <c r="BF120" i="1" s="1"/>
  <c r="BF141" i="1" s="1"/>
  <c r="BF162" i="1" s="1"/>
  <c r="BF183" i="1" s="1"/>
  <c r="BF204" i="1" s="1"/>
  <c r="BE36" i="1"/>
  <c r="BE57" i="1" s="1"/>
  <c r="BE78" i="1" s="1"/>
  <c r="BE99" i="1" s="1"/>
  <c r="BE120" i="1" s="1"/>
  <c r="BE141" i="1" s="1"/>
  <c r="BE162" i="1" s="1"/>
  <c r="BE183" i="1" s="1"/>
  <c r="BE204" i="1" s="1"/>
  <c r="BA36" i="1"/>
  <c r="BA57" i="1" s="1"/>
  <c r="BA78" i="1" s="1"/>
  <c r="BA99" i="1" s="1"/>
  <c r="BA120" i="1" s="1"/>
  <c r="BA141" i="1" s="1"/>
  <c r="BA162" i="1" s="1"/>
  <c r="BA183" i="1" s="1"/>
  <c r="BA204" i="1" s="1"/>
  <c r="AZ36" i="1"/>
  <c r="AZ57" i="1" s="1"/>
  <c r="AZ78" i="1" s="1"/>
  <c r="AZ99" i="1" s="1"/>
  <c r="AZ120" i="1" s="1"/>
  <c r="AZ141" i="1" s="1"/>
  <c r="AZ162" i="1" s="1"/>
  <c r="AZ183" i="1" s="1"/>
  <c r="AZ204" i="1" s="1"/>
  <c r="AW36" i="1"/>
  <c r="AW57" i="1" s="1"/>
  <c r="AW78" i="1" s="1"/>
  <c r="AW99" i="1" s="1"/>
  <c r="AW120" i="1" s="1"/>
  <c r="AW141" i="1" s="1"/>
  <c r="AW162" i="1" s="1"/>
  <c r="AW183" i="1" s="1"/>
  <c r="AW204" i="1" s="1"/>
  <c r="AR35" i="1"/>
  <c r="AR56" i="1" s="1"/>
  <c r="AR77" i="1" s="1"/>
  <c r="AR98" i="1" s="1"/>
  <c r="DI35" i="1"/>
  <c r="DI56" i="1" s="1"/>
  <c r="DG35" i="1"/>
  <c r="DG56" i="1" s="1"/>
  <c r="DG77" i="1" s="1"/>
  <c r="DG98" i="1" s="1"/>
  <c r="DG119" i="1" s="1"/>
  <c r="DG140" i="1" s="1"/>
  <c r="DG161" i="1" s="1"/>
  <c r="DG182" i="1" s="1"/>
  <c r="DG203" i="1" s="1"/>
  <c r="DE35" i="1"/>
  <c r="DB35" i="1"/>
  <c r="DB56" i="1" s="1"/>
  <c r="DB77" i="1" s="1"/>
  <c r="DB98" i="1" s="1"/>
  <c r="DB119" i="1" s="1"/>
  <c r="DB140" i="1" s="1"/>
  <c r="DB161" i="1" s="1"/>
  <c r="DB182" i="1" s="1"/>
  <c r="DB203" i="1" s="1"/>
  <c r="CZ35" i="1"/>
  <c r="CD35" i="1"/>
  <c r="CD56" i="1" s="1"/>
  <c r="CD77" i="1" s="1"/>
  <c r="CD98" i="1" s="1"/>
  <c r="CD119" i="1" s="1"/>
  <c r="CD140" i="1" s="1"/>
  <c r="CD161" i="1" s="1"/>
  <c r="CD182" i="1" s="1"/>
  <c r="CD203" i="1" s="1"/>
  <c r="BY35" i="1"/>
  <c r="BX35" i="1"/>
  <c r="BW35" i="1"/>
  <c r="BV35" i="1"/>
  <c r="DL35" i="1" s="1"/>
  <c r="BU35" i="1"/>
  <c r="BU56" i="1" s="1"/>
  <c r="BU77" i="1" s="1"/>
  <c r="BU98" i="1" s="1"/>
  <c r="BU119" i="1" s="1"/>
  <c r="BU140" i="1" s="1"/>
  <c r="BU161" i="1" s="1"/>
  <c r="BU182" i="1" s="1"/>
  <c r="BU203" i="1" s="1"/>
  <c r="BP35" i="1"/>
  <c r="BP56" i="1" s="1"/>
  <c r="BP77" i="1" s="1"/>
  <c r="BP98" i="1" s="1"/>
  <c r="BP119" i="1" s="1"/>
  <c r="BP140" i="1" s="1"/>
  <c r="BP161" i="1" s="1"/>
  <c r="BP182" i="1" s="1"/>
  <c r="BP203" i="1" s="1"/>
  <c r="BO35" i="1"/>
  <c r="BO56" i="1" s="1"/>
  <c r="BO77" i="1" s="1"/>
  <c r="BO98" i="1" s="1"/>
  <c r="BO119" i="1" s="1"/>
  <c r="BO140" i="1" s="1"/>
  <c r="BO161" i="1" s="1"/>
  <c r="BO182" i="1" s="1"/>
  <c r="BO203" i="1" s="1"/>
  <c r="BN35" i="1"/>
  <c r="BN56" i="1" s="1"/>
  <c r="BN77" i="1" s="1"/>
  <c r="BN98" i="1" s="1"/>
  <c r="BN119" i="1" s="1"/>
  <c r="BN140" i="1" s="1"/>
  <c r="BN161" i="1" s="1"/>
  <c r="BN182" i="1" s="1"/>
  <c r="BN203" i="1" s="1"/>
  <c r="BM35" i="1"/>
  <c r="BI35" i="1"/>
  <c r="BI56" i="1" s="1"/>
  <c r="BI77" i="1" s="1"/>
  <c r="BI98" i="1" s="1"/>
  <c r="BI119" i="1" s="1"/>
  <c r="BI140" i="1" s="1"/>
  <c r="BI161" i="1" s="1"/>
  <c r="BI182" i="1" s="1"/>
  <c r="BI203" i="1" s="1"/>
  <c r="BG35" i="1"/>
  <c r="BG56" i="1" s="1"/>
  <c r="BG77" i="1" s="1"/>
  <c r="BG98" i="1" s="1"/>
  <c r="BG119" i="1" s="1"/>
  <c r="BG140" i="1" s="1"/>
  <c r="BG161" i="1" s="1"/>
  <c r="BG182" i="1" s="1"/>
  <c r="BG203" i="1" s="1"/>
  <c r="BF35" i="1"/>
  <c r="BF56" i="1" s="1"/>
  <c r="BF77" i="1" s="1"/>
  <c r="BF98" i="1" s="1"/>
  <c r="BF119" i="1" s="1"/>
  <c r="BF140" i="1" s="1"/>
  <c r="BF161" i="1" s="1"/>
  <c r="BF182" i="1" s="1"/>
  <c r="BF203" i="1" s="1"/>
  <c r="BE35" i="1"/>
  <c r="BE56" i="1" s="1"/>
  <c r="BE77" i="1" s="1"/>
  <c r="BE98" i="1" s="1"/>
  <c r="BE119" i="1" s="1"/>
  <c r="BE140" i="1" s="1"/>
  <c r="BE161" i="1" s="1"/>
  <c r="BE182" i="1" s="1"/>
  <c r="BE203" i="1" s="1"/>
  <c r="BA35" i="1"/>
  <c r="BA56" i="1" s="1"/>
  <c r="BA77" i="1" s="1"/>
  <c r="BA98" i="1" s="1"/>
  <c r="BA119" i="1" s="1"/>
  <c r="BA140" i="1" s="1"/>
  <c r="BA161" i="1" s="1"/>
  <c r="BA182" i="1" s="1"/>
  <c r="BA203" i="1" s="1"/>
  <c r="AZ35" i="1"/>
  <c r="AZ56" i="1" s="1"/>
  <c r="AZ77" i="1" s="1"/>
  <c r="AZ98" i="1" s="1"/>
  <c r="AZ119" i="1" s="1"/>
  <c r="AZ140" i="1" s="1"/>
  <c r="AZ161" i="1" s="1"/>
  <c r="AZ182" i="1" s="1"/>
  <c r="AZ203" i="1" s="1"/>
  <c r="AW35" i="1"/>
  <c r="AW56" i="1" s="1"/>
  <c r="AW77" i="1" s="1"/>
  <c r="AW98" i="1" s="1"/>
  <c r="AW119" i="1" s="1"/>
  <c r="AW140" i="1" s="1"/>
  <c r="AW161" i="1" s="1"/>
  <c r="AW182" i="1" s="1"/>
  <c r="AW203" i="1" s="1"/>
  <c r="AR34" i="1"/>
  <c r="AR55" i="1" s="1"/>
  <c r="DI34" i="1"/>
  <c r="DI55" i="1" s="1"/>
  <c r="DI76" i="1" s="1"/>
  <c r="DI97" i="1" s="1"/>
  <c r="DI118" i="1" s="1"/>
  <c r="DE34" i="1"/>
  <c r="DE55" i="1" s="1"/>
  <c r="DE76" i="1" s="1"/>
  <c r="DB34" i="1"/>
  <c r="DB55" i="1" s="1"/>
  <c r="DB76" i="1" s="1"/>
  <c r="DB97" i="1" s="1"/>
  <c r="DB118" i="1" s="1"/>
  <c r="DB139" i="1" s="1"/>
  <c r="DB160" i="1" s="1"/>
  <c r="DB181" i="1" s="1"/>
  <c r="DB202" i="1" s="1"/>
  <c r="CZ34" i="1"/>
  <c r="CZ55" i="1" s="1"/>
  <c r="CZ76" i="1" s="1"/>
  <c r="CZ97" i="1" s="1"/>
  <c r="CD34" i="1"/>
  <c r="CD55" i="1" s="1"/>
  <c r="CD76" i="1" s="1"/>
  <c r="CD97" i="1" s="1"/>
  <c r="CD118" i="1" s="1"/>
  <c r="CD139" i="1" s="1"/>
  <c r="CD160" i="1" s="1"/>
  <c r="CD181" i="1" s="1"/>
  <c r="CD202" i="1" s="1"/>
  <c r="BY34" i="1"/>
  <c r="BX34" i="1"/>
  <c r="BW34" i="1"/>
  <c r="BV34" i="1"/>
  <c r="DL34" i="1" s="1"/>
  <c r="BU34" i="1"/>
  <c r="BU55" i="1" s="1"/>
  <c r="BU76" i="1" s="1"/>
  <c r="BU97" i="1" s="1"/>
  <c r="BU118" i="1" s="1"/>
  <c r="BU139" i="1" s="1"/>
  <c r="BU160" i="1" s="1"/>
  <c r="BU181" i="1" s="1"/>
  <c r="BU202" i="1" s="1"/>
  <c r="BP34" i="1"/>
  <c r="BP55" i="1" s="1"/>
  <c r="BP76" i="1" s="1"/>
  <c r="BP97" i="1" s="1"/>
  <c r="BP118" i="1" s="1"/>
  <c r="BP139" i="1" s="1"/>
  <c r="BP160" i="1" s="1"/>
  <c r="BP181" i="1" s="1"/>
  <c r="BP202" i="1" s="1"/>
  <c r="BO34" i="1"/>
  <c r="BO55" i="1" s="1"/>
  <c r="BO76" i="1" s="1"/>
  <c r="BO97" i="1" s="1"/>
  <c r="BO118" i="1" s="1"/>
  <c r="BO139" i="1" s="1"/>
  <c r="BO160" i="1" s="1"/>
  <c r="BO181" i="1" s="1"/>
  <c r="BO202" i="1" s="1"/>
  <c r="BN34" i="1"/>
  <c r="BN55" i="1" s="1"/>
  <c r="BN76" i="1" s="1"/>
  <c r="BN97" i="1" s="1"/>
  <c r="BN118" i="1" s="1"/>
  <c r="BN139" i="1" s="1"/>
  <c r="BN160" i="1" s="1"/>
  <c r="BN181" i="1" s="1"/>
  <c r="BN202" i="1" s="1"/>
  <c r="BM34" i="1"/>
  <c r="BI34" i="1"/>
  <c r="BI55" i="1" s="1"/>
  <c r="BI76" i="1" s="1"/>
  <c r="BI97" i="1" s="1"/>
  <c r="BI118" i="1" s="1"/>
  <c r="BI139" i="1" s="1"/>
  <c r="BI160" i="1" s="1"/>
  <c r="BI181" i="1" s="1"/>
  <c r="BI202" i="1" s="1"/>
  <c r="BG34" i="1"/>
  <c r="BG55" i="1" s="1"/>
  <c r="BG76" i="1" s="1"/>
  <c r="BG97" i="1" s="1"/>
  <c r="BG118" i="1" s="1"/>
  <c r="BG139" i="1" s="1"/>
  <c r="BG160" i="1" s="1"/>
  <c r="BG181" i="1" s="1"/>
  <c r="BG202" i="1" s="1"/>
  <c r="BF34" i="1"/>
  <c r="BF55" i="1" s="1"/>
  <c r="BF76" i="1" s="1"/>
  <c r="BF97" i="1" s="1"/>
  <c r="BF118" i="1" s="1"/>
  <c r="BF139" i="1" s="1"/>
  <c r="BF160" i="1" s="1"/>
  <c r="BF181" i="1" s="1"/>
  <c r="BF202" i="1" s="1"/>
  <c r="BE34" i="1"/>
  <c r="BE55" i="1" s="1"/>
  <c r="BE76" i="1" s="1"/>
  <c r="BE97" i="1" s="1"/>
  <c r="BE118" i="1" s="1"/>
  <c r="BE139" i="1" s="1"/>
  <c r="BE160" i="1" s="1"/>
  <c r="BE181" i="1" s="1"/>
  <c r="BE202" i="1" s="1"/>
  <c r="BA34" i="1"/>
  <c r="BA55" i="1" s="1"/>
  <c r="BA76" i="1" s="1"/>
  <c r="BA97" i="1" s="1"/>
  <c r="BA118" i="1" s="1"/>
  <c r="BA139" i="1" s="1"/>
  <c r="BA160" i="1" s="1"/>
  <c r="BA181" i="1" s="1"/>
  <c r="BA202" i="1" s="1"/>
  <c r="AZ34" i="1"/>
  <c r="AZ55" i="1" s="1"/>
  <c r="AZ76" i="1" s="1"/>
  <c r="AZ97" i="1" s="1"/>
  <c r="AZ118" i="1" s="1"/>
  <c r="AZ139" i="1" s="1"/>
  <c r="AZ160" i="1" s="1"/>
  <c r="AZ181" i="1" s="1"/>
  <c r="AZ202" i="1" s="1"/>
  <c r="AW34" i="1"/>
  <c r="AW55" i="1" s="1"/>
  <c r="AW76" i="1" s="1"/>
  <c r="AW97" i="1" s="1"/>
  <c r="AW118" i="1" s="1"/>
  <c r="AW139" i="1" s="1"/>
  <c r="AW160" i="1" s="1"/>
  <c r="AW181" i="1" s="1"/>
  <c r="AW202" i="1" s="1"/>
  <c r="AR33" i="1"/>
  <c r="DI33" i="1"/>
  <c r="DI54" i="1" s="1"/>
  <c r="DI75" i="1" s="1"/>
  <c r="DE33" i="1"/>
  <c r="DB33" i="1"/>
  <c r="DB54" i="1" s="1"/>
  <c r="DB75" i="1" s="1"/>
  <c r="DB96" i="1" s="1"/>
  <c r="DB117" i="1" s="1"/>
  <c r="DB138" i="1" s="1"/>
  <c r="DB159" i="1" s="1"/>
  <c r="DB180" i="1" s="1"/>
  <c r="DB201" i="1" s="1"/>
  <c r="CZ33" i="1"/>
  <c r="CZ54" i="1" s="1"/>
  <c r="CD33" i="1"/>
  <c r="CD54" i="1" s="1"/>
  <c r="CD75" i="1" s="1"/>
  <c r="CD96" i="1" s="1"/>
  <c r="CD117" i="1" s="1"/>
  <c r="CD138" i="1" s="1"/>
  <c r="CD159" i="1" s="1"/>
  <c r="CD180" i="1" s="1"/>
  <c r="CD201" i="1" s="1"/>
  <c r="BY33" i="1"/>
  <c r="BX33" i="1"/>
  <c r="BW33" i="1"/>
  <c r="BV33" i="1"/>
  <c r="DL33" i="1" s="1"/>
  <c r="BU33" i="1"/>
  <c r="BU54" i="1" s="1"/>
  <c r="BU75" i="1" s="1"/>
  <c r="BU96" i="1" s="1"/>
  <c r="BU117" i="1" s="1"/>
  <c r="BU138" i="1" s="1"/>
  <c r="BU159" i="1" s="1"/>
  <c r="BU180" i="1" s="1"/>
  <c r="BU201" i="1" s="1"/>
  <c r="BP33" i="1"/>
  <c r="BP54" i="1" s="1"/>
  <c r="BP75" i="1" s="1"/>
  <c r="BP96" i="1" s="1"/>
  <c r="BP117" i="1" s="1"/>
  <c r="BP138" i="1" s="1"/>
  <c r="BP159" i="1" s="1"/>
  <c r="BP180" i="1" s="1"/>
  <c r="BP201" i="1" s="1"/>
  <c r="BO33" i="1"/>
  <c r="BO54" i="1" s="1"/>
  <c r="BO75" i="1" s="1"/>
  <c r="BO96" i="1" s="1"/>
  <c r="BO117" i="1" s="1"/>
  <c r="BO138" i="1" s="1"/>
  <c r="BO159" i="1" s="1"/>
  <c r="BO180" i="1" s="1"/>
  <c r="BO201" i="1" s="1"/>
  <c r="BN33" i="1"/>
  <c r="BN54" i="1" s="1"/>
  <c r="BN75" i="1" s="1"/>
  <c r="BN96" i="1" s="1"/>
  <c r="BN117" i="1" s="1"/>
  <c r="BN138" i="1" s="1"/>
  <c r="BN159" i="1" s="1"/>
  <c r="BN180" i="1" s="1"/>
  <c r="BN201" i="1" s="1"/>
  <c r="BM33" i="1"/>
  <c r="BI33" i="1"/>
  <c r="BI54" i="1" s="1"/>
  <c r="BI75" i="1" s="1"/>
  <c r="BI96" i="1" s="1"/>
  <c r="BI117" i="1" s="1"/>
  <c r="BI138" i="1" s="1"/>
  <c r="BI159" i="1" s="1"/>
  <c r="BI180" i="1" s="1"/>
  <c r="BI201" i="1" s="1"/>
  <c r="BG33" i="1"/>
  <c r="BG54" i="1" s="1"/>
  <c r="BG75" i="1" s="1"/>
  <c r="BG96" i="1" s="1"/>
  <c r="BG117" i="1" s="1"/>
  <c r="BG138" i="1" s="1"/>
  <c r="BG159" i="1" s="1"/>
  <c r="BG180" i="1" s="1"/>
  <c r="BG201" i="1" s="1"/>
  <c r="BF33" i="1"/>
  <c r="BF54" i="1" s="1"/>
  <c r="BF75" i="1" s="1"/>
  <c r="BF96" i="1" s="1"/>
  <c r="BF117" i="1" s="1"/>
  <c r="BF138" i="1" s="1"/>
  <c r="BF159" i="1" s="1"/>
  <c r="BF180" i="1" s="1"/>
  <c r="BF201" i="1" s="1"/>
  <c r="BE33" i="1"/>
  <c r="BE54" i="1" s="1"/>
  <c r="BE75" i="1" s="1"/>
  <c r="BE96" i="1" s="1"/>
  <c r="BE117" i="1" s="1"/>
  <c r="BE138" i="1" s="1"/>
  <c r="BE159" i="1" s="1"/>
  <c r="BE180" i="1" s="1"/>
  <c r="BE201" i="1" s="1"/>
  <c r="BA33" i="1"/>
  <c r="BA54" i="1" s="1"/>
  <c r="BA75" i="1" s="1"/>
  <c r="BA96" i="1" s="1"/>
  <c r="BA117" i="1" s="1"/>
  <c r="BA138" i="1" s="1"/>
  <c r="BA159" i="1" s="1"/>
  <c r="BA180" i="1" s="1"/>
  <c r="BA201" i="1" s="1"/>
  <c r="AW33" i="1"/>
  <c r="AW54" i="1" s="1"/>
  <c r="AW75" i="1" s="1"/>
  <c r="AW96" i="1" s="1"/>
  <c r="AW117" i="1" s="1"/>
  <c r="AW138" i="1" s="1"/>
  <c r="AW159" i="1" s="1"/>
  <c r="AW180" i="1" s="1"/>
  <c r="AW201" i="1" s="1"/>
  <c r="AR32" i="1"/>
  <c r="AR53" i="1" s="1"/>
  <c r="DI32" i="1"/>
  <c r="DI53" i="1" s="1"/>
  <c r="DG32" i="1"/>
  <c r="DG53" i="1" s="1"/>
  <c r="DG74" i="1" s="1"/>
  <c r="DG95" i="1" s="1"/>
  <c r="DG116" i="1" s="1"/>
  <c r="DG137" i="1" s="1"/>
  <c r="DG158" i="1" s="1"/>
  <c r="DG179" i="1" s="1"/>
  <c r="DG200" i="1" s="1"/>
  <c r="DE32" i="1"/>
  <c r="DE53" i="1" s="1"/>
  <c r="DE74" i="1" s="1"/>
  <c r="DE95" i="1" s="1"/>
  <c r="DD95" i="1" s="1"/>
  <c r="DC95" i="1" s="1"/>
  <c r="DB32" i="1"/>
  <c r="DB53" i="1" s="1"/>
  <c r="DB74" i="1" s="1"/>
  <c r="DB95" i="1" s="1"/>
  <c r="DB116" i="1" s="1"/>
  <c r="DB137" i="1" s="1"/>
  <c r="DB158" i="1" s="1"/>
  <c r="DB179" i="1" s="1"/>
  <c r="DB200" i="1" s="1"/>
  <c r="CZ32" i="1"/>
  <c r="CZ53" i="1" s="1"/>
  <c r="CD32" i="1"/>
  <c r="CD53" i="1" s="1"/>
  <c r="CD74" i="1" s="1"/>
  <c r="CD95" i="1" s="1"/>
  <c r="CD116" i="1" s="1"/>
  <c r="CD137" i="1" s="1"/>
  <c r="CD158" i="1" s="1"/>
  <c r="CD179" i="1" s="1"/>
  <c r="CD200" i="1" s="1"/>
  <c r="BY32" i="1"/>
  <c r="BX32" i="1"/>
  <c r="BW32" i="1"/>
  <c r="BV32" i="1"/>
  <c r="DL32" i="1" s="1"/>
  <c r="BU32" i="1"/>
  <c r="BU53" i="1" s="1"/>
  <c r="BU74" i="1" s="1"/>
  <c r="BU95" i="1" s="1"/>
  <c r="BU116" i="1" s="1"/>
  <c r="BU137" i="1" s="1"/>
  <c r="BU158" i="1" s="1"/>
  <c r="BU179" i="1" s="1"/>
  <c r="BU200" i="1" s="1"/>
  <c r="BP32" i="1"/>
  <c r="BP53" i="1" s="1"/>
  <c r="BP74" i="1" s="1"/>
  <c r="BP95" i="1" s="1"/>
  <c r="BP116" i="1" s="1"/>
  <c r="BP137" i="1" s="1"/>
  <c r="BP158" i="1" s="1"/>
  <c r="BP179" i="1" s="1"/>
  <c r="BP200" i="1" s="1"/>
  <c r="BO32" i="1"/>
  <c r="BO53" i="1" s="1"/>
  <c r="BO74" i="1" s="1"/>
  <c r="BO95" i="1" s="1"/>
  <c r="BO116" i="1" s="1"/>
  <c r="BO137" i="1" s="1"/>
  <c r="BO158" i="1" s="1"/>
  <c r="BO179" i="1" s="1"/>
  <c r="BO200" i="1" s="1"/>
  <c r="BN32" i="1"/>
  <c r="BN53" i="1" s="1"/>
  <c r="BN74" i="1" s="1"/>
  <c r="BN95" i="1" s="1"/>
  <c r="BN116" i="1" s="1"/>
  <c r="BN137" i="1" s="1"/>
  <c r="BN158" i="1" s="1"/>
  <c r="BN179" i="1" s="1"/>
  <c r="BN200" i="1" s="1"/>
  <c r="BM32" i="1"/>
  <c r="BI32" i="1"/>
  <c r="BI53" i="1" s="1"/>
  <c r="BI74" i="1" s="1"/>
  <c r="BI95" i="1" s="1"/>
  <c r="BI116" i="1" s="1"/>
  <c r="BI137" i="1" s="1"/>
  <c r="BI158" i="1" s="1"/>
  <c r="BI179" i="1" s="1"/>
  <c r="BI200" i="1" s="1"/>
  <c r="BG32" i="1"/>
  <c r="BG53" i="1" s="1"/>
  <c r="BG74" i="1" s="1"/>
  <c r="BG95" i="1" s="1"/>
  <c r="BG116" i="1" s="1"/>
  <c r="BG137" i="1" s="1"/>
  <c r="BG158" i="1" s="1"/>
  <c r="BG179" i="1" s="1"/>
  <c r="BG200" i="1" s="1"/>
  <c r="BF32" i="1"/>
  <c r="BF53" i="1" s="1"/>
  <c r="BF74" i="1" s="1"/>
  <c r="BF95" i="1" s="1"/>
  <c r="BF116" i="1" s="1"/>
  <c r="BF137" i="1" s="1"/>
  <c r="BF158" i="1" s="1"/>
  <c r="BF179" i="1" s="1"/>
  <c r="BF200" i="1" s="1"/>
  <c r="BE32" i="1"/>
  <c r="BE53" i="1" s="1"/>
  <c r="BE74" i="1" s="1"/>
  <c r="BE95" i="1" s="1"/>
  <c r="BE116" i="1" s="1"/>
  <c r="BE137" i="1" s="1"/>
  <c r="BE158" i="1" s="1"/>
  <c r="BE179" i="1" s="1"/>
  <c r="BE200" i="1" s="1"/>
  <c r="BA32" i="1"/>
  <c r="BA53" i="1" s="1"/>
  <c r="BA74" i="1" s="1"/>
  <c r="BA95" i="1" s="1"/>
  <c r="BA116" i="1" s="1"/>
  <c r="BA137" i="1" s="1"/>
  <c r="BA158" i="1" s="1"/>
  <c r="BA179" i="1" s="1"/>
  <c r="BA200" i="1" s="1"/>
  <c r="AZ32" i="1"/>
  <c r="AZ53" i="1" s="1"/>
  <c r="AZ74" i="1" s="1"/>
  <c r="AZ95" i="1" s="1"/>
  <c r="AZ116" i="1" s="1"/>
  <c r="AZ137" i="1" s="1"/>
  <c r="AZ158" i="1" s="1"/>
  <c r="AZ179" i="1" s="1"/>
  <c r="AZ200" i="1" s="1"/>
  <c r="AW32" i="1"/>
  <c r="AW53" i="1" s="1"/>
  <c r="AW74" i="1" s="1"/>
  <c r="AW95" i="1" s="1"/>
  <c r="AW116" i="1" s="1"/>
  <c r="AW137" i="1" s="1"/>
  <c r="AW158" i="1" s="1"/>
  <c r="AW179" i="1" s="1"/>
  <c r="AW200" i="1" s="1"/>
  <c r="AR31" i="1"/>
  <c r="AR52" i="1" s="1"/>
  <c r="AR73" i="1" s="1"/>
  <c r="DI31" i="1"/>
  <c r="DI52" i="1" s="1"/>
  <c r="DE31" i="1"/>
  <c r="DB31" i="1"/>
  <c r="DB52" i="1" s="1"/>
  <c r="DB73" i="1" s="1"/>
  <c r="DB94" i="1" s="1"/>
  <c r="DB115" i="1" s="1"/>
  <c r="DB136" i="1" s="1"/>
  <c r="DB157" i="1" s="1"/>
  <c r="DB178" i="1" s="1"/>
  <c r="DB199" i="1" s="1"/>
  <c r="CZ31" i="1"/>
  <c r="CD31" i="1"/>
  <c r="CD52" i="1" s="1"/>
  <c r="CD73" i="1" s="1"/>
  <c r="CD94" i="1" s="1"/>
  <c r="CD115" i="1" s="1"/>
  <c r="CD136" i="1" s="1"/>
  <c r="CD157" i="1" s="1"/>
  <c r="CD178" i="1" s="1"/>
  <c r="CD199" i="1" s="1"/>
  <c r="BY31" i="1"/>
  <c r="BX31" i="1"/>
  <c r="BW31" i="1"/>
  <c r="BV31" i="1"/>
  <c r="DL31" i="1" s="1"/>
  <c r="BU31" i="1"/>
  <c r="BU52" i="1" s="1"/>
  <c r="BU73" i="1" s="1"/>
  <c r="BU94" i="1" s="1"/>
  <c r="BU115" i="1" s="1"/>
  <c r="BU136" i="1" s="1"/>
  <c r="BU157" i="1" s="1"/>
  <c r="BU178" i="1" s="1"/>
  <c r="BU199" i="1" s="1"/>
  <c r="BP31" i="1"/>
  <c r="BP52" i="1" s="1"/>
  <c r="BP73" i="1" s="1"/>
  <c r="BP94" i="1" s="1"/>
  <c r="BP115" i="1" s="1"/>
  <c r="BP136" i="1" s="1"/>
  <c r="BP157" i="1" s="1"/>
  <c r="BP178" i="1" s="1"/>
  <c r="BP199" i="1" s="1"/>
  <c r="BO31" i="1"/>
  <c r="BO52" i="1" s="1"/>
  <c r="BO73" i="1" s="1"/>
  <c r="BO94" i="1" s="1"/>
  <c r="BO115" i="1" s="1"/>
  <c r="BO136" i="1" s="1"/>
  <c r="BO157" i="1" s="1"/>
  <c r="BO178" i="1" s="1"/>
  <c r="BO199" i="1" s="1"/>
  <c r="BN31" i="1"/>
  <c r="BN52" i="1" s="1"/>
  <c r="BN73" i="1" s="1"/>
  <c r="BN94" i="1" s="1"/>
  <c r="BN115" i="1" s="1"/>
  <c r="BN136" i="1" s="1"/>
  <c r="BN157" i="1" s="1"/>
  <c r="BN178" i="1" s="1"/>
  <c r="BN199" i="1" s="1"/>
  <c r="BM31" i="1"/>
  <c r="BI31" i="1"/>
  <c r="BI52" i="1" s="1"/>
  <c r="BI73" i="1" s="1"/>
  <c r="BI94" i="1" s="1"/>
  <c r="BI115" i="1" s="1"/>
  <c r="BI136" i="1" s="1"/>
  <c r="BI157" i="1" s="1"/>
  <c r="BI178" i="1" s="1"/>
  <c r="BI199" i="1" s="1"/>
  <c r="BG31" i="1"/>
  <c r="BG52" i="1" s="1"/>
  <c r="BG73" i="1" s="1"/>
  <c r="BG94" i="1" s="1"/>
  <c r="BG115" i="1" s="1"/>
  <c r="BG136" i="1" s="1"/>
  <c r="BG157" i="1" s="1"/>
  <c r="BG178" i="1" s="1"/>
  <c r="BG199" i="1" s="1"/>
  <c r="BF31" i="1"/>
  <c r="BF52" i="1" s="1"/>
  <c r="BF73" i="1" s="1"/>
  <c r="BF94" i="1" s="1"/>
  <c r="BF115" i="1" s="1"/>
  <c r="BF136" i="1" s="1"/>
  <c r="BF157" i="1" s="1"/>
  <c r="BF178" i="1" s="1"/>
  <c r="BF199" i="1" s="1"/>
  <c r="BE31" i="1"/>
  <c r="BE52" i="1" s="1"/>
  <c r="BE73" i="1" s="1"/>
  <c r="BE94" i="1" s="1"/>
  <c r="BE115" i="1" s="1"/>
  <c r="BE136" i="1" s="1"/>
  <c r="BE157" i="1" s="1"/>
  <c r="BE178" i="1" s="1"/>
  <c r="BE199" i="1" s="1"/>
  <c r="BA31" i="1"/>
  <c r="BA52" i="1" s="1"/>
  <c r="BA73" i="1" s="1"/>
  <c r="BA94" i="1" s="1"/>
  <c r="BA115" i="1" s="1"/>
  <c r="BA136" i="1" s="1"/>
  <c r="BA157" i="1" s="1"/>
  <c r="BA178" i="1" s="1"/>
  <c r="BA199" i="1" s="1"/>
  <c r="AZ31" i="1"/>
  <c r="AZ52" i="1" s="1"/>
  <c r="AZ73" i="1" s="1"/>
  <c r="AZ94" i="1" s="1"/>
  <c r="AZ115" i="1" s="1"/>
  <c r="AZ136" i="1" s="1"/>
  <c r="AZ157" i="1" s="1"/>
  <c r="AZ178" i="1" s="1"/>
  <c r="AZ199" i="1" s="1"/>
  <c r="AW31" i="1"/>
  <c r="AW52" i="1" s="1"/>
  <c r="AW73" i="1" s="1"/>
  <c r="AW94" i="1" s="1"/>
  <c r="AW115" i="1" s="1"/>
  <c r="AW136" i="1" s="1"/>
  <c r="AW157" i="1" s="1"/>
  <c r="AW178" i="1" s="1"/>
  <c r="AW199" i="1" s="1"/>
  <c r="AR30" i="1"/>
  <c r="AR51" i="1" s="1"/>
  <c r="AR72" i="1" s="1"/>
  <c r="AR93" i="1" s="1"/>
  <c r="DI30" i="1"/>
  <c r="DI51" i="1" s="1"/>
  <c r="DI72" i="1" s="1"/>
  <c r="DI93" i="1" s="1"/>
  <c r="DE30" i="1"/>
  <c r="DE51" i="1" s="1"/>
  <c r="DE72" i="1" s="1"/>
  <c r="DD72" i="1" s="1"/>
  <c r="DC72" i="1" s="1"/>
  <c r="DB30" i="1"/>
  <c r="DB51" i="1" s="1"/>
  <c r="DB72" i="1" s="1"/>
  <c r="DB93" i="1" s="1"/>
  <c r="DB114" i="1" s="1"/>
  <c r="DB135" i="1" s="1"/>
  <c r="DB156" i="1" s="1"/>
  <c r="DB177" i="1" s="1"/>
  <c r="DB198" i="1" s="1"/>
  <c r="CZ30" i="1"/>
  <c r="CD30" i="1"/>
  <c r="CD51" i="1" s="1"/>
  <c r="CD72" i="1" s="1"/>
  <c r="CD93" i="1" s="1"/>
  <c r="CD114" i="1" s="1"/>
  <c r="CD135" i="1" s="1"/>
  <c r="CD156" i="1" s="1"/>
  <c r="BY30" i="1"/>
  <c r="BX30" i="1"/>
  <c r="BW30" i="1"/>
  <c r="BV30" i="1"/>
  <c r="DL30" i="1" s="1"/>
  <c r="BU30" i="1"/>
  <c r="BU51" i="1" s="1"/>
  <c r="BU72" i="1" s="1"/>
  <c r="BU93" i="1" s="1"/>
  <c r="BU114" i="1" s="1"/>
  <c r="BU135" i="1" s="1"/>
  <c r="BU156" i="1" s="1"/>
  <c r="BU177" i="1" s="1"/>
  <c r="BU198" i="1" s="1"/>
  <c r="BP30" i="1"/>
  <c r="BP51" i="1" s="1"/>
  <c r="BP72" i="1" s="1"/>
  <c r="BP93" i="1" s="1"/>
  <c r="BP114" i="1" s="1"/>
  <c r="BP135" i="1" s="1"/>
  <c r="BP156" i="1" s="1"/>
  <c r="BP177" i="1" s="1"/>
  <c r="BP198" i="1" s="1"/>
  <c r="BO30" i="1"/>
  <c r="BO51" i="1" s="1"/>
  <c r="BO72" i="1" s="1"/>
  <c r="BO93" i="1" s="1"/>
  <c r="BO114" i="1" s="1"/>
  <c r="BO135" i="1" s="1"/>
  <c r="BO156" i="1" s="1"/>
  <c r="BO177" i="1" s="1"/>
  <c r="BO198" i="1" s="1"/>
  <c r="BN30" i="1"/>
  <c r="BN51" i="1" s="1"/>
  <c r="BN72" i="1" s="1"/>
  <c r="BN93" i="1" s="1"/>
  <c r="BN114" i="1" s="1"/>
  <c r="BN135" i="1" s="1"/>
  <c r="BN156" i="1" s="1"/>
  <c r="BN177" i="1" s="1"/>
  <c r="BN198" i="1" s="1"/>
  <c r="BM30" i="1"/>
  <c r="BI30" i="1"/>
  <c r="BI51" i="1" s="1"/>
  <c r="BI72" i="1" s="1"/>
  <c r="BI93" i="1" s="1"/>
  <c r="BI114" i="1" s="1"/>
  <c r="BI135" i="1" s="1"/>
  <c r="BI156" i="1" s="1"/>
  <c r="BI177" i="1" s="1"/>
  <c r="BI198" i="1" s="1"/>
  <c r="BG30" i="1"/>
  <c r="BG51" i="1" s="1"/>
  <c r="BG72" i="1" s="1"/>
  <c r="BG93" i="1" s="1"/>
  <c r="BG114" i="1" s="1"/>
  <c r="BG135" i="1" s="1"/>
  <c r="BG156" i="1" s="1"/>
  <c r="BG177" i="1" s="1"/>
  <c r="BG198" i="1" s="1"/>
  <c r="BF30" i="1"/>
  <c r="BF51" i="1" s="1"/>
  <c r="BF72" i="1" s="1"/>
  <c r="BF93" i="1" s="1"/>
  <c r="BF114" i="1" s="1"/>
  <c r="BF135" i="1" s="1"/>
  <c r="BF156" i="1" s="1"/>
  <c r="BF177" i="1" s="1"/>
  <c r="BF198" i="1" s="1"/>
  <c r="BE30" i="1"/>
  <c r="BE51" i="1" s="1"/>
  <c r="BE72" i="1" s="1"/>
  <c r="BE93" i="1" s="1"/>
  <c r="BE114" i="1" s="1"/>
  <c r="BE135" i="1" s="1"/>
  <c r="BE156" i="1" s="1"/>
  <c r="BE177" i="1" s="1"/>
  <c r="BE198" i="1" s="1"/>
  <c r="BA30" i="1"/>
  <c r="BA51" i="1" s="1"/>
  <c r="BA72" i="1" s="1"/>
  <c r="BA93" i="1" s="1"/>
  <c r="BA114" i="1" s="1"/>
  <c r="BA135" i="1" s="1"/>
  <c r="BA156" i="1" s="1"/>
  <c r="BA177" i="1" s="1"/>
  <c r="BA198" i="1" s="1"/>
  <c r="AZ30" i="1"/>
  <c r="AZ51" i="1" s="1"/>
  <c r="AZ72" i="1" s="1"/>
  <c r="AZ93" i="1" s="1"/>
  <c r="AZ114" i="1" s="1"/>
  <c r="AZ135" i="1" s="1"/>
  <c r="AZ156" i="1" s="1"/>
  <c r="AZ177" i="1" s="1"/>
  <c r="AZ198" i="1" s="1"/>
  <c r="AW30" i="1"/>
  <c r="AW51" i="1" s="1"/>
  <c r="AW72" i="1" s="1"/>
  <c r="AW93" i="1" s="1"/>
  <c r="AW114" i="1" s="1"/>
  <c r="AW135" i="1" s="1"/>
  <c r="AW156" i="1" s="1"/>
  <c r="AW177" i="1" s="1"/>
  <c r="AW198" i="1" s="1"/>
  <c r="AR29" i="1"/>
  <c r="AR50" i="1" s="1"/>
  <c r="AR71" i="1" s="1"/>
  <c r="DI29" i="1"/>
  <c r="DI50" i="1" s="1"/>
  <c r="DI71" i="1" s="1"/>
  <c r="DI92" i="1" s="1"/>
  <c r="DE29" i="1"/>
  <c r="DE50" i="1" s="1"/>
  <c r="DE71" i="1" s="1"/>
  <c r="DE92" i="1" s="1"/>
  <c r="DD92" i="1" s="1"/>
  <c r="DC92" i="1" s="1"/>
  <c r="DB29" i="1"/>
  <c r="DB50" i="1" s="1"/>
  <c r="DB71" i="1" s="1"/>
  <c r="DB92" i="1" s="1"/>
  <c r="DB113" i="1" s="1"/>
  <c r="DB134" i="1" s="1"/>
  <c r="DB155" i="1" s="1"/>
  <c r="DB176" i="1" s="1"/>
  <c r="DB197" i="1" s="1"/>
  <c r="CZ29" i="1"/>
  <c r="CZ50" i="1" s="1"/>
  <c r="CD29" i="1"/>
  <c r="CD50" i="1" s="1"/>
  <c r="CD71" i="1" s="1"/>
  <c r="CD92" i="1" s="1"/>
  <c r="CD113" i="1" s="1"/>
  <c r="CD134" i="1" s="1"/>
  <c r="CD155" i="1" s="1"/>
  <c r="CD176" i="1" s="1"/>
  <c r="CD197" i="1" s="1"/>
  <c r="BY29" i="1"/>
  <c r="BX29" i="1"/>
  <c r="BW29" i="1"/>
  <c r="BV29" i="1"/>
  <c r="DL29" i="1" s="1"/>
  <c r="BU29" i="1"/>
  <c r="BU50" i="1" s="1"/>
  <c r="BU71" i="1" s="1"/>
  <c r="BU92" i="1" s="1"/>
  <c r="BU113" i="1" s="1"/>
  <c r="BU134" i="1" s="1"/>
  <c r="BU155" i="1" s="1"/>
  <c r="BU176" i="1" s="1"/>
  <c r="BU197" i="1" s="1"/>
  <c r="BP29" i="1"/>
  <c r="BP50" i="1" s="1"/>
  <c r="BP71" i="1" s="1"/>
  <c r="BP92" i="1" s="1"/>
  <c r="BP113" i="1" s="1"/>
  <c r="BP134" i="1" s="1"/>
  <c r="BP155" i="1" s="1"/>
  <c r="BP176" i="1" s="1"/>
  <c r="BP197" i="1" s="1"/>
  <c r="BO29" i="1"/>
  <c r="BO50" i="1" s="1"/>
  <c r="BO71" i="1" s="1"/>
  <c r="BO92" i="1" s="1"/>
  <c r="BO113" i="1" s="1"/>
  <c r="BO134" i="1" s="1"/>
  <c r="BO155" i="1" s="1"/>
  <c r="BO176" i="1" s="1"/>
  <c r="BO197" i="1" s="1"/>
  <c r="BN29" i="1"/>
  <c r="BN50" i="1" s="1"/>
  <c r="BN71" i="1" s="1"/>
  <c r="BN92" i="1" s="1"/>
  <c r="BN113" i="1" s="1"/>
  <c r="BN134" i="1" s="1"/>
  <c r="BN155" i="1" s="1"/>
  <c r="BN176" i="1" s="1"/>
  <c r="BN197" i="1" s="1"/>
  <c r="BM29" i="1"/>
  <c r="BI29" i="1"/>
  <c r="BI50" i="1" s="1"/>
  <c r="BI71" i="1" s="1"/>
  <c r="BI92" i="1" s="1"/>
  <c r="BI113" i="1" s="1"/>
  <c r="BI134" i="1" s="1"/>
  <c r="BI155" i="1" s="1"/>
  <c r="BI176" i="1" s="1"/>
  <c r="BI197" i="1" s="1"/>
  <c r="BG29" i="1"/>
  <c r="BG50" i="1" s="1"/>
  <c r="BG71" i="1" s="1"/>
  <c r="BG92" i="1" s="1"/>
  <c r="BG113" i="1" s="1"/>
  <c r="BG134" i="1" s="1"/>
  <c r="BG155" i="1" s="1"/>
  <c r="BG176" i="1" s="1"/>
  <c r="BG197" i="1" s="1"/>
  <c r="BF29" i="1"/>
  <c r="BF50" i="1" s="1"/>
  <c r="BF71" i="1" s="1"/>
  <c r="BF92" i="1" s="1"/>
  <c r="BF113" i="1" s="1"/>
  <c r="BF134" i="1" s="1"/>
  <c r="BF155" i="1" s="1"/>
  <c r="BF176" i="1" s="1"/>
  <c r="BF197" i="1" s="1"/>
  <c r="BE29" i="1"/>
  <c r="BE50" i="1" s="1"/>
  <c r="BE71" i="1" s="1"/>
  <c r="BE92" i="1" s="1"/>
  <c r="BE113" i="1" s="1"/>
  <c r="BE134" i="1" s="1"/>
  <c r="BE155" i="1" s="1"/>
  <c r="BE176" i="1" s="1"/>
  <c r="BE197" i="1" s="1"/>
  <c r="BA29" i="1"/>
  <c r="BA50" i="1" s="1"/>
  <c r="BA71" i="1" s="1"/>
  <c r="BA92" i="1" s="1"/>
  <c r="BA113" i="1" s="1"/>
  <c r="BA134" i="1" s="1"/>
  <c r="BA155" i="1" s="1"/>
  <c r="BA176" i="1" s="1"/>
  <c r="BA197" i="1" s="1"/>
  <c r="AZ29" i="1"/>
  <c r="AZ50" i="1" s="1"/>
  <c r="AZ71" i="1" s="1"/>
  <c r="AZ92" i="1" s="1"/>
  <c r="AZ113" i="1" s="1"/>
  <c r="AZ134" i="1" s="1"/>
  <c r="AZ155" i="1" s="1"/>
  <c r="AZ176" i="1" s="1"/>
  <c r="AZ197" i="1" s="1"/>
  <c r="AW29" i="1"/>
  <c r="AW50" i="1" s="1"/>
  <c r="AW71" i="1" s="1"/>
  <c r="AW92" i="1" s="1"/>
  <c r="AW113" i="1" s="1"/>
  <c r="AW134" i="1" s="1"/>
  <c r="AW155" i="1" s="1"/>
  <c r="AW176" i="1" s="1"/>
  <c r="AW197" i="1" s="1"/>
  <c r="AR28" i="1"/>
  <c r="DI28" i="1"/>
  <c r="DI49" i="1" s="1"/>
  <c r="DE28" i="1"/>
  <c r="DE49" i="1" s="1"/>
  <c r="DE70" i="1" s="1"/>
  <c r="DD70" i="1" s="1"/>
  <c r="DC70" i="1" s="1"/>
  <c r="DB28" i="1"/>
  <c r="DB49" i="1" s="1"/>
  <c r="DB70" i="1" s="1"/>
  <c r="DB91" i="1" s="1"/>
  <c r="DB112" i="1" s="1"/>
  <c r="DB133" i="1" s="1"/>
  <c r="DB154" i="1" s="1"/>
  <c r="DB175" i="1" s="1"/>
  <c r="DB196" i="1" s="1"/>
  <c r="CZ28" i="1"/>
  <c r="CZ49" i="1" s="1"/>
  <c r="CZ70" i="1" s="1"/>
  <c r="CZ91" i="1" s="1"/>
  <c r="CD28" i="1"/>
  <c r="CD49" i="1" s="1"/>
  <c r="CD70" i="1" s="1"/>
  <c r="CD91" i="1" s="1"/>
  <c r="CD112" i="1" s="1"/>
  <c r="CD133" i="1" s="1"/>
  <c r="CD154" i="1" s="1"/>
  <c r="CD175" i="1" s="1"/>
  <c r="CD196" i="1" s="1"/>
  <c r="BY28" i="1"/>
  <c r="BX28" i="1"/>
  <c r="BW28" i="1"/>
  <c r="BV28" i="1"/>
  <c r="DL28" i="1" s="1"/>
  <c r="BU28" i="1"/>
  <c r="BU49" i="1" s="1"/>
  <c r="BU70" i="1" s="1"/>
  <c r="BU91" i="1" s="1"/>
  <c r="BU112" i="1" s="1"/>
  <c r="BU133" i="1" s="1"/>
  <c r="BU154" i="1" s="1"/>
  <c r="BU175" i="1" s="1"/>
  <c r="BU196" i="1" s="1"/>
  <c r="BP28" i="1"/>
  <c r="BP49" i="1" s="1"/>
  <c r="BP70" i="1" s="1"/>
  <c r="BP91" i="1" s="1"/>
  <c r="BP112" i="1" s="1"/>
  <c r="BP133" i="1" s="1"/>
  <c r="BP154" i="1" s="1"/>
  <c r="BP175" i="1" s="1"/>
  <c r="BP196" i="1" s="1"/>
  <c r="BO28" i="1"/>
  <c r="BO49" i="1" s="1"/>
  <c r="BO70" i="1" s="1"/>
  <c r="BO91" i="1" s="1"/>
  <c r="BO112" i="1" s="1"/>
  <c r="BO133" i="1" s="1"/>
  <c r="BO154" i="1" s="1"/>
  <c r="BO175" i="1" s="1"/>
  <c r="BO196" i="1" s="1"/>
  <c r="BN28" i="1"/>
  <c r="BN49" i="1" s="1"/>
  <c r="BN70" i="1" s="1"/>
  <c r="BN91" i="1" s="1"/>
  <c r="BN112" i="1" s="1"/>
  <c r="BN133" i="1" s="1"/>
  <c r="BN154" i="1" s="1"/>
  <c r="BN175" i="1" s="1"/>
  <c r="BN196" i="1" s="1"/>
  <c r="BM28" i="1"/>
  <c r="BI28" i="1"/>
  <c r="BI49" i="1" s="1"/>
  <c r="BI70" i="1" s="1"/>
  <c r="BI91" i="1" s="1"/>
  <c r="BI112" i="1" s="1"/>
  <c r="BI133" i="1" s="1"/>
  <c r="BI154" i="1" s="1"/>
  <c r="BI175" i="1" s="1"/>
  <c r="BI196" i="1" s="1"/>
  <c r="BG28" i="1"/>
  <c r="BG49" i="1" s="1"/>
  <c r="BG70" i="1" s="1"/>
  <c r="BG91" i="1" s="1"/>
  <c r="BG112" i="1" s="1"/>
  <c r="BG133" i="1" s="1"/>
  <c r="BG154" i="1" s="1"/>
  <c r="BG175" i="1" s="1"/>
  <c r="BG196" i="1" s="1"/>
  <c r="BF28" i="1"/>
  <c r="BF49" i="1" s="1"/>
  <c r="BF70" i="1" s="1"/>
  <c r="BF91" i="1" s="1"/>
  <c r="BF112" i="1" s="1"/>
  <c r="BF133" i="1" s="1"/>
  <c r="BF154" i="1" s="1"/>
  <c r="BF175" i="1" s="1"/>
  <c r="BF196" i="1" s="1"/>
  <c r="BE28" i="1"/>
  <c r="BE49" i="1" s="1"/>
  <c r="BE70" i="1" s="1"/>
  <c r="BE91" i="1" s="1"/>
  <c r="BE112" i="1" s="1"/>
  <c r="BE133" i="1" s="1"/>
  <c r="BE154" i="1" s="1"/>
  <c r="BE175" i="1" s="1"/>
  <c r="BE196" i="1" s="1"/>
  <c r="BA28" i="1"/>
  <c r="BA49" i="1" s="1"/>
  <c r="BA70" i="1" s="1"/>
  <c r="BA91" i="1" s="1"/>
  <c r="BA112" i="1" s="1"/>
  <c r="BA133" i="1" s="1"/>
  <c r="BA154" i="1" s="1"/>
  <c r="BA175" i="1" s="1"/>
  <c r="BA196" i="1" s="1"/>
  <c r="AZ28" i="1"/>
  <c r="AZ49" i="1" s="1"/>
  <c r="AZ70" i="1" s="1"/>
  <c r="AZ91" i="1" s="1"/>
  <c r="AZ112" i="1" s="1"/>
  <c r="AZ133" i="1" s="1"/>
  <c r="AZ154" i="1" s="1"/>
  <c r="AZ175" i="1" s="1"/>
  <c r="AZ196" i="1" s="1"/>
  <c r="AW28" i="1"/>
  <c r="AW49" i="1" s="1"/>
  <c r="AW70" i="1" s="1"/>
  <c r="AW91" i="1" s="1"/>
  <c r="AW112" i="1" s="1"/>
  <c r="AW133" i="1" s="1"/>
  <c r="AW154" i="1" s="1"/>
  <c r="AW175" i="1" s="1"/>
  <c r="AW196" i="1" s="1"/>
  <c r="AR27" i="1"/>
  <c r="AR48" i="1" s="1"/>
  <c r="DI27" i="1"/>
  <c r="DI48" i="1" s="1"/>
  <c r="DE27" i="1"/>
  <c r="DB27" i="1"/>
  <c r="DB48" i="1" s="1"/>
  <c r="DB69" i="1" s="1"/>
  <c r="DB90" i="1" s="1"/>
  <c r="DB111" i="1" s="1"/>
  <c r="DB132" i="1" s="1"/>
  <c r="DB153" i="1" s="1"/>
  <c r="DB174" i="1" s="1"/>
  <c r="DB195" i="1" s="1"/>
  <c r="CZ27" i="1"/>
  <c r="CZ48" i="1" s="1"/>
  <c r="CZ69" i="1" s="1"/>
  <c r="CZ90" i="1" s="1"/>
  <c r="CD27" i="1"/>
  <c r="CD48" i="1" s="1"/>
  <c r="CD69" i="1" s="1"/>
  <c r="CD90" i="1" s="1"/>
  <c r="CD111" i="1" s="1"/>
  <c r="CD132" i="1" s="1"/>
  <c r="CD153" i="1" s="1"/>
  <c r="CD174" i="1" s="1"/>
  <c r="CD195" i="1" s="1"/>
  <c r="BY27" i="1"/>
  <c r="BX27" i="1"/>
  <c r="BW27" i="1"/>
  <c r="BV27" i="1"/>
  <c r="DL27" i="1" s="1"/>
  <c r="BU27" i="1"/>
  <c r="BU48" i="1" s="1"/>
  <c r="BU69" i="1" s="1"/>
  <c r="BU90" i="1" s="1"/>
  <c r="BU111" i="1" s="1"/>
  <c r="BU132" i="1" s="1"/>
  <c r="BU153" i="1" s="1"/>
  <c r="BU174" i="1" s="1"/>
  <c r="BU195" i="1" s="1"/>
  <c r="BP27" i="1"/>
  <c r="BP48" i="1" s="1"/>
  <c r="BP69" i="1" s="1"/>
  <c r="BP90" i="1" s="1"/>
  <c r="BP111" i="1" s="1"/>
  <c r="BP132" i="1" s="1"/>
  <c r="BP153" i="1" s="1"/>
  <c r="BP174" i="1" s="1"/>
  <c r="BP195" i="1" s="1"/>
  <c r="BO27" i="1"/>
  <c r="BO48" i="1" s="1"/>
  <c r="BO69" i="1" s="1"/>
  <c r="BO90" i="1" s="1"/>
  <c r="BO111" i="1" s="1"/>
  <c r="BO132" i="1" s="1"/>
  <c r="BO153" i="1" s="1"/>
  <c r="BO174" i="1" s="1"/>
  <c r="BO195" i="1" s="1"/>
  <c r="BN27" i="1"/>
  <c r="BN48" i="1" s="1"/>
  <c r="BN69" i="1" s="1"/>
  <c r="BN90" i="1" s="1"/>
  <c r="BN111" i="1" s="1"/>
  <c r="BN132" i="1" s="1"/>
  <c r="BN153" i="1" s="1"/>
  <c r="BN174" i="1" s="1"/>
  <c r="BN195" i="1" s="1"/>
  <c r="BM27" i="1"/>
  <c r="BI27" i="1"/>
  <c r="BI48" i="1" s="1"/>
  <c r="BI69" i="1" s="1"/>
  <c r="BI90" i="1" s="1"/>
  <c r="BI111" i="1" s="1"/>
  <c r="BI132" i="1" s="1"/>
  <c r="BI153" i="1" s="1"/>
  <c r="BI174" i="1" s="1"/>
  <c r="BI195" i="1" s="1"/>
  <c r="BG27" i="1"/>
  <c r="BG48" i="1" s="1"/>
  <c r="BG69" i="1" s="1"/>
  <c r="BG90" i="1" s="1"/>
  <c r="BG111" i="1" s="1"/>
  <c r="BG132" i="1" s="1"/>
  <c r="BG153" i="1" s="1"/>
  <c r="BG174" i="1" s="1"/>
  <c r="BG195" i="1" s="1"/>
  <c r="BF27" i="1"/>
  <c r="BF48" i="1" s="1"/>
  <c r="BF69" i="1" s="1"/>
  <c r="BF90" i="1" s="1"/>
  <c r="BF111" i="1" s="1"/>
  <c r="BF132" i="1" s="1"/>
  <c r="BF153" i="1" s="1"/>
  <c r="BF174" i="1" s="1"/>
  <c r="BF195" i="1" s="1"/>
  <c r="BE27" i="1"/>
  <c r="BE48" i="1" s="1"/>
  <c r="BE69" i="1" s="1"/>
  <c r="BE90" i="1" s="1"/>
  <c r="BE111" i="1" s="1"/>
  <c r="BE132" i="1" s="1"/>
  <c r="BE153" i="1" s="1"/>
  <c r="BE174" i="1" s="1"/>
  <c r="BE195" i="1" s="1"/>
  <c r="BA27" i="1"/>
  <c r="BA48" i="1" s="1"/>
  <c r="BA69" i="1" s="1"/>
  <c r="BA90" i="1" s="1"/>
  <c r="BA111" i="1" s="1"/>
  <c r="BA132" i="1" s="1"/>
  <c r="BA153" i="1" s="1"/>
  <c r="BA174" i="1" s="1"/>
  <c r="BA195" i="1" s="1"/>
  <c r="AZ27" i="1"/>
  <c r="AZ48" i="1" s="1"/>
  <c r="AZ69" i="1" s="1"/>
  <c r="AZ90" i="1" s="1"/>
  <c r="AZ111" i="1" s="1"/>
  <c r="AZ132" i="1" s="1"/>
  <c r="AZ153" i="1" s="1"/>
  <c r="AZ174" i="1" s="1"/>
  <c r="AZ195" i="1" s="1"/>
  <c r="AW27" i="1"/>
  <c r="AW48" i="1" s="1"/>
  <c r="AW69" i="1" s="1"/>
  <c r="AW90" i="1" s="1"/>
  <c r="AW111" i="1" s="1"/>
  <c r="AW132" i="1" s="1"/>
  <c r="AW153" i="1" s="1"/>
  <c r="AW174" i="1" s="1"/>
  <c r="AW195" i="1" s="1"/>
  <c r="AR26" i="1"/>
  <c r="AR47" i="1" s="1"/>
  <c r="DI26" i="1"/>
  <c r="DI47" i="1" s="1"/>
  <c r="DI68" i="1" s="1"/>
  <c r="DI89" i="1" s="1"/>
  <c r="DE26" i="1"/>
  <c r="DB26" i="1"/>
  <c r="DB47" i="1" s="1"/>
  <c r="DB68" i="1" s="1"/>
  <c r="DB89" i="1" s="1"/>
  <c r="DB110" i="1" s="1"/>
  <c r="DB131" i="1" s="1"/>
  <c r="DB152" i="1" s="1"/>
  <c r="DB173" i="1" s="1"/>
  <c r="DB194" i="1" s="1"/>
  <c r="CZ26" i="1"/>
  <c r="CD26" i="1"/>
  <c r="CD47" i="1" s="1"/>
  <c r="CD68" i="1" s="1"/>
  <c r="CD89" i="1" s="1"/>
  <c r="CD110" i="1" s="1"/>
  <c r="CD131" i="1" s="1"/>
  <c r="CD152" i="1" s="1"/>
  <c r="CD173" i="1" s="1"/>
  <c r="CD194" i="1" s="1"/>
  <c r="BY26" i="1"/>
  <c r="BX26" i="1"/>
  <c r="BW26" i="1"/>
  <c r="BV26" i="1"/>
  <c r="DL26" i="1" s="1"/>
  <c r="BU26" i="1"/>
  <c r="BU47" i="1" s="1"/>
  <c r="BU68" i="1" s="1"/>
  <c r="BU89" i="1" s="1"/>
  <c r="BU110" i="1" s="1"/>
  <c r="BU131" i="1" s="1"/>
  <c r="BU152" i="1" s="1"/>
  <c r="BU173" i="1" s="1"/>
  <c r="BU194" i="1" s="1"/>
  <c r="BP26" i="1"/>
  <c r="BP47" i="1" s="1"/>
  <c r="BP68" i="1" s="1"/>
  <c r="BP89" i="1" s="1"/>
  <c r="BP110" i="1" s="1"/>
  <c r="BP131" i="1" s="1"/>
  <c r="BP152" i="1" s="1"/>
  <c r="BP173" i="1" s="1"/>
  <c r="BP194" i="1" s="1"/>
  <c r="BO26" i="1"/>
  <c r="BO47" i="1" s="1"/>
  <c r="BO68" i="1" s="1"/>
  <c r="BO89" i="1" s="1"/>
  <c r="BO110" i="1" s="1"/>
  <c r="BO131" i="1" s="1"/>
  <c r="BO152" i="1" s="1"/>
  <c r="BO173" i="1" s="1"/>
  <c r="BO194" i="1" s="1"/>
  <c r="BN26" i="1"/>
  <c r="BN47" i="1" s="1"/>
  <c r="BN68" i="1" s="1"/>
  <c r="BN89" i="1" s="1"/>
  <c r="BN110" i="1" s="1"/>
  <c r="BN131" i="1" s="1"/>
  <c r="BN152" i="1" s="1"/>
  <c r="BN173" i="1" s="1"/>
  <c r="BN194" i="1" s="1"/>
  <c r="BM26" i="1"/>
  <c r="BI26" i="1"/>
  <c r="BI47" i="1" s="1"/>
  <c r="BI68" i="1" s="1"/>
  <c r="BI89" i="1" s="1"/>
  <c r="BI110" i="1" s="1"/>
  <c r="BI131" i="1" s="1"/>
  <c r="BI152" i="1" s="1"/>
  <c r="BI173" i="1" s="1"/>
  <c r="BI194" i="1" s="1"/>
  <c r="BG26" i="1"/>
  <c r="BG47" i="1" s="1"/>
  <c r="BG68" i="1" s="1"/>
  <c r="BG89" i="1" s="1"/>
  <c r="BG110" i="1" s="1"/>
  <c r="BG131" i="1" s="1"/>
  <c r="BG152" i="1" s="1"/>
  <c r="BG173" i="1" s="1"/>
  <c r="BG194" i="1" s="1"/>
  <c r="BF26" i="1"/>
  <c r="BF47" i="1" s="1"/>
  <c r="BF68" i="1" s="1"/>
  <c r="BF89" i="1" s="1"/>
  <c r="BF110" i="1" s="1"/>
  <c r="BF131" i="1" s="1"/>
  <c r="BF152" i="1" s="1"/>
  <c r="BF173" i="1" s="1"/>
  <c r="BF194" i="1" s="1"/>
  <c r="BE26" i="1"/>
  <c r="BE47" i="1" s="1"/>
  <c r="BE68" i="1" s="1"/>
  <c r="BE89" i="1" s="1"/>
  <c r="BE110" i="1" s="1"/>
  <c r="BE131" i="1" s="1"/>
  <c r="BE152" i="1" s="1"/>
  <c r="BE173" i="1" s="1"/>
  <c r="BE194" i="1" s="1"/>
  <c r="BA26" i="1"/>
  <c r="BA47" i="1" s="1"/>
  <c r="BA68" i="1" s="1"/>
  <c r="BA89" i="1" s="1"/>
  <c r="BA110" i="1" s="1"/>
  <c r="BA131" i="1" s="1"/>
  <c r="BA152" i="1" s="1"/>
  <c r="BA173" i="1" s="1"/>
  <c r="BA194" i="1" s="1"/>
  <c r="AZ26" i="1"/>
  <c r="AZ47" i="1" s="1"/>
  <c r="AZ68" i="1" s="1"/>
  <c r="AZ89" i="1" s="1"/>
  <c r="AZ110" i="1" s="1"/>
  <c r="AZ131" i="1" s="1"/>
  <c r="AZ152" i="1" s="1"/>
  <c r="AZ173" i="1" s="1"/>
  <c r="AZ194" i="1" s="1"/>
  <c r="AW26" i="1"/>
  <c r="AW47" i="1" s="1"/>
  <c r="AW68" i="1" s="1"/>
  <c r="AW89" i="1" s="1"/>
  <c r="AW110" i="1" s="1"/>
  <c r="AW131" i="1" s="1"/>
  <c r="AW152" i="1" s="1"/>
  <c r="AW173" i="1" s="1"/>
  <c r="AW194" i="1" s="1"/>
  <c r="AR25" i="1"/>
  <c r="AR46" i="1" s="1"/>
  <c r="AR67" i="1" s="1"/>
  <c r="DI25" i="1"/>
  <c r="DE25" i="1"/>
  <c r="DE46" i="1" s="1"/>
  <c r="DB25" i="1"/>
  <c r="DB46" i="1" s="1"/>
  <c r="DB67" i="1" s="1"/>
  <c r="DB88" i="1" s="1"/>
  <c r="DB109" i="1" s="1"/>
  <c r="DB130" i="1" s="1"/>
  <c r="DB151" i="1" s="1"/>
  <c r="DB172" i="1" s="1"/>
  <c r="DB193" i="1" s="1"/>
  <c r="CZ25" i="1"/>
  <c r="CD25" i="1"/>
  <c r="CD46" i="1" s="1"/>
  <c r="CD67" i="1" s="1"/>
  <c r="CD88" i="1" s="1"/>
  <c r="CD109" i="1" s="1"/>
  <c r="CD130" i="1" s="1"/>
  <c r="CD151" i="1" s="1"/>
  <c r="CD172" i="1" s="1"/>
  <c r="CD193" i="1" s="1"/>
  <c r="BY25" i="1"/>
  <c r="BX25" i="1"/>
  <c r="BW25" i="1"/>
  <c r="BV25" i="1"/>
  <c r="DL25" i="1" s="1"/>
  <c r="BU25" i="1"/>
  <c r="BU46" i="1" s="1"/>
  <c r="BU67" i="1" s="1"/>
  <c r="BU88" i="1" s="1"/>
  <c r="BU109" i="1" s="1"/>
  <c r="BU130" i="1" s="1"/>
  <c r="BU151" i="1" s="1"/>
  <c r="BU172" i="1" s="1"/>
  <c r="BU193" i="1" s="1"/>
  <c r="BP25" i="1"/>
  <c r="BP46" i="1" s="1"/>
  <c r="BP67" i="1" s="1"/>
  <c r="BP88" i="1" s="1"/>
  <c r="BP109" i="1" s="1"/>
  <c r="BP130" i="1" s="1"/>
  <c r="BP151" i="1" s="1"/>
  <c r="BP172" i="1" s="1"/>
  <c r="BP193" i="1" s="1"/>
  <c r="BO25" i="1"/>
  <c r="BO46" i="1" s="1"/>
  <c r="BO67" i="1" s="1"/>
  <c r="BO88" i="1" s="1"/>
  <c r="BO109" i="1" s="1"/>
  <c r="BO130" i="1" s="1"/>
  <c r="BO151" i="1" s="1"/>
  <c r="BO172" i="1" s="1"/>
  <c r="BO193" i="1" s="1"/>
  <c r="BN25" i="1"/>
  <c r="BN46" i="1" s="1"/>
  <c r="BN67" i="1" s="1"/>
  <c r="BN88" i="1" s="1"/>
  <c r="BN109" i="1" s="1"/>
  <c r="BN130" i="1" s="1"/>
  <c r="BN151" i="1" s="1"/>
  <c r="BN172" i="1" s="1"/>
  <c r="BN193" i="1" s="1"/>
  <c r="BM25" i="1"/>
  <c r="BI25" i="1"/>
  <c r="BI46" i="1" s="1"/>
  <c r="BI67" i="1" s="1"/>
  <c r="BI88" i="1" s="1"/>
  <c r="BI109" i="1" s="1"/>
  <c r="BI130" i="1" s="1"/>
  <c r="BI151" i="1" s="1"/>
  <c r="BI172" i="1" s="1"/>
  <c r="BI193" i="1" s="1"/>
  <c r="BG25" i="1"/>
  <c r="BG46" i="1" s="1"/>
  <c r="BG67" i="1" s="1"/>
  <c r="BG88" i="1" s="1"/>
  <c r="BG109" i="1" s="1"/>
  <c r="BG130" i="1" s="1"/>
  <c r="BG151" i="1" s="1"/>
  <c r="BG172" i="1" s="1"/>
  <c r="BG193" i="1" s="1"/>
  <c r="BF25" i="1"/>
  <c r="BF46" i="1" s="1"/>
  <c r="BF67" i="1" s="1"/>
  <c r="BF88" i="1" s="1"/>
  <c r="BF109" i="1" s="1"/>
  <c r="BF130" i="1" s="1"/>
  <c r="BF151" i="1" s="1"/>
  <c r="BF172" i="1" s="1"/>
  <c r="BF193" i="1" s="1"/>
  <c r="BE25" i="1"/>
  <c r="BE46" i="1" s="1"/>
  <c r="BE67" i="1" s="1"/>
  <c r="BE88" i="1" s="1"/>
  <c r="BE109" i="1" s="1"/>
  <c r="BE130" i="1" s="1"/>
  <c r="BE151" i="1" s="1"/>
  <c r="BE172" i="1" s="1"/>
  <c r="BE193" i="1" s="1"/>
  <c r="BA25" i="1"/>
  <c r="BA46" i="1" s="1"/>
  <c r="BA67" i="1" s="1"/>
  <c r="BA88" i="1" s="1"/>
  <c r="BA109" i="1" s="1"/>
  <c r="BA130" i="1" s="1"/>
  <c r="BA151" i="1" s="1"/>
  <c r="BA172" i="1" s="1"/>
  <c r="BA193" i="1" s="1"/>
  <c r="AZ25" i="1"/>
  <c r="AZ46" i="1" s="1"/>
  <c r="AZ67" i="1" s="1"/>
  <c r="AZ88" i="1" s="1"/>
  <c r="AZ109" i="1" s="1"/>
  <c r="AZ130" i="1" s="1"/>
  <c r="AZ151" i="1" s="1"/>
  <c r="AZ172" i="1" s="1"/>
  <c r="AZ193" i="1" s="1"/>
  <c r="AW25" i="1"/>
  <c r="AW46" i="1" s="1"/>
  <c r="AW67" i="1" s="1"/>
  <c r="AW88" i="1" s="1"/>
  <c r="AW109" i="1" s="1"/>
  <c r="AW130" i="1" s="1"/>
  <c r="AW151" i="1" s="1"/>
  <c r="AW172" i="1" s="1"/>
  <c r="AW193" i="1" s="1"/>
  <c r="AR24" i="1"/>
  <c r="AR45" i="1" s="1"/>
  <c r="AR66" i="1" s="1"/>
  <c r="DI24" i="1"/>
  <c r="DE24" i="1"/>
  <c r="DE45" i="1" s="1"/>
  <c r="DE66" i="1" s="1"/>
  <c r="DB24" i="1"/>
  <c r="DB45" i="1" s="1"/>
  <c r="DB66" i="1" s="1"/>
  <c r="DB87" i="1" s="1"/>
  <c r="DB108" i="1" s="1"/>
  <c r="DB129" i="1" s="1"/>
  <c r="DB150" i="1" s="1"/>
  <c r="DB171" i="1" s="1"/>
  <c r="DB192" i="1" s="1"/>
  <c r="CZ24" i="1"/>
  <c r="CD24" i="1"/>
  <c r="CD45" i="1" s="1"/>
  <c r="CD66" i="1" s="1"/>
  <c r="CD87" i="1" s="1"/>
  <c r="CD108" i="1" s="1"/>
  <c r="CD129" i="1" s="1"/>
  <c r="CD150" i="1" s="1"/>
  <c r="CD171" i="1" s="1"/>
  <c r="CD192" i="1" s="1"/>
  <c r="BY24" i="1"/>
  <c r="BX24" i="1"/>
  <c r="BW24" i="1"/>
  <c r="BV24" i="1"/>
  <c r="DL24" i="1" s="1"/>
  <c r="BU24" i="1"/>
  <c r="BU45" i="1" s="1"/>
  <c r="BU66" i="1" s="1"/>
  <c r="BU87" i="1" s="1"/>
  <c r="BU108" i="1" s="1"/>
  <c r="BU129" i="1" s="1"/>
  <c r="BU150" i="1" s="1"/>
  <c r="BU171" i="1" s="1"/>
  <c r="BU192" i="1" s="1"/>
  <c r="BP24" i="1"/>
  <c r="BP45" i="1" s="1"/>
  <c r="BP66" i="1" s="1"/>
  <c r="BP87" i="1" s="1"/>
  <c r="BP108" i="1" s="1"/>
  <c r="BP129" i="1" s="1"/>
  <c r="BP150" i="1" s="1"/>
  <c r="BP171" i="1" s="1"/>
  <c r="BP192" i="1" s="1"/>
  <c r="BO24" i="1"/>
  <c r="BO45" i="1" s="1"/>
  <c r="BO66" i="1" s="1"/>
  <c r="BO87" i="1" s="1"/>
  <c r="BO108" i="1" s="1"/>
  <c r="BO129" i="1" s="1"/>
  <c r="BO150" i="1" s="1"/>
  <c r="BO171" i="1" s="1"/>
  <c r="BO192" i="1" s="1"/>
  <c r="BN24" i="1"/>
  <c r="BN45" i="1" s="1"/>
  <c r="BN66" i="1" s="1"/>
  <c r="BN87" i="1" s="1"/>
  <c r="BN108" i="1" s="1"/>
  <c r="BN129" i="1" s="1"/>
  <c r="BN150" i="1" s="1"/>
  <c r="BN171" i="1" s="1"/>
  <c r="BN192" i="1" s="1"/>
  <c r="BM24" i="1"/>
  <c r="BI24" i="1"/>
  <c r="BI45" i="1" s="1"/>
  <c r="BI66" i="1" s="1"/>
  <c r="BI87" i="1" s="1"/>
  <c r="BI108" i="1" s="1"/>
  <c r="BI129" i="1" s="1"/>
  <c r="BI150" i="1" s="1"/>
  <c r="BI171" i="1" s="1"/>
  <c r="BI192" i="1" s="1"/>
  <c r="BG24" i="1"/>
  <c r="BG45" i="1" s="1"/>
  <c r="BG66" i="1" s="1"/>
  <c r="BG87" i="1" s="1"/>
  <c r="BG108" i="1" s="1"/>
  <c r="BG129" i="1" s="1"/>
  <c r="BG150" i="1" s="1"/>
  <c r="BG171" i="1" s="1"/>
  <c r="BG192" i="1" s="1"/>
  <c r="BF24" i="1"/>
  <c r="BF45" i="1" s="1"/>
  <c r="BF66" i="1" s="1"/>
  <c r="BF87" i="1" s="1"/>
  <c r="BF108" i="1" s="1"/>
  <c r="BF129" i="1" s="1"/>
  <c r="BF150" i="1" s="1"/>
  <c r="BF171" i="1" s="1"/>
  <c r="BF192" i="1" s="1"/>
  <c r="BE24" i="1"/>
  <c r="BE45" i="1" s="1"/>
  <c r="BE66" i="1" s="1"/>
  <c r="BE87" i="1" s="1"/>
  <c r="BE108" i="1" s="1"/>
  <c r="BE129" i="1" s="1"/>
  <c r="BE150" i="1" s="1"/>
  <c r="BE171" i="1" s="1"/>
  <c r="BE192" i="1" s="1"/>
  <c r="BA24" i="1"/>
  <c r="BA45" i="1" s="1"/>
  <c r="BA66" i="1" s="1"/>
  <c r="BA87" i="1" s="1"/>
  <c r="BA108" i="1" s="1"/>
  <c r="BA129" i="1" s="1"/>
  <c r="BA150" i="1" s="1"/>
  <c r="BA171" i="1" s="1"/>
  <c r="BA192" i="1" s="1"/>
  <c r="AZ24" i="1"/>
  <c r="AZ45" i="1" s="1"/>
  <c r="AZ66" i="1" s="1"/>
  <c r="AZ87" i="1" s="1"/>
  <c r="AZ108" i="1" s="1"/>
  <c r="AZ129" i="1" s="1"/>
  <c r="AZ150" i="1" s="1"/>
  <c r="AZ171" i="1" s="1"/>
  <c r="AZ192" i="1" s="1"/>
  <c r="AW24" i="1"/>
  <c r="AW45" i="1" s="1"/>
  <c r="AW66" i="1" s="1"/>
  <c r="AW87" i="1" s="1"/>
  <c r="AW108" i="1" s="1"/>
  <c r="AW129" i="1" s="1"/>
  <c r="AW150" i="1" s="1"/>
  <c r="AW171" i="1" s="1"/>
  <c r="AW192" i="1" s="1"/>
  <c r="DY23" i="1"/>
  <c r="DW23" i="1"/>
  <c r="DR23" i="1"/>
  <c r="DG23" i="1"/>
  <c r="DG44" i="1" s="1"/>
  <c r="DG65" i="1" s="1"/>
  <c r="DG86" i="1" s="1"/>
  <c r="DG107" i="1" s="1"/>
  <c r="DG128" i="1" s="1"/>
  <c r="DG149" i="1" s="1"/>
  <c r="DG170" i="1" s="1"/>
  <c r="DG191" i="1" s="1"/>
  <c r="DG212" i="1" s="1"/>
  <c r="DD23" i="1"/>
  <c r="DC23" i="1" s="1"/>
  <c r="BY23" i="1"/>
  <c r="BX23" i="1"/>
  <c r="BW23" i="1"/>
  <c r="BV23" i="1"/>
  <c r="BU23" i="1"/>
  <c r="DY22" i="1"/>
  <c r="DW22" i="1"/>
  <c r="DR22" i="1"/>
  <c r="DG22" i="1"/>
  <c r="DG43" i="1" s="1"/>
  <c r="DG64" i="1" s="1"/>
  <c r="DG85" i="1" s="1"/>
  <c r="DG106" i="1" s="1"/>
  <c r="DG127" i="1" s="1"/>
  <c r="DG148" i="1" s="1"/>
  <c r="DG169" i="1" s="1"/>
  <c r="DG190" i="1" s="1"/>
  <c r="DG211" i="1" s="1"/>
  <c r="DD22" i="1"/>
  <c r="DC22" i="1" s="1"/>
  <c r="BY22" i="1"/>
  <c r="BX22" i="1"/>
  <c r="BW22" i="1"/>
  <c r="BV22" i="1"/>
  <c r="DY21" i="1"/>
  <c r="DW21" i="1"/>
  <c r="DR21" i="1"/>
  <c r="DG21" i="1"/>
  <c r="DG42" i="1" s="1"/>
  <c r="DG63" i="1" s="1"/>
  <c r="DG84" i="1" s="1"/>
  <c r="DG105" i="1" s="1"/>
  <c r="DG126" i="1" s="1"/>
  <c r="DG147" i="1" s="1"/>
  <c r="DG168" i="1" s="1"/>
  <c r="DG189" i="1" s="1"/>
  <c r="DG210" i="1" s="1"/>
  <c r="DD21" i="1"/>
  <c r="DC21" i="1" s="1"/>
  <c r="BY21" i="1"/>
  <c r="BX21" i="1"/>
  <c r="BW21" i="1"/>
  <c r="BV21" i="1"/>
  <c r="DL21" i="1" s="1"/>
  <c r="DY20" i="1"/>
  <c r="DW20" i="1"/>
  <c r="DR20" i="1"/>
  <c r="DG20" i="1"/>
  <c r="DG41" i="1" s="1"/>
  <c r="DG62" i="1" s="1"/>
  <c r="DG83" i="1" s="1"/>
  <c r="DG104" i="1" s="1"/>
  <c r="DG125" i="1" s="1"/>
  <c r="DG146" i="1" s="1"/>
  <c r="DG167" i="1" s="1"/>
  <c r="DG188" i="1" s="1"/>
  <c r="DG209" i="1" s="1"/>
  <c r="DD20" i="1"/>
  <c r="DC20" i="1" s="1"/>
  <c r="BY20" i="1"/>
  <c r="BX20" i="1"/>
  <c r="BW20" i="1"/>
  <c r="BV20" i="1"/>
  <c r="DY19" i="1"/>
  <c r="DW19" i="1"/>
  <c r="DR19" i="1"/>
  <c r="DG19" i="1"/>
  <c r="DG40" i="1" s="1"/>
  <c r="DG61" i="1" s="1"/>
  <c r="DG82" i="1" s="1"/>
  <c r="DG103" i="1" s="1"/>
  <c r="DG124" i="1" s="1"/>
  <c r="DG145" i="1" s="1"/>
  <c r="DG166" i="1" s="1"/>
  <c r="DG187" i="1" s="1"/>
  <c r="DG208" i="1" s="1"/>
  <c r="DD19" i="1"/>
  <c r="DC19" i="1" s="1"/>
  <c r="BY19" i="1"/>
  <c r="BX19" i="1"/>
  <c r="BW19" i="1"/>
  <c r="BV19" i="1"/>
  <c r="DL19" i="1" s="1"/>
  <c r="DY18" i="1"/>
  <c r="DW18" i="1"/>
  <c r="DR18" i="1"/>
  <c r="DG18" i="1"/>
  <c r="DD18" i="1"/>
  <c r="DC18" i="1" s="1"/>
  <c r="BY18" i="1"/>
  <c r="BX18" i="1"/>
  <c r="BW18" i="1"/>
  <c r="BV18" i="1"/>
  <c r="DL18" i="1" s="1"/>
  <c r="DY17" i="1"/>
  <c r="DW17" i="1"/>
  <c r="DR17" i="1"/>
  <c r="DG17" i="1"/>
  <c r="DG38" i="1" s="1"/>
  <c r="DG59" i="1" s="1"/>
  <c r="DG80" i="1" s="1"/>
  <c r="DG101" i="1" s="1"/>
  <c r="DG122" i="1" s="1"/>
  <c r="DG143" i="1" s="1"/>
  <c r="DG164" i="1" s="1"/>
  <c r="DG185" i="1" s="1"/>
  <c r="DG206" i="1" s="1"/>
  <c r="DD17" i="1"/>
  <c r="DC17" i="1" s="1"/>
  <c r="BY17" i="1"/>
  <c r="BX17" i="1"/>
  <c r="BW17" i="1"/>
  <c r="BV17" i="1"/>
  <c r="DL17" i="1" s="1"/>
  <c r="DY16" i="1"/>
  <c r="DW16" i="1"/>
  <c r="DR16" i="1"/>
  <c r="DG16" i="1"/>
  <c r="DG37" i="1" s="1"/>
  <c r="DG58" i="1" s="1"/>
  <c r="DG79" i="1" s="1"/>
  <c r="DG100" i="1" s="1"/>
  <c r="DG121" i="1" s="1"/>
  <c r="DG142" i="1" s="1"/>
  <c r="DG163" i="1" s="1"/>
  <c r="DG184" i="1" s="1"/>
  <c r="DG205" i="1" s="1"/>
  <c r="DD16" i="1"/>
  <c r="DC16" i="1" s="1"/>
  <c r="BY16" i="1"/>
  <c r="BX16" i="1"/>
  <c r="BW16" i="1"/>
  <c r="BV16" i="1"/>
  <c r="DL16" i="1" s="1"/>
  <c r="DY15" i="1"/>
  <c r="DW15" i="1"/>
  <c r="DR15" i="1"/>
  <c r="DG15" i="1"/>
  <c r="DD15" i="1"/>
  <c r="DC15" i="1" s="1"/>
  <c r="BY15" i="1"/>
  <c r="BX15" i="1"/>
  <c r="BW15" i="1"/>
  <c r="BV15" i="1"/>
  <c r="DY14" i="1"/>
  <c r="DW14" i="1"/>
  <c r="DR14" i="1"/>
  <c r="DD14" i="1"/>
  <c r="DC14" i="1" s="1"/>
  <c r="BY14" i="1"/>
  <c r="BX14" i="1"/>
  <c r="BW14" i="1"/>
  <c r="BV14" i="1"/>
  <c r="DY13" i="1"/>
  <c r="DW13" i="1"/>
  <c r="DR13" i="1"/>
  <c r="DG13" i="1"/>
  <c r="DG34" i="1" s="1"/>
  <c r="DG55" i="1" s="1"/>
  <c r="DG76" i="1" s="1"/>
  <c r="DG97" i="1" s="1"/>
  <c r="DG118" i="1" s="1"/>
  <c r="DG139" i="1" s="1"/>
  <c r="DG160" i="1" s="1"/>
  <c r="DG181" i="1" s="1"/>
  <c r="DG202" i="1" s="1"/>
  <c r="DD13" i="1"/>
  <c r="DC13" i="1" s="1"/>
  <c r="BY13" i="1"/>
  <c r="BX13" i="1"/>
  <c r="BW13" i="1"/>
  <c r="BV13" i="1"/>
  <c r="DY12" i="1"/>
  <c r="DW12" i="1"/>
  <c r="DR12" i="1"/>
  <c r="DG12" i="1"/>
  <c r="DG33" i="1" s="1"/>
  <c r="DG54" i="1" s="1"/>
  <c r="DG75" i="1" s="1"/>
  <c r="DG96" i="1" s="1"/>
  <c r="DG117" i="1" s="1"/>
  <c r="DG138" i="1" s="1"/>
  <c r="DG159" i="1" s="1"/>
  <c r="DG180" i="1" s="1"/>
  <c r="DG201" i="1" s="1"/>
  <c r="DD12" i="1"/>
  <c r="DC12" i="1" s="1"/>
  <c r="BY12" i="1"/>
  <c r="BX12" i="1"/>
  <c r="BW12" i="1"/>
  <c r="BV12" i="1"/>
  <c r="DL12" i="1" s="1"/>
  <c r="DY11" i="1"/>
  <c r="DW11" i="1"/>
  <c r="DR11" i="1"/>
  <c r="BY11" i="1"/>
  <c r="BX11" i="1"/>
  <c r="BW11" i="1"/>
  <c r="BV11" i="1"/>
  <c r="DY10" i="1"/>
  <c r="DW10" i="1"/>
  <c r="DR10" i="1"/>
  <c r="DG10" i="1"/>
  <c r="DG31" i="1" s="1"/>
  <c r="DG52" i="1" s="1"/>
  <c r="DG73" i="1" s="1"/>
  <c r="DG94" i="1" s="1"/>
  <c r="DG115" i="1" s="1"/>
  <c r="DG136" i="1" s="1"/>
  <c r="DG157" i="1" s="1"/>
  <c r="DG178" i="1" s="1"/>
  <c r="DG199" i="1" s="1"/>
  <c r="DD10" i="1"/>
  <c r="DC10" i="1" s="1"/>
  <c r="BY10" i="1"/>
  <c r="BX10" i="1"/>
  <c r="BW10" i="1"/>
  <c r="BV10" i="1"/>
  <c r="DL10" i="1" s="1"/>
  <c r="DY9" i="1"/>
  <c r="DW9" i="1"/>
  <c r="DR9" i="1"/>
  <c r="DG9" i="1"/>
  <c r="DG30" i="1" s="1"/>
  <c r="DG51" i="1" s="1"/>
  <c r="DG72" i="1" s="1"/>
  <c r="DG93" i="1" s="1"/>
  <c r="DG114" i="1" s="1"/>
  <c r="DG135" i="1" s="1"/>
  <c r="DG156" i="1" s="1"/>
  <c r="DG177" i="1" s="1"/>
  <c r="DG198" i="1" s="1"/>
  <c r="DD9" i="1"/>
  <c r="DC9" i="1" s="1"/>
  <c r="BY9" i="1"/>
  <c r="BX9" i="1"/>
  <c r="BW9" i="1"/>
  <c r="BV9" i="1"/>
  <c r="DL9" i="1" s="1"/>
  <c r="DY8" i="1"/>
  <c r="DW8" i="1"/>
  <c r="DR8" i="1"/>
  <c r="DG8" i="1"/>
  <c r="DG29" i="1" s="1"/>
  <c r="DG50" i="1" s="1"/>
  <c r="DG71" i="1" s="1"/>
  <c r="DG92" i="1" s="1"/>
  <c r="DG113" i="1" s="1"/>
  <c r="DG134" i="1" s="1"/>
  <c r="DG155" i="1" s="1"/>
  <c r="DG176" i="1" s="1"/>
  <c r="DG197" i="1" s="1"/>
  <c r="DD8" i="1"/>
  <c r="DC8" i="1" s="1"/>
  <c r="BY8" i="1"/>
  <c r="BX8" i="1"/>
  <c r="BW8" i="1"/>
  <c r="BV8" i="1"/>
  <c r="DY7" i="1"/>
  <c r="DW7" i="1"/>
  <c r="DR7" i="1"/>
  <c r="DG7" i="1"/>
  <c r="DG28" i="1" s="1"/>
  <c r="DD7" i="1"/>
  <c r="DC7" i="1" s="1"/>
  <c r="BY7" i="1"/>
  <c r="BX7" i="1"/>
  <c r="BW7" i="1"/>
  <c r="BV7" i="1"/>
  <c r="DL7" i="1" s="1"/>
  <c r="DY6" i="1"/>
  <c r="DW6" i="1"/>
  <c r="DR6" i="1"/>
  <c r="DG6" i="1"/>
  <c r="DD6" i="1"/>
  <c r="DC6" i="1" s="1"/>
  <c r="BY6" i="1"/>
  <c r="BX6" i="1"/>
  <c r="BW6" i="1"/>
  <c r="BV6" i="1"/>
  <c r="DY5" i="1"/>
  <c r="DW5" i="1"/>
  <c r="DR5" i="1"/>
  <c r="DG5" i="1"/>
  <c r="DG26" i="1" s="1"/>
  <c r="DG47" i="1" s="1"/>
  <c r="DG68" i="1" s="1"/>
  <c r="DG89" i="1" s="1"/>
  <c r="DG110" i="1" s="1"/>
  <c r="DG131" i="1" s="1"/>
  <c r="DG152" i="1" s="1"/>
  <c r="DG173" i="1" s="1"/>
  <c r="DG194" i="1" s="1"/>
  <c r="DD5" i="1"/>
  <c r="DC5" i="1" s="1"/>
  <c r="BY5" i="1"/>
  <c r="BX5" i="1"/>
  <c r="BW5" i="1"/>
  <c r="BV5" i="1"/>
  <c r="DY4" i="1"/>
  <c r="DW4" i="1"/>
  <c r="DR4" i="1"/>
  <c r="DG4" i="1"/>
  <c r="DG25" i="1" s="1"/>
  <c r="DG46" i="1" s="1"/>
  <c r="DG67" i="1" s="1"/>
  <c r="DG88" i="1" s="1"/>
  <c r="DG109" i="1" s="1"/>
  <c r="DG130" i="1" s="1"/>
  <c r="DG151" i="1" s="1"/>
  <c r="DG172" i="1" s="1"/>
  <c r="DG193" i="1" s="1"/>
  <c r="DD4" i="1"/>
  <c r="DC4" i="1" s="1"/>
  <c r="BY4" i="1"/>
  <c r="BX4" i="1"/>
  <c r="BW4" i="1"/>
  <c r="BV4" i="1"/>
  <c r="DL4" i="1" s="1"/>
  <c r="DY3" i="1"/>
  <c r="DW3" i="1"/>
  <c r="DR3" i="1"/>
  <c r="DG3" i="1"/>
  <c r="DG24" i="1" s="1"/>
  <c r="DG45" i="1" s="1"/>
  <c r="DG66" i="1" s="1"/>
  <c r="DG87" i="1" s="1"/>
  <c r="DG108" i="1" s="1"/>
  <c r="DG129" i="1" s="1"/>
  <c r="DG150" i="1" s="1"/>
  <c r="DG171" i="1" s="1"/>
  <c r="DG192" i="1" s="1"/>
  <c r="DD3" i="1"/>
  <c r="DC3" i="1" s="1"/>
  <c r="BY3" i="1"/>
  <c r="BX3" i="1"/>
  <c r="BW3" i="1"/>
  <c r="BV3" i="1"/>
  <c r="DL461" i="1" l="1"/>
  <c r="BV470" i="1"/>
  <c r="DA460" i="1"/>
  <c r="DL460" i="1"/>
  <c r="CE481" i="1"/>
  <c r="K481" i="1"/>
  <c r="CE476" i="1"/>
  <c r="K476" i="1"/>
  <c r="CE475" i="1"/>
  <c r="K475" i="1"/>
  <c r="CE478" i="1"/>
  <c r="K478" i="1"/>
  <c r="CE477" i="1"/>
  <c r="K477" i="1"/>
  <c r="CE479" i="1"/>
  <c r="K479" i="1"/>
  <c r="CE482" i="1"/>
  <c r="K482" i="1"/>
  <c r="CE474" i="1"/>
  <c r="K474" i="1"/>
  <c r="CE480" i="1"/>
  <c r="K480" i="1"/>
  <c r="DA461" i="1"/>
  <c r="BV471" i="1"/>
  <c r="M477" i="1"/>
  <c r="M473" i="1"/>
  <c r="K473" i="1"/>
  <c r="M476" i="1"/>
  <c r="M478" i="1"/>
  <c r="M479" i="1"/>
  <c r="M474" i="1"/>
  <c r="M475" i="1"/>
  <c r="M480" i="1"/>
  <c r="M482" i="1"/>
  <c r="M481" i="1"/>
  <c r="DL464" i="1"/>
  <c r="DL467" i="1"/>
  <c r="DL465" i="1"/>
  <c r="DL453" i="1"/>
  <c r="DA453" i="1"/>
  <c r="DL472" i="1"/>
  <c r="DL470" i="1"/>
  <c r="BV463" i="1"/>
  <c r="DL466" i="1"/>
  <c r="DL468" i="1"/>
  <c r="DL469" i="1"/>
  <c r="DL22" i="1"/>
  <c r="DL6" i="1"/>
  <c r="DL222" i="1"/>
  <c r="DL8" i="1"/>
  <c r="DL216" i="1"/>
  <c r="DL5" i="1"/>
  <c r="DL11" i="1"/>
  <c r="DL15" i="1"/>
  <c r="DL23" i="1"/>
  <c r="BV229" i="1"/>
  <c r="DL229" i="1" s="1"/>
  <c r="DL219" i="1"/>
  <c r="DJ3" i="1"/>
  <c r="DL3" i="1"/>
  <c r="DL14" i="1"/>
  <c r="DA217" i="1"/>
  <c r="DL217" i="1"/>
  <c r="DA20" i="1"/>
  <c r="DL20" i="1"/>
  <c r="DL221" i="1"/>
  <c r="BV230" i="1"/>
  <c r="DL230" i="1" s="1"/>
  <c r="DL220" i="1"/>
  <c r="BV223" i="1"/>
  <c r="DA223" i="1" s="1"/>
  <c r="DL213" i="1"/>
  <c r="DA13" i="1"/>
  <c r="DL13" i="1"/>
  <c r="BY246" i="1"/>
  <c r="BY256" i="1" s="1"/>
  <c r="BY266" i="1" s="1"/>
  <c r="BY276" i="1" s="1"/>
  <c r="BY286" i="1" s="1"/>
  <c r="BY296" i="1" s="1"/>
  <c r="BY306" i="1" s="1"/>
  <c r="BY316" i="1" s="1"/>
  <c r="BY250" i="1"/>
  <c r="BY260" i="1" s="1"/>
  <c r="BY270" i="1" s="1"/>
  <c r="BY280" i="1" s="1"/>
  <c r="BY290" i="1" s="1"/>
  <c r="BY300" i="1" s="1"/>
  <c r="BY310" i="1" s="1"/>
  <c r="BY320" i="1" s="1"/>
  <c r="BY244" i="1"/>
  <c r="BY254" i="1" s="1"/>
  <c r="BY264" i="1" s="1"/>
  <c r="BY274" i="1" s="1"/>
  <c r="BY284" i="1" s="1"/>
  <c r="BY294" i="1" s="1"/>
  <c r="BY304" i="1" s="1"/>
  <c r="BY314" i="1" s="1"/>
  <c r="BY248" i="1"/>
  <c r="BY258" i="1" s="1"/>
  <c r="BY268" i="1" s="1"/>
  <c r="BY278" i="1" s="1"/>
  <c r="BY288" i="1" s="1"/>
  <c r="BY298" i="1" s="1"/>
  <c r="BY308" i="1" s="1"/>
  <c r="BY318" i="1" s="1"/>
  <c r="BY252" i="1"/>
  <c r="BY262" i="1" s="1"/>
  <c r="BY272" i="1" s="1"/>
  <c r="BY282" i="1" s="1"/>
  <c r="BY292" i="1" s="1"/>
  <c r="BY302" i="1" s="1"/>
  <c r="BY312" i="1" s="1"/>
  <c r="BY322" i="1" s="1"/>
  <c r="BY249" i="1"/>
  <c r="BY259" i="1" s="1"/>
  <c r="BY269" i="1" s="1"/>
  <c r="BY279" i="1" s="1"/>
  <c r="BY289" i="1" s="1"/>
  <c r="BY299" i="1" s="1"/>
  <c r="BY309" i="1" s="1"/>
  <c r="BY319" i="1" s="1"/>
  <c r="BY243" i="1"/>
  <c r="BY253" i="1" s="1"/>
  <c r="BY263" i="1" s="1"/>
  <c r="BY273" i="1" s="1"/>
  <c r="BY283" i="1" s="1"/>
  <c r="BY293" i="1" s="1"/>
  <c r="BY303" i="1" s="1"/>
  <c r="BY313" i="1" s="1"/>
  <c r="BY251" i="1"/>
  <c r="BY261" i="1" s="1"/>
  <c r="BY271" i="1" s="1"/>
  <c r="BY281" i="1" s="1"/>
  <c r="BY291" i="1" s="1"/>
  <c r="BY301" i="1" s="1"/>
  <c r="BY311" i="1" s="1"/>
  <c r="BY321" i="1" s="1"/>
  <c r="BY245" i="1"/>
  <c r="BY255" i="1" s="1"/>
  <c r="BY265" i="1" s="1"/>
  <c r="BY275" i="1" s="1"/>
  <c r="BY285" i="1" s="1"/>
  <c r="BY295" i="1" s="1"/>
  <c r="BY305" i="1" s="1"/>
  <c r="BY315" i="1" s="1"/>
  <c r="BY247" i="1"/>
  <c r="BY257" i="1" s="1"/>
  <c r="BY267" i="1" s="1"/>
  <c r="BY277" i="1" s="1"/>
  <c r="BY287" i="1" s="1"/>
  <c r="BY297" i="1" s="1"/>
  <c r="BY307" i="1" s="1"/>
  <c r="BY317" i="1" s="1"/>
  <c r="BV474" i="1"/>
  <c r="DA464" i="1"/>
  <c r="DA467" i="1"/>
  <c r="BV477" i="1"/>
  <c r="BT492" i="1"/>
  <c r="CE492" i="1" s="1"/>
  <c r="DD482" i="1"/>
  <c r="DC482" i="1" s="1"/>
  <c r="BV476" i="1"/>
  <c r="DA466" i="1"/>
  <c r="DA465" i="1"/>
  <c r="BV475" i="1"/>
  <c r="DA472" i="1"/>
  <c r="BV482" i="1"/>
  <c r="BT491" i="1"/>
  <c r="CE491" i="1" s="1"/>
  <c r="DD481" i="1"/>
  <c r="DC481" i="1" s="1"/>
  <c r="BT483" i="1"/>
  <c r="CE483" i="1" s="1"/>
  <c r="DD473" i="1"/>
  <c r="DC473" i="1" s="1"/>
  <c r="BT487" i="1"/>
  <c r="CE487" i="1" s="1"/>
  <c r="DD477" i="1"/>
  <c r="DC477" i="1" s="1"/>
  <c r="DD478" i="1"/>
  <c r="DC478" i="1" s="1"/>
  <c r="BT488" i="1"/>
  <c r="CE488" i="1" s="1"/>
  <c r="BT489" i="1"/>
  <c r="CE489" i="1" s="1"/>
  <c r="DD479" i="1"/>
  <c r="DC479" i="1" s="1"/>
  <c r="DD480" i="1"/>
  <c r="DC480" i="1" s="1"/>
  <c r="BT490" i="1"/>
  <c r="CE490" i="1" s="1"/>
  <c r="BV478" i="1"/>
  <c r="DA468" i="1"/>
  <c r="DA469" i="1"/>
  <c r="BV479" i="1"/>
  <c r="DD474" i="1"/>
  <c r="DC474" i="1" s="1"/>
  <c r="BT484" i="1"/>
  <c r="CE484" i="1" s="1"/>
  <c r="DA470" i="1"/>
  <c r="BV480" i="1"/>
  <c r="DD476" i="1"/>
  <c r="DC476" i="1" s="1"/>
  <c r="BT486" i="1"/>
  <c r="CE486" i="1" s="1"/>
  <c r="DD475" i="1"/>
  <c r="DC475" i="1" s="1"/>
  <c r="BT485" i="1"/>
  <c r="CE485" i="1" s="1"/>
  <c r="BM58" i="1"/>
  <c r="BM65" i="1"/>
  <c r="BU44" i="1"/>
  <c r="BU65" i="1" s="1"/>
  <c r="BU86" i="1" s="1"/>
  <c r="BU107" i="1" s="1"/>
  <c r="BU128" i="1" s="1"/>
  <c r="BU149" i="1" s="1"/>
  <c r="BU170" i="1" s="1"/>
  <c r="BU191" i="1" s="1"/>
  <c r="BU212" i="1" s="1"/>
  <c r="BM47" i="1"/>
  <c r="BM56" i="1"/>
  <c r="BM46" i="1"/>
  <c r="BM59" i="1"/>
  <c r="BM48" i="1"/>
  <c r="BM61" i="1"/>
  <c r="BM49" i="1"/>
  <c r="BM51" i="1"/>
  <c r="BM57" i="1"/>
  <c r="BM64" i="1"/>
  <c r="BM52" i="1"/>
  <c r="BM53" i="1"/>
  <c r="BM63" i="1"/>
  <c r="BM45" i="1"/>
  <c r="BM55" i="1"/>
  <c r="BR34" i="1"/>
  <c r="BM62" i="1"/>
  <c r="BK62" i="1" s="1"/>
  <c r="BR41" i="1"/>
  <c r="BM54" i="1"/>
  <c r="BR33" i="1"/>
  <c r="BM50" i="1"/>
  <c r="BR29" i="1"/>
  <c r="BM60" i="1"/>
  <c r="BK60" i="1" s="1"/>
  <c r="BR39" i="1"/>
  <c r="DY32" i="1"/>
  <c r="DW28" i="1"/>
  <c r="DR36" i="1"/>
  <c r="DW42" i="1"/>
  <c r="DR44" i="1"/>
  <c r="DW35" i="1"/>
  <c r="DR25" i="1"/>
  <c r="CE71" i="1"/>
  <c r="DR26" i="1"/>
  <c r="DW41" i="1"/>
  <c r="CE134" i="1"/>
  <c r="DJ33" i="1"/>
  <c r="DZ49" i="1"/>
  <c r="DY49" i="1" s="1"/>
  <c r="DX48" i="1"/>
  <c r="DW48" i="1" s="1"/>
  <c r="DZ48" i="1"/>
  <c r="DY48" i="1" s="1"/>
  <c r="DY24" i="1"/>
  <c r="DY33" i="1"/>
  <c r="DY38" i="1"/>
  <c r="CE34" i="1"/>
  <c r="CE117" i="1"/>
  <c r="DZ50" i="1"/>
  <c r="DY50" i="1" s="1"/>
  <c r="DZ64" i="1"/>
  <c r="DZ85" i="1" s="1"/>
  <c r="DY85" i="1" s="1"/>
  <c r="CE33" i="1"/>
  <c r="CE32" i="1"/>
  <c r="DX58" i="1"/>
  <c r="DW58" i="1" s="1"/>
  <c r="CE31" i="1"/>
  <c r="DW32" i="1"/>
  <c r="DW44" i="1"/>
  <c r="DS70" i="1"/>
  <c r="DR70" i="1" s="1"/>
  <c r="DR49" i="1"/>
  <c r="DW46" i="1"/>
  <c r="DX67" i="1"/>
  <c r="DW67" i="1" s="1"/>
  <c r="DW47" i="1"/>
  <c r="DX68" i="1"/>
  <c r="DW62" i="1"/>
  <c r="DX83" i="1"/>
  <c r="DW63" i="1"/>
  <c r="DX84" i="1"/>
  <c r="DW84" i="1" s="1"/>
  <c r="DR28" i="1"/>
  <c r="CE157" i="1"/>
  <c r="CE178" i="1"/>
  <c r="CE53" i="1"/>
  <c r="DS52" i="1"/>
  <c r="DR29" i="1"/>
  <c r="DR32" i="1"/>
  <c r="CE72" i="1"/>
  <c r="DS64" i="1"/>
  <c r="DS85" i="1" s="1"/>
  <c r="DR85" i="1" s="1"/>
  <c r="DW26" i="1"/>
  <c r="DW33" i="1"/>
  <c r="CE75" i="1"/>
  <c r="DX57" i="1"/>
  <c r="DW57" i="1" s="1"/>
  <c r="DR33" i="1"/>
  <c r="CE76" i="1"/>
  <c r="DZ57" i="1"/>
  <c r="DZ78" i="1" s="1"/>
  <c r="DY78" i="1" s="1"/>
  <c r="DX55" i="1"/>
  <c r="DW55" i="1" s="1"/>
  <c r="DW40" i="1"/>
  <c r="DW65" i="1"/>
  <c r="DW86" i="1"/>
  <c r="CE96" i="1"/>
  <c r="DX45" i="1"/>
  <c r="CE135" i="1"/>
  <c r="CE136" i="1"/>
  <c r="DW25" i="1"/>
  <c r="CE182" i="1"/>
  <c r="DZ55" i="1"/>
  <c r="DY55" i="1" s="1"/>
  <c r="CE73" i="1"/>
  <c r="DS55" i="1"/>
  <c r="DZ56" i="1"/>
  <c r="DS68" i="1"/>
  <c r="CE113" i="1"/>
  <c r="DY31" i="1"/>
  <c r="CE74" i="1"/>
  <c r="DE113" i="1"/>
  <c r="DE134" i="1" s="1"/>
  <c r="DD134" i="1" s="1"/>
  <c r="DC134" i="1" s="1"/>
  <c r="CE115" i="1"/>
  <c r="CE29" i="1"/>
  <c r="DZ62" i="1"/>
  <c r="CE52" i="1"/>
  <c r="DS48" i="1"/>
  <c r="DX70" i="1"/>
  <c r="DW70" i="1" s="1"/>
  <c r="CE116" i="1"/>
  <c r="CE30" i="1"/>
  <c r="DY53" i="1"/>
  <c r="DZ74" i="1"/>
  <c r="DS77" i="1"/>
  <c r="DR56" i="1"/>
  <c r="DR57" i="1"/>
  <c r="DS78" i="1"/>
  <c r="DR58" i="1"/>
  <c r="DS79" i="1"/>
  <c r="DR60" i="1"/>
  <c r="DS81" i="1"/>
  <c r="DS66" i="1"/>
  <c r="DR45" i="1"/>
  <c r="DY52" i="1"/>
  <c r="DZ73" i="1"/>
  <c r="DX74" i="1"/>
  <c r="DW53" i="1"/>
  <c r="CF58" i="1"/>
  <c r="CE176" i="1"/>
  <c r="CE97" i="1"/>
  <c r="CE54" i="1"/>
  <c r="DS67" i="1"/>
  <c r="DZ75" i="1"/>
  <c r="DZ63" i="1"/>
  <c r="DY63" i="1" s="1"/>
  <c r="DR35" i="1"/>
  <c r="DA30" i="1"/>
  <c r="DW39" i="1"/>
  <c r="CF59" i="1"/>
  <c r="CF80" i="1" s="1"/>
  <c r="CF101" i="1" s="1"/>
  <c r="CF122" i="1" s="1"/>
  <c r="CF143" i="1" s="1"/>
  <c r="CF164" i="1" s="1"/>
  <c r="CF185" i="1" s="1"/>
  <c r="CF206" i="1" s="1"/>
  <c r="CE206" i="1" s="1"/>
  <c r="CE177" i="1"/>
  <c r="CE98" i="1"/>
  <c r="CE55" i="1"/>
  <c r="DX64" i="1"/>
  <c r="DW64" i="1" s="1"/>
  <c r="CF57" i="1"/>
  <c r="CE161" i="1"/>
  <c r="DA6" i="1"/>
  <c r="DR39" i="1"/>
  <c r="CE56" i="1"/>
  <c r="DA23" i="1"/>
  <c r="DR24" i="1"/>
  <c r="CE181" i="1"/>
  <c r="CE114" i="1"/>
  <c r="DS51" i="1"/>
  <c r="DX77" i="1"/>
  <c r="CE119" i="1"/>
  <c r="DR37" i="1"/>
  <c r="CE35" i="1"/>
  <c r="CE77" i="1"/>
  <c r="DS59" i="1"/>
  <c r="DD25" i="1"/>
  <c r="DC25" i="1" s="1"/>
  <c r="CE137" i="1"/>
  <c r="CE92" i="1"/>
  <c r="DX50" i="1"/>
  <c r="CE155" i="1"/>
  <c r="CE93" i="1"/>
  <c r="CE50" i="1"/>
  <c r="CE224" i="1"/>
  <c r="CE234" i="1" s="1"/>
  <c r="CE244" i="1" s="1"/>
  <c r="CE254" i="1" s="1"/>
  <c r="CE264" i="1" s="1"/>
  <c r="CE274" i="1" s="1"/>
  <c r="CE284" i="1" s="1"/>
  <c r="CE294" i="1" s="1"/>
  <c r="DS61" i="1"/>
  <c r="DZ61" i="1"/>
  <c r="CE156" i="1"/>
  <c r="CE94" i="1"/>
  <c r="CE51" i="1"/>
  <c r="DS62" i="1"/>
  <c r="DX51" i="1"/>
  <c r="DW51" i="1" s="1"/>
  <c r="DA61" i="1"/>
  <c r="DA8" i="1"/>
  <c r="DJ81" i="1"/>
  <c r="CF45" i="1"/>
  <c r="CF66" i="1" s="1"/>
  <c r="CF87" i="1" s="1"/>
  <c r="CF108" i="1" s="1"/>
  <c r="CF129" i="1" s="1"/>
  <c r="CF150" i="1" s="1"/>
  <c r="CF171" i="1" s="1"/>
  <c r="CF192" i="1" s="1"/>
  <c r="CE192" i="1" s="1"/>
  <c r="CE95" i="1"/>
  <c r="DW61" i="1"/>
  <c r="DX82" i="1"/>
  <c r="DX81" i="1"/>
  <c r="DW60" i="1"/>
  <c r="DX59" i="1"/>
  <c r="DW38" i="1"/>
  <c r="DY37" i="1"/>
  <c r="DX75" i="1"/>
  <c r="DW54" i="1"/>
  <c r="DY65" i="1"/>
  <c r="DZ86" i="1"/>
  <c r="DZ51" i="1"/>
  <c r="DY30" i="1"/>
  <c r="DY58" i="1"/>
  <c r="DZ79" i="1"/>
  <c r="DY44" i="1"/>
  <c r="DX128" i="1"/>
  <c r="DW107" i="1"/>
  <c r="DX52" i="1"/>
  <c r="DW31" i="1"/>
  <c r="DZ47" i="1"/>
  <c r="DZ80" i="1"/>
  <c r="DZ60" i="1"/>
  <c r="DZ66" i="1"/>
  <c r="DZ46" i="1"/>
  <c r="DS86" i="1"/>
  <c r="DR65" i="1"/>
  <c r="DR54" i="1"/>
  <c r="DS75" i="1"/>
  <c r="DR74" i="1"/>
  <c r="DS95" i="1"/>
  <c r="DS71" i="1"/>
  <c r="DR50" i="1"/>
  <c r="DS63" i="1"/>
  <c r="DR53" i="1"/>
  <c r="CF82" i="1"/>
  <c r="CE61" i="1"/>
  <c r="CF81" i="1"/>
  <c r="CE60" i="1"/>
  <c r="CE62" i="1"/>
  <c r="CE41" i="1"/>
  <c r="DD224" i="1"/>
  <c r="DC224" i="1" s="1"/>
  <c r="CE180" i="1"/>
  <c r="CE160" i="1"/>
  <c r="CE140" i="1"/>
  <c r="CE40" i="1"/>
  <c r="CE230" i="1"/>
  <c r="CE240" i="1" s="1"/>
  <c r="CE250" i="1" s="1"/>
  <c r="CE260" i="1" s="1"/>
  <c r="CE270" i="1" s="1"/>
  <c r="CE280" i="1" s="1"/>
  <c r="CE290" i="1" s="1"/>
  <c r="CE300" i="1" s="1"/>
  <c r="CE232" i="1"/>
  <c r="CE242" i="1" s="1"/>
  <c r="CE252" i="1" s="1"/>
  <c r="CE262" i="1" s="1"/>
  <c r="CE272" i="1" s="1"/>
  <c r="CE282" i="1" s="1"/>
  <c r="CE292" i="1" s="1"/>
  <c r="DD45" i="1"/>
  <c r="DC45" i="1" s="1"/>
  <c r="DA219" i="1"/>
  <c r="CE179" i="1"/>
  <c r="CE159" i="1"/>
  <c r="CE139" i="1"/>
  <c r="CE39" i="1"/>
  <c r="CE229" i="1"/>
  <c r="CE239" i="1" s="1"/>
  <c r="CE249" i="1" s="1"/>
  <c r="CE259" i="1" s="1"/>
  <c r="CE269" i="1" s="1"/>
  <c r="CE279" i="1" s="1"/>
  <c r="CE289" i="1" s="1"/>
  <c r="CE299" i="1" s="1"/>
  <c r="CE42" i="1"/>
  <c r="BT239" i="1"/>
  <c r="CE158" i="1"/>
  <c r="CE138" i="1"/>
  <c r="CE118" i="1"/>
  <c r="CE190" i="1"/>
  <c r="CE170" i="1"/>
  <c r="CE130" i="1"/>
  <c r="CE110" i="1"/>
  <c r="CE90" i="1"/>
  <c r="CE70" i="1"/>
  <c r="CE174" i="1"/>
  <c r="CE91" i="1"/>
  <c r="CE189" i="1"/>
  <c r="CE169" i="1"/>
  <c r="CE149" i="1"/>
  <c r="CE109" i="1"/>
  <c r="CE89" i="1"/>
  <c r="CE69" i="1"/>
  <c r="CE49" i="1"/>
  <c r="CE175" i="1"/>
  <c r="CE133" i="1"/>
  <c r="CE151" i="1"/>
  <c r="CE188" i="1"/>
  <c r="CE168" i="1"/>
  <c r="CE148" i="1"/>
  <c r="CE128" i="1"/>
  <c r="CE88" i="1"/>
  <c r="CE68" i="1"/>
  <c r="CE48" i="1"/>
  <c r="CE28" i="1"/>
  <c r="CE154" i="1"/>
  <c r="CE173" i="1"/>
  <c r="CE191" i="1"/>
  <c r="CE131" i="1"/>
  <c r="CE111" i="1"/>
  <c r="DA31" i="1"/>
  <c r="CE167" i="1"/>
  <c r="CE147" i="1"/>
  <c r="CE127" i="1"/>
  <c r="CE107" i="1"/>
  <c r="CE67" i="1"/>
  <c r="CE47" i="1"/>
  <c r="CE27" i="1"/>
  <c r="CE146" i="1"/>
  <c r="CE126" i="1"/>
  <c r="CE106" i="1"/>
  <c r="CE86" i="1"/>
  <c r="CE46" i="1"/>
  <c r="CE26" i="1"/>
  <c r="CE105" i="1"/>
  <c r="CE65" i="1"/>
  <c r="CE25" i="1"/>
  <c r="DA39" i="1"/>
  <c r="CE104" i="1"/>
  <c r="CE84" i="1"/>
  <c r="CE64" i="1"/>
  <c r="CE44" i="1"/>
  <c r="CE125" i="1"/>
  <c r="CE85" i="1"/>
  <c r="DJ23" i="1"/>
  <c r="CE83" i="1"/>
  <c r="CE63" i="1"/>
  <c r="CE43" i="1"/>
  <c r="CE223" i="1"/>
  <c r="CE233" i="1" s="1"/>
  <c r="CE243" i="1" s="1"/>
  <c r="CE253" i="1" s="1"/>
  <c r="CE263" i="1" s="1"/>
  <c r="CE273" i="1" s="1"/>
  <c r="CE283" i="1" s="1"/>
  <c r="CE293" i="1" s="1"/>
  <c r="CE153" i="1"/>
  <c r="CE172" i="1"/>
  <c r="CE152" i="1"/>
  <c r="CE132" i="1"/>
  <c r="CE112" i="1"/>
  <c r="DJ6" i="1"/>
  <c r="DD28" i="1"/>
  <c r="DC28" i="1" s="1"/>
  <c r="DD230" i="1"/>
  <c r="DC230" i="1" s="1"/>
  <c r="DD30" i="1"/>
  <c r="DC30" i="1" s="1"/>
  <c r="DJ75" i="1"/>
  <c r="DD50" i="1"/>
  <c r="DC50" i="1" s="1"/>
  <c r="DE91" i="1"/>
  <c r="DE112" i="1" s="1"/>
  <c r="DD112" i="1" s="1"/>
  <c r="DC112" i="1" s="1"/>
  <c r="DA222" i="1"/>
  <c r="DD40" i="1"/>
  <c r="DC40" i="1" s="1"/>
  <c r="BT242" i="1"/>
  <c r="DD242" i="1" s="1"/>
  <c r="DC242" i="1" s="1"/>
  <c r="DJ11" i="1"/>
  <c r="DI96" i="1"/>
  <c r="DJ96" i="1" s="1"/>
  <c r="DJ13" i="1"/>
  <c r="DG27" i="1"/>
  <c r="DG48" i="1" s="1"/>
  <c r="DG69" i="1" s="1"/>
  <c r="DG90" i="1" s="1"/>
  <c r="DG111" i="1" s="1"/>
  <c r="DG132" i="1" s="1"/>
  <c r="DG153" i="1" s="1"/>
  <c r="DG174" i="1" s="1"/>
  <c r="DG195" i="1" s="1"/>
  <c r="DA36" i="1"/>
  <c r="DJ51" i="1"/>
  <c r="DJ65" i="1"/>
  <c r="DD71" i="1"/>
  <c r="DC71" i="1" s="1"/>
  <c r="BV231" i="1"/>
  <c r="DD32" i="1"/>
  <c r="DC32" i="1" s="1"/>
  <c r="DD29" i="1"/>
  <c r="DC29" i="1" s="1"/>
  <c r="DD49" i="1"/>
  <c r="DC49" i="1" s="1"/>
  <c r="BT243" i="1"/>
  <c r="DD243" i="1" s="1"/>
  <c r="DC243" i="1" s="1"/>
  <c r="AR54" i="1"/>
  <c r="DA34" i="1"/>
  <c r="DJ44" i="1"/>
  <c r="DJ72" i="1"/>
  <c r="DJ58" i="1"/>
  <c r="DD61" i="1"/>
  <c r="DC61" i="1" s="1"/>
  <c r="DJ60" i="1"/>
  <c r="DJ39" i="1"/>
  <c r="DD74" i="1"/>
  <c r="DC74" i="1" s="1"/>
  <c r="BT237" i="1"/>
  <c r="BT247" i="1" s="1"/>
  <c r="DD227" i="1"/>
  <c r="DC227" i="1" s="1"/>
  <c r="DA18" i="1"/>
  <c r="DE59" i="1"/>
  <c r="DD38" i="1"/>
  <c r="DC38" i="1" s="1"/>
  <c r="DE56" i="1"/>
  <c r="DE77" i="1" s="1"/>
  <c r="DD35" i="1"/>
  <c r="DC35" i="1" s="1"/>
  <c r="DI82" i="1"/>
  <c r="DI103" i="1" s="1"/>
  <c r="DJ103" i="1" s="1"/>
  <c r="DJ61" i="1"/>
  <c r="DA86" i="1"/>
  <c r="CZ107" i="1"/>
  <c r="CZ128" i="1" s="1"/>
  <c r="DE48" i="1"/>
  <c r="DE69" i="1" s="1"/>
  <c r="DD27" i="1"/>
  <c r="DC27" i="1" s="1"/>
  <c r="DA50" i="1"/>
  <c r="DE57" i="1"/>
  <c r="DD57" i="1" s="1"/>
  <c r="DC57" i="1" s="1"/>
  <c r="DD36" i="1"/>
  <c r="DC36" i="1" s="1"/>
  <c r="DE54" i="1"/>
  <c r="DD33" i="1"/>
  <c r="DC33" i="1" s="1"/>
  <c r="DG49" i="1"/>
  <c r="DG70" i="1" s="1"/>
  <c r="DG91" i="1" s="1"/>
  <c r="DG112" i="1" s="1"/>
  <c r="DG133" i="1" s="1"/>
  <c r="DG154" i="1" s="1"/>
  <c r="DG175" i="1" s="1"/>
  <c r="DG196" i="1" s="1"/>
  <c r="DE65" i="1"/>
  <c r="DD44" i="1"/>
  <c r="DC44" i="1" s="1"/>
  <c r="DD34" i="1"/>
  <c r="DC34" i="1" s="1"/>
  <c r="DE60" i="1"/>
  <c r="DD39" i="1"/>
  <c r="DC39" i="1" s="1"/>
  <c r="DI46" i="1"/>
  <c r="DI67" i="1" s="1"/>
  <c r="DJ25" i="1"/>
  <c r="DJ84" i="1"/>
  <c r="DI105" i="1"/>
  <c r="DJ105" i="1" s="1"/>
  <c r="DA35" i="1"/>
  <c r="CZ56" i="1"/>
  <c r="AR88" i="1"/>
  <c r="AR109" i="1" s="1"/>
  <c r="DJ18" i="1"/>
  <c r="DE47" i="1"/>
  <c r="DE68" i="1" s="1"/>
  <c r="DE89" i="1" s="1"/>
  <c r="DD89" i="1" s="1"/>
  <c r="DC89" i="1" s="1"/>
  <c r="DD26" i="1"/>
  <c r="DC26" i="1" s="1"/>
  <c r="DA22" i="1"/>
  <c r="DJ22" i="1"/>
  <c r="DA37" i="1"/>
  <c r="CZ58" i="1"/>
  <c r="DA5" i="1"/>
  <c r="DJ5" i="1"/>
  <c r="DA15" i="1"/>
  <c r="DJ15" i="1"/>
  <c r="DA11" i="1"/>
  <c r="DA24" i="1"/>
  <c r="AR49" i="1"/>
  <c r="DJ50" i="1"/>
  <c r="DE103" i="1"/>
  <c r="DE124" i="1" s="1"/>
  <c r="DE145" i="1" s="1"/>
  <c r="DD223" i="1"/>
  <c r="DC223" i="1" s="1"/>
  <c r="DJ76" i="1"/>
  <c r="DA38" i="1"/>
  <c r="DD53" i="1"/>
  <c r="DC53" i="1" s="1"/>
  <c r="CZ60" i="1"/>
  <c r="DA65" i="1"/>
  <c r="DG36" i="1"/>
  <c r="DG57" i="1" s="1"/>
  <c r="DG78" i="1" s="1"/>
  <c r="DG99" i="1" s="1"/>
  <c r="DG120" i="1" s="1"/>
  <c r="DG141" i="1" s="1"/>
  <c r="DG162" i="1" s="1"/>
  <c r="DG183" i="1" s="1"/>
  <c r="DG204" i="1" s="1"/>
  <c r="DJ54" i="1"/>
  <c r="DJ71" i="1"/>
  <c r="AR76" i="1"/>
  <c r="DE85" i="1"/>
  <c r="DD64" i="1"/>
  <c r="DC64" i="1" s="1"/>
  <c r="AR61" i="1"/>
  <c r="DI57" i="1"/>
  <c r="DJ36" i="1"/>
  <c r="DJ10" i="1"/>
  <c r="CZ75" i="1"/>
  <c r="DA54" i="1"/>
  <c r="AR68" i="1"/>
  <c r="DA10" i="1"/>
  <c r="DE52" i="1"/>
  <c r="DD31" i="1"/>
  <c r="DC31" i="1" s="1"/>
  <c r="CZ78" i="1"/>
  <c r="DA57" i="1"/>
  <c r="DJ17" i="1"/>
  <c r="DA17" i="1"/>
  <c r="AR86" i="1"/>
  <c r="CZ47" i="1"/>
  <c r="DI107" i="1"/>
  <c r="DJ86" i="1"/>
  <c r="CZ82" i="1"/>
  <c r="CZ112" i="1"/>
  <c r="DA91" i="1"/>
  <c r="CZ64" i="1"/>
  <c r="DA43" i="1"/>
  <c r="DI73" i="1"/>
  <c r="DJ52" i="1"/>
  <c r="DG39" i="1"/>
  <c r="DG60" i="1" s="1"/>
  <c r="DG81" i="1" s="1"/>
  <c r="DG102" i="1" s="1"/>
  <c r="DG123" i="1" s="1"/>
  <c r="DG144" i="1" s="1"/>
  <c r="DG165" i="1" s="1"/>
  <c r="DG186" i="1" s="1"/>
  <c r="DG207" i="1" s="1"/>
  <c r="DI69" i="1"/>
  <c r="DJ48" i="1"/>
  <c r="DA26" i="1"/>
  <c r="AR74" i="1"/>
  <c r="CZ51" i="1"/>
  <c r="DJ31" i="1"/>
  <c r="DA218" i="1"/>
  <c r="BV228" i="1"/>
  <c r="DL228" i="1" s="1"/>
  <c r="DA7" i="1"/>
  <c r="DI85" i="1"/>
  <c r="DJ64" i="1"/>
  <c r="DA70" i="1"/>
  <c r="DJ89" i="1"/>
  <c r="DI110" i="1"/>
  <c r="DJ19" i="1"/>
  <c r="DA19" i="1"/>
  <c r="CZ46" i="1"/>
  <c r="AR69" i="1"/>
  <c r="DI144" i="1"/>
  <c r="DJ123" i="1"/>
  <c r="DJ43" i="1"/>
  <c r="CZ118" i="1"/>
  <c r="DA97" i="1"/>
  <c r="DA76" i="1"/>
  <c r="AR81" i="1"/>
  <c r="DA42" i="1"/>
  <c r="AR104" i="1"/>
  <c r="DA33" i="1"/>
  <c r="DI80" i="1"/>
  <c r="DJ59" i="1"/>
  <c r="DA4" i="1"/>
  <c r="DJ9" i="1"/>
  <c r="DA9" i="1"/>
  <c r="DE58" i="1"/>
  <c r="DD37" i="1"/>
  <c r="DC37" i="1" s="1"/>
  <c r="AR59" i="1"/>
  <c r="DJ4" i="1"/>
  <c r="AR114" i="1"/>
  <c r="CZ63" i="1"/>
  <c r="DE93" i="1"/>
  <c r="DA28" i="1"/>
  <c r="DA69" i="1"/>
  <c r="DI45" i="1"/>
  <c r="DJ24" i="1"/>
  <c r="DI74" i="1"/>
  <c r="DJ53" i="1"/>
  <c r="DA48" i="1"/>
  <c r="DA53" i="1"/>
  <c r="DJ63" i="1"/>
  <c r="DJ102" i="1"/>
  <c r="DA25" i="1"/>
  <c r="DJ12" i="1"/>
  <c r="DA12" i="1"/>
  <c r="BV224" i="1"/>
  <c r="DL224" i="1" s="1"/>
  <c r="DA214" i="1"/>
  <c r="DE67" i="1"/>
  <c r="DD46" i="1"/>
  <c r="DC46" i="1" s="1"/>
  <c r="DJ38" i="1"/>
  <c r="DA40" i="1"/>
  <c r="DJ40" i="1"/>
  <c r="DD51" i="1"/>
  <c r="DC51" i="1" s="1"/>
  <c r="DJ7" i="1"/>
  <c r="DJ47" i="1"/>
  <c r="DE87" i="1"/>
  <c r="DD66" i="1"/>
  <c r="DC66" i="1" s="1"/>
  <c r="DJ32" i="1"/>
  <c r="DA49" i="1"/>
  <c r="DA59" i="1"/>
  <c r="CZ80" i="1"/>
  <c r="AR64" i="1"/>
  <c r="AR92" i="1"/>
  <c r="AR79" i="1"/>
  <c r="CZ111" i="1"/>
  <c r="DA90" i="1"/>
  <c r="DJ14" i="1"/>
  <c r="DA14" i="1"/>
  <c r="DJ68" i="1"/>
  <c r="DA29" i="1"/>
  <c r="DJ27" i="1"/>
  <c r="DA27" i="1"/>
  <c r="DJ16" i="1"/>
  <c r="CZ71" i="1"/>
  <c r="CZ45" i="1"/>
  <c r="DJ42" i="1"/>
  <c r="AR119" i="1"/>
  <c r="DJ79" i="1"/>
  <c r="DI100" i="1"/>
  <c r="DJ37" i="1"/>
  <c r="DI114" i="1"/>
  <c r="DJ93" i="1"/>
  <c r="DA16" i="1"/>
  <c r="DA21" i="1"/>
  <c r="DJ21" i="1"/>
  <c r="CZ74" i="1"/>
  <c r="AR94" i="1"/>
  <c r="DE97" i="1"/>
  <c r="DD76" i="1"/>
  <c r="DC76" i="1" s="1"/>
  <c r="AR87" i="1"/>
  <c r="DA32" i="1"/>
  <c r="DJ35" i="1"/>
  <c r="DD41" i="1"/>
  <c r="DC41" i="1" s="1"/>
  <c r="DE62" i="1"/>
  <c r="DD55" i="1"/>
  <c r="DC55" i="1" s="1"/>
  <c r="AR57" i="1"/>
  <c r="DA3" i="1"/>
  <c r="DI113" i="1"/>
  <c r="DJ92" i="1"/>
  <c r="DA41" i="1"/>
  <c r="CZ62" i="1"/>
  <c r="DI77" i="1"/>
  <c r="DJ56" i="1"/>
  <c r="DJ34" i="1"/>
  <c r="DI62" i="1"/>
  <c r="DJ41" i="1"/>
  <c r="DJ55" i="1"/>
  <c r="DI139" i="1"/>
  <c r="DJ118" i="1"/>
  <c r="DA55" i="1"/>
  <c r="DJ97" i="1"/>
  <c r="BT238" i="1"/>
  <c r="DD228" i="1"/>
  <c r="DC228" i="1" s="1"/>
  <c r="DJ20" i="1"/>
  <c r="DI70" i="1"/>
  <c r="DJ49" i="1"/>
  <c r="DJ28" i="1"/>
  <c r="CZ52" i="1"/>
  <c r="DA44" i="1"/>
  <c r="DE116" i="1"/>
  <c r="BT250" i="1"/>
  <c r="DD240" i="1"/>
  <c r="DC240" i="1" s="1"/>
  <c r="AR63" i="1"/>
  <c r="BT235" i="1"/>
  <c r="DD225" i="1"/>
  <c r="DC225" i="1" s="1"/>
  <c r="DJ30" i="1"/>
  <c r="DJ8" i="1"/>
  <c r="DJ29" i="1"/>
  <c r="DD24" i="1"/>
  <c r="DC24" i="1" s="1"/>
  <c r="DD43" i="1"/>
  <c r="DC43" i="1" s="1"/>
  <c r="DE63" i="1"/>
  <c r="DD234" i="1"/>
  <c r="DC234" i="1" s="1"/>
  <c r="BT244" i="1"/>
  <c r="DJ26" i="1"/>
  <c r="BV227" i="1"/>
  <c r="DL227" i="1" s="1"/>
  <c r="DA220" i="1"/>
  <c r="BV232" i="1"/>
  <c r="DL232" i="1" s="1"/>
  <c r="BT241" i="1"/>
  <c r="DD231" i="1"/>
  <c r="DC231" i="1" s="1"/>
  <c r="DA216" i="1"/>
  <c r="DA221" i="1"/>
  <c r="BV226" i="1"/>
  <c r="DL226" i="1" s="1"/>
  <c r="DA215" i="1"/>
  <c r="BV225" i="1"/>
  <c r="DL225" i="1" s="1"/>
  <c r="DA213" i="1"/>
  <c r="DD226" i="1"/>
  <c r="DC226" i="1" s="1"/>
  <c r="BT236" i="1"/>
  <c r="DL471" i="1" l="1"/>
  <c r="DA471" i="1"/>
  <c r="BV481" i="1"/>
  <c r="K491" i="1"/>
  <c r="M491" i="1"/>
  <c r="M487" i="1"/>
  <c r="K487" i="1"/>
  <c r="K484" i="1"/>
  <c r="M484" i="1"/>
  <c r="M490" i="1"/>
  <c r="K490" i="1"/>
  <c r="K483" i="1"/>
  <c r="M483" i="1"/>
  <c r="M485" i="1"/>
  <c r="K485" i="1"/>
  <c r="M492" i="1"/>
  <c r="K492" i="1"/>
  <c r="M489" i="1"/>
  <c r="K489" i="1"/>
  <c r="M486" i="1"/>
  <c r="K486" i="1"/>
  <c r="DA229" i="1"/>
  <c r="K488" i="1"/>
  <c r="M488" i="1"/>
  <c r="DL477" i="1"/>
  <c r="DL474" i="1"/>
  <c r="DL463" i="1"/>
  <c r="DL480" i="1"/>
  <c r="DL482" i="1"/>
  <c r="DL476" i="1"/>
  <c r="DL478" i="1"/>
  <c r="DL475" i="1"/>
  <c r="DL479" i="1"/>
  <c r="DA463" i="1"/>
  <c r="BV473" i="1"/>
  <c r="DL481" i="1"/>
  <c r="BV240" i="1"/>
  <c r="DL240" i="1" s="1"/>
  <c r="DA231" i="1"/>
  <c r="DL231" i="1"/>
  <c r="DA230" i="1"/>
  <c r="BV239" i="1"/>
  <c r="DL239" i="1" s="1"/>
  <c r="BV233" i="1"/>
  <c r="DL223" i="1"/>
  <c r="BY325" i="1"/>
  <c r="BY323" i="1"/>
  <c r="BY329" i="1"/>
  <c r="BY332" i="1"/>
  <c r="BY331" i="1"/>
  <c r="BY328" i="1"/>
  <c r="BY330" i="1"/>
  <c r="BY327" i="1"/>
  <c r="BY324" i="1"/>
  <c r="BY326" i="1"/>
  <c r="DA482" i="1"/>
  <c r="BV492" i="1"/>
  <c r="BV488" i="1"/>
  <c r="DA478" i="1"/>
  <c r="BT500" i="1"/>
  <c r="CE500" i="1" s="1"/>
  <c r="DD490" i="1"/>
  <c r="DC490" i="1" s="1"/>
  <c r="BV485" i="1"/>
  <c r="DA475" i="1"/>
  <c r="DD483" i="1"/>
  <c r="DC483" i="1" s="1"/>
  <c r="BT493" i="1"/>
  <c r="CE493" i="1" s="1"/>
  <c r="DA476" i="1"/>
  <c r="BV486" i="1"/>
  <c r="BT496" i="1"/>
  <c r="CE496" i="1" s="1"/>
  <c r="DD486" i="1"/>
  <c r="DC486" i="1" s="1"/>
  <c r="BT499" i="1"/>
  <c r="CE499" i="1" s="1"/>
  <c r="DD489" i="1"/>
  <c r="DC489" i="1" s="1"/>
  <c r="DA477" i="1"/>
  <c r="BV487" i="1"/>
  <c r="DA479" i="1"/>
  <c r="BV489" i="1"/>
  <c r="DA481" i="1"/>
  <c r="BV491" i="1"/>
  <c r="BT502" i="1"/>
  <c r="CE502" i="1" s="1"/>
  <c r="DD492" i="1"/>
  <c r="DC492" i="1" s="1"/>
  <c r="BT494" i="1"/>
  <c r="CE494" i="1" s="1"/>
  <c r="DD484" i="1"/>
  <c r="DC484" i="1" s="1"/>
  <c r="DD488" i="1"/>
  <c r="DC488" i="1" s="1"/>
  <c r="BT498" i="1"/>
  <c r="CE498" i="1" s="1"/>
  <c r="DD487" i="1"/>
  <c r="DC487" i="1" s="1"/>
  <c r="BT497" i="1"/>
  <c r="CE497" i="1" s="1"/>
  <c r="BT495" i="1"/>
  <c r="CE495" i="1" s="1"/>
  <c r="DD485" i="1"/>
  <c r="DC485" i="1" s="1"/>
  <c r="BV490" i="1"/>
  <c r="DA480" i="1"/>
  <c r="DD491" i="1"/>
  <c r="DC491" i="1" s="1"/>
  <c r="BT501" i="1"/>
  <c r="CE501" i="1" s="1"/>
  <c r="BV484" i="1"/>
  <c r="DA474" i="1"/>
  <c r="DZ70" i="1"/>
  <c r="DZ91" i="1" s="1"/>
  <c r="CF79" i="1"/>
  <c r="CF100" i="1" s="1"/>
  <c r="BM69" i="1"/>
  <c r="BM66" i="1"/>
  <c r="BM80" i="1"/>
  <c r="BM84" i="1"/>
  <c r="BM67" i="1"/>
  <c r="BM70" i="1"/>
  <c r="BM85" i="1"/>
  <c r="BM68" i="1"/>
  <c r="BM74" i="1"/>
  <c r="BM77" i="1"/>
  <c r="BM73" i="1"/>
  <c r="BM82" i="1"/>
  <c r="BM78" i="1"/>
  <c r="BM72" i="1"/>
  <c r="BM86" i="1"/>
  <c r="BM79" i="1"/>
  <c r="BM81" i="1"/>
  <c r="BK81" i="1" s="1"/>
  <c r="BR60" i="1"/>
  <c r="BM71" i="1"/>
  <c r="BR50" i="1"/>
  <c r="BM75" i="1"/>
  <c r="BR54" i="1"/>
  <c r="BM83" i="1"/>
  <c r="BK83" i="1" s="1"/>
  <c r="BR62" i="1"/>
  <c r="BM76" i="1"/>
  <c r="BR55" i="1"/>
  <c r="DE110" i="1"/>
  <c r="DD110" i="1" s="1"/>
  <c r="DC110" i="1" s="1"/>
  <c r="DD47" i="1"/>
  <c r="DC47" i="1" s="1"/>
  <c r="DD113" i="1"/>
  <c r="DC113" i="1" s="1"/>
  <c r="DE155" i="1"/>
  <c r="DD155" i="1" s="1"/>
  <c r="DC155" i="1" s="1"/>
  <c r="DZ69" i="1"/>
  <c r="CE164" i="1"/>
  <c r="CE108" i="1"/>
  <c r="DX69" i="1"/>
  <c r="DW69" i="1" s="1"/>
  <c r="DZ99" i="1"/>
  <c r="DZ120" i="1" s="1"/>
  <c r="CE58" i="1"/>
  <c r="DX79" i="1"/>
  <c r="DX100" i="1" s="1"/>
  <c r="DZ84" i="1"/>
  <c r="DY84" i="1" s="1"/>
  <c r="DZ71" i="1"/>
  <c r="DY71" i="1" s="1"/>
  <c r="DZ106" i="1"/>
  <c r="DZ127" i="1" s="1"/>
  <c r="DY57" i="1"/>
  <c r="DY64" i="1"/>
  <c r="DR48" i="1"/>
  <c r="DS69" i="1"/>
  <c r="DY62" i="1"/>
  <c r="DZ83" i="1"/>
  <c r="DS76" i="1"/>
  <c r="DR55" i="1"/>
  <c r="DS89" i="1"/>
  <c r="DR68" i="1"/>
  <c r="DY56" i="1"/>
  <c r="DZ77" i="1"/>
  <c r="DX91" i="1"/>
  <c r="DW91" i="1" s="1"/>
  <c r="DR52" i="1"/>
  <c r="DS73" i="1"/>
  <c r="DI124" i="1"/>
  <c r="DI145" i="1" s="1"/>
  <c r="DX78" i="1"/>
  <c r="DW78" i="1" s="1"/>
  <c r="DS91" i="1"/>
  <c r="DS112" i="1" s="1"/>
  <c r="DX105" i="1"/>
  <c r="DW105" i="1" s="1"/>
  <c r="DX72" i="1"/>
  <c r="DW72" i="1" s="1"/>
  <c r="DX89" i="1"/>
  <c r="DW68" i="1"/>
  <c r="DW83" i="1"/>
  <c r="DX104" i="1"/>
  <c r="DX66" i="1"/>
  <c r="DW45" i="1"/>
  <c r="DR64" i="1"/>
  <c r="DS106" i="1"/>
  <c r="DS127" i="1" s="1"/>
  <c r="DX88" i="1"/>
  <c r="DX109" i="1" s="1"/>
  <c r="DZ76" i="1"/>
  <c r="DY76" i="1" s="1"/>
  <c r="DX85" i="1"/>
  <c r="DW85" i="1" s="1"/>
  <c r="DX76" i="1"/>
  <c r="DW76" i="1" s="1"/>
  <c r="DX95" i="1"/>
  <c r="DW74" i="1"/>
  <c r="DR59" i="1"/>
  <c r="DS80" i="1"/>
  <c r="DR67" i="1"/>
  <c r="DS88" i="1"/>
  <c r="DJ82" i="1"/>
  <c r="CE143" i="1"/>
  <c r="CE59" i="1"/>
  <c r="DR66" i="1"/>
  <c r="DS87" i="1"/>
  <c r="DS83" i="1"/>
  <c r="DR62" i="1"/>
  <c r="DY75" i="1"/>
  <c r="DZ96" i="1"/>
  <c r="CE66" i="1"/>
  <c r="DR51" i="1"/>
  <c r="DS72" i="1"/>
  <c r="DR61" i="1"/>
  <c r="DS82" i="1"/>
  <c r="DY61" i="1"/>
  <c r="DZ82" i="1"/>
  <c r="DR79" i="1"/>
  <c r="DS100" i="1"/>
  <c r="CE129" i="1"/>
  <c r="CE185" i="1"/>
  <c r="BT252" i="1"/>
  <c r="BT262" i="1" s="1"/>
  <c r="DX71" i="1"/>
  <c r="DW50" i="1"/>
  <c r="DY73" i="1"/>
  <c r="DZ94" i="1"/>
  <c r="DX98" i="1"/>
  <c r="DW77" i="1"/>
  <c r="CF78" i="1"/>
  <c r="CE57" i="1"/>
  <c r="CE45" i="1"/>
  <c r="DE78" i="1"/>
  <c r="DD78" i="1" s="1"/>
  <c r="DC78" i="1" s="1"/>
  <c r="CE122" i="1"/>
  <c r="DY74" i="1"/>
  <c r="DZ95" i="1"/>
  <c r="DS98" i="1"/>
  <c r="DR77" i="1"/>
  <c r="DR78" i="1"/>
  <c r="DS99" i="1"/>
  <c r="DR81" i="1"/>
  <c r="DS102" i="1"/>
  <c r="DD237" i="1"/>
  <c r="DC237" i="1" s="1"/>
  <c r="DD91" i="1"/>
  <c r="DC91" i="1" s="1"/>
  <c r="DE133" i="1"/>
  <c r="DE154" i="1" s="1"/>
  <c r="CE101" i="1"/>
  <c r="CE150" i="1"/>
  <c r="CE87" i="1"/>
  <c r="CE171" i="1"/>
  <c r="CE80" i="1"/>
  <c r="DX103" i="1"/>
  <c r="DW82" i="1"/>
  <c r="DW75" i="1"/>
  <c r="DX96" i="1"/>
  <c r="DY46" i="1"/>
  <c r="DZ67" i="1"/>
  <c r="DW52" i="1"/>
  <c r="DX73" i="1"/>
  <c r="DX149" i="1"/>
  <c r="DW128" i="1"/>
  <c r="DX102" i="1"/>
  <c r="DW81" i="1"/>
  <c r="DY66" i="1"/>
  <c r="DZ87" i="1"/>
  <c r="DY80" i="1"/>
  <c r="DZ101" i="1"/>
  <c r="DZ81" i="1"/>
  <c r="DY60" i="1"/>
  <c r="DY79" i="1"/>
  <c r="DZ100" i="1"/>
  <c r="DZ68" i="1"/>
  <c r="DY47" i="1"/>
  <c r="DW59" i="1"/>
  <c r="DX80" i="1"/>
  <c r="DZ72" i="1"/>
  <c r="DY51" i="1"/>
  <c r="DY86" i="1"/>
  <c r="DZ107" i="1"/>
  <c r="DS116" i="1"/>
  <c r="DR95" i="1"/>
  <c r="DR63" i="1"/>
  <c r="DS84" i="1"/>
  <c r="DR75" i="1"/>
  <c r="DS96" i="1"/>
  <c r="DS107" i="1"/>
  <c r="DR86" i="1"/>
  <c r="DS92" i="1"/>
  <c r="DR71" i="1"/>
  <c r="BV241" i="1"/>
  <c r="BT249" i="1"/>
  <c r="DD239" i="1"/>
  <c r="DC239" i="1" s="1"/>
  <c r="DD124" i="1"/>
  <c r="DC124" i="1" s="1"/>
  <c r="DD48" i="1"/>
  <c r="DC48" i="1" s="1"/>
  <c r="CF102" i="1"/>
  <c r="CE81" i="1"/>
  <c r="DD103" i="1"/>
  <c r="DC103" i="1" s="1"/>
  <c r="CF103" i="1"/>
  <c r="CE82" i="1"/>
  <c r="DI117" i="1"/>
  <c r="DI126" i="1"/>
  <c r="DI147" i="1" s="1"/>
  <c r="DD56" i="1"/>
  <c r="DC56" i="1" s="1"/>
  <c r="BT253" i="1"/>
  <c r="DD253" i="1" s="1"/>
  <c r="DC253" i="1" s="1"/>
  <c r="AR75" i="1"/>
  <c r="DD68" i="1"/>
  <c r="DC68" i="1" s="1"/>
  <c r="DJ46" i="1"/>
  <c r="DE81" i="1"/>
  <c r="DD60" i="1"/>
  <c r="DC60" i="1" s="1"/>
  <c r="DE86" i="1"/>
  <c r="DD65" i="1"/>
  <c r="DC65" i="1" s="1"/>
  <c r="CZ79" i="1"/>
  <c r="DA107" i="1"/>
  <c r="DE75" i="1"/>
  <c r="DD54" i="1"/>
  <c r="DC54" i="1" s="1"/>
  <c r="DE80" i="1"/>
  <c r="DD59" i="1"/>
  <c r="DC59" i="1" s="1"/>
  <c r="DA58" i="1"/>
  <c r="DA60" i="1"/>
  <c r="CZ81" i="1"/>
  <c r="CZ77" i="1"/>
  <c r="DA56" i="1"/>
  <c r="AR70" i="1"/>
  <c r="AR91" i="1" s="1"/>
  <c r="DD97" i="1"/>
  <c r="DC97" i="1" s="1"/>
  <c r="DE118" i="1"/>
  <c r="DD241" i="1"/>
  <c r="DC241" i="1" s="1"/>
  <c r="BT251" i="1"/>
  <c r="DI134" i="1"/>
  <c r="DJ113" i="1"/>
  <c r="DA47" i="1"/>
  <c r="CZ68" i="1"/>
  <c r="AR113" i="1"/>
  <c r="DA224" i="1"/>
  <c r="BV234" i="1"/>
  <c r="DL234" i="1" s="1"/>
  <c r="DA128" i="1"/>
  <c r="CZ149" i="1"/>
  <c r="DJ144" i="1"/>
  <c r="DI165" i="1"/>
  <c r="DJ100" i="1"/>
  <c r="DI121" i="1"/>
  <c r="AR130" i="1"/>
  <c r="CZ85" i="1"/>
  <c r="DA64" i="1"/>
  <c r="AR140" i="1"/>
  <c r="DA225" i="1"/>
  <c r="BV235" i="1"/>
  <c r="DL235" i="1" s="1"/>
  <c r="CZ72" i="1"/>
  <c r="DA51" i="1"/>
  <c r="DI83" i="1"/>
  <c r="DJ62" i="1"/>
  <c r="DE106" i="1"/>
  <c r="DD85" i="1"/>
  <c r="DC85" i="1" s="1"/>
  <c r="DE83" i="1"/>
  <c r="DD62" i="1"/>
  <c r="DC62" i="1" s="1"/>
  <c r="DA112" i="1"/>
  <c r="CZ133" i="1"/>
  <c r="DA45" i="1"/>
  <c r="CZ66" i="1"/>
  <c r="AR102" i="1"/>
  <c r="AR95" i="1"/>
  <c r="DA78" i="1"/>
  <c r="CZ99" i="1"/>
  <c r="DA82" i="1"/>
  <c r="CZ103" i="1"/>
  <c r="AR135" i="1"/>
  <c r="DE88" i="1"/>
  <c r="DD67" i="1"/>
  <c r="DC67" i="1" s="1"/>
  <c r="DI78" i="1"/>
  <c r="DJ57" i="1"/>
  <c r="DD250" i="1"/>
  <c r="DC250" i="1" s="1"/>
  <c r="BT260" i="1"/>
  <c r="DE73" i="1"/>
  <c r="DD52" i="1"/>
  <c r="DC52" i="1" s="1"/>
  <c r="DJ73" i="1"/>
  <c r="DI94" i="1"/>
  <c r="BT257" i="1"/>
  <c r="DD247" i="1"/>
  <c r="DC247" i="1" s="1"/>
  <c r="BT246" i="1"/>
  <c r="DD236" i="1"/>
  <c r="DC236" i="1" s="1"/>
  <c r="DJ80" i="1"/>
  <c r="DI101" i="1"/>
  <c r="DE137" i="1"/>
  <c r="DD116" i="1"/>
  <c r="DC116" i="1" s="1"/>
  <c r="DI88" i="1"/>
  <c r="DJ67" i="1"/>
  <c r="DJ139" i="1"/>
  <c r="DI160" i="1"/>
  <c r="DA52" i="1"/>
  <c r="CZ73" i="1"/>
  <c r="AR125" i="1"/>
  <c r="DJ110" i="1"/>
  <c r="DI131" i="1"/>
  <c r="DI98" i="1"/>
  <c r="DJ77" i="1"/>
  <c r="AR108" i="1"/>
  <c r="DA71" i="1"/>
  <c r="CZ92" i="1"/>
  <c r="AR97" i="1"/>
  <c r="AR100" i="1"/>
  <c r="AR82" i="1"/>
  <c r="BV242" i="1"/>
  <c r="DL242" i="1" s="1"/>
  <c r="DA232" i="1"/>
  <c r="DI135" i="1"/>
  <c r="DJ114" i="1"/>
  <c r="AR85" i="1"/>
  <c r="DE79" i="1"/>
  <c r="DD58" i="1"/>
  <c r="DC58" i="1" s="1"/>
  <c r="AR89" i="1"/>
  <c r="CZ101" i="1"/>
  <c r="DA80" i="1"/>
  <c r="AR107" i="1"/>
  <c r="CZ67" i="1"/>
  <c r="DA46" i="1"/>
  <c r="CZ95" i="1"/>
  <c r="DA74" i="1"/>
  <c r="DI95" i="1"/>
  <c r="DJ74" i="1"/>
  <c r="DD93" i="1"/>
  <c r="DC93" i="1" s="1"/>
  <c r="DE114" i="1"/>
  <c r="BV237" i="1"/>
  <c r="DL237" i="1" s="1"/>
  <c r="DA227" i="1"/>
  <c r="DI91" i="1"/>
  <c r="DJ70" i="1"/>
  <c r="DA118" i="1"/>
  <c r="CZ139" i="1"/>
  <c r="DD77" i="1"/>
  <c r="DC77" i="1" s="1"/>
  <c r="DE98" i="1"/>
  <c r="DJ107" i="1"/>
  <c r="DI128" i="1"/>
  <c r="DE84" i="1"/>
  <c r="DD63" i="1"/>
  <c r="DC63" i="1" s="1"/>
  <c r="DA228" i="1"/>
  <c r="BV238" i="1"/>
  <c r="DL238" i="1" s="1"/>
  <c r="BT248" i="1"/>
  <c r="DD238" i="1"/>
  <c r="DC238" i="1" s="1"/>
  <c r="AR80" i="1"/>
  <c r="AR90" i="1"/>
  <c r="AR78" i="1"/>
  <c r="AR115" i="1"/>
  <c r="CZ96" i="1"/>
  <c r="DA75" i="1"/>
  <c r="DI66" i="1"/>
  <c r="DJ45" i="1"/>
  <c r="BV236" i="1"/>
  <c r="DL236" i="1" s="1"/>
  <c r="DA226" i="1"/>
  <c r="DA63" i="1"/>
  <c r="CZ84" i="1"/>
  <c r="DE90" i="1"/>
  <c r="DD69" i="1"/>
  <c r="DC69" i="1" s="1"/>
  <c r="DE108" i="1"/>
  <c r="DD87" i="1"/>
  <c r="DC87" i="1" s="1"/>
  <c r="BT245" i="1"/>
  <c r="DD235" i="1"/>
  <c r="DC235" i="1" s="1"/>
  <c r="DA62" i="1"/>
  <c r="CZ83" i="1"/>
  <c r="DD244" i="1"/>
  <c r="DC244" i="1" s="1"/>
  <c r="BT254" i="1"/>
  <c r="AR84" i="1"/>
  <c r="CZ132" i="1"/>
  <c r="DA111" i="1"/>
  <c r="DI106" i="1"/>
  <c r="DJ85" i="1"/>
  <c r="DI90" i="1"/>
  <c r="DJ69" i="1"/>
  <c r="DD145" i="1"/>
  <c r="DC145" i="1" s="1"/>
  <c r="DE166" i="1"/>
  <c r="DY70" i="1" l="1"/>
  <c r="M494" i="1"/>
  <c r="K494" i="1"/>
  <c r="M500" i="1"/>
  <c r="K500" i="1"/>
  <c r="M501" i="1"/>
  <c r="K501" i="1"/>
  <c r="K499" i="1"/>
  <c r="M499" i="1"/>
  <c r="K493" i="1"/>
  <c r="M493" i="1"/>
  <c r="M502" i="1"/>
  <c r="K502" i="1"/>
  <c r="K498" i="1"/>
  <c r="M498" i="1"/>
  <c r="M495" i="1"/>
  <c r="K495" i="1"/>
  <c r="M497" i="1"/>
  <c r="K497" i="1"/>
  <c r="M496" i="1"/>
  <c r="K496" i="1"/>
  <c r="BV250" i="1"/>
  <c r="DL250" i="1" s="1"/>
  <c r="DA240" i="1"/>
  <c r="DJ240" i="1"/>
  <c r="DA239" i="1"/>
  <c r="BV249" i="1"/>
  <c r="DL249" i="1" s="1"/>
  <c r="DJ239" i="1"/>
  <c r="DL488" i="1"/>
  <c r="DL490" i="1"/>
  <c r="DL491" i="1"/>
  <c r="DA473" i="1"/>
  <c r="DL487" i="1"/>
  <c r="DL485" i="1"/>
  <c r="DL484" i="1"/>
  <c r="DL489" i="1"/>
  <c r="DL492" i="1"/>
  <c r="BV483" i="1"/>
  <c r="DL473" i="1"/>
  <c r="DL486" i="1"/>
  <c r="DL241" i="1"/>
  <c r="DL233" i="1"/>
  <c r="DA233" i="1"/>
  <c r="BV243" i="1"/>
  <c r="DJ233" i="1"/>
  <c r="BY334" i="1"/>
  <c r="BY340" i="1"/>
  <c r="BY338" i="1"/>
  <c r="BY341" i="1"/>
  <c r="BY342" i="1"/>
  <c r="BY336" i="1"/>
  <c r="BY337" i="1"/>
  <c r="BY333" i="1"/>
  <c r="BY339" i="1"/>
  <c r="BY335" i="1"/>
  <c r="BT507" i="1"/>
  <c r="CE507" i="1" s="1"/>
  <c r="DD497" i="1"/>
  <c r="DC497" i="1" s="1"/>
  <c r="BT504" i="1"/>
  <c r="CE504" i="1" s="1"/>
  <c r="DD494" i="1"/>
  <c r="DC494" i="1" s="1"/>
  <c r="DD502" i="1"/>
  <c r="DC502" i="1" s="1"/>
  <c r="BT512" i="1"/>
  <c r="CE512" i="1" s="1"/>
  <c r="BT503" i="1"/>
  <c r="CE503" i="1" s="1"/>
  <c r="DD493" i="1"/>
  <c r="DC493" i="1" s="1"/>
  <c r="BT506" i="1"/>
  <c r="CE506" i="1" s="1"/>
  <c r="DD496" i="1"/>
  <c r="DC496" i="1" s="1"/>
  <c r="BV494" i="1"/>
  <c r="DA484" i="1"/>
  <c r="BV499" i="1"/>
  <c r="DA489" i="1"/>
  <c r="BT511" i="1"/>
  <c r="CE511" i="1" s="1"/>
  <c r="DD501" i="1"/>
  <c r="DC501" i="1" s="1"/>
  <c r="BT510" i="1"/>
  <c r="CE510" i="1" s="1"/>
  <c r="DD500" i="1"/>
  <c r="DC500" i="1" s="1"/>
  <c r="BV501" i="1"/>
  <c r="DA491" i="1"/>
  <c r="DA485" i="1"/>
  <c r="BV495" i="1"/>
  <c r="BV498" i="1"/>
  <c r="DA488" i="1"/>
  <c r="BV500" i="1"/>
  <c r="DA490" i="1"/>
  <c r="BT508" i="1"/>
  <c r="CE508" i="1" s="1"/>
  <c r="DD498" i="1"/>
  <c r="DC498" i="1" s="1"/>
  <c r="BT509" i="1"/>
  <c r="CE509" i="1" s="1"/>
  <c r="DD499" i="1"/>
  <c r="DC499" i="1" s="1"/>
  <c r="DA492" i="1"/>
  <c r="BV502" i="1"/>
  <c r="CE79" i="1"/>
  <c r="BV496" i="1"/>
  <c r="DA486" i="1"/>
  <c r="DA487" i="1"/>
  <c r="BV497" i="1"/>
  <c r="BT505" i="1"/>
  <c r="CE505" i="1" s="1"/>
  <c r="DD495" i="1"/>
  <c r="DC495" i="1" s="1"/>
  <c r="DE176" i="1"/>
  <c r="DE197" i="1" s="1"/>
  <c r="DD197" i="1" s="1"/>
  <c r="DC197" i="1" s="1"/>
  <c r="CF121" i="1"/>
  <c r="CE100" i="1"/>
  <c r="DX99" i="1"/>
  <c r="DW99" i="1" s="1"/>
  <c r="BM98" i="1"/>
  <c r="BM95" i="1"/>
  <c r="BM89" i="1"/>
  <c r="BM106" i="1"/>
  <c r="BM100" i="1"/>
  <c r="BM101" i="1"/>
  <c r="BM103" i="1"/>
  <c r="BM91" i="1"/>
  <c r="BM107" i="1"/>
  <c r="DE131" i="1"/>
  <c r="DE152" i="1" s="1"/>
  <c r="BM88" i="1"/>
  <c r="BM93" i="1"/>
  <c r="BM105" i="1"/>
  <c r="BM99" i="1"/>
  <c r="BM87" i="1"/>
  <c r="BM94" i="1"/>
  <c r="BM90" i="1"/>
  <c r="BM97" i="1"/>
  <c r="BR76" i="1"/>
  <c r="BM104" i="1"/>
  <c r="BK104" i="1" s="1"/>
  <c r="BR83" i="1"/>
  <c r="BM96" i="1"/>
  <c r="BR75" i="1"/>
  <c r="BM92" i="1"/>
  <c r="BR71" i="1"/>
  <c r="BM102" i="1"/>
  <c r="BK102" i="1" s="1"/>
  <c r="BR81" i="1"/>
  <c r="DX97" i="1"/>
  <c r="DW97" i="1" s="1"/>
  <c r="DY69" i="1"/>
  <c r="DZ90" i="1"/>
  <c r="DY99" i="1"/>
  <c r="DZ105" i="1"/>
  <c r="DZ126" i="1" s="1"/>
  <c r="DX90" i="1"/>
  <c r="DW90" i="1" s="1"/>
  <c r="DW79" i="1"/>
  <c r="DZ97" i="1"/>
  <c r="DZ118" i="1" s="1"/>
  <c r="DX112" i="1"/>
  <c r="DX133" i="1" s="1"/>
  <c r="DX154" i="1" s="1"/>
  <c r="DY106" i="1"/>
  <c r="DR106" i="1"/>
  <c r="DZ92" i="1"/>
  <c r="DZ113" i="1" s="1"/>
  <c r="DJ124" i="1"/>
  <c r="BT263" i="1"/>
  <c r="BT273" i="1" s="1"/>
  <c r="DX106" i="1"/>
  <c r="DX127" i="1" s="1"/>
  <c r="DX110" i="1"/>
  <c r="DW89" i="1"/>
  <c r="DX87" i="1"/>
  <c r="DW66" i="1"/>
  <c r="DZ98" i="1"/>
  <c r="DY77" i="1"/>
  <c r="DW104" i="1"/>
  <c r="DX125" i="1"/>
  <c r="DS94" i="1"/>
  <c r="DR73" i="1"/>
  <c r="DW88" i="1"/>
  <c r="DS90" i="1"/>
  <c r="DR69" i="1"/>
  <c r="DY83" i="1"/>
  <c r="DZ104" i="1"/>
  <c r="DR76" i="1"/>
  <c r="DS97" i="1"/>
  <c r="DR89" i="1"/>
  <c r="DS110" i="1"/>
  <c r="DX126" i="1"/>
  <c r="DW126" i="1" s="1"/>
  <c r="DR91" i="1"/>
  <c r="DD252" i="1"/>
  <c r="DC252" i="1" s="1"/>
  <c r="DX93" i="1"/>
  <c r="DX114" i="1" s="1"/>
  <c r="DR99" i="1"/>
  <c r="DS120" i="1"/>
  <c r="DY94" i="1"/>
  <c r="DZ115" i="1"/>
  <c r="DY82" i="1"/>
  <c r="DZ103" i="1"/>
  <c r="DR87" i="1"/>
  <c r="DS108" i="1"/>
  <c r="DX92" i="1"/>
  <c r="DW71" i="1"/>
  <c r="DX119" i="1"/>
  <c r="DW98" i="1"/>
  <c r="DS104" i="1"/>
  <c r="DR83" i="1"/>
  <c r="CZ100" i="1"/>
  <c r="DA100" i="1" s="1"/>
  <c r="DA241" i="1"/>
  <c r="CF99" i="1"/>
  <c r="CE78" i="1"/>
  <c r="DR100" i="1"/>
  <c r="DS121" i="1"/>
  <c r="DR102" i="1"/>
  <c r="DS123" i="1"/>
  <c r="DZ112" i="1"/>
  <c r="DY91" i="1"/>
  <c r="DR82" i="1"/>
  <c r="DS103" i="1"/>
  <c r="DS119" i="1"/>
  <c r="DR98" i="1"/>
  <c r="DY96" i="1"/>
  <c r="DZ117" i="1"/>
  <c r="DR72" i="1"/>
  <c r="DS93" i="1"/>
  <c r="DY95" i="1"/>
  <c r="DZ116" i="1"/>
  <c r="BV251" i="1"/>
  <c r="DX116" i="1"/>
  <c r="DW95" i="1"/>
  <c r="DR80" i="1"/>
  <c r="DS101" i="1"/>
  <c r="DS109" i="1"/>
  <c r="DR88" i="1"/>
  <c r="DW109" i="1"/>
  <c r="DX130" i="1"/>
  <c r="DA79" i="1"/>
  <c r="DE99" i="1"/>
  <c r="DE120" i="1" s="1"/>
  <c r="DD133" i="1"/>
  <c r="DC133" i="1" s="1"/>
  <c r="DJ241" i="1"/>
  <c r="DY127" i="1"/>
  <c r="DZ148" i="1"/>
  <c r="DX101" i="1"/>
  <c r="DW80" i="1"/>
  <c r="DY100" i="1"/>
  <c r="DZ121" i="1"/>
  <c r="DY81" i="1"/>
  <c r="DZ102" i="1"/>
  <c r="DW149" i="1"/>
  <c r="DX170" i="1"/>
  <c r="DW103" i="1"/>
  <c r="DX124" i="1"/>
  <c r="DZ89" i="1"/>
  <c r="DY68" i="1"/>
  <c r="DZ141" i="1"/>
  <c r="DY120" i="1"/>
  <c r="DW73" i="1"/>
  <c r="DX94" i="1"/>
  <c r="DW100" i="1"/>
  <c r="DX121" i="1"/>
  <c r="DX123" i="1"/>
  <c r="DW102" i="1"/>
  <c r="DY87" i="1"/>
  <c r="DZ108" i="1"/>
  <c r="DZ128" i="1"/>
  <c r="DY107" i="1"/>
  <c r="DY101" i="1"/>
  <c r="DZ122" i="1"/>
  <c r="DZ88" i="1"/>
  <c r="DY67" i="1"/>
  <c r="DY72" i="1"/>
  <c r="DZ93" i="1"/>
  <c r="DW96" i="1"/>
  <c r="DX117" i="1"/>
  <c r="DS148" i="1"/>
  <c r="DR127" i="1"/>
  <c r="DR92" i="1"/>
  <c r="DS113" i="1"/>
  <c r="DS133" i="1"/>
  <c r="DR112" i="1"/>
  <c r="DR116" i="1"/>
  <c r="DS137" i="1"/>
  <c r="DS128" i="1"/>
  <c r="DR107" i="1"/>
  <c r="DS117" i="1"/>
  <c r="DR96" i="1"/>
  <c r="DS105" i="1"/>
  <c r="DR84" i="1"/>
  <c r="CF123" i="1"/>
  <c r="CE102" i="1"/>
  <c r="DJ126" i="1"/>
  <c r="CF124" i="1"/>
  <c r="CE103" i="1"/>
  <c r="BT259" i="1"/>
  <c r="DD249" i="1"/>
  <c r="DC249" i="1" s="1"/>
  <c r="AR96" i="1"/>
  <c r="DI138" i="1"/>
  <c r="DJ117" i="1"/>
  <c r="DE96" i="1"/>
  <c r="DD75" i="1"/>
  <c r="DC75" i="1" s="1"/>
  <c r="DD262" i="1"/>
  <c r="DC262" i="1" s="1"/>
  <c r="BT272" i="1"/>
  <c r="DE107" i="1"/>
  <c r="DD86" i="1"/>
  <c r="DC86" i="1" s="1"/>
  <c r="DE101" i="1"/>
  <c r="DD80" i="1"/>
  <c r="DC80" i="1" s="1"/>
  <c r="CZ102" i="1"/>
  <c r="DA81" i="1"/>
  <c r="DA77" i="1"/>
  <c r="CZ98" i="1"/>
  <c r="DE102" i="1"/>
  <c r="DD81" i="1"/>
  <c r="DC81" i="1" s="1"/>
  <c r="AR121" i="1"/>
  <c r="AR101" i="1"/>
  <c r="AR146" i="1"/>
  <c r="CZ154" i="1"/>
  <c r="DA133" i="1"/>
  <c r="CZ106" i="1"/>
  <c r="DA85" i="1"/>
  <c r="CZ94" i="1"/>
  <c r="DA73" i="1"/>
  <c r="DE104" i="1"/>
  <c r="DD83" i="1"/>
  <c r="DC83" i="1" s="1"/>
  <c r="CZ124" i="1"/>
  <c r="DA103" i="1"/>
  <c r="BV246" i="1"/>
  <c r="DL246" i="1" s="1"/>
  <c r="DJ236" i="1"/>
  <c r="DA236" i="1"/>
  <c r="DJ165" i="1"/>
  <c r="DI186" i="1"/>
  <c r="CZ120" i="1"/>
  <c r="DA99" i="1"/>
  <c r="DE187" i="1"/>
  <c r="DD166" i="1"/>
  <c r="DC166" i="1" s="1"/>
  <c r="AR99" i="1"/>
  <c r="CZ170" i="1"/>
  <c r="DA149" i="1"/>
  <c r="DI87" i="1"/>
  <c r="DJ66" i="1"/>
  <c r="DI116" i="1"/>
  <c r="DJ95" i="1"/>
  <c r="AR116" i="1"/>
  <c r="AR134" i="1"/>
  <c r="DE111" i="1"/>
  <c r="DD90" i="1"/>
  <c r="DC90" i="1" s="1"/>
  <c r="AR156" i="1"/>
  <c r="CZ105" i="1"/>
  <c r="DA84" i="1"/>
  <c r="DA132" i="1"/>
  <c r="CZ153" i="1"/>
  <c r="AR118" i="1"/>
  <c r="DE175" i="1"/>
  <c r="DD154" i="1"/>
  <c r="DC154" i="1" s="1"/>
  <c r="AR110" i="1"/>
  <c r="DI115" i="1"/>
  <c r="DJ94" i="1"/>
  <c r="AR136" i="1"/>
  <c r="DE135" i="1"/>
  <c r="DD114" i="1"/>
  <c r="DC114" i="1" s="1"/>
  <c r="DA92" i="1"/>
  <c r="CZ113" i="1"/>
  <c r="CZ104" i="1"/>
  <c r="DA83" i="1"/>
  <c r="DE100" i="1"/>
  <c r="DD79" i="1"/>
  <c r="DC79" i="1" s="1"/>
  <c r="BT255" i="1"/>
  <c r="DD245" i="1"/>
  <c r="DC245" i="1" s="1"/>
  <c r="DJ88" i="1"/>
  <c r="DI109" i="1"/>
  <c r="CZ116" i="1"/>
  <c r="DA95" i="1"/>
  <c r="DI127" i="1"/>
  <c r="DJ106" i="1"/>
  <c r="CZ160" i="1"/>
  <c r="DA139" i="1"/>
  <c r="AR103" i="1"/>
  <c r="DI119" i="1"/>
  <c r="DJ98" i="1"/>
  <c r="DE158" i="1"/>
  <c r="DD137" i="1"/>
  <c r="DC137" i="1" s="1"/>
  <c r="AR123" i="1"/>
  <c r="BV244" i="1"/>
  <c r="DL244" i="1" s="1"/>
  <c r="DA234" i="1"/>
  <c r="DJ234" i="1"/>
  <c r="DE109" i="1"/>
  <c r="DD88" i="1"/>
  <c r="DC88" i="1" s="1"/>
  <c r="DE129" i="1"/>
  <c r="DD108" i="1"/>
  <c r="DC108" i="1" s="1"/>
  <c r="AR128" i="1"/>
  <c r="DD246" i="1"/>
  <c r="DC246" i="1" s="1"/>
  <c r="BT256" i="1"/>
  <c r="DA237" i="1"/>
  <c r="DJ237" i="1"/>
  <c r="BV247" i="1"/>
  <c r="DL247" i="1" s="1"/>
  <c r="AR105" i="1"/>
  <c r="DA238" i="1"/>
  <c r="DJ238" i="1"/>
  <c r="BV248" i="1"/>
  <c r="DL248" i="1" s="1"/>
  <c r="DE127" i="1"/>
  <c r="DD106" i="1"/>
  <c r="DC106" i="1" s="1"/>
  <c r="DI104" i="1"/>
  <c r="DJ83" i="1"/>
  <c r="DJ160" i="1"/>
  <c r="DI181" i="1"/>
  <c r="DD84" i="1"/>
  <c r="DC84" i="1" s="1"/>
  <c r="DE105" i="1"/>
  <c r="DA72" i="1"/>
  <c r="CZ93" i="1"/>
  <c r="DI149" i="1"/>
  <c r="DJ128" i="1"/>
  <c r="BV252" i="1"/>
  <c r="DL252" i="1" s="1"/>
  <c r="DJ242" i="1"/>
  <c r="DA242" i="1"/>
  <c r="DI111" i="1"/>
  <c r="DJ90" i="1"/>
  <c r="DJ147" i="1"/>
  <c r="DI168" i="1"/>
  <c r="DD98" i="1"/>
  <c r="DC98" i="1" s="1"/>
  <c r="DE119" i="1"/>
  <c r="AR129" i="1"/>
  <c r="DD260" i="1"/>
  <c r="DC260" i="1" s="1"/>
  <c r="BT270" i="1"/>
  <c r="BT261" i="1"/>
  <c r="DD251" i="1"/>
  <c r="DC251" i="1" s="1"/>
  <c r="AR111" i="1"/>
  <c r="DJ131" i="1"/>
  <c r="DI152" i="1"/>
  <c r="AR112" i="1"/>
  <c r="DI99" i="1"/>
  <c r="DJ78" i="1"/>
  <c r="DA66" i="1"/>
  <c r="CZ87" i="1"/>
  <c r="DD118" i="1"/>
  <c r="DC118" i="1" s="1"/>
  <c r="DE139" i="1"/>
  <c r="AR161" i="1"/>
  <c r="DI122" i="1"/>
  <c r="DJ101" i="1"/>
  <c r="DJ91" i="1"/>
  <c r="DI112" i="1"/>
  <c r="DD248" i="1"/>
  <c r="DC248" i="1" s="1"/>
  <c r="BT258" i="1"/>
  <c r="AR151" i="1"/>
  <c r="CZ122" i="1"/>
  <c r="DA101" i="1"/>
  <c r="DJ121" i="1"/>
  <c r="DI142" i="1"/>
  <c r="CZ117" i="1"/>
  <c r="DA96" i="1"/>
  <c r="DD257" i="1"/>
  <c r="DC257" i="1" s="1"/>
  <c r="BT267" i="1"/>
  <c r="DA68" i="1"/>
  <c r="CZ89" i="1"/>
  <c r="BT264" i="1"/>
  <c r="DD254" i="1"/>
  <c r="DC254" i="1" s="1"/>
  <c r="DJ135" i="1"/>
  <c r="DI156" i="1"/>
  <c r="DD73" i="1"/>
  <c r="DC73" i="1" s="1"/>
  <c r="DE94" i="1"/>
  <c r="DJ235" i="1"/>
  <c r="BV245" i="1"/>
  <c r="DL245" i="1" s="1"/>
  <c r="DA235" i="1"/>
  <c r="DJ134" i="1"/>
  <c r="DI155" i="1"/>
  <c r="AR106" i="1"/>
  <c r="DJ145" i="1"/>
  <c r="DI166" i="1"/>
  <c r="CZ88" i="1"/>
  <c r="DA67" i="1"/>
  <c r="DA483" i="1" l="1"/>
  <c r="DA250" i="1"/>
  <c r="M508" i="1"/>
  <c r="K508" i="1"/>
  <c r="M504" i="1"/>
  <c r="K504" i="1"/>
  <c r="M509" i="1"/>
  <c r="K509" i="1"/>
  <c r="K512" i="1"/>
  <c r="M512" i="1"/>
  <c r="BV259" i="1"/>
  <c r="DL259" i="1" s="1"/>
  <c r="M507" i="1"/>
  <c r="K507" i="1"/>
  <c r="K510" i="1"/>
  <c r="M510" i="1"/>
  <c r="M506" i="1"/>
  <c r="K506" i="1"/>
  <c r="DA249" i="1"/>
  <c r="M503" i="1"/>
  <c r="K503" i="1"/>
  <c r="M511" i="1"/>
  <c r="K511" i="1"/>
  <c r="BV260" i="1"/>
  <c r="DL260" i="1" s="1"/>
  <c r="M505" i="1"/>
  <c r="K505" i="1"/>
  <c r="BV493" i="1"/>
  <c r="DL483" i="1"/>
  <c r="DL502" i="1"/>
  <c r="DL501" i="1"/>
  <c r="DL494" i="1"/>
  <c r="DL500" i="1"/>
  <c r="DL499" i="1"/>
  <c r="DL498" i="1"/>
  <c r="DL497" i="1"/>
  <c r="DL495" i="1"/>
  <c r="DL496" i="1"/>
  <c r="DA251" i="1"/>
  <c r="DL251" i="1"/>
  <c r="DL243" i="1"/>
  <c r="BV253" i="1"/>
  <c r="DA243" i="1"/>
  <c r="DD176" i="1"/>
  <c r="DC176" i="1" s="1"/>
  <c r="BV504" i="1"/>
  <c r="DA494" i="1"/>
  <c r="DA500" i="1"/>
  <c r="BV510" i="1"/>
  <c r="BT518" i="1"/>
  <c r="CE518" i="1" s="1"/>
  <c r="DD508" i="1"/>
  <c r="DC508" i="1" s="1"/>
  <c r="DX120" i="1"/>
  <c r="DX141" i="1" s="1"/>
  <c r="DA498" i="1"/>
  <c r="BV508" i="1"/>
  <c r="DD503" i="1"/>
  <c r="DC503" i="1" s="1"/>
  <c r="BT513" i="1"/>
  <c r="CE513" i="1" s="1"/>
  <c r="BT516" i="1"/>
  <c r="CE516" i="1" s="1"/>
  <c r="DD506" i="1"/>
  <c r="DC506" i="1" s="1"/>
  <c r="BV507" i="1"/>
  <c r="DA497" i="1"/>
  <c r="DA495" i="1"/>
  <c r="BV505" i="1"/>
  <c r="BT522" i="1"/>
  <c r="CE522" i="1" s="1"/>
  <c r="DD512" i="1"/>
  <c r="DC512" i="1" s="1"/>
  <c r="BT521" i="1"/>
  <c r="CE521" i="1" s="1"/>
  <c r="DD511" i="1"/>
  <c r="DC511" i="1" s="1"/>
  <c r="BV509" i="1"/>
  <c r="DA499" i="1"/>
  <c r="BT519" i="1"/>
  <c r="CE519" i="1" s="1"/>
  <c r="DD509" i="1"/>
  <c r="DC509" i="1" s="1"/>
  <c r="BV512" i="1"/>
  <c r="DA502" i="1"/>
  <c r="BT515" i="1"/>
  <c r="CE515" i="1" s="1"/>
  <c r="DD505" i="1"/>
  <c r="DC505" i="1" s="1"/>
  <c r="BT514" i="1"/>
  <c r="CE514" i="1" s="1"/>
  <c r="DD504" i="1"/>
  <c r="DC504" i="1" s="1"/>
  <c r="DD510" i="1"/>
  <c r="DC510" i="1" s="1"/>
  <c r="BT520" i="1"/>
  <c r="CE520" i="1" s="1"/>
  <c r="DA501" i="1"/>
  <c r="BV511" i="1"/>
  <c r="DA496" i="1"/>
  <c r="BV506" i="1"/>
  <c r="DD507" i="1"/>
  <c r="DC507" i="1" s="1"/>
  <c r="BT517" i="1"/>
  <c r="CE517" i="1" s="1"/>
  <c r="DX118" i="1"/>
  <c r="DW118" i="1" s="1"/>
  <c r="CF142" i="1"/>
  <c r="CE121" i="1"/>
  <c r="BM109" i="1"/>
  <c r="BM127" i="1"/>
  <c r="BM120" i="1"/>
  <c r="BM115" i="1"/>
  <c r="BM108" i="1"/>
  <c r="BM116" i="1"/>
  <c r="BM128" i="1"/>
  <c r="BM112" i="1"/>
  <c r="BM124" i="1"/>
  <c r="BM122" i="1"/>
  <c r="BM121" i="1"/>
  <c r="DD131" i="1"/>
  <c r="DC131" i="1" s="1"/>
  <c r="BM114" i="1"/>
  <c r="BM111" i="1"/>
  <c r="BM110" i="1"/>
  <c r="BM126" i="1"/>
  <c r="BM119" i="1"/>
  <c r="BM123" i="1"/>
  <c r="BK123" i="1" s="1"/>
  <c r="BR102" i="1"/>
  <c r="BM117" i="1"/>
  <c r="BR96" i="1"/>
  <c r="BM113" i="1"/>
  <c r="BR92" i="1"/>
  <c r="BM125" i="1"/>
  <c r="BK125" i="1" s="1"/>
  <c r="BR104" i="1"/>
  <c r="BM118" i="1"/>
  <c r="BR97" i="1"/>
  <c r="DY97" i="1"/>
  <c r="DZ111" i="1"/>
  <c r="DY90" i="1"/>
  <c r="DY105" i="1"/>
  <c r="DX111" i="1"/>
  <c r="DX147" i="1"/>
  <c r="DX168" i="1" s="1"/>
  <c r="DW133" i="1"/>
  <c r="DW112" i="1"/>
  <c r="DY92" i="1"/>
  <c r="DW106" i="1"/>
  <c r="DD263" i="1"/>
  <c r="DC263" i="1" s="1"/>
  <c r="DR110" i="1"/>
  <c r="DS131" i="1"/>
  <c r="DW93" i="1"/>
  <c r="DR90" i="1"/>
  <c r="DS111" i="1"/>
  <c r="DS118" i="1"/>
  <c r="DR97" i="1"/>
  <c r="DW110" i="1"/>
  <c r="DX131" i="1"/>
  <c r="DX108" i="1"/>
  <c r="DW87" i="1"/>
  <c r="DZ119" i="1"/>
  <c r="DY98" i="1"/>
  <c r="DX146" i="1"/>
  <c r="DW125" i="1"/>
  <c r="DS115" i="1"/>
  <c r="DR94" i="1"/>
  <c r="DZ125" i="1"/>
  <c r="DY104" i="1"/>
  <c r="BV261" i="1"/>
  <c r="DS122" i="1"/>
  <c r="DR101" i="1"/>
  <c r="CF120" i="1"/>
  <c r="CE99" i="1"/>
  <c r="DY116" i="1"/>
  <c r="DZ137" i="1"/>
  <c r="DS130" i="1"/>
  <c r="DR109" i="1"/>
  <c r="DZ138" i="1"/>
  <c r="DY117" i="1"/>
  <c r="DZ139" i="1"/>
  <c r="DY118" i="1"/>
  <c r="DS114" i="1"/>
  <c r="DR93" i="1"/>
  <c r="DS144" i="1"/>
  <c r="DR123" i="1"/>
  <c r="DZ133" i="1"/>
  <c r="DY112" i="1"/>
  <c r="DX137" i="1"/>
  <c r="DW116" i="1"/>
  <c r="DS124" i="1"/>
  <c r="DR103" i="1"/>
  <c r="DW119" i="1"/>
  <c r="DX140" i="1"/>
  <c r="DR119" i="1"/>
  <c r="DS140" i="1"/>
  <c r="DR121" i="1"/>
  <c r="DS142" i="1"/>
  <c r="DW130" i="1"/>
  <c r="DX151" i="1"/>
  <c r="DR120" i="1"/>
  <c r="DS141" i="1"/>
  <c r="DY115" i="1"/>
  <c r="DZ136" i="1"/>
  <c r="DY103" i="1"/>
  <c r="DZ124" i="1"/>
  <c r="DR108" i="1"/>
  <c r="DS129" i="1"/>
  <c r="DW92" i="1"/>
  <c r="DX113" i="1"/>
  <c r="DS125" i="1"/>
  <c r="DR104" i="1"/>
  <c r="CZ121" i="1"/>
  <c r="CZ142" i="1" s="1"/>
  <c r="DD99" i="1"/>
  <c r="DC99" i="1" s="1"/>
  <c r="DY93" i="1"/>
  <c r="DZ114" i="1"/>
  <c r="DX115" i="1"/>
  <c r="DW94" i="1"/>
  <c r="DX145" i="1"/>
  <c r="DW124" i="1"/>
  <c r="DX175" i="1"/>
  <c r="DW154" i="1"/>
  <c r="DZ142" i="1"/>
  <c r="DY121" i="1"/>
  <c r="DY113" i="1"/>
  <c r="DZ134" i="1"/>
  <c r="DY122" i="1"/>
  <c r="DZ143" i="1"/>
  <c r="DY102" i="1"/>
  <c r="DZ123" i="1"/>
  <c r="DX148" i="1"/>
  <c r="DW127" i="1"/>
  <c r="DY128" i="1"/>
  <c r="DZ149" i="1"/>
  <c r="DX135" i="1"/>
  <c r="DW114" i="1"/>
  <c r="DW170" i="1"/>
  <c r="DX191" i="1"/>
  <c r="DZ109" i="1"/>
  <c r="DY88" i="1"/>
  <c r="DZ169" i="1"/>
  <c r="DY148" i="1"/>
  <c r="DZ162" i="1"/>
  <c r="DY141" i="1"/>
  <c r="DW117" i="1"/>
  <c r="DX138" i="1"/>
  <c r="DW123" i="1"/>
  <c r="DX144" i="1"/>
  <c r="DY89" i="1"/>
  <c r="DZ110" i="1"/>
  <c r="DX122" i="1"/>
  <c r="DW101" i="1"/>
  <c r="DY126" i="1"/>
  <c r="DZ147" i="1"/>
  <c r="DX142" i="1"/>
  <c r="DW121" i="1"/>
  <c r="DY108" i="1"/>
  <c r="DZ129" i="1"/>
  <c r="DS149" i="1"/>
  <c r="DR128" i="1"/>
  <c r="DS169" i="1"/>
  <c r="DR148" i="1"/>
  <c r="DS134" i="1"/>
  <c r="DR113" i="1"/>
  <c r="DR137" i="1"/>
  <c r="DS158" i="1"/>
  <c r="DR117" i="1"/>
  <c r="DS138" i="1"/>
  <c r="DR105" i="1"/>
  <c r="DS126" i="1"/>
  <c r="DS154" i="1"/>
  <c r="DR133" i="1"/>
  <c r="BT269" i="1"/>
  <c r="DD259" i="1"/>
  <c r="DC259" i="1" s="1"/>
  <c r="CF145" i="1"/>
  <c r="CE124" i="1"/>
  <c r="CF144" i="1"/>
  <c r="CE123" i="1"/>
  <c r="DI159" i="1"/>
  <c r="DJ138" i="1"/>
  <c r="AR117" i="1"/>
  <c r="DA102" i="1"/>
  <c r="CZ123" i="1"/>
  <c r="DE122" i="1"/>
  <c r="DD101" i="1"/>
  <c r="DC101" i="1" s="1"/>
  <c r="DA98" i="1"/>
  <c r="CZ119" i="1"/>
  <c r="DE128" i="1"/>
  <c r="DD107" i="1"/>
  <c r="DC107" i="1" s="1"/>
  <c r="DD272" i="1"/>
  <c r="DC272" i="1" s="1"/>
  <c r="BT282" i="1"/>
  <c r="DD102" i="1"/>
  <c r="DC102" i="1" s="1"/>
  <c r="DE123" i="1"/>
  <c r="DE117" i="1"/>
  <c r="DD96" i="1"/>
  <c r="DC96" i="1" s="1"/>
  <c r="DE125" i="1"/>
  <c r="DD104" i="1"/>
  <c r="DC104" i="1" s="1"/>
  <c r="DE132" i="1"/>
  <c r="DD111" i="1"/>
  <c r="DC111" i="1" s="1"/>
  <c r="AR127" i="1"/>
  <c r="DJ152" i="1"/>
  <c r="DI173" i="1"/>
  <c r="CZ181" i="1"/>
  <c r="DA160" i="1"/>
  <c r="DI125" i="1"/>
  <c r="DJ104" i="1"/>
  <c r="DI148" i="1"/>
  <c r="DJ127" i="1"/>
  <c r="CZ138" i="1"/>
  <c r="DA117" i="1"/>
  <c r="DD256" i="1"/>
  <c r="DC256" i="1" s="1"/>
  <c r="BT266" i="1"/>
  <c r="DJ142" i="1"/>
  <c r="DI163" i="1"/>
  <c r="DA248" i="1"/>
  <c r="BV258" i="1"/>
  <c r="DL258" i="1" s="1"/>
  <c r="AR131" i="1"/>
  <c r="AR182" i="1"/>
  <c r="AR149" i="1"/>
  <c r="DI137" i="1"/>
  <c r="DJ116" i="1"/>
  <c r="DJ149" i="1"/>
  <c r="DI170" i="1"/>
  <c r="DA88" i="1"/>
  <c r="CZ109" i="1"/>
  <c r="AR133" i="1"/>
  <c r="DI132" i="1"/>
  <c r="DJ111" i="1"/>
  <c r="BV257" i="1"/>
  <c r="DL257" i="1" s="1"/>
  <c r="DA247" i="1"/>
  <c r="BV254" i="1"/>
  <c r="DL254" i="1" s="1"/>
  <c r="DA244" i="1"/>
  <c r="DJ155" i="1"/>
  <c r="DI176" i="1"/>
  <c r="DI143" i="1"/>
  <c r="DJ122" i="1"/>
  <c r="DD152" i="1"/>
  <c r="DC152" i="1" s="1"/>
  <c r="DE173" i="1"/>
  <c r="AR132" i="1"/>
  <c r="DA116" i="1"/>
  <c r="CZ137" i="1"/>
  <c r="CZ141" i="1"/>
  <c r="DA120" i="1"/>
  <c r="DI130" i="1"/>
  <c r="DJ109" i="1"/>
  <c r="DA245" i="1"/>
  <c r="BV255" i="1"/>
  <c r="DL255" i="1" s="1"/>
  <c r="DE160" i="1"/>
  <c r="DD139" i="1"/>
  <c r="DC139" i="1" s="1"/>
  <c r="DD255" i="1"/>
  <c r="DC255" i="1" s="1"/>
  <c r="BT265" i="1"/>
  <c r="AR167" i="1"/>
  <c r="DD94" i="1"/>
  <c r="DC94" i="1" s="1"/>
  <c r="DE115" i="1"/>
  <c r="DD129" i="1"/>
  <c r="DC129" i="1" s="1"/>
  <c r="DE150" i="1"/>
  <c r="DJ156" i="1"/>
  <c r="DI177" i="1"/>
  <c r="DE140" i="1"/>
  <c r="DD119" i="1"/>
  <c r="DC119" i="1" s="1"/>
  <c r="DD109" i="1"/>
  <c r="DC109" i="1" s="1"/>
  <c r="DE130" i="1"/>
  <c r="DJ166" i="1"/>
  <c r="DI187" i="1"/>
  <c r="CZ125" i="1"/>
  <c r="DA104" i="1"/>
  <c r="CZ126" i="1"/>
  <c r="DA105" i="1"/>
  <c r="DI120" i="1"/>
  <c r="DJ99" i="1"/>
  <c r="DD273" i="1"/>
  <c r="DC273" i="1" s="1"/>
  <c r="BT283" i="1"/>
  <c r="DE141" i="1"/>
  <c r="DD120" i="1"/>
  <c r="DC120" i="1" s="1"/>
  <c r="AR139" i="1"/>
  <c r="BT277" i="1"/>
  <c r="DD267" i="1"/>
  <c r="DC267" i="1" s="1"/>
  <c r="AR157" i="1"/>
  <c r="DE208" i="1"/>
  <c r="DD208" i="1" s="1"/>
  <c r="DC208" i="1" s="1"/>
  <c r="DD187" i="1"/>
  <c r="DC187" i="1" s="1"/>
  <c r="AR144" i="1"/>
  <c r="AR137" i="1"/>
  <c r="DJ186" i="1"/>
  <c r="DI207" i="1"/>
  <c r="DJ207" i="1" s="1"/>
  <c r="BT271" i="1"/>
  <c r="DD261" i="1"/>
  <c r="DC261" i="1" s="1"/>
  <c r="DD158" i="1"/>
  <c r="DC158" i="1" s="1"/>
  <c r="DE179" i="1"/>
  <c r="BT280" i="1"/>
  <c r="DD270" i="1"/>
  <c r="DC270" i="1" s="1"/>
  <c r="CZ175" i="1"/>
  <c r="DA154" i="1"/>
  <c r="DJ119" i="1"/>
  <c r="DI140" i="1"/>
  <c r="CZ108" i="1"/>
  <c r="DA87" i="1"/>
  <c r="DI108" i="1"/>
  <c r="DJ87" i="1"/>
  <c r="BV256" i="1"/>
  <c r="DL256" i="1" s="1"/>
  <c r="DA246" i="1"/>
  <c r="BT268" i="1"/>
  <c r="DD258" i="1"/>
  <c r="DC258" i="1" s="1"/>
  <c r="CZ114" i="1"/>
  <c r="DA93" i="1"/>
  <c r="DD175" i="1"/>
  <c r="DC175" i="1" s="1"/>
  <c r="DE196" i="1"/>
  <c r="DD196" i="1" s="1"/>
  <c r="DC196" i="1" s="1"/>
  <c r="AR122" i="1"/>
  <c r="CZ134" i="1"/>
  <c r="DA113" i="1"/>
  <c r="AR177" i="1"/>
  <c r="CZ145" i="1"/>
  <c r="DA124" i="1"/>
  <c r="AR142" i="1"/>
  <c r="DJ181" i="1"/>
  <c r="DI202" i="1"/>
  <c r="DJ202" i="1" s="1"/>
  <c r="DE156" i="1"/>
  <c r="DD135" i="1"/>
  <c r="DC135" i="1" s="1"/>
  <c r="CZ115" i="1"/>
  <c r="DA94" i="1"/>
  <c r="AR155" i="1"/>
  <c r="DA252" i="1"/>
  <c r="BV262" i="1"/>
  <c r="DL262" i="1" s="1"/>
  <c r="DJ115" i="1"/>
  <c r="DI136" i="1"/>
  <c r="CZ174" i="1"/>
  <c r="DA153" i="1"/>
  <c r="CZ127" i="1"/>
  <c r="DA106" i="1"/>
  <c r="DE148" i="1"/>
  <c r="DD127" i="1"/>
  <c r="DC127" i="1" s="1"/>
  <c r="DA122" i="1"/>
  <c r="CZ143" i="1"/>
  <c r="AR172" i="1"/>
  <c r="AR150" i="1"/>
  <c r="DE121" i="1"/>
  <c r="DD100" i="1"/>
  <c r="DC100" i="1" s="1"/>
  <c r="AR124" i="1"/>
  <c r="CZ191" i="1"/>
  <c r="DA170" i="1"/>
  <c r="DJ168" i="1"/>
  <c r="DI189" i="1"/>
  <c r="DD264" i="1"/>
  <c r="DC264" i="1" s="1"/>
  <c r="BT274" i="1"/>
  <c r="DA89" i="1"/>
  <c r="CZ110" i="1"/>
  <c r="DI133" i="1"/>
  <c r="DJ112" i="1"/>
  <c r="DD105" i="1"/>
  <c r="DC105" i="1" s="1"/>
  <c r="DE126" i="1"/>
  <c r="AR126" i="1"/>
  <c r="AR120" i="1"/>
  <c r="K515" i="1" l="1"/>
  <c r="M515" i="1"/>
  <c r="M514" i="1"/>
  <c r="K514" i="1"/>
  <c r="DA260" i="1"/>
  <c r="BV270" i="1"/>
  <c r="DL270" i="1" s="1"/>
  <c r="M516" i="1"/>
  <c r="K516" i="1"/>
  <c r="M513" i="1"/>
  <c r="K513" i="1"/>
  <c r="M517" i="1"/>
  <c r="K517" i="1"/>
  <c r="M519" i="1"/>
  <c r="K519" i="1"/>
  <c r="M518" i="1"/>
  <c r="K518" i="1"/>
  <c r="BV503" i="1"/>
  <c r="DL493" i="1"/>
  <c r="M521" i="1"/>
  <c r="K521" i="1"/>
  <c r="M520" i="1"/>
  <c r="K520" i="1"/>
  <c r="BV269" i="1"/>
  <c r="DL269" i="1" s="1"/>
  <c r="DA259" i="1"/>
  <c r="M522" i="1"/>
  <c r="K522" i="1"/>
  <c r="DA493" i="1"/>
  <c r="DL509" i="1"/>
  <c r="DL506" i="1"/>
  <c r="DL511" i="1"/>
  <c r="DL505" i="1"/>
  <c r="DL504" i="1"/>
  <c r="DL508" i="1"/>
  <c r="DL507" i="1"/>
  <c r="DL510" i="1"/>
  <c r="DL512" i="1"/>
  <c r="DX139" i="1"/>
  <c r="DX160" i="1" s="1"/>
  <c r="DL253" i="1"/>
  <c r="DA253" i="1"/>
  <c r="BV263" i="1"/>
  <c r="DA261" i="1"/>
  <c r="DL261" i="1"/>
  <c r="DD513" i="1"/>
  <c r="DC513" i="1" s="1"/>
  <c r="BT523" i="1"/>
  <c r="CE523" i="1" s="1"/>
  <c r="BT527" i="1"/>
  <c r="CE527" i="1" s="1"/>
  <c r="DD517" i="1"/>
  <c r="DC517" i="1" s="1"/>
  <c r="DA507" i="1"/>
  <c r="BV517" i="1"/>
  <c r="DA508" i="1"/>
  <c r="BV518" i="1"/>
  <c r="BV516" i="1"/>
  <c r="DA506" i="1"/>
  <c r="DW120" i="1"/>
  <c r="BT525" i="1"/>
  <c r="CE525" i="1" s="1"/>
  <c r="DD515" i="1"/>
  <c r="DC515" i="1" s="1"/>
  <c r="DA511" i="1"/>
  <c r="BV521" i="1"/>
  <c r="DD519" i="1"/>
  <c r="DC519" i="1" s="1"/>
  <c r="BT529" i="1"/>
  <c r="CE529" i="1" s="1"/>
  <c r="BT531" i="1"/>
  <c r="CE531" i="1" s="1"/>
  <c r="DD521" i="1"/>
  <c r="DC521" i="1" s="1"/>
  <c r="DD516" i="1"/>
  <c r="DC516" i="1" s="1"/>
  <c r="BT526" i="1"/>
  <c r="CE526" i="1" s="1"/>
  <c r="BV520" i="1"/>
  <c r="DA510" i="1"/>
  <c r="DD520" i="1"/>
  <c r="DC520" i="1" s="1"/>
  <c r="BT530" i="1"/>
  <c r="CE530" i="1" s="1"/>
  <c r="DD522" i="1"/>
  <c r="DC522" i="1" s="1"/>
  <c r="BT532" i="1"/>
  <c r="CE532" i="1" s="1"/>
  <c r="DA505" i="1"/>
  <c r="BV515" i="1"/>
  <c r="BV514" i="1"/>
  <c r="DA504" i="1"/>
  <c r="DD514" i="1"/>
  <c r="DC514" i="1" s="1"/>
  <c r="BT524" i="1"/>
  <c r="CE524" i="1" s="1"/>
  <c r="BT528" i="1"/>
  <c r="CE528" i="1" s="1"/>
  <c r="DD518" i="1"/>
  <c r="DC518" i="1" s="1"/>
  <c r="DA512" i="1"/>
  <c r="BV522" i="1"/>
  <c r="BV519" i="1"/>
  <c r="DA509" i="1"/>
  <c r="CF163" i="1"/>
  <c r="CE142" i="1"/>
  <c r="BV271" i="1"/>
  <c r="BM133" i="1"/>
  <c r="BM136" i="1"/>
  <c r="BM132" i="1"/>
  <c r="BM143" i="1"/>
  <c r="BM149" i="1"/>
  <c r="BM137" i="1"/>
  <c r="BM129" i="1"/>
  <c r="BM148" i="1"/>
  <c r="BM145" i="1"/>
  <c r="BM140" i="1"/>
  <c r="BM131" i="1"/>
  <c r="BM141" i="1"/>
  <c r="BM135" i="1"/>
  <c r="BM147" i="1"/>
  <c r="BM142" i="1"/>
  <c r="BM130" i="1"/>
  <c r="BM139" i="1"/>
  <c r="BR118" i="1"/>
  <c r="BM146" i="1"/>
  <c r="BK146" i="1" s="1"/>
  <c r="BR125" i="1"/>
  <c r="BM134" i="1"/>
  <c r="BR113" i="1"/>
  <c r="BM138" i="1"/>
  <c r="BR117" i="1"/>
  <c r="BM144" i="1"/>
  <c r="BK144" i="1" s="1"/>
  <c r="BR123" i="1"/>
  <c r="DY111" i="1"/>
  <c r="DZ132" i="1"/>
  <c r="DW147" i="1"/>
  <c r="DX132" i="1"/>
  <c r="DW111" i="1"/>
  <c r="DR115" i="1"/>
  <c r="DS136" i="1"/>
  <c r="DZ146" i="1"/>
  <c r="DY125" i="1"/>
  <c r="DX129" i="1"/>
  <c r="DW108" i="1"/>
  <c r="DW131" i="1"/>
  <c r="DX152" i="1"/>
  <c r="DZ140" i="1"/>
  <c r="DY119" i="1"/>
  <c r="DS152" i="1"/>
  <c r="DR131" i="1"/>
  <c r="DS132" i="1"/>
  <c r="DR111" i="1"/>
  <c r="DS139" i="1"/>
  <c r="DR118" i="1"/>
  <c r="DW146" i="1"/>
  <c r="DX167" i="1"/>
  <c r="DS150" i="1"/>
  <c r="DR129" i="1"/>
  <c r="DZ160" i="1"/>
  <c r="DY139" i="1"/>
  <c r="DY133" i="1"/>
  <c r="DZ154" i="1"/>
  <c r="DX158" i="1"/>
  <c r="DW137" i="1"/>
  <c r="DS145" i="1"/>
  <c r="DR124" i="1"/>
  <c r="DS146" i="1"/>
  <c r="DR125" i="1"/>
  <c r="DR142" i="1"/>
  <c r="DS163" i="1"/>
  <c r="DW151" i="1"/>
  <c r="DX172" i="1"/>
  <c r="DR141" i="1"/>
  <c r="DS162" i="1"/>
  <c r="DY136" i="1"/>
  <c r="DZ157" i="1"/>
  <c r="DA121" i="1"/>
  <c r="DR140" i="1"/>
  <c r="DS161" i="1"/>
  <c r="DS135" i="1"/>
  <c r="DR114" i="1"/>
  <c r="DY138" i="1"/>
  <c r="DZ159" i="1"/>
  <c r="DX134" i="1"/>
  <c r="DW113" i="1"/>
  <c r="DR144" i="1"/>
  <c r="DS165" i="1"/>
  <c r="DZ145" i="1"/>
  <c r="DY124" i="1"/>
  <c r="DW140" i="1"/>
  <c r="DX161" i="1"/>
  <c r="DR122" i="1"/>
  <c r="DS143" i="1"/>
  <c r="CF141" i="1"/>
  <c r="CE120" i="1"/>
  <c r="DZ158" i="1"/>
  <c r="DY137" i="1"/>
  <c r="DR130" i="1"/>
  <c r="DS151" i="1"/>
  <c r="DX143" i="1"/>
  <c r="DW122" i="1"/>
  <c r="DY162" i="1"/>
  <c r="DZ183" i="1"/>
  <c r="DY142" i="1"/>
  <c r="DZ163" i="1"/>
  <c r="DZ155" i="1"/>
  <c r="DY134" i="1"/>
  <c r="DY129" i="1"/>
  <c r="DZ150" i="1"/>
  <c r="DX169" i="1"/>
  <c r="DW148" i="1"/>
  <c r="DX196" i="1"/>
  <c r="DW196" i="1" s="1"/>
  <c r="DW175" i="1"/>
  <c r="DY109" i="1"/>
  <c r="DZ130" i="1"/>
  <c r="DX165" i="1"/>
  <c r="DW144" i="1"/>
  <c r="DW135" i="1"/>
  <c r="DX156" i="1"/>
  <c r="DY123" i="1"/>
  <c r="DZ144" i="1"/>
  <c r="DY169" i="1"/>
  <c r="DZ190" i="1"/>
  <c r="DW145" i="1"/>
  <c r="DX166" i="1"/>
  <c r="DZ131" i="1"/>
  <c r="DY110" i="1"/>
  <c r="DX159" i="1"/>
  <c r="DW138" i="1"/>
  <c r="DX189" i="1"/>
  <c r="DW168" i="1"/>
  <c r="DY143" i="1"/>
  <c r="DZ164" i="1"/>
  <c r="DX162" i="1"/>
  <c r="DW141" i="1"/>
  <c r="DX163" i="1"/>
  <c r="DW142" i="1"/>
  <c r="DX136" i="1"/>
  <c r="DW115" i="1"/>
  <c r="DY149" i="1"/>
  <c r="DZ170" i="1"/>
  <c r="DY147" i="1"/>
  <c r="DZ168" i="1"/>
  <c r="DZ135" i="1"/>
  <c r="DY114" i="1"/>
  <c r="DX212" i="1"/>
  <c r="DW212" i="1" s="1"/>
  <c r="DW191" i="1"/>
  <c r="DR134" i="1"/>
  <c r="DS155" i="1"/>
  <c r="DR154" i="1"/>
  <c r="DS175" i="1"/>
  <c r="DS190" i="1"/>
  <c r="DR169" i="1"/>
  <c r="DR126" i="1"/>
  <c r="DS147" i="1"/>
  <c r="DS170" i="1"/>
  <c r="DR149" i="1"/>
  <c r="DR158" i="1"/>
  <c r="DS179" i="1"/>
  <c r="DR138" i="1"/>
  <c r="DS159" i="1"/>
  <c r="CF165" i="1"/>
  <c r="CE144" i="1"/>
  <c r="CF166" i="1"/>
  <c r="CE145" i="1"/>
  <c r="BT279" i="1"/>
  <c r="DD269" i="1"/>
  <c r="DC269" i="1" s="1"/>
  <c r="AR138" i="1"/>
  <c r="DI180" i="1"/>
  <c r="DJ159" i="1"/>
  <c r="DE138" i="1"/>
  <c r="DD117" i="1"/>
  <c r="DC117" i="1" s="1"/>
  <c r="DD123" i="1"/>
  <c r="DC123" i="1" s="1"/>
  <c r="DE144" i="1"/>
  <c r="DD128" i="1"/>
  <c r="DC128" i="1" s="1"/>
  <c r="DE149" i="1"/>
  <c r="DE143" i="1"/>
  <c r="DD122" i="1"/>
  <c r="DC122" i="1" s="1"/>
  <c r="DD282" i="1"/>
  <c r="DC282" i="1" s="1"/>
  <c r="BT292" i="1"/>
  <c r="DA119" i="1"/>
  <c r="CZ140" i="1"/>
  <c r="DA123" i="1"/>
  <c r="CZ144" i="1"/>
  <c r="CZ155" i="1"/>
  <c r="DA134" i="1"/>
  <c r="AR153" i="1"/>
  <c r="CZ212" i="1"/>
  <c r="DA191" i="1"/>
  <c r="DD179" i="1"/>
  <c r="DC179" i="1" s="1"/>
  <c r="DE200" i="1"/>
  <c r="DD200" i="1" s="1"/>
  <c r="DC200" i="1" s="1"/>
  <c r="AR141" i="1"/>
  <c r="CZ136" i="1"/>
  <c r="DA115" i="1"/>
  <c r="DE181" i="1"/>
  <c r="DD160" i="1"/>
  <c r="DC160" i="1" s="1"/>
  <c r="DD148" i="1"/>
  <c r="DC148" i="1" s="1"/>
  <c r="DE169" i="1"/>
  <c r="AR147" i="1"/>
  <c r="DD156" i="1"/>
  <c r="DC156" i="1" s="1"/>
  <c r="DE177" i="1"/>
  <c r="DD271" i="1"/>
  <c r="DC271" i="1" s="1"/>
  <c r="BT281" i="1"/>
  <c r="DJ170" i="1"/>
  <c r="DI191" i="1"/>
  <c r="DD130" i="1"/>
  <c r="DC130" i="1" s="1"/>
  <c r="DE151" i="1"/>
  <c r="DA181" i="1"/>
  <c r="CZ202" i="1"/>
  <c r="DJ137" i="1"/>
  <c r="DI158" i="1"/>
  <c r="DA174" i="1"/>
  <c r="CZ195" i="1"/>
  <c r="DJ163" i="1"/>
  <c r="DI184" i="1"/>
  <c r="AR176" i="1"/>
  <c r="AR154" i="1"/>
  <c r="CZ130" i="1"/>
  <c r="DA109" i="1"/>
  <c r="BT287" i="1"/>
  <c r="DD277" i="1"/>
  <c r="DC277" i="1" s="1"/>
  <c r="AR143" i="1"/>
  <c r="AR163" i="1"/>
  <c r="DJ173" i="1"/>
  <c r="DI194" i="1"/>
  <c r="DJ194" i="1" s="1"/>
  <c r="AR158" i="1"/>
  <c r="DJ130" i="1"/>
  <c r="DI151" i="1"/>
  <c r="DJ133" i="1"/>
  <c r="DI154" i="1"/>
  <c r="DI198" i="1"/>
  <c r="DJ198" i="1" s="1"/>
  <c r="DJ177" i="1"/>
  <c r="CZ131" i="1"/>
  <c r="DA110" i="1"/>
  <c r="DE171" i="1"/>
  <c r="DD150" i="1"/>
  <c r="DC150" i="1" s="1"/>
  <c r="DE162" i="1"/>
  <c r="DD141" i="1"/>
  <c r="DC141" i="1" s="1"/>
  <c r="DJ140" i="1"/>
  <c r="DI161" i="1"/>
  <c r="AR165" i="1"/>
  <c r="BT293" i="1"/>
  <c r="DD283" i="1"/>
  <c r="DC283" i="1" s="1"/>
  <c r="DD115" i="1"/>
  <c r="DC115" i="1" s="1"/>
  <c r="DE136" i="1"/>
  <c r="DA257" i="1"/>
  <c r="BV267" i="1"/>
  <c r="DL267" i="1" s="1"/>
  <c r="DD132" i="1"/>
  <c r="DC132" i="1" s="1"/>
  <c r="DE153" i="1"/>
  <c r="AR188" i="1"/>
  <c r="DJ132" i="1"/>
  <c r="DI153" i="1"/>
  <c r="CZ196" i="1"/>
  <c r="DA175" i="1"/>
  <c r="BT275" i="1"/>
  <c r="DD265" i="1"/>
  <c r="DC265" i="1" s="1"/>
  <c r="CZ164" i="1"/>
  <c r="DA143" i="1"/>
  <c r="CZ163" i="1"/>
  <c r="DA142" i="1"/>
  <c r="DD280" i="1"/>
  <c r="DC280" i="1" s="1"/>
  <c r="BT290" i="1"/>
  <c r="CZ147" i="1"/>
  <c r="DA126" i="1"/>
  <c r="DD173" i="1"/>
  <c r="DC173" i="1" s="1"/>
  <c r="DE194" i="1"/>
  <c r="DD194" i="1" s="1"/>
  <c r="DC194" i="1" s="1"/>
  <c r="AR152" i="1"/>
  <c r="DJ125" i="1"/>
  <c r="DI146" i="1"/>
  <c r="DA125" i="1"/>
  <c r="CZ146" i="1"/>
  <c r="DJ143" i="1"/>
  <c r="DI164" i="1"/>
  <c r="DA255" i="1"/>
  <c r="BV265" i="1"/>
  <c r="DL265" i="1" s="1"/>
  <c r="DI129" i="1"/>
  <c r="DJ108" i="1"/>
  <c r="DD126" i="1"/>
  <c r="DC126" i="1" s="1"/>
  <c r="DE147" i="1"/>
  <c r="DE161" i="1"/>
  <c r="DD140" i="1"/>
  <c r="DC140" i="1" s="1"/>
  <c r="AR160" i="1"/>
  <c r="BT276" i="1"/>
  <c r="DD266" i="1"/>
  <c r="DC266" i="1" s="1"/>
  <c r="DA141" i="1"/>
  <c r="CZ162" i="1"/>
  <c r="CZ158" i="1"/>
  <c r="DA137" i="1"/>
  <c r="AR198" i="1"/>
  <c r="AR170" i="1"/>
  <c r="CZ159" i="1"/>
  <c r="DA138" i="1"/>
  <c r="DI141" i="1"/>
  <c r="DJ120" i="1"/>
  <c r="AR193" i="1"/>
  <c r="BT278" i="1"/>
  <c r="DD268" i="1"/>
  <c r="DC268" i="1" s="1"/>
  <c r="AR203" i="1"/>
  <c r="DJ148" i="1"/>
  <c r="DI169" i="1"/>
  <c r="AR178" i="1"/>
  <c r="DA256" i="1"/>
  <c r="BV266" i="1"/>
  <c r="DL266" i="1" s="1"/>
  <c r="DI208" i="1"/>
  <c r="DJ208" i="1" s="1"/>
  <c r="DJ187" i="1"/>
  <c r="DJ176" i="1"/>
  <c r="DI197" i="1"/>
  <c r="DJ197" i="1" s="1"/>
  <c r="BV268" i="1"/>
  <c r="DL268" i="1" s="1"/>
  <c r="DA258" i="1"/>
  <c r="DA127" i="1"/>
  <c r="CZ148" i="1"/>
  <c r="AR145" i="1"/>
  <c r="CZ129" i="1"/>
  <c r="DA108" i="1"/>
  <c r="BV264" i="1"/>
  <c r="DL264" i="1" s="1"/>
  <c r="DA254" i="1"/>
  <c r="DJ136" i="1"/>
  <c r="DI157" i="1"/>
  <c r="CZ166" i="1"/>
  <c r="DA145" i="1"/>
  <c r="AR148" i="1"/>
  <c r="DD121" i="1"/>
  <c r="DC121" i="1" s="1"/>
  <c r="DE142" i="1"/>
  <c r="BT284" i="1"/>
  <c r="DD274" i="1"/>
  <c r="DC274" i="1" s="1"/>
  <c r="BV272" i="1"/>
  <c r="DL272" i="1" s="1"/>
  <c r="DA262" i="1"/>
  <c r="AR171" i="1"/>
  <c r="DJ189" i="1"/>
  <c r="DI210" i="1"/>
  <c r="DJ210" i="1" s="1"/>
  <c r="DA114" i="1"/>
  <c r="CZ135" i="1"/>
  <c r="DD125" i="1"/>
  <c r="DC125" i="1" s="1"/>
  <c r="DE146" i="1"/>
  <c r="BV280" i="1" l="1"/>
  <c r="DL280" i="1" s="1"/>
  <c r="DA270" i="1"/>
  <c r="DL503" i="1"/>
  <c r="BV513" i="1"/>
  <c r="DA503" i="1"/>
  <c r="K526" i="1"/>
  <c r="M526" i="1"/>
  <c r="M531" i="1"/>
  <c r="K531" i="1"/>
  <c r="M525" i="1"/>
  <c r="K525" i="1"/>
  <c r="M528" i="1"/>
  <c r="K528" i="1"/>
  <c r="M529" i="1"/>
  <c r="K529" i="1"/>
  <c r="BV279" i="1"/>
  <c r="DL279" i="1" s="1"/>
  <c r="M524" i="1"/>
  <c r="K524" i="1"/>
  <c r="K527" i="1"/>
  <c r="M527" i="1"/>
  <c r="M530" i="1"/>
  <c r="K530" i="1"/>
  <c r="M523" i="1"/>
  <c r="K523" i="1"/>
  <c r="DA269" i="1"/>
  <c r="M532" i="1"/>
  <c r="K532" i="1"/>
  <c r="DL519" i="1"/>
  <c r="DL522" i="1"/>
  <c r="DL521" i="1"/>
  <c r="DL514" i="1"/>
  <c r="DW139" i="1"/>
  <c r="DL516" i="1"/>
  <c r="DL520" i="1"/>
  <c r="DL517" i="1"/>
  <c r="DL515" i="1"/>
  <c r="DL518" i="1"/>
  <c r="DL263" i="1"/>
  <c r="BV273" i="1"/>
  <c r="DA263" i="1"/>
  <c r="BV281" i="1"/>
  <c r="DL281" i="1" s="1"/>
  <c r="DL271" i="1"/>
  <c r="DA513" i="1"/>
  <c r="BV523" i="1"/>
  <c r="BT542" i="1"/>
  <c r="CE542" i="1" s="1"/>
  <c r="DD532" i="1"/>
  <c r="DC532" i="1" s="1"/>
  <c r="BT535" i="1"/>
  <c r="CE535" i="1" s="1"/>
  <c r="DD525" i="1"/>
  <c r="DC525" i="1" s="1"/>
  <c r="BT540" i="1"/>
  <c r="CE540" i="1" s="1"/>
  <c r="DD530" i="1"/>
  <c r="DC530" i="1" s="1"/>
  <c r="BT536" i="1"/>
  <c r="CE536" i="1" s="1"/>
  <c r="DD526" i="1"/>
  <c r="DC526" i="1" s="1"/>
  <c r="DA520" i="1"/>
  <c r="BV530" i="1"/>
  <c r="BV527" i="1"/>
  <c r="DA517" i="1"/>
  <c r="BV526" i="1"/>
  <c r="DA516" i="1"/>
  <c r="DD528" i="1"/>
  <c r="DC528" i="1" s="1"/>
  <c r="BT538" i="1"/>
  <c r="CE538" i="1" s="1"/>
  <c r="DD529" i="1"/>
  <c r="DC529" i="1" s="1"/>
  <c r="BT539" i="1"/>
  <c r="CE539" i="1" s="1"/>
  <c r="BV524" i="1"/>
  <c r="DA514" i="1"/>
  <c r="DD524" i="1"/>
  <c r="DC524" i="1" s="1"/>
  <c r="BT534" i="1"/>
  <c r="CE534" i="1" s="1"/>
  <c r="BT537" i="1"/>
  <c r="CE537" i="1" s="1"/>
  <c r="DD527" i="1"/>
  <c r="DC527" i="1" s="1"/>
  <c r="DA515" i="1"/>
  <c r="BV525" i="1"/>
  <c r="DA519" i="1"/>
  <c r="BV529" i="1"/>
  <c r="DA518" i="1"/>
  <c r="BV528" i="1"/>
  <c r="BV531" i="1"/>
  <c r="DA521" i="1"/>
  <c r="DD523" i="1"/>
  <c r="DC523" i="1" s="1"/>
  <c r="BT533" i="1"/>
  <c r="CE533" i="1" s="1"/>
  <c r="BV532" i="1"/>
  <c r="DA522" i="1"/>
  <c r="DD531" i="1"/>
  <c r="DC531" i="1" s="1"/>
  <c r="BT541" i="1"/>
  <c r="CE541" i="1" s="1"/>
  <c r="DA271" i="1"/>
  <c r="CF184" i="1"/>
  <c r="CE163" i="1"/>
  <c r="BM161" i="1"/>
  <c r="BM168" i="1"/>
  <c r="BM164" i="1"/>
  <c r="BM169" i="1"/>
  <c r="BM151" i="1"/>
  <c r="BM163" i="1"/>
  <c r="BM153" i="1"/>
  <c r="BM162" i="1"/>
  <c r="BM157" i="1"/>
  <c r="BM156" i="1"/>
  <c r="BM166" i="1"/>
  <c r="BM150" i="1"/>
  <c r="BM158" i="1"/>
  <c r="BM170" i="1"/>
  <c r="BM152" i="1"/>
  <c r="BM154" i="1"/>
  <c r="BM165" i="1"/>
  <c r="BK165" i="1" s="1"/>
  <c r="BR144" i="1"/>
  <c r="BM159" i="1"/>
  <c r="BR138" i="1"/>
  <c r="BM155" i="1"/>
  <c r="BR134" i="1"/>
  <c r="BM167" i="1"/>
  <c r="BK167" i="1" s="1"/>
  <c r="BR146" i="1"/>
  <c r="BM160" i="1"/>
  <c r="BR139" i="1"/>
  <c r="DY132" i="1"/>
  <c r="DZ153" i="1"/>
  <c r="DW132" i="1"/>
  <c r="DX153" i="1"/>
  <c r="DR152" i="1"/>
  <c r="DS173" i="1"/>
  <c r="DR139" i="1"/>
  <c r="DS160" i="1"/>
  <c r="DX188" i="1"/>
  <c r="DW167" i="1"/>
  <c r="DS153" i="1"/>
  <c r="DR132" i="1"/>
  <c r="DR136" i="1"/>
  <c r="DS157" i="1"/>
  <c r="DZ167" i="1"/>
  <c r="DY146" i="1"/>
  <c r="DX150" i="1"/>
  <c r="DW129" i="1"/>
  <c r="DX173" i="1"/>
  <c r="DW152" i="1"/>
  <c r="DY140" i="1"/>
  <c r="DZ161" i="1"/>
  <c r="DX193" i="1"/>
  <c r="DW193" i="1" s="1"/>
  <c r="DW172" i="1"/>
  <c r="DW161" i="1"/>
  <c r="DX182" i="1"/>
  <c r="DZ180" i="1"/>
  <c r="DY159" i="1"/>
  <c r="DW134" i="1"/>
  <c r="DX155" i="1"/>
  <c r="DS186" i="1"/>
  <c r="DR165" i="1"/>
  <c r="DR161" i="1"/>
  <c r="DS182" i="1"/>
  <c r="DR146" i="1"/>
  <c r="DS167" i="1"/>
  <c r="DZ179" i="1"/>
  <c r="DY158" i="1"/>
  <c r="DR162" i="1"/>
  <c r="DS183" i="1"/>
  <c r="DZ178" i="1"/>
  <c r="DY157" i="1"/>
  <c r="DX181" i="1"/>
  <c r="DW160" i="1"/>
  <c r="DZ166" i="1"/>
  <c r="DY145" i="1"/>
  <c r="DS164" i="1"/>
  <c r="DR143" i="1"/>
  <c r="DS156" i="1"/>
  <c r="DR135" i="1"/>
  <c r="DS172" i="1"/>
  <c r="DR151" i="1"/>
  <c r="CF162" i="1"/>
  <c r="CE141" i="1"/>
  <c r="DR150" i="1"/>
  <c r="DS171" i="1"/>
  <c r="DY160" i="1"/>
  <c r="DZ181" i="1"/>
  <c r="DY154" i="1"/>
  <c r="DZ175" i="1"/>
  <c r="DX179" i="1"/>
  <c r="DW158" i="1"/>
  <c r="DS166" i="1"/>
  <c r="DR145" i="1"/>
  <c r="DR163" i="1"/>
  <c r="DS184" i="1"/>
  <c r="DZ152" i="1"/>
  <c r="DY131" i="1"/>
  <c r="DZ156" i="1"/>
  <c r="DY135" i="1"/>
  <c r="DX190" i="1"/>
  <c r="DW169" i="1"/>
  <c r="DW159" i="1"/>
  <c r="DX180" i="1"/>
  <c r="DZ165" i="1"/>
  <c r="DY144" i="1"/>
  <c r="DY163" i="1"/>
  <c r="DZ184" i="1"/>
  <c r="DZ189" i="1"/>
  <c r="DY168" i="1"/>
  <c r="DW163" i="1"/>
  <c r="DX184" i="1"/>
  <c r="DY183" i="1"/>
  <c r="DZ204" i="1"/>
  <c r="DY204" i="1" s="1"/>
  <c r="DY155" i="1"/>
  <c r="DZ176" i="1"/>
  <c r="DW162" i="1"/>
  <c r="DX183" i="1"/>
  <c r="DZ151" i="1"/>
  <c r="DY130" i="1"/>
  <c r="DX187" i="1"/>
  <c r="DW166" i="1"/>
  <c r="DZ211" i="1"/>
  <c r="DY211" i="1" s="1"/>
  <c r="DY190" i="1"/>
  <c r="DX157" i="1"/>
  <c r="DW136" i="1"/>
  <c r="DZ185" i="1"/>
  <c r="DY164" i="1"/>
  <c r="DW156" i="1"/>
  <c r="DX177" i="1"/>
  <c r="DZ171" i="1"/>
  <c r="DY150" i="1"/>
  <c r="DW143" i="1"/>
  <c r="DX164" i="1"/>
  <c r="DZ191" i="1"/>
  <c r="DY170" i="1"/>
  <c r="DX210" i="1"/>
  <c r="DW210" i="1" s="1"/>
  <c r="DW189" i="1"/>
  <c r="DX186" i="1"/>
  <c r="DW165" i="1"/>
  <c r="DS191" i="1"/>
  <c r="DR170" i="1"/>
  <c r="DS168" i="1"/>
  <c r="DR147" i="1"/>
  <c r="DR175" i="1"/>
  <c r="DS196" i="1"/>
  <c r="DR196" i="1" s="1"/>
  <c r="DS200" i="1"/>
  <c r="DR200" i="1" s="1"/>
  <c r="DR179" i="1"/>
  <c r="DR159" i="1"/>
  <c r="DS180" i="1"/>
  <c r="DS176" i="1"/>
  <c r="DR155" i="1"/>
  <c r="DS211" i="1"/>
  <c r="DR211" i="1" s="1"/>
  <c r="DR190" i="1"/>
  <c r="CF187" i="1"/>
  <c r="CE166" i="1"/>
  <c r="BT289" i="1"/>
  <c r="DD279" i="1"/>
  <c r="DC279" i="1" s="1"/>
  <c r="CF186" i="1"/>
  <c r="CE165" i="1"/>
  <c r="DJ180" i="1"/>
  <c r="DI201" i="1"/>
  <c r="DJ201" i="1" s="1"/>
  <c r="AR159" i="1"/>
  <c r="CZ161" i="1"/>
  <c r="DA140" i="1"/>
  <c r="DE164" i="1"/>
  <c r="DD143" i="1"/>
  <c r="DC143" i="1" s="1"/>
  <c r="DA144" i="1"/>
  <c r="CZ165" i="1"/>
  <c r="DE170" i="1"/>
  <c r="DD149" i="1"/>
  <c r="DC149" i="1" s="1"/>
  <c r="DE165" i="1"/>
  <c r="DD144" i="1"/>
  <c r="DC144" i="1" s="1"/>
  <c r="BT302" i="1"/>
  <c r="DD292" i="1"/>
  <c r="DC292" i="1" s="1"/>
  <c r="DD138" i="1"/>
  <c r="DC138" i="1" s="1"/>
  <c r="DE159" i="1"/>
  <c r="DJ158" i="1"/>
  <c r="DI179" i="1"/>
  <c r="AR166" i="1"/>
  <c r="DA146" i="1"/>
  <c r="CZ167" i="1"/>
  <c r="DE202" i="1"/>
  <c r="DD202" i="1" s="1"/>
  <c r="DC202" i="1" s="1"/>
  <c r="DD181" i="1"/>
  <c r="DC181" i="1" s="1"/>
  <c r="BT285" i="1"/>
  <c r="DD275" i="1"/>
  <c r="DC275" i="1" s="1"/>
  <c r="DA202" i="1"/>
  <c r="DE172" i="1"/>
  <c r="DD151" i="1"/>
  <c r="DC151" i="1" s="1"/>
  <c r="DJ153" i="1"/>
  <c r="DI174" i="1"/>
  <c r="DJ169" i="1"/>
  <c r="DI190" i="1"/>
  <c r="DJ191" i="1"/>
  <c r="DI212" i="1"/>
  <c r="DJ212" i="1" s="1"/>
  <c r="DD161" i="1"/>
  <c r="DC161" i="1" s="1"/>
  <c r="DE182" i="1"/>
  <c r="DJ157" i="1"/>
  <c r="DI178" i="1"/>
  <c r="DE168" i="1"/>
  <c r="DD147" i="1"/>
  <c r="DC147" i="1" s="1"/>
  <c r="AR209" i="1"/>
  <c r="DJ146" i="1"/>
  <c r="DI167" i="1"/>
  <c r="DJ141" i="1"/>
  <c r="DI162" i="1"/>
  <c r="DA196" i="1"/>
  <c r="AR186" i="1"/>
  <c r="DA136" i="1"/>
  <c r="CZ157" i="1"/>
  <c r="DJ161" i="1"/>
  <c r="DI182" i="1"/>
  <c r="CZ151" i="1"/>
  <c r="DA130" i="1"/>
  <c r="DA272" i="1"/>
  <c r="BV282" i="1"/>
  <c r="DL282" i="1" s="1"/>
  <c r="CZ169" i="1"/>
  <c r="DA148" i="1"/>
  <c r="DA159" i="1"/>
  <c r="CZ180" i="1"/>
  <c r="AR173" i="1"/>
  <c r="DJ129" i="1"/>
  <c r="DI150" i="1"/>
  <c r="BV278" i="1"/>
  <c r="DL278" i="1" s="1"/>
  <c r="DA268" i="1"/>
  <c r="DA267" i="1"/>
  <c r="BV277" i="1"/>
  <c r="DL277" i="1" s="1"/>
  <c r="BT288" i="1"/>
  <c r="DD278" i="1"/>
  <c r="DC278" i="1" s="1"/>
  <c r="DA158" i="1"/>
  <c r="CZ179" i="1"/>
  <c r="DA163" i="1"/>
  <c r="CZ184" i="1"/>
  <c r="DA164" i="1"/>
  <c r="CZ185" i="1"/>
  <c r="AR192" i="1"/>
  <c r="AR199" i="1"/>
  <c r="AR162" i="1"/>
  <c r="AR181" i="1"/>
  <c r="CZ187" i="1"/>
  <c r="DA166" i="1"/>
  <c r="DE192" i="1"/>
  <c r="DD192" i="1" s="1"/>
  <c r="DC192" i="1" s="1"/>
  <c r="DD171" i="1"/>
  <c r="DC171" i="1" s="1"/>
  <c r="DA147" i="1"/>
  <c r="CZ168" i="1"/>
  <c r="AR175" i="1"/>
  <c r="DA212" i="1"/>
  <c r="DA265" i="1"/>
  <c r="BV275" i="1"/>
  <c r="DL275" i="1" s="1"/>
  <c r="AR168" i="1"/>
  <c r="CZ150" i="1"/>
  <c r="DA129" i="1"/>
  <c r="DJ164" i="1"/>
  <c r="DI185" i="1"/>
  <c r="DD136" i="1"/>
  <c r="DC136" i="1" s="1"/>
  <c r="DE157" i="1"/>
  <c r="DA131" i="1"/>
  <c r="CZ152" i="1"/>
  <c r="AR164" i="1"/>
  <c r="DA195" i="1"/>
  <c r="DE190" i="1"/>
  <c r="DD169" i="1"/>
  <c r="DC169" i="1" s="1"/>
  <c r="DD142" i="1"/>
  <c r="DC142" i="1" s="1"/>
  <c r="DE163" i="1"/>
  <c r="BV276" i="1"/>
  <c r="DL276" i="1" s="1"/>
  <c r="DA266" i="1"/>
  <c r="DD293" i="1"/>
  <c r="DC293" i="1" s="1"/>
  <c r="BT303" i="1"/>
  <c r="AR169" i="1"/>
  <c r="BT286" i="1"/>
  <c r="DD276" i="1"/>
  <c r="DC276" i="1" s="1"/>
  <c r="BT297" i="1"/>
  <c r="DD287" i="1"/>
  <c r="DC287" i="1" s="1"/>
  <c r="DJ154" i="1"/>
  <c r="DI175" i="1"/>
  <c r="DJ151" i="1"/>
  <c r="DI172" i="1"/>
  <c r="DD162" i="1"/>
  <c r="DC162" i="1" s="1"/>
  <c r="DE183" i="1"/>
  <c r="AR179" i="1"/>
  <c r="BT294" i="1"/>
  <c r="DD284" i="1"/>
  <c r="DC284" i="1" s="1"/>
  <c r="BT291" i="1"/>
  <c r="DD281" i="1"/>
  <c r="DC281" i="1" s="1"/>
  <c r="AR191" i="1"/>
  <c r="DD153" i="1"/>
  <c r="DC153" i="1" s="1"/>
  <c r="DE174" i="1"/>
  <c r="DE198" i="1"/>
  <c r="DD198" i="1" s="1"/>
  <c r="DC198" i="1" s="1"/>
  <c r="DD177" i="1"/>
  <c r="DC177" i="1" s="1"/>
  <c r="DE167" i="1"/>
  <c r="DD146" i="1"/>
  <c r="DC146" i="1" s="1"/>
  <c r="DD290" i="1"/>
  <c r="DC290" i="1" s="1"/>
  <c r="BT300" i="1"/>
  <c r="AR197" i="1"/>
  <c r="AR184" i="1"/>
  <c r="CZ156" i="1"/>
  <c r="DA135" i="1"/>
  <c r="DA264" i="1"/>
  <c r="BV274" i="1"/>
  <c r="DL274" i="1" s="1"/>
  <c r="DJ184" i="1"/>
  <c r="DI205" i="1"/>
  <c r="DJ205" i="1" s="1"/>
  <c r="AR174" i="1"/>
  <c r="DA162" i="1"/>
  <c r="CZ183" i="1"/>
  <c r="DA155" i="1"/>
  <c r="CZ176" i="1"/>
  <c r="BV290" i="1" l="1"/>
  <c r="DL290" i="1" s="1"/>
  <c r="DL513" i="1"/>
  <c r="DA280" i="1"/>
  <c r="BV291" i="1"/>
  <c r="DL291" i="1" s="1"/>
  <c r="K542" i="1"/>
  <c r="M542" i="1"/>
  <c r="M541" i="1"/>
  <c r="K541" i="1"/>
  <c r="M537" i="1"/>
  <c r="K537" i="1"/>
  <c r="M538" i="1"/>
  <c r="K538" i="1"/>
  <c r="M536" i="1"/>
  <c r="K536" i="1"/>
  <c r="M539" i="1"/>
  <c r="K539" i="1"/>
  <c r="K534" i="1"/>
  <c r="M534" i="1"/>
  <c r="M535" i="1"/>
  <c r="K535" i="1"/>
  <c r="DA279" i="1"/>
  <c r="M540" i="1"/>
  <c r="K540" i="1"/>
  <c r="BV289" i="1"/>
  <c r="DL289" i="1" s="1"/>
  <c r="DA281" i="1"/>
  <c r="M533" i="1"/>
  <c r="K533" i="1"/>
  <c r="DL527" i="1"/>
  <c r="DL531" i="1"/>
  <c r="DL523" i="1"/>
  <c r="DL530" i="1"/>
  <c r="DL532" i="1"/>
  <c r="DL528" i="1"/>
  <c r="DL525" i="1"/>
  <c r="DL524" i="1"/>
  <c r="DL526" i="1"/>
  <c r="DL529" i="1"/>
  <c r="DL273" i="1"/>
  <c r="BV283" i="1"/>
  <c r="DA273" i="1"/>
  <c r="BV537" i="1"/>
  <c r="DA527" i="1"/>
  <c r="BV535" i="1"/>
  <c r="DA525" i="1"/>
  <c r="BV540" i="1"/>
  <c r="DA530" i="1"/>
  <c r="DA529" i="1"/>
  <c r="BV539" i="1"/>
  <c r="BT547" i="1"/>
  <c r="CE547" i="1" s="1"/>
  <c r="DD537" i="1"/>
  <c r="DC537" i="1" s="1"/>
  <c r="DA526" i="1"/>
  <c r="BV536" i="1"/>
  <c r="DD536" i="1"/>
  <c r="DC536" i="1" s="1"/>
  <c r="BT546" i="1"/>
  <c r="CE546" i="1" s="1"/>
  <c r="BV542" i="1"/>
  <c r="DA532" i="1"/>
  <c r="BT552" i="1"/>
  <c r="CE552" i="1" s="1"/>
  <c r="DD542" i="1"/>
  <c r="DC542" i="1" s="1"/>
  <c r="BT550" i="1"/>
  <c r="CE550" i="1" s="1"/>
  <c r="DD540" i="1"/>
  <c r="DC540" i="1" s="1"/>
  <c r="BT543" i="1"/>
  <c r="CE543" i="1" s="1"/>
  <c r="DD533" i="1"/>
  <c r="DC533" i="1" s="1"/>
  <c r="BT548" i="1"/>
  <c r="CE548" i="1" s="1"/>
  <c r="DD538" i="1"/>
  <c r="DC538" i="1" s="1"/>
  <c r="DD541" i="1"/>
  <c r="DC541" i="1" s="1"/>
  <c r="BT551" i="1"/>
  <c r="CE551" i="1" s="1"/>
  <c r="DA531" i="1"/>
  <c r="BV541" i="1"/>
  <c r="BV533" i="1"/>
  <c r="DA523" i="1"/>
  <c r="DD535" i="1"/>
  <c r="DC535" i="1" s="1"/>
  <c r="BT545" i="1"/>
  <c r="CE545" i="1" s="1"/>
  <c r="DA528" i="1"/>
  <c r="BV538" i="1"/>
  <c r="DD534" i="1"/>
  <c r="DC534" i="1" s="1"/>
  <c r="BT544" i="1"/>
  <c r="CE544" i="1" s="1"/>
  <c r="BV534" i="1"/>
  <c r="DA524" i="1"/>
  <c r="DD539" i="1"/>
  <c r="DC539" i="1" s="1"/>
  <c r="BT549" i="1"/>
  <c r="CE549" i="1" s="1"/>
  <c r="CF205" i="1"/>
  <c r="CE205" i="1" s="1"/>
  <c r="CE184" i="1"/>
  <c r="BM174" i="1"/>
  <c r="BM175" i="1"/>
  <c r="BM173" i="1"/>
  <c r="BM190" i="1"/>
  <c r="BM179" i="1"/>
  <c r="BM171" i="1"/>
  <c r="BM189" i="1"/>
  <c r="BM177" i="1"/>
  <c r="BM178" i="1"/>
  <c r="BM185" i="1"/>
  <c r="BM183" i="1"/>
  <c r="BM184" i="1"/>
  <c r="BM172" i="1"/>
  <c r="BM191" i="1"/>
  <c r="BM187" i="1"/>
  <c r="BM182" i="1"/>
  <c r="BM181" i="1"/>
  <c r="BR160" i="1"/>
  <c r="BM188" i="1"/>
  <c r="BK188" i="1" s="1"/>
  <c r="BR167" i="1"/>
  <c r="BM176" i="1"/>
  <c r="BR155" i="1"/>
  <c r="BM180" i="1"/>
  <c r="BR159" i="1"/>
  <c r="BM186" i="1"/>
  <c r="BK186" i="1" s="1"/>
  <c r="BR165" i="1"/>
  <c r="DZ174" i="1"/>
  <c r="DY153" i="1"/>
  <c r="DX174" i="1"/>
  <c r="DW153" i="1"/>
  <c r="DX171" i="1"/>
  <c r="DW150" i="1"/>
  <c r="DZ188" i="1"/>
  <c r="DY167" i="1"/>
  <c r="DZ182" i="1"/>
  <c r="DY161" i="1"/>
  <c r="DX194" i="1"/>
  <c r="DW194" i="1" s="1"/>
  <c r="DW173" i="1"/>
  <c r="DR173" i="1"/>
  <c r="DS194" i="1"/>
  <c r="DR194" i="1" s="1"/>
  <c r="DR160" i="1"/>
  <c r="DS181" i="1"/>
  <c r="DW188" i="1"/>
  <c r="DX209" i="1"/>
  <c r="DW209" i="1" s="1"/>
  <c r="DR153" i="1"/>
  <c r="DS174" i="1"/>
  <c r="DR157" i="1"/>
  <c r="DS178" i="1"/>
  <c r="DX202" i="1"/>
  <c r="DW202" i="1" s="1"/>
  <c r="DW181" i="1"/>
  <c r="DR182" i="1"/>
  <c r="DS203" i="1"/>
  <c r="DR203" i="1" s="1"/>
  <c r="CF183" i="1"/>
  <c r="CE162" i="1"/>
  <c r="DY178" i="1"/>
  <c r="DZ199" i="1"/>
  <c r="DY199" i="1" s="1"/>
  <c r="DZ196" i="1"/>
  <c r="DY196" i="1" s="1"/>
  <c r="DY175" i="1"/>
  <c r="DR166" i="1"/>
  <c r="DS187" i="1"/>
  <c r="DS185" i="1"/>
  <c r="DR164" i="1"/>
  <c r="DS204" i="1"/>
  <c r="DR204" i="1" s="1"/>
  <c r="DR183" i="1"/>
  <c r="DR172" i="1"/>
  <c r="DS193" i="1"/>
  <c r="DR193" i="1" s="1"/>
  <c r="DZ200" i="1"/>
  <c r="DY200" i="1" s="1"/>
  <c r="DY179" i="1"/>
  <c r="DR171" i="1"/>
  <c r="DS192" i="1"/>
  <c r="DR192" i="1" s="1"/>
  <c r="DZ202" i="1"/>
  <c r="DY202" i="1" s="1"/>
  <c r="DY181" i="1"/>
  <c r="DX200" i="1"/>
  <c r="DW200" i="1" s="1"/>
  <c r="DW179" i="1"/>
  <c r="DS177" i="1"/>
  <c r="DR156" i="1"/>
  <c r="DW182" i="1"/>
  <c r="DX203" i="1"/>
  <c r="DW203" i="1" s="1"/>
  <c r="DY180" i="1"/>
  <c r="DZ201" i="1"/>
  <c r="DY201" i="1" s="1"/>
  <c r="DW155" i="1"/>
  <c r="DX176" i="1"/>
  <c r="DR186" i="1"/>
  <c r="DS207" i="1"/>
  <c r="DR207" i="1" s="1"/>
  <c r="DZ187" i="1"/>
  <c r="DY166" i="1"/>
  <c r="DR184" i="1"/>
  <c r="DS205" i="1"/>
  <c r="DR205" i="1" s="1"/>
  <c r="DR167" i="1"/>
  <c r="DS188" i="1"/>
  <c r="DX205" i="1"/>
  <c r="DW205" i="1" s="1"/>
  <c r="DW184" i="1"/>
  <c r="DX185" i="1"/>
  <c r="DW164" i="1"/>
  <c r="DX201" i="1"/>
  <c r="DW201" i="1" s="1"/>
  <c r="DW180" i="1"/>
  <c r="DY176" i="1"/>
  <c r="DZ197" i="1"/>
  <c r="DY197" i="1" s="1"/>
  <c r="DW187" i="1"/>
  <c r="DX208" i="1"/>
  <c r="DW208" i="1" s="1"/>
  <c r="DW190" i="1"/>
  <c r="DX211" i="1"/>
  <c r="DW211" i="1" s="1"/>
  <c r="DY189" i="1"/>
  <c r="DZ210" i="1"/>
  <c r="DY210" i="1" s="1"/>
  <c r="DY185" i="1"/>
  <c r="DZ206" i="1"/>
  <c r="DY206" i="1" s="1"/>
  <c r="DZ205" i="1"/>
  <c r="DY205" i="1" s="1"/>
  <c r="DY184" i="1"/>
  <c r="DW157" i="1"/>
  <c r="DX178" i="1"/>
  <c r="DX207" i="1"/>
  <c r="DW207" i="1" s="1"/>
  <c r="DW186" i="1"/>
  <c r="DZ172" i="1"/>
  <c r="DY151" i="1"/>
  <c r="DY156" i="1"/>
  <c r="DZ177" i="1"/>
  <c r="DZ212" i="1"/>
  <c r="DY212" i="1" s="1"/>
  <c r="DY191" i="1"/>
  <c r="DZ192" i="1"/>
  <c r="DY192" i="1" s="1"/>
  <c r="DY171" i="1"/>
  <c r="DW183" i="1"/>
  <c r="DX204" i="1"/>
  <c r="DW204" i="1" s="1"/>
  <c r="DW177" i="1"/>
  <c r="DX198" i="1"/>
  <c r="DW198" i="1" s="1"/>
  <c r="DY165" i="1"/>
  <c r="DZ186" i="1"/>
  <c r="DY152" i="1"/>
  <c r="DZ173" i="1"/>
  <c r="DR176" i="1"/>
  <c r="DS197" i="1"/>
  <c r="DR197" i="1" s="1"/>
  <c r="DS189" i="1"/>
  <c r="DR168" i="1"/>
  <c r="DR180" i="1"/>
  <c r="DS201" i="1"/>
  <c r="DR201" i="1" s="1"/>
  <c r="DS212" i="1"/>
  <c r="DR212" i="1" s="1"/>
  <c r="DR191" i="1"/>
  <c r="CF207" i="1"/>
  <c r="CE207" i="1" s="1"/>
  <c r="CE186" i="1"/>
  <c r="DD289" i="1"/>
  <c r="DC289" i="1" s="1"/>
  <c r="BT299" i="1"/>
  <c r="CF208" i="1"/>
  <c r="CE208" i="1" s="1"/>
  <c r="CE187" i="1"/>
  <c r="AR180" i="1"/>
  <c r="DE180" i="1"/>
  <c r="DD159" i="1"/>
  <c r="DC159" i="1" s="1"/>
  <c r="DE191" i="1"/>
  <c r="DD170" i="1"/>
  <c r="DC170" i="1" s="1"/>
  <c r="DD164" i="1"/>
  <c r="DC164" i="1" s="1"/>
  <c r="DE185" i="1"/>
  <c r="BT312" i="1"/>
  <c r="DD302" i="1"/>
  <c r="DC302" i="1" s="1"/>
  <c r="DD165" i="1"/>
  <c r="DC165" i="1" s="1"/>
  <c r="DE186" i="1"/>
  <c r="DA165" i="1"/>
  <c r="CZ186" i="1"/>
  <c r="DA161" i="1"/>
  <c r="CZ182" i="1"/>
  <c r="BV300" i="1"/>
  <c r="DL300" i="1" s="1"/>
  <c r="DA290" i="1"/>
  <c r="BV287" i="1"/>
  <c r="DL287" i="1" s="1"/>
  <c r="DA277" i="1"/>
  <c r="AR212" i="1"/>
  <c r="BV285" i="1"/>
  <c r="DL285" i="1" s="1"/>
  <c r="DA275" i="1"/>
  <c r="DE193" i="1"/>
  <c r="DD193" i="1" s="1"/>
  <c r="DC193" i="1" s="1"/>
  <c r="DD172" i="1"/>
  <c r="DC172" i="1" s="1"/>
  <c r="BT301" i="1"/>
  <c r="DD291" i="1"/>
  <c r="DC291" i="1" s="1"/>
  <c r="CZ208" i="1"/>
  <c r="DA187" i="1"/>
  <c r="DD300" i="1"/>
  <c r="DC300" i="1" s="1"/>
  <c r="BT310" i="1"/>
  <c r="DE189" i="1"/>
  <c r="DD168" i="1"/>
  <c r="DC168" i="1" s="1"/>
  <c r="CZ188" i="1"/>
  <c r="DA167" i="1"/>
  <c r="BV286" i="1"/>
  <c r="DL286" i="1" s="1"/>
  <c r="DA276" i="1"/>
  <c r="AR194" i="1"/>
  <c r="CZ197" i="1"/>
  <c r="DA176" i="1"/>
  <c r="DD163" i="1"/>
  <c r="DC163" i="1" s="1"/>
  <c r="DE184" i="1"/>
  <c r="DJ162" i="1"/>
  <c r="DI183" i="1"/>
  <c r="CZ177" i="1"/>
  <c r="DA156" i="1"/>
  <c r="AR189" i="1"/>
  <c r="DJ167" i="1"/>
  <c r="DI188" i="1"/>
  <c r="CZ173" i="1"/>
  <c r="DA152" i="1"/>
  <c r="BT313" i="1"/>
  <c r="DD303" i="1"/>
  <c r="DC303" i="1" s="1"/>
  <c r="DD157" i="1"/>
  <c r="DC157" i="1" s="1"/>
  <c r="DE178" i="1"/>
  <c r="DI206" i="1"/>
  <c r="DJ206" i="1" s="1"/>
  <c r="DJ185" i="1"/>
  <c r="CZ206" i="1"/>
  <c r="DA185" i="1"/>
  <c r="DI203" i="1"/>
  <c r="DJ203" i="1" s="1"/>
  <c r="DJ182" i="1"/>
  <c r="AR200" i="1"/>
  <c r="DA184" i="1"/>
  <c r="CZ205" i="1"/>
  <c r="DI199" i="1"/>
  <c r="DJ199" i="1" s="1"/>
  <c r="DJ178" i="1"/>
  <c r="DJ172" i="1"/>
  <c r="DI193" i="1"/>
  <c r="DJ193" i="1" s="1"/>
  <c r="AR207" i="1"/>
  <c r="CZ204" i="1"/>
  <c r="DA183" i="1"/>
  <c r="DE211" i="1"/>
  <c r="DD211" i="1" s="1"/>
  <c r="DC211" i="1" s="1"/>
  <c r="DD190" i="1"/>
  <c r="DC190" i="1" s="1"/>
  <c r="DA179" i="1"/>
  <c r="CZ200" i="1"/>
  <c r="CZ201" i="1"/>
  <c r="DA180" i="1"/>
  <c r="AR185" i="1"/>
  <c r="AR183" i="1"/>
  <c r="BT298" i="1"/>
  <c r="DD288" i="1"/>
  <c r="DC288" i="1" s="1"/>
  <c r="CZ190" i="1"/>
  <c r="DA169" i="1"/>
  <c r="BV292" i="1"/>
  <c r="DL292" i="1" s="1"/>
  <c r="DA282" i="1"/>
  <c r="AR190" i="1"/>
  <c r="AR195" i="1"/>
  <c r="BT304" i="1"/>
  <c r="DD294" i="1"/>
  <c r="DC294" i="1" s="1"/>
  <c r="DA278" i="1"/>
  <c r="BV288" i="1"/>
  <c r="DL288" i="1" s="1"/>
  <c r="DD285" i="1"/>
  <c r="DC285" i="1" s="1"/>
  <c r="BT295" i="1"/>
  <c r="AR202" i="1"/>
  <c r="DD183" i="1"/>
  <c r="DC183" i="1" s="1"/>
  <c r="DE204" i="1"/>
  <c r="DD204" i="1" s="1"/>
  <c r="DC204" i="1" s="1"/>
  <c r="DA150" i="1"/>
  <c r="CZ171" i="1"/>
  <c r="DI196" i="1"/>
  <c r="DJ196" i="1" s="1"/>
  <c r="DJ175" i="1"/>
  <c r="DJ179" i="1"/>
  <c r="DI200" i="1"/>
  <c r="DJ200" i="1" s="1"/>
  <c r="BT296" i="1"/>
  <c r="DD286" i="1"/>
  <c r="DC286" i="1" s="1"/>
  <c r="DI195" i="1"/>
  <c r="DJ195" i="1" s="1"/>
  <c r="DJ174" i="1"/>
  <c r="AR205" i="1"/>
  <c r="DA151" i="1"/>
  <c r="CZ172" i="1"/>
  <c r="AR196" i="1"/>
  <c r="DJ150" i="1"/>
  <c r="DI171" i="1"/>
  <c r="DA157" i="1"/>
  <c r="CZ178" i="1"/>
  <c r="CZ189" i="1"/>
  <c r="DA168" i="1"/>
  <c r="DE203" i="1"/>
  <c r="DD203" i="1" s="1"/>
  <c r="DC203" i="1" s="1"/>
  <c r="DD182" i="1"/>
  <c r="DC182" i="1" s="1"/>
  <c r="DE188" i="1"/>
  <c r="DD167" i="1"/>
  <c r="DC167" i="1" s="1"/>
  <c r="AR187" i="1"/>
  <c r="BV284" i="1"/>
  <c r="DL284" i="1" s="1"/>
  <c r="DA274" i="1"/>
  <c r="DE195" i="1"/>
  <c r="DD195" i="1" s="1"/>
  <c r="DC195" i="1" s="1"/>
  <c r="DD174" i="1"/>
  <c r="DC174" i="1" s="1"/>
  <c r="BT307" i="1"/>
  <c r="DD297" i="1"/>
  <c r="DC297" i="1" s="1"/>
  <c r="DI211" i="1"/>
  <c r="DJ211" i="1" s="1"/>
  <c r="DJ190" i="1"/>
  <c r="BV301" i="1" l="1"/>
  <c r="DL301" i="1" s="1"/>
  <c r="DA291" i="1"/>
  <c r="M550" i="1"/>
  <c r="K550" i="1"/>
  <c r="K544" i="1"/>
  <c r="M544" i="1"/>
  <c r="M546" i="1"/>
  <c r="K546" i="1"/>
  <c r="K552" i="1"/>
  <c r="M552" i="1"/>
  <c r="K545" i="1"/>
  <c r="M545" i="1"/>
  <c r="M547" i="1"/>
  <c r="K547" i="1"/>
  <c r="DA289" i="1"/>
  <c r="M551" i="1"/>
  <c r="K551" i="1"/>
  <c r="K543" i="1"/>
  <c r="M543" i="1"/>
  <c r="BV299" i="1"/>
  <c r="DL299" i="1" s="1"/>
  <c r="M549" i="1"/>
  <c r="K549" i="1"/>
  <c r="M548" i="1"/>
  <c r="K548" i="1"/>
  <c r="DL539" i="1"/>
  <c r="DL536" i="1"/>
  <c r="DL534" i="1"/>
  <c r="DL535" i="1"/>
  <c r="DL538" i="1"/>
  <c r="DL537" i="1"/>
  <c r="DL542" i="1"/>
  <c r="DL533" i="1"/>
  <c r="DL541" i="1"/>
  <c r="DL540" i="1"/>
  <c r="DL283" i="1"/>
  <c r="BV293" i="1"/>
  <c r="DA283" i="1"/>
  <c r="DA541" i="1"/>
  <c r="BV551" i="1"/>
  <c r="BV552" i="1"/>
  <c r="DA542" i="1"/>
  <c r="BT557" i="1"/>
  <c r="DD547" i="1"/>
  <c r="DC547" i="1" s="1"/>
  <c r="DD551" i="1"/>
  <c r="DC551" i="1" s="1"/>
  <c r="BT561" i="1"/>
  <c r="BV550" i="1"/>
  <c r="DA540" i="1"/>
  <c r="DA536" i="1"/>
  <c r="BV546" i="1"/>
  <c r="DA539" i="1"/>
  <c r="BV549" i="1"/>
  <c r="BT553" i="1"/>
  <c r="DD543" i="1"/>
  <c r="DC543" i="1" s="1"/>
  <c r="BT558" i="1"/>
  <c r="DD548" i="1"/>
  <c r="DC548" i="1" s="1"/>
  <c r="DA534" i="1"/>
  <c r="BV544" i="1"/>
  <c r="BV545" i="1"/>
  <c r="DA535" i="1"/>
  <c r="BT559" i="1"/>
  <c r="DD549" i="1"/>
  <c r="DC549" i="1" s="1"/>
  <c r="DA538" i="1"/>
  <c r="BV548" i="1"/>
  <c r="DD552" i="1"/>
  <c r="DC552" i="1" s="1"/>
  <c r="BT562" i="1"/>
  <c r="BV543" i="1"/>
  <c r="DA533" i="1"/>
  <c r="BT560" i="1"/>
  <c r="DD550" i="1"/>
  <c r="DC550" i="1" s="1"/>
  <c r="DD544" i="1"/>
  <c r="DC544" i="1" s="1"/>
  <c r="BT554" i="1"/>
  <c r="DA537" i="1"/>
  <c r="BV547" i="1"/>
  <c r="DD545" i="1"/>
  <c r="DC545" i="1" s="1"/>
  <c r="BT555" i="1"/>
  <c r="BT556" i="1"/>
  <c r="DD546" i="1"/>
  <c r="DC546" i="1" s="1"/>
  <c r="BM198" i="1"/>
  <c r="BM210" i="1"/>
  <c r="BM203" i="1"/>
  <c r="BM211" i="1"/>
  <c r="BM206" i="1"/>
  <c r="BM199" i="1"/>
  <c r="BM208" i="1"/>
  <c r="BM194" i="1"/>
  <c r="BM205" i="1"/>
  <c r="BM196" i="1"/>
  <c r="BM192" i="1"/>
  <c r="BM212" i="1"/>
  <c r="BM200" i="1"/>
  <c r="BM193" i="1"/>
  <c r="BM204" i="1"/>
  <c r="BM195" i="1"/>
  <c r="BM207" i="1"/>
  <c r="BK207" i="1" s="1"/>
  <c r="BR186" i="1"/>
  <c r="BM201" i="1"/>
  <c r="BR180" i="1"/>
  <c r="BM197" i="1"/>
  <c r="BR176" i="1"/>
  <c r="BM209" i="1"/>
  <c r="BK209" i="1" s="1"/>
  <c r="BR188" i="1"/>
  <c r="BM202" i="1"/>
  <c r="BR181" i="1"/>
  <c r="DY174" i="1"/>
  <c r="DZ195" i="1"/>
  <c r="DY195" i="1" s="1"/>
  <c r="DX195" i="1"/>
  <c r="DW195" i="1" s="1"/>
  <c r="DW174" i="1"/>
  <c r="DS202" i="1"/>
  <c r="DR202" i="1" s="1"/>
  <c r="DR181" i="1"/>
  <c r="DS199" i="1"/>
  <c r="DR199" i="1" s="1"/>
  <c r="DR178" i="1"/>
  <c r="DX192" i="1"/>
  <c r="DW192" i="1" s="1"/>
  <c r="DW171" i="1"/>
  <c r="DZ209" i="1"/>
  <c r="DY209" i="1" s="1"/>
  <c r="DY188" i="1"/>
  <c r="DZ203" i="1"/>
  <c r="DY203" i="1" s="1"/>
  <c r="DY182" i="1"/>
  <c r="DS195" i="1"/>
  <c r="DR195" i="1" s="1"/>
  <c r="DR174" i="1"/>
  <c r="DR187" i="1"/>
  <c r="DS208" i="1"/>
  <c r="DR208" i="1" s="1"/>
  <c r="DW176" i="1"/>
  <c r="DX197" i="1"/>
  <c r="DW197" i="1" s="1"/>
  <c r="DZ208" i="1"/>
  <c r="DY208" i="1" s="1"/>
  <c r="DY187" i="1"/>
  <c r="DR185" i="1"/>
  <c r="DS206" i="1"/>
  <c r="DR206" i="1" s="1"/>
  <c r="DS209" i="1"/>
  <c r="DR209" i="1" s="1"/>
  <c r="DR188" i="1"/>
  <c r="DS198" i="1"/>
  <c r="DR198" i="1" s="1"/>
  <c r="DR177" i="1"/>
  <c r="CF204" i="1"/>
  <c r="CE204" i="1" s="1"/>
  <c r="CE183" i="1"/>
  <c r="DY186" i="1"/>
  <c r="DZ207" i="1"/>
  <c r="DY207" i="1" s="1"/>
  <c r="DX199" i="1"/>
  <c r="DW199" i="1" s="1"/>
  <c r="DW178" i="1"/>
  <c r="DZ198" i="1"/>
  <c r="DY198" i="1" s="1"/>
  <c r="DY177" i="1"/>
  <c r="DY173" i="1"/>
  <c r="DZ194" i="1"/>
  <c r="DY194" i="1" s="1"/>
  <c r="DY172" i="1"/>
  <c r="DZ193" i="1"/>
  <c r="DY193" i="1" s="1"/>
  <c r="DX206" i="1"/>
  <c r="DW206" i="1" s="1"/>
  <c r="DW185" i="1"/>
  <c r="DS210" i="1"/>
  <c r="DR210" i="1" s="1"/>
  <c r="DR189" i="1"/>
  <c r="BT309" i="1"/>
  <c r="DD299" i="1"/>
  <c r="DC299" i="1" s="1"/>
  <c r="AR201" i="1"/>
  <c r="DA186" i="1"/>
  <c r="CZ207" i="1"/>
  <c r="DA207" i="1" s="1"/>
  <c r="DD185" i="1"/>
  <c r="DC185" i="1" s="1"/>
  <c r="DE206" i="1"/>
  <c r="DD206" i="1" s="1"/>
  <c r="DC206" i="1" s="1"/>
  <c r="DD186" i="1"/>
  <c r="DC186" i="1" s="1"/>
  <c r="DE207" i="1"/>
  <c r="DD207" i="1" s="1"/>
  <c r="DC207" i="1" s="1"/>
  <c r="CZ203" i="1"/>
  <c r="DA182" i="1"/>
  <c r="DE212" i="1"/>
  <c r="DD212" i="1" s="1"/>
  <c r="DC212" i="1" s="1"/>
  <c r="DD191" i="1"/>
  <c r="DC191" i="1" s="1"/>
  <c r="BT322" i="1"/>
  <c r="DD312" i="1"/>
  <c r="DC312" i="1" s="1"/>
  <c r="DD180" i="1"/>
  <c r="DC180" i="1" s="1"/>
  <c r="DE201" i="1"/>
  <c r="DD201" i="1" s="1"/>
  <c r="DC201" i="1" s="1"/>
  <c r="BT314" i="1"/>
  <c r="DD304" i="1"/>
  <c r="DC304" i="1" s="1"/>
  <c r="BV296" i="1"/>
  <c r="DL296" i="1" s="1"/>
  <c r="DA286" i="1"/>
  <c r="AR206" i="1"/>
  <c r="DE209" i="1"/>
  <c r="DD209" i="1" s="1"/>
  <c r="DC209" i="1" s="1"/>
  <c r="DD188" i="1"/>
  <c r="DC188" i="1" s="1"/>
  <c r="DA204" i="1"/>
  <c r="DA200" i="1"/>
  <c r="DD184" i="1"/>
  <c r="DC184" i="1" s="1"/>
  <c r="DE205" i="1"/>
  <c r="DD205" i="1" s="1"/>
  <c r="DC205" i="1" s="1"/>
  <c r="DD307" i="1"/>
  <c r="DC307" i="1" s="1"/>
  <c r="BT317" i="1"/>
  <c r="DA287" i="1"/>
  <c r="BV297" i="1"/>
  <c r="DL297" i="1" s="1"/>
  <c r="AR210" i="1"/>
  <c r="DA188" i="1"/>
  <c r="CZ209" i="1"/>
  <c r="DA172" i="1"/>
  <c r="CZ193" i="1"/>
  <c r="AR211" i="1"/>
  <c r="DJ183" i="1"/>
  <c r="DI204" i="1"/>
  <c r="DJ204" i="1" s="1"/>
  <c r="DA189" i="1"/>
  <c r="CZ210" i="1"/>
  <c r="CZ199" i="1"/>
  <c r="DA178" i="1"/>
  <c r="BV302" i="1"/>
  <c r="DL302" i="1" s="1"/>
  <c r="DA292" i="1"/>
  <c r="DD178" i="1"/>
  <c r="DC178" i="1" s="1"/>
  <c r="DE199" i="1"/>
  <c r="DD199" i="1" s="1"/>
  <c r="DC199" i="1" s="1"/>
  <c r="DD298" i="1"/>
  <c r="DC298" i="1" s="1"/>
  <c r="BT308" i="1"/>
  <c r="DA173" i="1"/>
  <c r="CZ194" i="1"/>
  <c r="AR208" i="1"/>
  <c r="AR204" i="1"/>
  <c r="DA285" i="1"/>
  <c r="BV295" i="1"/>
  <c r="DL295" i="1" s="1"/>
  <c r="DA206" i="1"/>
  <c r="DE210" i="1"/>
  <c r="DD210" i="1" s="1"/>
  <c r="DC210" i="1" s="1"/>
  <c r="DD189" i="1"/>
  <c r="DC189" i="1" s="1"/>
  <c r="DA201" i="1"/>
  <c r="DD310" i="1"/>
  <c r="DC310" i="1" s="1"/>
  <c r="BT320" i="1"/>
  <c r="BV311" i="1"/>
  <c r="DL311" i="1" s="1"/>
  <c r="BT305" i="1"/>
  <c r="DD295" i="1"/>
  <c r="DC295" i="1" s="1"/>
  <c r="DA208" i="1"/>
  <c r="DD296" i="1"/>
  <c r="DC296" i="1" s="1"/>
  <c r="BT306" i="1"/>
  <c r="BV298" i="1"/>
  <c r="DL298" i="1" s="1"/>
  <c r="DA288" i="1"/>
  <c r="BT311" i="1"/>
  <c r="DD301" i="1"/>
  <c r="DC301" i="1" s="1"/>
  <c r="CZ192" i="1"/>
  <c r="DA171" i="1"/>
  <c r="DJ188" i="1"/>
  <c r="DI209" i="1"/>
  <c r="DJ209" i="1" s="1"/>
  <c r="DA300" i="1"/>
  <c r="BV310" i="1"/>
  <c r="DL310" i="1" s="1"/>
  <c r="CZ198" i="1"/>
  <c r="DA177" i="1"/>
  <c r="DA197" i="1"/>
  <c r="DA205" i="1"/>
  <c r="DD313" i="1"/>
  <c r="DC313" i="1" s="1"/>
  <c r="BT323" i="1"/>
  <c r="DJ171" i="1"/>
  <c r="DI192" i="1"/>
  <c r="DJ192" i="1" s="1"/>
  <c r="DA190" i="1"/>
  <c r="CZ211" i="1"/>
  <c r="BV294" i="1"/>
  <c r="DL294" i="1" s="1"/>
  <c r="DA284" i="1"/>
  <c r="DA301" i="1" l="1"/>
  <c r="BT567" i="1"/>
  <c r="DD567" i="1" s="1"/>
  <c r="DC567" i="1" s="1"/>
  <c r="CE557" i="1"/>
  <c r="BT563" i="1"/>
  <c r="CE563" i="1" s="1"/>
  <c r="CE553" i="1"/>
  <c r="BT572" i="1"/>
  <c r="BY572" i="1" s="1"/>
  <c r="CE562" i="1"/>
  <c r="BT566" i="1"/>
  <c r="DD566" i="1" s="1"/>
  <c r="DC566" i="1" s="1"/>
  <c r="CE556" i="1"/>
  <c r="BT564" i="1"/>
  <c r="DD564" i="1" s="1"/>
  <c r="DC564" i="1" s="1"/>
  <c r="CE554" i="1"/>
  <c r="BT565" i="1"/>
  <c r="CE565" i="1" s="1"/>
  <c r="CE555" i="1"/>
  <c r="BT569" i="1"/>
  <c r="BT579" i="1" s="1"/>
  <c r="CE559" i="1"/>
  <c r="BT568" i="1"/>
  <c r="CE568" i="1" s="1"/>
  <c r="CE558" i="1"/>
  <c r="BT570" i="1"/>
  <c r="BW570" i="1" s="1"/>
  <c r="CE560" i="1"/>
  <c r="BT571" i="1"/>
  <c r="BW571" i="1" s="1"/>
  <c r="CE561" i="1"/>
  <c r="BY564" i="1"/>
  <c r="M556" i="1"/>
  <c r="K556" i="1"/>
  <c r="M557" i="1"/>
  <c r="K557" i="1"/>
  <c r="BV309" i="1"/>
  <c r="DL309" i="1" s="1"/>
  <c r="M558" i="1"/>
  <c r="K558" i="1"/>
  <c r="M553" i="1"/>
  <c r="K553" i="1"/>
  <c r="DA299" i="1"/>
  <c r="K562" i="1"/>
  <c r="M562" i="1"/>
  <c r="M554" i="1"/>
  <c r="K554" i="1"/>
  <c r="M559" i="1"/>
  <c r="K559" i="1"/>
  <c r="M555" i="1"/>
  <c r="K555" i="1"/>
  <c r="M560" i="1"/>
  <c r="K560" i="1"/>
  <c r="K561" i="1"/>
  <c r="M561" i="1"/>
  <c r="DL546" i="1"/>
  <c r="DL547" i="1"/>
  <c r="DL544" i="1"/>
  <c r="DL552" i="1"/>
  <c r="DL551" i="1"/>
  <c r="DL550" i="1"/>
  <c r="DL545" i="1"/>
  <c r="DL548" i="1"/>
  <c r="DL549" i="1"/>
  <c r="DL543" i="1"/>
  <c r="DL293" i="1"/>
  <c r="DA293" i="1"/>
  <c r="BV303" i="1"/>
  <c r="BV553" i="1"/>
  <c r="DA543" i="1"/>
  <c r="BV559" i="1"/>
  <c r="DA549" i="1"/>
  <c r="BV558" i="1"/>
  <c r="DA548" i="1"/>
  <c r="BV556" i="1"/>
  <c r="DA546" i="1"/>
  <c r="DD557" i="1"/>
  <c r="DC557" i="1" s="1"/>
  <c r="DD562" i="1"/>
  <c r="DC562" i="1" s="1"/>
  <c r="BV560" i="1"/>
  <c r="DA550" i="1"/>
  <c r="DD556" i="1"/>
  <c r="DC556" i="1" s="1"/>
  <c r="BV557" i="1"/>
  <c r="DA547" i="1"/>
  <c r="DA552" i="1"/>
  <c r="BV562" i="1"/>
  <c r="DD553" i="1"/>
  <c r="DC553" i="1" s="1"/>
  <c r="DD554" i="1"/>
  <c r="DC554" i="1" s="1"/>
  <c r="BV561" i="1"/>
  <c r="DA551" i="1"/>
  <c r="DD558" i="1"/>
  <c r="DC558" i="1" s="1"/>
  <c r="DD559" i="1"/>
  <c r="DC559" i="1" s="1"/>
  <c r="DD561" i="1"/>
  <c r="DC561" i="1" s="1"/>
  <c r="DD555" i="1"/>
  <c r="DC555" i="1" s="1"/>
  <c r="DA545" i="1"/>
  <c r="BV555" i="1"/>
  <c r="BV554" i="1"/>
  <c r="DA544" i="1"/>
  <c r="DD560" i="1"/>
  <c r="DC560" i="1" s="1"/>
  <c r="BR209" i="1"/>
  <c r="BR207" i="1"/>
  <c r="BR197" i="1"/>
  <c r="BR201" i="1"/>
  <c r="BR202" i="1"/>
  <c r="BT319" i="1"/>
  <c r="DD309" i="1"/>
  <c r="DC309" i="1" s="1"/>
  <c r="DD322" i="1"/>
  <c r="DC322" i="1" s="1"/>
  <c r="BT332" i="1"/>
  <c r="DA203" i="1"/>
  <c r="DA211" i="1"/>
  <c r="DA192" i="1"/>
  <c r="DA209" i="1"/>
  <c r="DA198" i="1"/>
  <c r="BV304" i="1"/>
  <c r="DL304" i="1" s="1"/>
  <c r="DA294" i="1"/>
  <c r="BV305" i="1"/>
  <c r="DL305" i="1" s="1"/>
  <c r="DA295" i="1"/>
  <c r="DA311" i="1"/>
  <c r="BV321" i="1"/>
  <c r="DL321" i="1" s="1"/>
  <c r="DD323" i="1"/>
  <c r="DC323" i="1" s="1"/>
  <c r="BT333" i="1"/>
  <c r="DD333" i="1" s="1"/>
  <c r="DC333" i="1" s="1"/>
  <c r="BT321" i="1"/>
  <c r="DD311" i="1"/>
  <c r="DC311" i="1" s="1"/>
  <c r="DD317" i="1"/>
  <c r="DC317" i="1" s="1"/>
  <c r="BT327" i="1"/>
  <c r="DD320" i="1"/>
  <c r="DC320" i="1" s="1"/>
  <c r="BT330" i="1"/>
  <c r="DA193" i="1"/>
  <c r="BV306" i="1"/>
  <c r="DL306" i="1" s="1"/>
  <c r="DA296" i="1"/>
  <c r="BV320" i="1"/>
  <c r="DL320" i="1" s="1"/>
  <c r="DA310" i="1"/>
  <c r="BV307" i="1"/>
  <c r="DL307" i="1" s="1"/>
  <c r="DA297" i="1"/>
  <c r="BV312" i="1"/>
  <c r="DL312" i="1" s="1"/>
  <c r="DA302" i="1"/>
  <c r="DA298" i="1"/>
  <c r="BV308" i="1"/>
  <c r="DL308" i="1" s="1"/>
  <c r="DA199" i="1"/>
  <c r="DD306" i="1"/>
  <c r="DC306" i="1" s="1"/>
  <c r="BT316" i="1"/>
  <c r="DD305" i="1"/>
  <c r="DC305" i="1" s="1"/>
  <c r="BT315" i="1"/>
  <c r="DD308" i="1"/>
  <c r="DC308" i="1" s="1"/>
  <c r="BT318" i="1"/>
  <c r="DA210" i="1"/>
  <c r="DA194" i="1"/>
  <c r="DD314" i="1"/>
  <c r="DC314" i="1" s="1"/>
  <c r="BT324" i="1"/>
  <c r="BW563" i="1" l="1"/>
  <c r="BV566" i="1"/>
  <c r="BT573" i="1"/>
  <c r="BY563" i="1"/>
  <c r="BW567" i="1"/>
  <c r="BV567" i="1"/>
  <c r="CE566" i="1"/>
  <c r="BT577" i="1"/>
  <c r="DD563" i="1"/>
  <c r="DC563" i="1" s="1"/>
  <c r="CE567" i="1"/>
  <c r="BW566" i="1"/>
  <c r="BX563" i="1"/>
  <c r="BV563" i="1"/>
  <c r="DJ563" i="1" s="1"/>
  <c r="BY567" i="1"/>
  <c r="BX566" i="1"/>
  <c r="BX567" i="1"/>
  <c r="BY570" i="1"/>
  <c r="BX564" i="1"/>
  <c r="BW564" i="1"/>
  <c r="BV570" i="1"/>
  <c r="DJ570" i="1" s="1"/>
  <c r="BT580" i="1"/>
  <c r="BW580" i="1" s="1"/>
  <c r="BV564" i="1"/>
  <c r="DD570" i="1"/>
  <c r="DC570" i="1" s="1"/>
  <c r="CE564" i="1"/>
  <c r="BX570" i="1"/>
  <c r="BT574" i="1"/>
  <c r="DD574" i="1" s="1"/>
  <c r="DC574" i="1" s="1"/>
  <c r="DD568" i="1"/>
  <c r="DC568" i="1" s="1"/>
  <c r="BX568" i="1"/>
  <c r="BV568" i="1"/>
  <c r="DA568" i="1" s="1"/>
  <c r="BT578" i="1"/>
  <c r="BY578" i="1" s="1"/>
  <c r="BT575" i="1"/>
  <c r="BV575" i="1" s="1"/>
  <c r="DD565" i="1"/>
  <c r="DC565" i="1" s="1"/>
  <c r="BY565" i="1"/>
  <c r="BW568" i="1"/>
  <c r="BX572" i="1"/>
  <c r="BW572" i="1"/>
  <c r="BY568" i="1"/>
  <c r="BX565" i="1"/>
  <c r="BW565" i="1"/>
  <c r="BV565" i="1"/>
  <c r="DJ565" i="1" s="1"/>
  <c r="BT576" i="1"/>
  <c r="DD576" i="1" s="1"/>
  <c r="DC576" i="1" s="1"/>
  <c r="BY566" i="1"/>
  <c r="BV572" i="1"/>
  <c r="BX569" i="1"/>
  <c r="DD572" i="1"/>
  <c r="DC572" i="1" s="1"/>
  <c r="BV569" i="1"/>
  <c r="CE572" i="1"/>
  <c r="BT581" i="1"/>
  <c r="BW581" i="1" s="1"/>
  <c r="CE571" i="1"/>
  <c r="BY569" i="1"/>
  <c r="BW569" i="1"/>
  <c r="DD569" i="1"/>
  <c r="DC569" i="1" s="1"/>
  <c r="BY571" i="1"/>
  <c r="CE569" i="1"/>
  <c r="BV571" i="1"/>
  <c r="BV319" i="1"/>
  <c r="DL319" i="1" s="1"/>
  <c r="BT582" i="1"/>
  <c r="DD582" i="1" s="1"/>
  <c r="DC582" i="1" s="1"/>
  <c r="BX571" i="1"/>
  <c r="DD571" i="1"/>
  <c r="DC571" i="1" s="1"/>
  <c r="DA309" i="1"/>
  <c r="CE570" i="1"/>
  <c r="DD573" i="1"/>
  <c r="DC573" i="1" s="1"/>
  <c r="BV573" i="1"/>
  <c r="BY573" i="1"/>
  <c r="BW573" i="1"/>
  <c r="BX573" i="1"/>
  <c r="BY579" i="1"/>
  <c r="DD579" i="1"/>
  <c r="DC579" i="1" s="1"/>
  <c r="BV579" i="1"/>
  <c r="BW579" i="1"/>
  <c r="BX579" i="1"/>
  <c r="DL563" i="1"/>
  <c r="BY580" i="1"/>
  <c r="BX580" i="1"/>
  <c r="BV580" i="1"/>
  <c r="DA566" i="1"/>
  <c r="DL566" i="1"/>
  <c r="DJ566" i="1"/>
  <c r="DD577" i="1"/>
  <c r="DC577" i="1" s="1"/>
  <c r="BY577" i="1"/>
  <c r="BW577" i="1"/>
  <c r="BV577" i="1"/>
  <c r="BX577" i="1"/>
  <c r="DL556" i="1"/>
  <c r="DL558" i="1"/>
  <c r="DL562" i="1"/>
  <c r="DL554" i="1"/>
  <c r="DL557" i="1"/>
  <c r="DL560" i="1"/>
  <c r="DL555" i="1"/>
  <c r="DL561" i="1"/>
  <c r="DL553" i="1"/>
  <c r="DL559" i="1"/>
  <c r="DL303" i="1"/>
  <c r="BV313" i="1"/>
  <c r="DA303" i="1"/>
  <c r="DA557" i="1"/>
  <c r="DA556" i="1"/>
  <c r="DA555" i="1"/>
  <c r="DA560" i="1"/>
  <c r="DA561" i="1"/>
  <c r="DA558" i="1"/>
  <c r="DA562" i="1"/>
  <c r="DA559" i="1"/>
  <c r="DA553" i="1"/>
  <c r="DA554" i="1"/>
  <c r="BT329" i="1"/>
  <c r="DD319" i="1"/>
  <c r="DC319" i="1" s="1"/>
  <c r="BT342" i="1"/>
  <c r="DD342" i="1" s="1"/>
  <c r="DC342" i="1" s="1"/>
  <c r="DD332" i="1"/>
  <c r="DC332" i="1" s="1"/>
  <c r="BT340" i="1"/>
  <c r="DD340" i="1" s="1"/>
  <c r="DC340" i="1" s="1"/>
  <c r="DD330" i="1"/>
  <c r="DC330" i="1" s="1"/>
  <c r="DD327" i="1"/>
  <c r="DC327" i="1" s="1"/>
  <c r="BT337" i="1"/>
  <c r="DD337" i="1" s="1"/>
  <c r="DC337" i="1" s="1"/>
  <c r="DA307" i="1"/>
  <c r="BV317" i="1"/>
  <c r="DL317" i="1" s="1"/>
  <c r="DA308" i="1"/>
  <c r="BV318" i="1"/>
  <c r="DL318" i="1" s="1"/>
  <c r="BT331" i="1"/>
  <c r="DD321" i="1"/>
  <c r="DC321" i="1" s="1"/>
  <c r="DD324" i="1"/>
  <c r="DC324" i="1" s="1"/>
  <c r="BT334" i="1"/>
  <c r="DD334" i="1" s="1"/>
  <c r="DC334" i="1" s="1"/>
  <c r="DA312" i="1"/>
  <c r="BV322" i="1"/>
  <c r="DL322" i="1" s="1"/>
  <c r="DA305" i="1"/>
  <c r="BV315" i="1"/>
  <c r="DL315" i="1" s="1"/>
  <c r="BT328" i="1"/>
  <c r="DD318" i="1"/>
  <c r="DC318" i="1" s="1"/>
  <c r="DD316" i="1"/>
  <c r="DC316" i="1" s="1"/>
  <c r="BT326" i="1"/>
  <c r="DA304" i="1"/>
  <c r="BV314" i="1"/>
  <c r="DL314" i="1" s="1"/>
  <c r="DA320" i="1"/>
  <c r="BV330" i="1"/>
  <c r="DL330" i="1" s="1"/>
  <c r="DJ320" i="1"/>
  <c r="DA321" i="1"/>
  <c r="BV331" i="1"/>
  <c r="DL331" i="1" s="1"/>
  <c r="DJ321" i="1"/>
  <c r="DA306" i="1"/>
  <c r="BV316" i="1"/>
  <c r="DL316" i="1" s="1"/>
  <c r="BT325" i="1"/>
  <c r="DD315" i="1"/>
  <c r="DC315" i="1" s="1"/>
  <c r="DL568" i="1" l="1"/>
  <c r="DD580" i="1"/>
  <c r="DC580" i="1" s="1"/>
  <c r="DL567" i="1"/>
  <c r="DA567" i="1"/>
  <c r="BW578" i="1"/>
  <c r="DD578" i="1"/>
  <c r="DC578" i="1" s="1"/>
  <c r="DJ567" i="1"/>
  <c r="BV578" i="1"/>
  <c r="BX578" i="1"/>
  <c r="DA563" i="1"/>
  <c r="BW574" i="1"/>
  <c r="BX574" i="1"/>
  <c r="BV574" i="1"/>
  <c r="DA574" i="1" s="1"/>
  <c r="DA564" i="1"/>
  <c r="DA570" i="1"/>
  <c r="DJ564" i="1"/>
  <c r="BY574" i="1"/>
  <c r="DL564" i="1"/>
  <c r="DL570" i="1"/>
  <c r="BW575" i="1"/>
  <c r="DD575" i="1"/>
  <c r="DC575" i="1" s="1"/>
  <c r="BY575" i="1"/>
  <c r="DJ568" i="1"/>
  <c r="BX575" i="1"/>
  <c r="BW582" i="1"/>
  <c r="DL565" i="1"/>
  <c r="DA565" i="1"/>
  <c r="BV576" i="1"/>
  <c r="DA576" i="1" s="1"/>
  <c r="BW576" i="1"/>
  <c r="BX576" i="1"/>
  <c r="DL572" i="1"/>
  <c r="DA572" i="1"/>
  <c r="BY576" i="1"/>
  <c r="DJ572" i="1"/>
  <c r="DA571" i="1"/>
  <c r="DJ571" i="1"/>
  <c r="DL571" i="1"/>
  <c r="BX582" i="1"/>
  <c r="BV582" i="1"/>
  <c r="DA582" i="1" s="1"/>
  <c r="BX581" i="1"/>
  <c r="BY581" i="1"/>
  <c r="DD581" i="1"/>
  <c r="DC581" i="1" s="1"/>
  <c r="BV581" i="1"/>
  <c r="DL581" i="1" s="1"/>
  <c r="DA569" i="1"/>
  <c r="DL569" i="1"/>
  <c r="DJ569" i="1"/>
  <c r="BY582" i="1"/>
  <c r="DJ319" i="1"/>
  <c r="BV329" i="1"/>
  <c r="DL329" i="1" s="1"/>
  <c r="DA319" i="1"/>
  <c r="DL575" i="1"/>
  <c r="DJ575" i="1"/>
  <c r="DA575" i="1"/>
  <c r="DL579" i="1"/>
  <c r="DJ579" i="1"/>
  <c r="DA579" i="1"/>
  <c r="DL577" i="1"/>
  <c r="DA577" i="1"/>
  <c r="DJ577" i="1"/>
  <c r="DL580" i="1"/>
  <c r="DA580" i="1"/>
  <c r="DJ580" i="1"/>
  <c r="DA573" i="1"/>
  <c r="DL573" i="1"/>
  <c r="DJ573" i="1"/>
  <c r="DA578" i="1"/>
  <c r="DJ578" i="1"/>
  <c r="DL578" i="1"/>
  <c r="DL313" i="1"/>
  <c r="DA313" i="1"/>
  <c r="BV323" i="1"/>
  <c r="DJ313" i="1"/>
  <c r="DD329" i="1"/>
  <c r="DC329" i="1" s="1"/>
  <c r="BT339" i="1"/>
  <c r="DD339" i="1" s="1"/>
  <c r="DC339" i="1" s="1"/>
  <c r="DA314" i="1"/>
  <c r="BV324" i="1"/>
  <c r="DL324" i="1" s="1"/>
  <c r="DJ314" i="1"/>
  <c r="BT338" i="1"/>
  <c r="DD338" i="1" s="1"/>
  <c r="DC338" i="1" s="1"/>
  <c r="DD328" i="1"/>
  <c r="DC328" i="1" s="1"/>
  <c r="BV332" i="1"/>
  <c r="DL332" i="1" s="1"/>
  <c r="DJ322" i="1"/>
  <c r="DA322" i="1"/>
  <c r="BT336" i="1"/>
  <c r="DD336" i="1" s="1"/>
  <c r="DC336" i="1" s="1"/>
  <c r="DD326" i="1"/>
  <c r="DC326" i="1" s="1"/>
  <c r="DD325" i="1"/>
  <c r="DC325" i="1" s="1"/>
  <c r="BT335" i="1"/>
  <c r="DD335" i="1" s="1"/>
  <c r="DC335" i="1" s="1"/>
  <c r="DD331" i="1"/>
  <c r="DC331" i="1" s="1"/>
  <c r="BT341" i="1"/>
  <c r="DD341" i="1" s="1"/>
  <c r="DC341" i="1" s="1"/>
  <c r="BV326" i="1"/>
  <c r="DL326" i="1" s="1"/>
  <c r="DA316" i="1"/>
  <c r="DJ316" i="1"/>
  <c r="DA317" i="1"/>
  <c r="DJ317" i="1"/>
  <c r="BV327" i="1"/>
  <c r="DL327" i="1" s="1"/>
  <c r="DA331" i="1"/>
  <c r="DJ331" i="1"/>
  <c r="BV341" i="1"/>
  <c r="DL341" i="1" s="1"/>
  <c r="DA315" i="1"/>
  <c r="BV325" i="1"/>
  <c r="DL325" i="1" s="1"/>
  <c r="DJ315" i="1"/>
  <c r="DJ330" i="1"/>
  <c r="DA330" i="1"/>
  <c r="BV340" i="1"/>
  <c r="DL340" i="1" s="1"/>
  <c r="DA318" i="1"/>
  <c r="DJ318" i="1"/>
  <c r="BV328" i="1"/>
  <c r="DL328" i="1" s="1"/>
  <c r="DJ574" i="1" l="1"/>
  <c r="DL574" i="1"/>
  <c r="DJ576" i="1"/>
  <c r="DL576" i="1"/>
  <c r="DA581" i="1"/>
  <c r="DJ581" i="1"/>
  <c r="DL582" i="1"/>
  <c r="BV339" i="1"/>
  <c r="DL339" i="1" s="1"/>
  <c r="DA329" i="1"/>
  <c r="DJ582" i="1"/>
  <c r="DJ329" i="1"/>
  <c r="DL323" i="1"/>
  <c r="DJ323" i="1"/>
  <c r="BV333" i="1"/>
  <c r="DA323" i="1"/>
  <c r="DJ325" i="1"/>
  <c r="BV335" i="1"/>
  <c r="DL335" i="1" s="1"/>
  <c r="DA325" i="1"/>
  <c r="DJ339" i="1"/>
  <c r="DA339" i="1"/>
  <c r="DJ341" i="1"/>
  <c r="DA341" i="1"/>
  <c r="DJ332" i="1"/>
  <c r="BV342" i="1"/>
  <c r="DL342" i="1" s="1"/>
  <c r="DA332" i="1"/>
  <c r="DA327" i="1"/>
  <c r="BV337" i="1"/>
  <c r="DL337" i="1" s="1"/>
  <c r="DJ327" i="1"/>
  <c r="DA328" i="1"/>
  <c r="BV338" i="1"/>
  <c r="DL338" i="1" s="1"/>
  <c r="DJ328" i="1"/>
  <c r="BV336" i="1"/>
  <c r="DL336" i="1" s="1"/>
  <c r="DJ326" i="1"/>
  <c r="DA326" i="1"/>
  <c r="DJ324" i="1"/>
  <c r="BV334" i="1"/>
  <c r="DL334" i="1" s="1"/>
  <c r="DA324" i="1"/>
  <c r="DA340" i="1"/>
  <c r="DJ340" i="1"/>
  <c r="DL333" i="1" l="1"/>
  <c r="DJ333" i="1"/>
  <c r="DA333" i="1"/>
  <c r="DJ334" i="1"/>
  <c r="DA334" i="1"/>
  <c r="DJ337" i="1"/>
  <c r="DA337" i="1"/>
  <c r="DA335" i="1"/>
  <c r="DJ335" i="1"/>
  <c r="DJ342" i="1"/>
  <c r="DA342" i="1"/>
  <c r="DJ336" i="1"/>
  <c r="DA336" i="1"/>
  <c r="DJ338" i="1"/>
  <c r="DA338" i="1"/>
</calcChain>
</file>

<file path=xl/sharedStrings.xml><?xml version="1.0" encoding="utf-8"?>
<sst xmlns="http://schemas.openxmlformats.org/spreadsheetml/2006/main" count="3536" uniqueCount="1059">
  <si>
    <t>怪物ID</t>
  </si>
  <si>
    <t>怪物名称</t>
  </si>
  <si>
    <t>可被兽夹攻击</t>
  </si>
  <si>
    <t>物品掉落组ID</t>
  </si>
  <si>
    <t>怪物类型</t>
  </si>
  <si>
    <t>技能点最大值</t>
  </si>
  <si>
    <t>技能魔法ID</t>
  </si>
  <si>
    <t>是否可选中进而操作控制</t>
  </si>
  <si>
    <t>可投喂食物</t>
  </si>
  <si>
    <t>怪物蛋孵化时间</t>
  </si>
  <si>
    <t>生长天数</t>
  </si>
  <si>
    <t>生长过程身体缩放</t>
  </si>
  <si>
    <t>进食周期</t>
  </si>
  <si>
    <t>进食后的驯服周期</t>
  </si>
  <si>
    <t>繁殖蛋或直接生产的ID</t>
  </si>
  <si>
    <t>繁殖数量</t>
  </si>
  <si>
    <t>食物单价</t>
  </si>
  <si>
    <t>收益</t>
  </si>
  <si>
    <t>强盗兵种解锁顺序</t>
  </si>
  <si>
    <t>等级</t>
  </si>
  <si>
    <t>远程免疫</t>
  </si>
  <si>
    <t>血量梯度</t>
  </si>
  <si>
    <t>攻击梯度</t>
  </si>
  <si>
    <t>伤害降低系数1，对低1级的武器</t>
  </si>
  <si>
    <t>伤害降低系数2，对低2级+的武器</t>
  </si>
  <si>
    <t>预置体</t>
  </si>
  <si>
    <t>身体名称</t>
  </si>
  <si>
    <t>默认左右翻转</t>
  </si>
  <si>
    <t>怪物类型(1近战，2远程,3混合）</t>
  </si>
  <si>
    <t>对设施的攻击力</t>
  </si>
  <si>
    <t>子弹</t>
  </si>
  <si>
    <t>是精英怪</t>
  </si>
  <si>
    <t>魔法(使用时机，不同怪不一样）</t>
  </si>
  <si>
    <t>死亡反击范围</t>
  </si>
  <si>
    <t>裂变怪物ID
(时机血量低于一半）</t>
  </si>
  <si>
    <t>裂变怪物数量</t>
  </si>
  <si>
    <t>死亡裂变怪物ID</t>
  </si>
  <si>
    <t>死亡裂变怪物数量</t>
  </si>
  <si>
    <t>变身怪物ID（变身时机各不相同）</t>
  </si>
  <si>
    <t>产生怪物ID
(时机各不相同）</t>
  </si>
  <si>
    <t>产生怪物数量</t>
  </si>
  <si>
    <t>攻击站位逻辑
尺寸宽</t>
  </si>
  <si>
    <t>攻击站位逻辑
尺寸高</t>
  </si>
  <si>
    <t>身体视觉
尺寸宽</t>
  </si>
  <si>
    <t>身体视觉
尺寸高</t>
  </si>
  <si>
    <t>血量系数</t>
  </si>
  <si>
    <t>血量</t>
  </si>
  <si>
    <t>是否可飞行，无视地形</t>
  </si>
  <si>
    <t>移动速度（1秒移动的距离，可以为小数）</t>
  </si>
  <si>
    <t>！基础移动速度</t>
  </si>
  <si>
    <t>出现动画</t>
  </si>
  <si>
    <t>攻击冷却时间</t>
  </si>
  <si>
    <t>攻击动画时长</t>
  </si>
  <si>
    <t>伤害系数</t>
  </si>
  <si>
    <t>最低伤害</t>
  </si>
  <si>
    <t>最高伤害</t>
  </si>
  <si>
    <t>视野范围</t>
  </si>
  <si>
    <t>混合攻击怪，
近战攻击范围</t>
  </si>
  <si>
    <t>范围伤害</t>
  </si>
  <si>
    <t>单侧群攻</t>
  </si>
  <si>
    <t>开始攻击距离</t>
  </si>
  <si>
    <t>护甲穿透
百分比</t>
  </si>
  <si>
    <t>攻击伤害延迟</t>
  </si>
  <si>
    <t>攻击伤害帧</t>
  </si>
  <si>
    <t>攻击伤害延迟2</t>
  </si>
  <si>
    <t>攻击伤害帧2</t>
  </si>
  <si>
    <t>备注</t>
  </si>
  <si>
    <t>monster_id#int</t>
  </si>
  <si>
    <t>!monster_name#str</t>
  </si>
  <si>
    <t>can_hurt_by_trap#int</t>
  </si>
  <si>
    <t>monster_type#int</t>
  </si>
  <si>
    <t>max_skill_point#int</t>
  </si>
  <si>
    <t>is_selectable#int</t>
  </si>
  <si>
    <t>food_stuff_id#int</t>
  </si>
  <si>
    <t>monster_egg_incubation_days#int</t>
  </si>
  <si>
    <t>egg_id#int</t>
  </si>
  <si>
    <t>egg_monster_count#int</t>
  </si>
  <si>
    <t>!tmp</t>
  </si>
  <si>
    <t>battle_monster_unlock_order#int</t>
  </si>
  <si>
    <t>monster_level#int</t>
  </si>
  <si>
    <t>immunity_remote_attack#int</t>
  </si>
  <si>
    <t>hurt_reduce_factor1#float</t>
  </si>
  <si>
    <t>hurt_reduce_factor2#float</t>
  </si>
  <si>
    <t>prefab#str</t>
  </si>
  <si>
    <t>flipx#int</t>
  </si>
  <si>
    <t>atk_type#int</t>
  </si>
  <si>
    <t>atk_to_facility#int</t>
  </si>
  <si>
    <t>bullet_id#int</t>
  </si>
  <si>
    <t>is_elite#int</t>
  </si>
  <si>
    <t>magic_id#int</t>
  </si>
  <si>
    <t>attack_range_on_dead#float</t>
  </si>
  <si>
    <t>fission_on_mid_hp#int</t>
  </si>
  <si>
    <t>fission_on_mid_hp_count#int</t>
  </si>
  <si>
    <t>fission_on_dead#int</t>
  </si>
  <si>
    <t>fission_on_dead_count#int</t>
  </si>
  <si>
    <t>shapeshifting_monster_id#int</t>
  </si>
  <si>
    <t>generate_monster_id#int</t>
  </si>
  <si>
    <t>generate_monster_count#int</t>
  </si>
  <si>
    <t>logic_w#float</t>
  </si>
  <si>
    <t>logic_h#float</t>
  </si>
  <si>
    <t>body_w#float</t>
  </si>
  <si>
    <t>body_h#float</t>
  </si>
  <si>
    <t>hp#int</t>
  </si>
  <si>
    <t>can_fly#int</t>
  </si>
  <si>
    <t>move_speed#float</t>
  </si>
  <si>
    <t>anim_appear#int</t>
  </si>
  <si>
    <t>atk_cd#float</t>
  </si>
  <si>
    <t>!atk_duration#float</t>
  </si>
  <si>
    <t>atk_min#float</t>
  </si>
  <si>
    <t>atk_max#float</t>
  </si>
  <si>
    <t>view_range#float</t>
  </si>
  <si>
    <t>atk_delay#float</t>
  </si>
  <si>
    <t>atk_frame#int</t>
  </si>
  <si>
    <t>atk_delay2#float</t>
  </si>
  <si>
    <t>atk_frame2#int</t>
  </si>
  <si>
    <t>!remark#str</t>
  </si>
  <si>
    <t>1级钉甲虫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</si>
  <si>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</t>
    </r>
  </si>
  <si>
    <t>monster_01</t>
  </si>
  <si>
    <t>1级幻书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</si>
  <si>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2</t>
    </r>
  </si>
  <si>
    <t>monster_02</t>
  </si>
  <si>
    <t>1级骷髅战士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</si>
  <si>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3</t>
    </r>
  </si>
  <si>
    <t>monster_03</t>
  </si>
  <si>
    <t>1级钉剌蜗牛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</si>
  <si>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4</t>
    </r>
  </si>
  <si>
    <t>monster_04</t>
  </si>
  <si>
    <t>1级魔血巨眼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</si>
  <si>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5</t>
    </r>
  </si>
  <si>
    <t>monster_05</t>
  </si>
  <si>
    <t>1级魔蟹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</si>
  <si>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6</t>
    </r>
  </si>
  <si>
    <t>monster_06</t>
  </si>
  <si>
    <t>1级自爆蘑菇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</si>
  <si>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7</t>
    </r>
  </si>
  <si>
    <t>monster_07</t>
  </si>
  <si>
    <t>1级鬼手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</si>
  <si>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8</t>
    </r>
  </si>
  <si>
    <t>monster_08</t>
  </si>
  <si>
    <t>1级蚊群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</si>
  <si>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9</t>
    </r>
  </si>
  <si>
    <t>1级史莱姆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</si>
  <si>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10</t>
    </r>
  </si>
  <si>
    <t>monster_10</t>
  </si>
  <si>
    <t>1级巨齿兽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</si>
  <si>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11</t>
    </r>
  </si>
  <si>
    <t>monster_11</t>
  </si>
  <si>
    <t>1级巨蚊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</si>
  <si>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12</t>
    </r>
  </si>
  <si>
    <t>monster_12</t>
  </si>
  <si>
    <t>1级青蛇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</si>
  <si>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13</t>
    </r>
  </si>
  <si>
    <t>monster_13</t>
  </si>
  <si>
    <t>1级幽浮章鱼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</si>
  <si>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14</t>
    </r>
  </si>
  <si>
    <t>monster_14</t>
  </si>
  <si>
    <t>1级食人花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</si>
  <si>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15</t>
    </r>
  </si>
  <si>
    <t>monster_15</t>
  </si>
  <si>
    <t>1级毒蜂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</si>
  <si>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16</t>
    </r>
  </si>
  <si>
    <t>monster_16</t>
  </si>
  <si>
    <t>1级毒蜂幼虫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</si>
  <si>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17</t>
    </r>
  </si>
  <si>
    <t>monster_17</t>
  </si>
  <si>
    <t>1级蠹虫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</si>
  <si>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18</t>
    </r>
  </si>
  <si>
    <t>monster_18</t>
  </si>
  <si>
    <t>1级蠹虫幼虫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</si>
  <si>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19</t>
    </r>
  </si>
  <si>
    <t>monster_19</t>
  </si>
  <si>
    <t>1级幽灵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</si>
  <si>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20</t>
    </r>
  </si>
  <si>
    <t>monster_20</t>
  </si>
  <si>
    <t>1级魔血小眼</t>
  </si>
  <si>
    <t>monster21</t>
  </si>
  <si>
    <t>monster_05_brood</t>
  </si>
  <si>
    <t>2级钉甲虫</t>
  </si>
  <si>
    <t>monster1_1</t>
  </si>
  <si>
    <t>elite_monster_01</t>
  </si>
  <si>
    <t>2级幻书</t>
  </si>
  <si>
    <t>monster2_1</t>
  </si>
  <si>
    <t>elite_monster_02</t>
  </si>
  <si>
    <t>2级骷髅战士</t>
  </si>
  <si>
    <t>monster3_1</t>
  </si>
  <si>
    <t>elite_monster_03</t>
  </si>
  <si>
    <t>2级钉剌蜗牛</t>
  </si>
  <si>
    <t>monster4_1</t>
  </si>
  <si>
    <t>elite_monster_04</t>
  </si>
  <si>
    <t>2级魔血巨眼</t>
  </si>
  <si>
    <t>monster5_1</t>
  </si>
  <si>
    <t>elite_monster_05</t>
  </si>
  <si>
    <t>2级魔蟹</t>
  </si>
  <si>
    <t>monster6_1</t>
  </si>
  <si>
    <t>elite_monster_06</t>
  </si>
  <si>
    <t>2级自爆蘑菇</t>
  </si>
  <si>
    <t>monster7_1</t>
  </si>
  <si>
    <t>elite_monster_07</t>
  </si>
  <si>
    <t>2级鬼手</t>
  </si>
  <si>
    <t>monster8_1</t>
  </si>
  <si>
    <t>elite_monster_08</t>
  </si>
  <si>
    <t>2级蚊群</t>
  </si>
  <si>
    <t>monster9_1</t>
  </si>
  <si>
    <t>elite_monster_09</t>
  </si>
  <si>
    <t>2级史莱姆</t>
  </si>
  <si>
    <t>monster10_1</t>
  </si>
  <si>
    <t>elite_monster_10</t>
  </si>
  <si>
    <t>2级爆跳史莱姆</t>
  </si>
  <si>
    <t>2级巨齿兽</t>
  </si>
  <si>
    <t>monster11_1</t>
  </si>
  <si>
    <t>elite_monster_11</t>
  </si>
  <si>
    <t>2级巨蚊</t>
  </si>
  <si>
    <t>monster12_1</t>
  </si>
  <si>
    <t>elite_monster_12</t>
  </si>
  <si>
    <t>2级蟒蛇</t>
  </si>
  <si>
    <t>monster13_1</t>
  </si>
  <si>
    <t>elite_monster_13</t>
  </si>
  <si>
    <t>2级幽浮章鱼</t>
  </si>
  <si>
    <t>monster14_1</t>
  </si>
  <si>
    <t>elite_monster_14</t>
  </si>
  <si>
    <t>2级食人花</t>
  </si>
  <si>
    <t>monster15_1</t>
  </si>
  <si>
    <t>elite_monster_15</t>
  </si>
  <si>
    <t>2级毒蜂</t>
  </si>
  <si>
    <t>monster16_1</t>
  </si>
  <si>
    <t>elite_monster_16</t>
  </si>
  <si>
    <t>2级毒蜂幼虫</t>
  </si>
  <si>
    <t>monster17_1</t>
  </si>
  <si>
    <t>elite_monster_17</t>
  </si>
  <si>
    <t>2级蠹虫</t>
  </si>
  <si>
    <t>monster18_1</t>
  </si>
  <si>
    <t>elite_monster_18</t>
  </si>
  <si>
    <t>2级沙虫</t>
  </si>
  <si>
    <t>2级蠹虫幼虫</t>
  </si>
  <si>
    <t>monster19_1</t>
  </si>
  <si>
    <t>elite_monster_19</t>
  </si>
  <si>
    <t>2级沙虫幼虫</t>
  </si>
  <si>
    <t>2级幽灵</t>
  </si>
  <si>
    <t>monster20_1</t>
  </si>
  <si>
    <t>elite_monster_20</t>
  </si>
  <si>
    <t>2级魔血小眼</t>
  </si>
  <si>
    <t>monster21_1</t>
  </si>
  <si>
    <t>elite_monster_05_brood</t>
  </si>
  <si>
    <t>3级钉甲虫</t>
  </si>
  <si>
    <t>3级幻书</t>
  </si>
  <si>
    <t>3级骷髅战士</t>
  </si>
  <si>
    <t>3级钉剌蜗牛</t>
  </si>
  <si>
    <t>3级魔血巨眼</t>
  </si>
  <si>
    <t>3级魔蟹</t>
  </si>
  <si>
    <t>3级自爆蘑菇</t>
  </si>
  <si>
    <t>3级鬼手</t>
  </si>
  <si>
    <t>3级蚊群</t>
  </si>
  <si>
    <t>3级史莱姆</t>
  </si>
  <si>
    <t>3级爆跳史莱姆</t>
  </si>
  <si>
    <t>3级巨齿兽</t>
  </si>
  <si>
    <t>3级巨蚊</t>
  </si>
  <si>
    <t>3级青蛇</t>
  </si>
  <si>
    <t>3级幽浮章鱼</t>
  </si>
  <si>
    <t>3级食人花</t>
  </si>
  <si>
    <t>3级毒蜂</t>
  </si>
  <si>
    <t>3级毒蜂幼虫</t>
  </si>
  <si>
    <t>3级蠹虫</t>
  </si>
  <si>
    <t>3级沙虫</t>
  </si>
  <si>
    <t>3级蠹虫幼虫</t>
  </si>
  <si>
    <t>3级沙虫幼虫</t>
  </si>
  <si>
    <t>3级幽灵</t>
  </si>
  <si>
    <t>3级魔血小眼</t>
  </si>
  <si>
    <t>4级钉甲虫</t>
  </si>
  <si>
    <t>4级幻书</t>
  </si>
  <si>
    <t>4级骷髅战士</t>
  </si>
  <si>
    <t>4级钉剌蜗牛</t>
  </si>
  <si>
    <t>4级魔血巨眼</t>
  </si>
  <si>
    <t>4级魔蟹</t>
  </si>
  <si>
    <t>4级自爆蘑菇</t>
  </si>
  <si>
    <t>4级鬼手</t>
  </si>
  <si>
    <t>4级蚊群</t>
  </si>
  <si>
    <t>4级史莱姆</t>
  </si>
  <si>
    <t>4级爆跳史莱姆</t>
  </si>
  <si>
    <t>4级巨齿兽</t>
  </si>
  <si>
    <t>4级巨蚊</t>
  </si>
  <si>
    <t>4级蟒蛇</t>
  </si>
  <si>
    <t>4级幽浮章鱼</t>
  </si>
  <si>
    <t>4级食人花</t>
  </si>
  <si>
    <t>4级毒蜂</t>
  </si>
  <si>
    <t>4级毒蜂幼虫</t>
  </si>
  <si>
    <t>4级蠹虫</t>
  </si>
  <si>
    <t>4级沙虫</t>
  </si>
  <si>
    <t>4级蠹虫幼虫</t>
  </si>
  <si>
    <t>4级沙虫幼虫</t>
  </si>
  <si>
    <t>4级幽灵</t>
  </si>
  <si>
    <t>4级魔血小眼</t>
  </si>
  <si>
    <t>5级钉甲虫</t>
  </si>
  <si>
    <t>5级幻书</t>
  </si>
  <si>
    <t>5级骷髅战士</t>
  </si>
  <si>
    <t>5级钉剌蜗牛</t>
  </si>
  <si>
    <t>5级魔血巨眼</t>
  </si>
  <si>
    <t>5级魔蟹</t>
  </si>
  <si>
    <t>5级自爆蘑菇</t>
  </si>
  <si>
    <t>5级鬼手</t>
  </si>
  <si>
    <t>5级蚊群</t>
  </si>
  <si>
    <t>5级史莱姆</t>
  </si>
  <si>
    <t>5级爆跳史莱姆</t>
  </si>
  <si>
    <t>5级巨齿兽</t>
  </si>
  <si>
    <t>5级巨蚊</t>
  </si>
  <si>
    <t>5级青蛇</t>
  </si>
  <si>
    <t>5级幽浮章鱼</t>
  </si>
  <si>
    <t>5级食人花</t>
  </si>
  <si>
    <t>5级毒蜂</t>
  </si>
  <si>
    <t>5级毒蜂幼虫</t>
  </si>
  <si>
    <t>5级蠹虫</t>
  </si>
  <si>
    <t>5级沙虫</t>
  </si>
  <si>
    <t>5级蠹虫幼虫</t>
  </si>
  <si>
    <t>5级沙虫幼虫</t>
  </si>
  <si>
    <t>5级幽灵</t>
  </si>
  <si>
    <t>5级魔血小眼</t>
  </si>
  <si>
    <t>6级钉甲虫</t>
  </si>
  <si>
    <t>6级幻书</t>
  </si>
  <si>
    <t>6级骷髅战士</t>
  </si>
  <si>
    <t>6级钉剌蜗牛</t>
  </si>
  <si>
    <t>6级魔血巨眼</t>
  </si>
  <si>
    <t>6级魔蟹</t>
  </si>
  <si>
    <t>6级自爆蘑菇</t>
  </si>
  <si>
    <t>6级鬼手</t>
  </si>
  <si>
    <t>6级蚊群</t>
  </si>
  <si>
    <t>6级史莱姆</t>
  </si>
  <si>
    <t>6级爆跳史莱姆</t>
  </si>
  <si>
    <t>6级巨齿兽</t>
  </si>
  <si>
    <t>6级巨蚊</t>
  </si>
  <si>
    <t>6级蟒蛇</t>
  </si>
  <si>
    <t>6级幽浮章鱼</t>
  </si>
  <si>
    <t>6级食人花</t>
  </si>
  <si>
    <t>6级毒蜂</t>
  </si>
  <si>
    <t>6级毒蜂幼虫</t>
  </si>
  <si>
    <t>6级蠹虫</t>
  </si>
  <si>
    <t>6级沙虫</t>
  </si>
  <si>
    <t>6级蠹虫幼虫</t>
  </si>
  <si>
    <t>6级沙虫幼虫</t>
  </si>
  <si>
    <t>6级幽灵</t>
  </si>
  <si>
    <t>6级魔血小眼</t>
  </si>
  <si>
    <t>7级钉甲虫</t>
  </si>
  <si>
    <t>7级幻书</t>
  </si>
  <si>
    <t>7级骷髅战士</t>
  </si>
  <si>
    <t>7级钉剌蜗牛</t>
  </si>
  <si>
    <t>7级魔血巨眼</t>
  </si>
  <si>
    <t>7级魔蟹</t>
  </si>
  <si>
    <t>7级自爆蘑菇</t>
  </si>
  <si>
    <t>7级鬼手</t>
  </si>
  <si>
    <t>7级蚊群</t>
  </si>
  <si>
    <t>7级史莱姆</t>
  </si>
  <si>
    <t>7级爆跳史莱姆</t>
  </si>
  <si>
    <t>7级巨齿兽</t>
  </si>
  <si>
    <t>7级巨蚊</t>
  </si>
  <si>
    <t>7级青蛇</t>
  </si>
  <si>
    <t>7级幽浮章鱼</t>
  </si>
  <si>
    <t>7级食人花</t>
  </si>
  <si>
    <t>7级毒蜂</t>
  </si>
  <si>
    <t>7级毒蜂幼虫</t>
  </si>
  <si>
    <t>7级蠹虫</t>
  </si>
  <si>
    <t>7级沙虫</t>
  </si>
  <si>
    <t>7级蠹虫幼虫</t>
  </si>
  <si>
    <t>7级沙虫幼虫</t>
  </si>
  <si>
    <t>7级幽灵</t>
  </si>
  <si>
    <t>7级魔血小眼</t>
  </si>
  <si>
    <t>8级钉甲虫</t>
  </si>
  <si>
    <t>8级幻书</t>
  </si>
  <si>
    <t>8级骷髅战士</t>
  </si>
  <si>
    <t>8级钉剌蜗牛</t>
  </si>
  <si>
    <t>8级魔血巨眼</t>
  </si>
  <si>
    <t>8级魔蟹</t>
  </si>
  <si>
    <t>8级自爆蘑菇</t>
  </si>
  <si>
    <t>8级鬼手</t>
  </si>
  <si>
    <t>8级蚊群</t>
  </si>
  <si>
    <t>8级史莱姆</t>
  </si>
  <si>
    <t>8级爆跳史莱姆</t>
  </si>
  <si>
    <t>8级巨齿兽</t>
  </si>
  <si>
    <t>8级巨蚊</t>
  </si>
  <si>
    <t>8级蟒蛇</t>
  </si>
  <si>
    <t>8级幽浮章鱼</t>
  </si>
  <si>
    <t>8级食人花</t>
  </si>
  <si>
    <t>8级毒蜂</t>
  </si>
  <si>
    <t>8级毒蜂幼虫</t>
  </si>
  <si>
    <t>8级蠹虫</t>
  </si>
  <si>
    <t>8级沙虫</t>
  </si>
  <si>
    <t>8级蠹虫幼虫</t>
  </si>
  <si>
    <t>8级沙虫幼虫</t>
  </si>
  <si>
    <t>8级幽灵</t>
  </si>
  <si>
    <t>8级魔血小眼</t>
  </si>
  <si>
    <t>9级钉甲虫</t>
  </si>
  <si>
    <t>9级幻书</t>
  </si>
  <si>
    <t>9级骷髅战士</t>
  </si>
  <si>
    <t>9级钉剌蜗牛</t>
  </si>
  <si>
    <t>9级魔血巨眼</t>
  </si>
  <si>
    <t>9级魔蟹</t>
  </si>
  <si>
    <t>9级自爆蘑菇</t>
  </si>
  <si>
    <t>9级鬼手</t>
  </si>
  <si>
    <t>9级蚊群</t>
  </si>
  <si>
    <t>9级史莱姆</t>
  </si>
  <si>
    <t>9级爆跳史莱姆</t>
  </si>
  <si>
    <t>9级巨齿兽</t>
  </si>
  <si>
    <t>9级巨蚊</t>
  </si>
  <si>
    <t>9级青蛇</t>
  </si>
  <si>
    <t>9级幽浮章鱼</t>
  </si>
  <si>
    <t>9级食人花</t>
  </si>
  <si>
    <t>9级毒蜂</t>
  </si>
  <si>
    <t>9级毒蜂幼虫</t>
  </si>
  <si>
    <t>9级蠹虫</t>
  </si>
  <si>
    <t>9级沙虫</t>
  </si>
  <si>
    <t>9级蠹虫幼虫</t>
  </si>
  <si>
    <t>9级沙虫幼虫</t>
  </si>
  <si>
    <t>9级幽灵</t>
  </si>
  <si>
    <t>9级魔血小眼</t>
  </si>
  <si>
    <t>10级钉甲虫</t>
  </si>
  <si>
    <t>10级幻书</t>
  </si>
  <si>
    <t>10级骷髅战士</t>
  </si>
  <si>
    <t>10级钉剌蜗牛</t>
  </si>
  <si>
    <t>10级魔血巨眼</t>
  </si>
  <si>
    <t>10级魔蟹</t>
  </si>
  <si>
    <t>10级自爆蘑菇</t>
  </si>
  <si>
    <t>10级鬼手</t>
  </si>
  <si>
    <t>10级蚊群</t>
  </si>
  <si>
    <t>10级史莱姆</t>
  </si>
  <si>
    <t>10级爆跳史莱姆</t>
  </si>
  <si>
    <t>10级巨齿兽</t>
  </si>
  <si>
    <t>10级巨蚊</t>
  </si>
  <si>
    <t>10级蟒蛇</t>
  </si>
  <si>
    <t>10级幽浮章鱼</t>
  </si>
  <si>
    <t>10级食人花</t>
  </si>
  <si>
    <t>10级毒蜂</t>
  </si>
  <si>
    <t>10级毒蜂幼虫</t>
  </si>
  <si>
    <t>10级蠹虫</t>
  </si>
  <si>
    <t>10级沙虫</t>
  </si>
  <si>
    <t>10级蠹虫幼虫</t>
  </si>
  <si>
    <t>10级沙虫幼虫</t>
  </si>
  <si>
    <t>10级幽灵</t>
  </si>
  <si>
    <t>10级魔血小眼</t>
  </si>
  <si>
    <t>1级蝙蝠</t>
  </si>
  <si>
    <t>monster22</t>
  </si>
  <si>
    <t>bat_origin</t>
  </si>
  <si>
    <t>2级蝙蝠</t>
  </si>
  <si>
    <t>monster22_1</t>
  </si>
  <si>
    <t>bat_blood</t>
  </si>
  <si>
    <t>3级蝙蝠</t>
  </si>
  <si>
    <t>4级蝙蝠</t>
  </si>
  <si>
    <t>5级蝙蝠</t>
  </si>
  <si>
    <t>6级蝙蝠</t>
  </si>
  <si>
    <t>7级蝙蝠</t>
  </si>
  <si>
    <t>8级蝙蝠</t>
  </si>
  <si>
    <t>9级蝙蝠</t>
  </si>
  <si>
    <t>10级蝙蝠</t>
  </si>
  <si>
    <t>1级钢铁泰坦</t>
  </si>
  <si>
    <t>monster23</t>
  </si>
  <si>
    <t>2级钢铁泰坦</t>
  </si>
  <si>
    <t>monster23_1</t>
  </si>
  <si>
    <t>3级钢铁泰坦</t>
  </si>
  <si>
    <t>4级钢铁泰坦</t>
  </si>
  <si>
    <t>5级钢铁泰坦</t>
  </si>
  <si>
    <t>6级钢铁泰坦</t>
  </si>
  <si>
    <t>7级钢铁泰坦</t>
  </si>
  <si>
    <t>8级钢铁泰坦</t>
  </si>
  <si>
    <t>9级钢铁泰坦</t>
  </si>
  <si>
    <t>10级钢铁泰坦</t>
  </si>
  <si>
    <t>1级熔岩泰坦</t>
  </si>
  <si>
    <t>monster24</t>
  </si>
  <si>
    <t>2级熔岩泰坦</t>
  </si>
  <si>
    <t>monster24_1</t>
  </si>
  <si>
    <t>3级熔岩泰坦</t>
  </si>
  <si>
    <t>4级熔岩泰坦</t>
  </si>
  <si>
    <t>5级熔岩泰坦</t>
  </si>
  <si>
    <t>6级熔岩泰坦</t>
  </si>
  <si>
    <t>7级熔岩泰坦</t>
  </si>
  <si>
    <t>8级熔岩泰坦</t>
  </si>
  <si>
    <t>9级熔岩泰坦</t>
  </si>
  <si>
    <t>10级熔岩泰坦</t>
  </si>
  <si>
    <t>1级寒冰泰坦</t>
  </si>
  <si>
    <t>monster25</t>
  </si>
  <si>
    <t>2级寒冰泰坦</t>
  </si>
  <si>
    <t>monster25_1</t>
  </si>
  <si>
    <t>3级寒冰泰坦</t>
  </si>
  <si>
    <t>4级寒冰泰坦</t>
  </si>
  <si>
    <t>5级寒冰泰坦</t>
  </si>
  <si>
    <t>6级寒冰泰坦</t>
  </si>
  <si>
    <t>7级寒冰泰坦</t>
  </si>
  <si>
    <t>8级寒冰泰坦</t>
  </si>
  <si>
    <t>9级寒冰泰坦</t>
  </si>
  <si>
    <t>10级寒冰泰坦</t>
  </si>
  <si>
    <t>1级森林泰坦</t>
  </si>
  <si>
    <t>monster26</t>
  </si>
  <si>
    <t>2级森林泰坦</t>
  </si>
  <si>
    <t>monster26_1</t>
  </si>
  <si>
    <t>3级森林泰坦</t>
  </si>
  <si>
    <t>4级森林泰坦</t>
  </si>
  <si>
    <t>5级森林泰坦</t>
  </si>
  <si>
    <t>6级森林泰坦</t>
  </si>
  <si>
    <t>7级森林泰坦</t>
  </si>
  <si>
    <t>8级森林泰坦</t>
  </si>
  <si>
    <t>9级森林泰坦</t>
  </si>
  <si>
    <t>10级森林泰坦</t>
  </si>
  <si>
    <t>1级坚甲犀牛</t>
  </si>
  <si>
    <t>monster27</t>
  </si>
  <si>
    <t>2级坚甲犀牛</t>
  </si>
  <si>
    <t>monster27_1</t>
  </si>
  <si>
    <t>3级坚甲犀牛</t>
  </si>
  <si>
    <t>4级坚甲犀牛</t>
  </si>
  <si>
    <t>5级坚甲犀牛</t>
  </si>
  <si>
    <t>6级坚甲犀牛</t>
  </si>
  <si>
    <t>7级坚甲犀牛</t>
  </si>
  <si>
    <t>8级坚甲犀牛</t>
  </si>
  <si>
    <t>9级坚甲犀牛</t>
  </si>
  <si>
    <t>10级坚甲犀牛</t>
  </si>
  <si>
    <t>1级寄居蟹</t>
  </si>
  <si>
    <t>monster28</t>
  </si>
  <si>
    <t>2级寄居蟹</t>
  </si>
  <si>
    <t>monster28_1</t>
  </si>
  <si>
    <t>3级寄居蟹</t>
  </si>
  <si>
    <t>4级寄居蟹</t>
  </si>
  <si>
    <t>5级寄居蟹</t>
  </si>
  <si>
    <t>6级寄居蟹</t>
  </si>
  <si>
    <t>7级寄居蟹</t>
  </si>
  <si>
    <t>8级寄居蟹</t>
  </si>
  <si>
    <t>9级寄居蟹</t>
  </si>
  <si>
    <t>10级寄居蟹</t>
  </si>
  <si>
    <t>1级海盗王</t>
  </si>
  <si>
    <t>monster29</t>
  </si>
  <si>
    <t>2级海盗王</t>
  </si>
  <si>
    <t>monster29_1</t>
  </si>
  <si>
    <t>3级海盗王</t>
  </si>
  <si>
    <t>4级海盗王</t>
  </si>
  <si>
    <t>5级海盗王</t>
  </si>
  <si>
    <t>6级海盗王</t>
  </si>
  <si>
    <t>7级海盗王</t>
  </si>
  <si>
    <t>8级海盗王</t>
  </si>
  <si>
    <t>9级海盗王</t>
  </si>
  <si>
    <t>10级海盗王</t>
  </si>
  <si>
    <t>1级海盗头目</t>
  </si>
  <si>
    <t>monster30</t>
  </si>
  <si>
    <t>2级海盗头目</t>
  </si>
  <si>
    <t>monster30_1</t>
  </si>
  <si>
    <t>3级海盗头目</t>
  </si>
  <si>
    <t>4级海盗头目</t>
  </si>
  <si>
    <t>5级海盗头目</t>
  </si>
  <si>
    <t>6级海盗头目</t>
  </si>
  <si>
    <t>7级海盗头目</t>
  </si>
  <si>
    <t>8级海盗头目</t>
  </si>
  <si>
    <t>9级海盗头目</t>
  </si>
  <si>
    <t>10级海盗头目</t>
  </si>
  <si>
    <t>1级暗夜收割者</t>
  </si>
  <si>
    <t>monster31</t>
  </si>
  <si>
    <t>2级暗夜收割者</t>
  </si>
  <si>
    <t>monster31_1</t>
  </si>
  <si>
    <t>3级暗夜收割者</t>
  </si>
  <si>
    <t>4级暗夜收割者</t>
  </si>
  <si>
    <t>5级暗夜收割者</t>
  </si>
  <si>
    <t>6级暗夜收割者</t>
  </si>
  <si>
    <t>7级暗夜收割者</t>
  </si>
  <si>
    <t>8级暗夜收割者</t>
  </si>
  <si>
    <t>9级暗夜收割者</t>
  </si>
  <si>
    <t>10级暗夜收割者</t>
  </si>
  <si>
    <t>1级炸弹果</t>
  </si>
  <si>
    <t>monster32</t>
  </si>
  <si>
    <t>2级炸弹果</t>
  </si>
  <si>
    <t>monster32_1</t>
  </si>
  <si>
    <t>3级炸弹果</t>
  </si>
  <si>
    <t>4级炸弹果</t>
  </si>
  <si>
    <t>5级炸弹果</t>
  </si>
  <si>
    <t>6级炸弹果</t>
  </si>
  <si>
    <t>7级炸弹果</t>
  </si>
  <si>
    <t>8级炸弹果</t>
  </si>
  <si>
    <t>9级炸弹果</t>
  </si>
  <si>
    <t>10级炸弹果</t>
  </si>
  <si>
    <t>1级钻地虫</t>
  </si>
  <si>
    <t>monster34</t>
  </si>
  <si>
    <t>2级钻地虫</t>
  </si>
  <si>
    <t>monster34_1</t>
  </si>
  <si>
    <t>3级钻地虫</t>
  </si>
  <si>
    <t>4级钻地虫</t>
  </si>
  <si>
    <t>5级钻地虫</t>
  </si>
  <si>
    <t>6级钻地虫</t>
  </si>
  <si>
    <t>7级钻地虫</t>
  </si>
  <si>
    <t>8级钻地虫</t>
  </si>
  <si>
    <t>9级钻地虫</t>
  </si>
  <si>
    <t>10级钻地虫</t>
  </si>
  <si>
    <t>1级刺毛虫</t>
  </si>
  <si>
    <t>monster35</t>
  </si>
  <si>
    <t>2级刺毛虫</t>
  </si>
  <si>
    <t>monster35_1</t>
  </si>
  <si>
    <t>3级刺毛虫</t>
  </si>
  <si>
    <t>4级刺毛虫</t>
  </si>
  <si>
    <t>5级刺毛虫</t>
  </si>
  <si>
    <t>6级刺毛虫</t>
  </si>
  <si>
    <t>7级刺毛虫</t>
  </si>
  <si>
    <t>8级刺毛虫</t>
  </si>
  <si>
    <t>9级刺毛虫</t>
  </si>
  <si>
    <t>10级刺毛虫</t>
  </si>
  <si>
    <t>drop_group_id#int</t>
    <phoneticPr fontId="3" type="noConversion"/>
  </si>
  <si>
    <t>!tmp</t>
    <phoneticPr fontId="3" type="noConversion"/>
  </si>
  <si>
    <t>对设施的攻击力系数</t>
    <phoneticPr fontId="3" type="noConversion"/>
  </si>
  <si>
    <t>skill_magic_id#int</t>
    <phoneticPr fontId="3" type="noConversion"/>
  </si>
  <si>
    <t>atk_range#float</t>
    <phoneticPr fontId="3" type="noConversion"/>
  </si>
  <si>
    <t>atk_range_y_min#float</t>
    <phoneticPr fontId="3" type="noConversion"/>
  </si>
  <si>
    <t>1级蚊群</t>
    <phoneticPr fontId="3" type="noConversion"/>
  </si>
  <si>
    <t>1级爆跳史莱姆</t>
    <phoneticPr fontId="3" type="noConversion"/>
  </si>
  <si>
    <t>1级钉剌蜗牛</t>
    <phoneticPr fontId="3" type="noConversion"/>
  </si>
  <si>
    <t>1级巨齿兽</t>
    <phoneticPr fontId="3" type="noConversion"/>
  </si>
  <si>
    <t>1级食人花</t>
    <phoneticPr fontId="3" type="noConversion"/>
  </si>
  <si>
    <t>1级毒蜂</t>
    <phoneticPr fontId="3" type="noConversion"/>
  </si>
  <si>
    <t>1级毒蜂幼虫</t>
    <phoneticPr fontId="3" type="noConversion"/>
  </si>
  <si>
    <t>1级沙虫</t>
    <phoneticPr fontId="3" type="noConversion"/>
  </si>
  <si>
    <t>1级沙虫幼虫</t>
    <phoneticPr fontId="3" type="noConversion"/>
  </si>
  <si>
    <t>1级幽灵</t>
    <phoneticPr fontId="3" type="noConversion"/>
  </si>
  <si>
    <t>1级魔血小眼</t>
    <phoneticPr fontId="3" type="noConversion"/>
  </si>
  <si>
    <t>1级幽浮章鱼</t>
    <phoneticPr fontId="3" type="noConversion"/>
  </si>
  <si>
    <t>food_count_need#int</t>
    <phoneticPr fontId="3" type="noConversion"/>
  </si>
  <si>
    <t>feed_interval_days#int</t>
    <phoneticPr fontId="3" type="noConversion"/>
  </si>
  <si>
    <t>tame_duration_days#int</t>
    <phoneticPr fontId="3" type="noConversion"/>
  </si>
  <si>
    <t>grow_duration_days#int</t>
    <phoneticPr fontId="3" type="noConversion"/>
  </si>
  <si>
    <t>body_scale_on_grow#int</t>
    <phoneticPr fontId="3" type="noConversion"/>
  </si>
  <si>
    <t>atk_range_y_max#float</t>
    <phoneticPr fontId="3" type="noConversion"/>
  </si>
  <si>
    <t>atk_one_side_only#int</t>
    <phoneticPr fontId="3" type="noConversion"/>
  </si>
  <si>
    <t>atk_by_range#int</t>
    <phoneticPr fontId="3" type="noConversion"/>
  </si>
  <si>
    <t>start_atk_dist#float</t>
    <phoneticPr fontId="3" type="noConversion"/>
  </si>
  <si>
    <t>armor_pierce#float</t>
    <phoneticPr fontId="3" type="noConversion"/>
  </si>
  <si>
    <t>杀伤范围Y</t>
    <phoneticPr fontId="3" type="noConversion"/>
  </si>
  <si>
    <t>atk_range2#float</t>
    <phoneticPr fontId="3" type="noConversion"/>
  </si>
  <si>
    <t>死亡攻击buff</t>
    <phoneticPr fontId="3" type="noConversion"/>
  </si>
  <si>
    <t>attack_buff_id_on_dead#int</t>
    <phoneticPr fontId="3" type="noConversion"/>
  </si>
  <si>
    <t>攻击buff</t>
    <phoneticPr fontId="3" type="noConversion"/>
  </si>
  <si>
    <t>attack_buff_id#int</t>
    <phoneticPr fontId="3" type="noConversion"/>
  </si>
  <si>
    <t>monster_09</t>
    <phoneticPr fontId="3" type="noConversion"/>
  </si>
  <si>
    <t>1级蚊群</t>
    <phoneticPr fontId="3" type="noConversion"/>
  </si>
  <si>
    <t>10级魔血巨眼</t>
    <phoneticPr fontId="3" type="noConversion"/>
  </si>
  <si>
    <t>10级魔蟹</t>
    <phoneticPr fontId="3" type="noConversion"/>
  </si>
  <si>
    <t>10级自爆蘑菇</t>
    <phoneticPr fontId="3" type="noConversion"/>
  </si>
  <si>
    <t>10级鬼手</t>
    <phoneticPr fontId="3" type="noConversion"/>
  </si>
  <si>
    <t>10级蟒蛇</t>
    <phoneticPr fontId="3" type="noConversion"/>
  </si>
  <si>
    <t>10级巨蚊</t>
    <phoneticPr fontId="3" type="noConversion"/>
  </si>
  <si>
    <t>10级巨齿兽</t>
    <phoneticPr fontId="3" type="noConversion"/>
  </si>
  <si>
    <t>10级史莱姆</t>
    <phoneticPr fontId="3" type="noConversion"/>
  </si>
  <si>
    <t>被喂养后，怪物的生长天数</t>
    <phoneticPr fontId="3" type="noConversion"/>
  </si>
  <si>
    <t>grow_duration_days_after_fed#int</t>
    <phoneticPr fontId="3" type="noConversion"/>
  </si>
  <si>
    <t>!tmp</t>
    <phoneticPr fontId="3" type="noConversion"/>
  </si>
  <si>
    <t>基础食物</t>
    <phoneticPr fontId="3" type="noConversion"/>
  </si>
  <si>
    <t>1级炸弹史莱姆</t>
    <phoneticPr fontId="3" type="noConversion"/>
  </si>
  <si>
    <t>2级炸弹史莱姆</t>
  </si>
  <si>
    <t>3级炸弹史莱姆</t>
  </si>
  <si>
    <t>4级炸弹史莱姆</t>
  </si>
  <si>
    <t>5级炸弹史莱姆</t>
  </si>
  <si>
    <t>6级炸弹史莱姆</t>
  </si>
  <si>
    <t>7级炸弹史莱姆</t>
  </si>
  <si>
    <t>8级炸弹史莱姆</t>
  </si>
  <si>
    <t>9级炸弹史莱姆</t>
  </si>
  <si>
    <t>10级炸弹史莱姆</t>
  </si>
  <si>
    <t>1级红宝石史莱姆</t>
    <phoneticPr fontId="3" type="noConversion"/>
  </si>
  <si>
    <t>2级红宝石史莱姆</t>
  </si>
  <si>
    <t>3级红宝石史莱姆</t>
  </si>
  <si>
    <t>4级红宝石史莱姆</t>
  </si>
  <si>
    <t>5级红宝石史莱姆</t>
  </si>
  <si>
    <t>6级红宝石史莱姆</t>
  </si>
  <si>
    <t>7级红宝石史莱姆</t>
  </si>
  <si>
    <t>8级红宝石史莱姆</t>
  </si>
  <si>
    <t>9级红宝石史莱姆</t>
  </si>
  <si>
    <t>10级红宝石史莱姆</t>
  </si>
  <si>
    <t>1级蓝宝石史莱姆</t>
    <phoneticPr fontId="3" type="noConversion"/>
  </si>
  <si>
    <t>2级蓝宝石史莱姆</t>
  </si>
  <si>
    <t>3级蓝宝石史莱姆</t>
  </si>
  <si>
    <t>4级蓝宝石史莱姆</t>
  </si>
  <si>
    <t>5级蓝宝石史莱姆</t>
  </si>
  <si>
    <t>6级蓝宝石史莱姆</t>
  </si>
  <si>
    <t>7级蓝宝石史莱姆</t>
  </si>
  <si>
    <t>8级蓝宝石史莱姆</t>
  </si>
  <si>
    <t>9级蓝宝石史莱姆</t>
  </si>
  <si>
    <t>10级蓝宝石史莱姆</t>
  </si>
  <si>
    <t>1级绿宝石史莱姆</t>
    <phoneticPr fontId="3" type="noConversion"/>
  </si>
  <si>
    <t>2级绿宝石史莱姆</t>
  </si>
  <si>
    <t>3级绿宝石史莱姆</t>
  </si>
  <si>
    <t>4级绿宝石史莱姆</t>
  </si>
  <si>
    <t>5级绿宝石史莱姆</t>
  </si>
  <si>
    <t>6级绿宝石史莱姆</t>
  </si>
  <si>
    <t>7级绿宝石史莱姆</t>
  </si>
  <si>
    <t>8级绿宝石史莱姆</t>
  </si>
  <si>
    <t>9级绿宝石史莱姆</t>
  </si>
  <si>
    <t>10级绿宝石史莱姆</t>
  </si>
  <si>
    <t>monster36</t>
    <phoneticPr fontId="3" type="noConversion"/>
  </si>
  <si>
    <t>monster_36</t>
    <phoneticPr fontId="3" type="noConversion"/>
  </si>
  <si>
    <t>monster37</t>
    <phoneticPr fontId="3" type="noConversion"/>
  </si>
  <si>
    <t>monster_37</t>
    <phoneticPr fontId="3" type="noConversion"/>
  </si>
  <si>
    <t>monster38</t>
    <phoneticPr fontId="3" type="noConversion"/>
  </si>
  <si>
    <t>monster_38</t>
    <phoneticPr fontId="3" type="noConversion"/>
  </si>
  <si>
    <t>monster39</t>
    <phoneticPr fontId="3" type="noConversion"/>
  </si>
  <si>
    <t>monster_39</t>
    <phoneticPr fontId="3" type="noConversion"/>
  </si>
  <si>
    <t>单次进食食物数量</t>
    <phoneticPr fontId="3" type="noConversion"/>
  </si>
  <si>
    <t>繁殖所需食物数量</t>
    <phoneticPr fontId="3" type="noConversion"/>
  </si>
  <si>
    <t>food_eat_per_time#int</t>
    <phoneticPr fontId="3" type="noConversion"/>
  </si>
  <si>
    <t>1级工蚁</t>
    <phoneticPr fontId="3" type="noConversion"/>
  </si>
  <si>
    <t>2级工蚁</t>
  </si>
  <si>
    <t>3级工蚁</t>
  </si>
  <si>
    <t>4级工蚁</t>
  </si>
  <si>
    <t>5级工蚁</t>
  </si>
  <si>
    <t>6级工蚁</t>
  </si>
  <si>
    <t>7级工蚁</t>
  </si>
  <si>
    <t>8级工蚁</t>
  </si>
  <si>
    <t>9级工蚁</t>
  </si>
  <si>
    <t>10级工蚁</t>
  </si>
  <si>
    <t>1级兵蚁</t>
    <phoneticPr fontId="3" type="noConversion"/>
  </si>
  <si>
    <t>2级兵蚁</t>
  </si>
  <si>
    <t>3级兵蚁</t>
  </si>
  <si>
    <t>4级兵蚁</t>
  </si>
  <si>
    <t>5级兵蚁</t>
  </si>
  <si>
    <t>6级兵蚁</t>
  </si>
  <si>
    <t>7级兵蚁</t>
  </si>
  <si>
    <t>8级兵蚁</t>
  </si>
  <si>
    <t>9级兵蚁</t>
  </si>
  <si>
    <t>10级兵蚁</t>
  </si>
  <si>
    <t>ant_worker</t>
    <phoneticPr fontId="3" type="noConversion"/>
  </si>
  <si>
    <t>ant_soldier</t>
    <phoneticPr fontId="3" type="noConversion"/>
  </si>
  <si>
    <t>远程子弹miss率</t>
    <phoneticPr fontId="3" type="noConversion"/>
  </si>
  <si>
    <t>miss_rate_of_bullet#float</t>
    <phoneticPr fontId="3" type="noConversion"/>
  </si>
  <si>
    <t>skip_anim_on_view_scale_level#int</t>
    <phoneticPr fontId="3" type="noConversion"/>
  </si>
  <si>
    <t>远景视图时，跳过动画</t>
    <phoneticPr fontId="3" type="noConversion"/>
  </si>
  <si>
    <t>会冻僵</t>
    <phoneticPr fontId="3" type="noConversion"/>
  </si>
  <si>
    <r>
      <t>can_be_frozen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</si>
  <si>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t>可触发地雷</t>
    <phoneticPr fontId="3" type="noConversion"/>
  </si>
  <si>
    <r>
      <t>can</t>
    </r>
    <r>
      <rPr>
        <sz val="11"/>
        <color theme="1"/>
        <rFont val="宋体"/>
        <family val="3"/>
        <charset val="134"/>
        <scheme val="minor"/>
      </rPr>
      <t>_activate_mine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</si>
  <si>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r>
      <t>need_soldier_to_fight_back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</si>
  <si>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t>攻击小人是否否呼叫士兵反击</t>
    <phoneticPr fontId="3" type="noConversion"/>
  </si>
  <si>
    <t>monster26</t>
    <phoneticPr fontId="3" type="noConversion"/>
  </si>
  <si>
    <t>1级岩龙</t>
    <phoneticPr fontId="3" type="noConversion"/>
  </si>
  <si>
    <t>2级岩龙</t>
  </si>
  <si>
    <t>3级岩龙</t>
  </si>
  <si>
    <t>4级岩龙</t>
  </si>
  <si>
    <t>5级岩龙</t>
  </si>
  <si>
    <t>6级岩龙</t>
  </si>
  <si>
    <t>7级岩龙</t>
  </si>
  <si>
    <t>8级岩龙</t>
  </si>
  <si>
    <t>9级岩龙</t>
  </si>
  <si>
    <t>10级岩龙</t>
  </si>
  <si>
    <t>1级熔岩龙</t>
    <phoneticPr fontId="3" type="noConversion"/>
  </si>
  <si>
    <t>2级熔岩龙</t>
  </si>
  <si>
    <t>3级熔岩龙</t>
  </si>
  <si>
    <t>4级熔岩龙</t>
  </si>
  <si>
    <t>5级熔岩龙</t>
  </si>
  <si>
    <t>6级熔岩龙</t>
  </si>
  <si>
    <t>7级熔岩龙</t>
  </si>
  <si>
    <t>8级熔岩龙</t>
  </si>
  <si>
    <t>9级熔岩龙</t>
  </si>
  <si>
    <t>10级熔岩龙</t>
  </si>
  <si>
    <t>1级铁棘龙</t>
    <phoneticPr fontId="3" type="noConversion"/>
  </si>
  <si>
    <t>2级铁棘龙</t>
  </si>
  <si>
    <t>3级铁棘龙</t>
  </si>
  <si>
    <t>4级铁棘龙</t>
  </si>
  <si>
    <t>5级铁棘龙</t>
  </si>
  <si>
    <t>6级铁棘龙</t>
  </si>
  <si>
    <t>7级铁棘龙</t>
  </si>
  <si>
    <t>8级铁棘龙</t>
  </si>
  <si>
    <t>9级铁棘龙</t>
  </si>
  <si>
    <t>10级铁棘龙</t>
  </si>
  <si>
    <t>1级虚空龙</t>
    <phoneticPr fontId="3" type="noConversion"/>
  </si>
  <si>
    <t>2级虚空龙</t>
  </si>
  <si>
    <t>3级虚空龙</t>
  </si>
  <si>
    <t>4级虚空龙</t>
  </si>
  <si>
    <t>5级虚空龙</t>
  </si>
  <si>
    <t>6级虚空龙</t>
  </si>
  <si>
    <t>7级虚空龙</t>
  </si>
  <si>
    <t>8级虚空龙</t>
  </si>
  <si>
    <t>9级虚空龙</t>
  </si>
  <si>
    <t>10级虚空龙</t>
  </si>
  <si>
    <t>1级火龙</t>
    <phoneticPr fontId="3" type="noConversion"/>
  </si>
  <si>
    <t>2级火龙</t>
  </si>
  <si>
    <t>3级火龙</t>
  </si>
  <si>
    <t>4级火龙</t>
  </si>
  <si>
    <t>5级火龙</t>
  </si>
  <si>
    <t>6级火龙</t>
  </si>
  <si>
    <t>7级火龙</t>
  </si>
  <si>
    <t>8级火龙</t>
  </si>
  <si>
    <t>9级火龙</t>
  </si>
  <si>
    <t>10级火龙</t>
  </si>
  <si>
    <t>1级电龙</t>
    <phoneticPr fontId="3" type="noConversion"/>
  </si>
  <si>
    <t>2级电龙</t>
  </si>
  <si>
    <t>3级电龙</t>
  </si>
  <si>
    <t>4级电龙</t>
  </si>
  <si>
    <t>5级电龙</t>
  </si>
  <si>
    <t>6级电龙</t>
  </si>
  <si>
    <t>7级电龙</t>
  </si>
  <si>
    <t>8级电龙</t>
  </si>
  <si>
    <t>9级电龙</t>
  </si>
  <si>
    <t>10级电龙</t>
  </si>
  <si>
    <t>1级疾风龙</t>
    <phoneticPr fontId="3" type="noConversion"/>
  </si>
  <si>
    <t>2级疾风龙</t>
  </si>
  <si>
    <t>3级疾风龙</t>
  </si>
  <si>
    <t>4级疾风龙</t>
  </si>
  <si>
    <t>5级疾风龙</t>
  </si>
  <si>
    <t>6级疾风龙</t>
  </si>
  <si>
    <t>7级疾风龙</t>
  </si>
  <si>
    <t>8级疾风龙</t>
  </si>
  <si>
    <t>9级疾风龙</t>
  </si>
  <si>
    <t>10级疾风龙</t>
  </si>
  <si>
    <t>1级幽冥龙</t>
    <phoneticPr fontId="3" type="noConversion"/>
  </si>
  <si>
    <t>2级幽冥龙</t>
  </si>
  <si>
    <t>3级幽冥龙</t>
  </si>
  <si>
    <t>4级幽冥龙</t>
  </si>
  <si>
    <t>5级幽冥龙</t>
  </si>
  <si>
    <t>6级幽冥龙</t>
  </si>
  <si>
    <t>7级幽冥龙</t>
  </si>
  <si>
    <t>8级幽冥龙</t>
  </si>
  <si>
    <t>9级幽冥龙</t>
  </si>
  <si>
    <t>10级幽冥龙</t>
  </si>
  <si>
    <t>1级冰龙</t>
    <phoneticPr fontId="3" type="noConversion"/>
  </si>
  <si>
    <t>2级冰龙</t>
  </si>
  <si>
    <t>3级冰龙</t>
  </si>
  <si>
    <t>4级冰龙</t>
  </si>
  <si>
    <t>5级冰龙</t>
  </si>
  <si>
    <t>6级冰龙</t>
  </si>
  <si>
    <t>7级冰龙</t>
  </si>
  <si>
    <t>8级冰龙</t>
  </si>
  <si>
    <t>9级冰龙</t>
  </si>
  <si>
    <t>10级冰龙</t>
  </si>
  <si>
    <t>1级毒龙</t>
    <phoneticPr fontId="3" type="noConversion"/>
  </si>
  <si>
    <t>2级毒龙</t>
  </si>
  <si>
    <t>3级毒龙</t>
  </si>
  <si>
    <t>4级毒龙</t>
  </si>
  <si>
    <t>5级毒龙</t>
  </si>
  <si>
    <t>6级毒龙</t>
  </si>
  <si>
    <t>7级毒龙</t>
  </si>
  <si>
    <t>8级毒龙</t>
  </si>
  <si>
    <t>9级毒龙</t>
  </si>
  <si>
    <t>10级毒龙</t>
  </si>
  <si>
    <t>1级风暴龙</t>
    <phoneticPr fontId="3" type="noConversion"/>
  </si>
  <si>
    <t>2级风暴龙</t>
  </si>
  <si>
    <t>3级风暴龙</t>
  </si>
  <si>
    <t>4级风暴龙</t>
  </si>
  <si>
    <t>5级风暴龙</t>
  </si>
  <si>
    <t>6级风暴龙</t>
  </si>
  <si>
    <t>7级风暴龙</t>
  </si>
  <si>
    <t>8级风暴龙</t>
  </si>
  <si>
    <t>9级风暴龙</t>
  </si>
  <si>
    <t>10级风暴龙</t>
  </si>
  <si>
    <t>1级幻心龙</t>
    <phoneticPr fontId="3" type="noConversion"/>
  </si>
  <si>
    <t>2级幻心龙</t>
  </si>
  <si>
    <t>3级幻心龙</t>
  </si>
  <si>
    <t>4级幻心龙</t>
  </si>
  <si>
    <t>5级幻心龙</t>
  </si>
  <si>
    <t>6级幻心龙</t>
  </si>
  <si>
    <t>7级幻心龙</t>
  </si>
  <si>
    <t>8级幻心龙</t>
  </si>
  <si>
    <t>9级幻心龙</t>
  </si>
  <si>
    <t>10级幻心龙</t>
  </si>
  <si>
    <t>1级圣盾龙</t>
    <phoneticPr fontId="3" type="noConversion"/>
  </si>
  <si>
    <t>2级圣盾龙</t>
  </si>
  <si>
    <t>3级圣盾龙</t>
  </si>
  <si>
    <t>4级圣盾龙</t>
  </si>
  <si>
    <t>5级圣盾龙</t>
  </si>
  <si>
    <t>6级圣盾龙</t>
  </si>
  <si>
    <t>7级圣盾龙</t>
  </si>
  <si>
    <t>8级圣盾龙</t>
  </si>
  <si>
    <t>9级圣盾龙</t>
  </si>
  <si>
    <t>10级圣盾龙</t>
  </si>
  <si>
    <t>1级奥术龙</t>
    <phoneticPr fontId="3" type="noConversion"/>
  </si>
  <si>
    <t>2级奥术龙</t>
  </si>
  <si>
    <t>3级奥术龙</t>
  </si>
  <si>
    <t>4级奥术龙</t>
  </si>
  <si>
    <t>5级奥术龙</t>
  </si>
  <si>
    <t>6级奥术龙</t>
  </si>
  <si>
    <t>7级奥术龙</t>
  </si>
  <si>
    <t>8级奥术龙</t>
  </si>
  <si>
    <t>9级奥术龙</t>
  </si>
  <si>
    <t>10级奥术龙</t>
  </si>
  <si>
    <t>1级潮汐龙</t>
    <phoneticPr fontId="3" type="noConversion"/>
  </si>
  <si>
    <t>2级潮汐龙</t>
  </si>
  <si>
    <t>3级潮汐龙</t>
  </si>
  <si>
    <t>4级潮汐龙</t>
  </si>
  <si>
    <t>5级潮汐龙</t>
  </si>
  <si>
    <t>6级潮汐龙</t>
  </si>
  <si>
    <t>7级潮汐龙</t>
  </si>
  <si>
    <t>8级潮汐龙</t>
  </si>
  <si>
    <t>9级潮汐龙</t>
  </si>
  <si>
    <t>10级潮汐龙</t>
  </si>
  <si>
    <t>1级远古树龙</t>
    <phoneticPr fontId="3" type="noConversion"/>
  </si>
  <si>
    <t>2级远古树龙</t>
  </si>
  <si>
    <t>3级远古树龙</t>
  </si>
  <si>
    <t>4级远古树龙</t>
  </si>
  <si>
    <t>5级远古树龙</t>
  </si>
  <si>
    <t>6级远古树龙</t>
  </si>
  <si>
    <t>7级远古树龙</t>
  </si>
  <si>
    <t>8级远古树龙</t>
  </si>
  <si>
    <t>9级远古树龙</t>
  </si>
  <si>
    <t>10级远古树龙</t>
  </si>
  <si>
    <t>monster_category#int</t>
    <phoneticPr fontId="3" type="noConversion"/>
  </si>
  <si>
    <t>魔法抗性</t>
    <phoneticPr fontId="3" type="noConversion"/>
  </si>
  <si>
    <t>魔法抗性
基数</t>
    <phoneticPr fontId="3" type="noConversion"/>
  </si>
  <si>
    <t>暴击率</t>
    <phoneticPr fontId="3" type="noConversion"/>
  </si>
  <si>
    <t>暴击率基数</t>
    <phoneticPr fontId="3" type="noConversion"/>
  </si>
  <si>
    <t>物理抗性基数</t>
    <phoneticPr fontId="3" type="noConversion"/>
  </si>
  <si>
    <t>magic_res#float</t>
    <phoneticPr fontId="3" type="noConversion"/>
  </si>
  <si>
    <t>控制抗性</t>
    <phoneticPr fontId="3" type="noConversion"/>
  </si>
  <si>
    <t>控制抗性基数</t>
    <phoneticPr fontId="3" type="noConversion"/>
  </si>
  <si>
    <t>cc_res#float</t>
    <phoneticPr fontId="3" type="noConversion"/>
  </si>
  <si>
    <t>!tmp</t>
    <phoneticPr fontId="3" type="noConversion"/>
  </si>
  <si>
    <r>
      <t>crit</t>
    </r>
    <r>
      <rPr>
        <sz val="11"/>
        <color theme="1"/>
        <rFont val="宋体"/>
        <family val="3"/>
        <charset val="134"/>
        <scheme val="minor"/>
      </rPr>
      <t>_dmg</t>
    </r>
    <r>
      <rPr>
        <sz val="11"/>
        <color theme="1"/>
        <rFont val="宋体"/>
        <family val="3"/>
        <charset val="134"/>
        <scheme val="minor"/>
      </rPr>
      <t>#</t>
    </r>
    <r>
      <rPr>
        <sz val="11"/>
        <color theme="1"/>
        <rFont val="宋体"/>
        <family val="3"/>
        <charset val="134"/>
        <scheme val="minor"/>
      </rPr>
      <t>float</t>
    </r>
    <phoneticPr fontId="3" type="noConversion"/>
  </si>
  <si>
    <t>身体持续特效</t>
    <phoneticPr fontId="3" type="noConversion"/>
  </si>
  <si>
    <t>crit_rate#float</t>
    <phoneticPr fontId="3" type="noConversion"/>
  </si>
  <si>
    <t>magic_atk_min#float</t>
    <phoneticPr fontId="3" type="noConversion"/>
  </si>
  <si>
    <t>magic_atk_max#float</t>
    <phoneticPr fontId="3" type="noConversion"/>
  </si>
  <si>
    <t>魔法伤害最低</t>
    <phoneticPr fontId="3" type="noConversion"/>
  </si>
  <si>
    <t>魔法伤害最高</t>
    <phoneticPr fontId="3" type="noConversion"/>
  </si>
  <si>
    <t>物理抗性（护甲）
减伤%</t>
    <phoneticPr fontId="3" type="noConversion"/>
  </si>
  <si>
    <t>armor_pierce_of_magic#float</t>
    <phoneticPr fontId="3" type="noConversion"/>
  </si>
  <si>
    <t>魔法穿透</t>
    <phoneticPr fontId="3" type="noConversion"/>
  </si>
  <si>
    <t>子弹魔法伤害系数</t>
    <phoneticPr fontId="3" type="noConversion"/>
  </si>
  <si>
    <t>子弹物理伤害系数</t>
    <phoneticPr fontId="3" type="noConversion"/>
  </si>
  <si>
    <t>子弹物理
最低伤害</t>
    <phoneticPr fontId="3" type="noConversion"/>
  </si>
  <si>
    <t>bullet_atk#float</t>
    <phoneticPr fontId="3" type="noConversion"/>
  </si>
  <si>
    <t>子弹魔法
伤害</t>
    <phoneticPr fontId="3" type="noConversion"/>
  </si>
  <si>
    <t>bullet_atk_magic#float</t>
    <phoneticPr fontId="3" type="noConversion"/>
  </si>
  <si>
    <t>法强</t>
    <phoneticPr fontId="3" type="noConversion"/>
  </si>
  <si>
    <t>ability_power#int</t>
    <phoneticPr fontId="3" type="noConversion"/>
  </si>
  <si>
    <r>
      <t>body</t>
    </r>
    <r>
      <rPr>
        <sz val="11"/>
        <color theme="1"/>
        <rFont val="宋体"/>
        <family val="3"/>
        <charset val="134"/>
        <scheme val="minor"/>
      </rPr>
      <t>_anim</t>
    </r>
    <r>
      <rPr>
        <sz val="11"/>
        <color theme="1"/>
        <rFont val="宋体"/>
        <family val="3"/>
        <charset val="134"/>
        <scheme val="minor"/>
      </rPr>
      <t>_name#str</t>
    </r>
    <phoneticPr fontId="3" type="noConversion"/>
  </si>
  <si>
    <t>身体动画名称</t>
    <phoneticPr fontId="3" type="noConversion"/>
  </si>
  <si>
    <r>
      <t>dra</t>
    </r>
    <r>
      <rPr>
        <sz val="11"/>
        <color theme="1"/>
        <rFont val="宋体"/>
        <family val="3"/>
        <charset val="134"/>
        <scheme val="minor"/>
      </rPr>
      <t>gon</t>
    </r>
    <phoneticPr fontId="3" type="noConversion"/>
  </si>
  <si>
    <t>大分类：
0普通
1泰坦
2龙
3中立</t>
    <phoneticPr fontId="3" type="noConversion"/>
  </si>
  <si>
    <t>1级红工蚁</t>
    <phoneticPr fontId="3" type="noConversion"/>
  </si>
  <si>
    <t>2级红工蚁</t>
  </si>
  <si>
    <t>3级红工蚁</t>
  </si>
  <si>
    <t>4级红工蚁</t>
  </si>
  <si>
    <t>5级红工蚁</t>
  </si>
  <si>
    <t>6级红工蚁</t>
  </si>
  <si>
    <t>7级红工蚁</t>
  </si>
  <si>
    <t>8级红工蚁</t>
  </si>
  <si>
    <t>9级红工蚁</t>
  </si>
  <si>
    <t>10级红工蚁</t>
  </si>
  <si>
    <t>1级红兵蚁</t>
    <phoneticPr fontId="3" type="noConversion"/>
  </si>
  <si>
    <t>2级红兵蚁</t>
  </si>
  <si>
    <t>3级红兵蚁</t>
  </si>
  <si>
    <t>4级红兵蚁</t>
  </si>
  <si>
    <t>5级红兵蚁</t>
  </si>
  <si>
    <t>6级红兵蚁</t>
  </si>
  <si>
    <t>7级红兵蚁</t>
  </si>
  <si>
    <t>8级红兵蚁</t>
  </si>
  <si>
    <t>9级红兵蚁</t>
  </si>
  <si>
    <t>10级红兵蚁</t>
  </si>
  <si>
    <t>ant_worker_red</t>
    <phoneticPr fontId="3" type="noConversion"/>
  </si>
  <si>
    <t>ant_soldier_red</t>
    <phoneticPr fontId="3" type="noConversion"/>
  </si>
  <si>
    <t>飞行状态的移动速度</t>
    <phoneticPr fontId="3" type="noConversion"/>
  </si>
  <si>
    <r>
      <t>f</t>
    </r>
    <r>
      <rPr>
        <sz val="11"/>
        <color theme="1"/>
        <rFont val="宋体"/>
        <family val="3"/>
        <charset val="134"/>
        <scheme val="minor"/>
      </rPr>
      <t>ly_speed#float</t>
    </r>
    <phoneticPr fontId="3" type="noConversion"/>
  </si>
  <si>
    <t>skill1#int</t>
    <phoneticPr fontId="3" type="noConversion"/>
  </si>
  <si>
    <t>技能冷却1</t>
    <phoneticPr fontId="3" type="noConversion"/>
  </si>
  <si>
    <t>技能冷却2</t>
    <phoneticPr fontId="3" type="noConversion"/>
  </si>
  <si>
    <t>skill2#int</t>
    <phoneticPr fontId="3" type="noConversion"/>
  </si>
  <si>
    <t>技能2大招</t>
    <phoneticPr fontId="3" type="noConversion"/>
  </si>
  <si>
    <t>技能1飞行吐息</t>
    <phoneticPr fontId="3" type="noConversion"/>
  </si>
  <si>
    <t>飞行吐息时长</t>
    <phoneticPr fontId="3" type="noConversion"/>
  </si>
  <si>
    <t>duration_fly_breath#float</t>
    <phoneticPr fontId="3" type="noConversion"/>
  </si>
  <si>
    <t>吐息攻击伤害倍率</t>
    <phoneticPr fontId="3" type="noConversion"/>
  </si>
  <si>
    <t>atk_effect_of_breath#float</t>
    <phoneticPr fontId="3" type="noConversion"/>
  </si>
  <si>
    <t>atk_range_of_breath#float</t>
    <phoneticPr fontId="3" type="noConversion"/>
  </si>
  <si>
    <t>吐息攻击buff</t>
    <phoneticPr fontId="3" type="noConversion"/>
  </si>
  <si>
    <t>attack_buff_id_of_breath#int</t>
    <phoneticPr fontId="3" type="noConversion"/>
  </si>
  <si>
    <t>飞行吐息伤害周期</t>
    <phoneticPr fontId="3" type="noConversion"/>
  </si>
  <si>
    <t>atk_interval_fly_breath#float</t>
    <phoneticPr fontId="3" type="noConversion"/>
  </si>
  <si>
    <t>body_name#str</t>
    <phoneticPr fontId="3" type="noConversion"/>
  </si>
  <si>
    <t>飞行吐息特效预置体</t>
    <phoneticPr fontId="3" type="noConversion"/>
  </si>
  <si>
    <t>站立吐息特效预置体</t>
    <phoneticPr fontId="3" type="noConversion"/>
  </si>
  <si>
    <t>prefab_ef_breath_fly#str</t>
    <phoneticPr fontId="3" type="noConversion"/>
  </si>
  <si>
    <t>prefab_ef_breath_stand#str</t>
    <phoneticPr fontId="3" type="noConversion"/>
  </si>
  <si>
    <t>duration_stand_breath#float</t>
    <phoneticPr fontId="3" type="noConversion"/>
  </si>
  <si>
    <t>飞行吐息销毁延迟</t>
    <phoneticPr fontId="3" type="noConversion"/>
  </si>
  <si>
    <t>ef_breath_stand_delay_destroy#float</t>
    <phoneticPr fontId="3" type="noConversion"/>
  </si>
  <si>
    <t>attack_count_to_stand_breath#int</t>
    <phoneticPr fontId="3" type="noConversion"/>
  </si>
  <si>
    <t>站立叶吐息的触发条件</t>
    <phoneticPr fontId="3" type="noConversion"/>
  </si>
  <si>
    <t>杀伤范围X</t>
    <phoneticPr fontId="3" type="noConversion"/>
  </si>
  <si>
    <t>atk_range_of_breath_y_min#float</t>
    <phoneticPr fontId="3" type="noConversion"/>
  </si>
  <si>
    <t>atk_range_of_breath_y_max#float</t>
    <phoneticPr fontId="3" type="noConversion"/>
  </si>
  <si>
    <t>吐息攻击范围X</t>
    <phoneticPr fontId="3" type="noConversion"/>
  </si>
  <si>
    <t>skill2_cd_days#int</t>
    <phoneticPr fontId="3" type="noConversion"/>
  </si>
  <si>
    <t>skill1_cd_days#int</t>
    <phoneticPr fontId="3" type="noConversion"/>
  </si>
  <si>
    <t>ef_dragon_body_fire</t>
    <phoneticPr fontId="3" type="noConversion"/>
  </si>
  <si>
    <t>ef_dragon_attack_fire</t>
    <phoneticPr fontId="3" type="noConversion"/>
  </si>
  <si>
    <t>ef_dragon_attack#str</t>
    <phoneticPr fontId="3" type="noConversion"/>
  </si>
  <si>
    <t>普通攻击特效</t>
    <phoneticPr fontId="3" type="noConversion"/>
  </si>
  <si>
    <t>ef_dragon_body#str</t>
    <phoneticPr fontId="3" type="noConversion"/>
  </si>
  <si>
    <t>精力（飞行时长）</t>
    <phoneticPr fontId="3" type="noConversion"/>
  </si>
  <si>
    <t>精力恢复速度</t>
    <phoneticPr fontId="3" type="noConversion"/>
  </si>
  <si>
    <t>power_recovery#float</t>
    <phoneticPr fontId="3" type="noConversion"/>
  </si>
  <si>
    <t>power_max#float</t>
    <phoneticPr fontId="3" type="noConversion"/>
  </si>
  <si>
    <t>起飞所需最小精力</t>
    <phoneticPr fontId="3" type="noConversion"/>
  </si>
  <si>
    <t>power_to_fly#float</t>
    <phoneticPr fontId="3" type="noConversion"/>
  </si>
  <si>
    <t>10级潮汐龙</t>
    <phoneticPr fontId="3" type="noConversion"/>
  </si>
  <si>
    <t>phys_res#float</t>
    <phoneticPr fontId="3" type="noConversion"/>
  </si>
  <si>
    <t>魔法系</t>
    <phoneticPr fontId="3" type="noConversion"/>
  </si>
  <si>
    <t>is_magic#int</t>
    <phoneticPr fontId="3" type="noConversion"/>
  </si>
  <si>
    <t>dragon5</t>
    <phoneticPr fontId="3" type="noConversion"/>
  </si>
  <si>
    <t>1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</si>
  <si>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</si>
  <si>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</si>
  <si>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</si>
  <si>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</si>
  <si>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</si>
  <si>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</si>
  <si>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</si>
  <si>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</si>
  <si>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</si>
  <si>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dragon1</t>
  </si>
  <si>
    <t>dragon1</t>
    <phoneticPr fontId="3" type="noConversion"/>
  </si>
  <si>
    <t>dragon2</t>
    <phoneticPr fontId="3" type="noConversion"/>
  </si>
  <si>
    <t>dragon3</t>
    <phoneticPr fontId="3" type="noConversion"/>
  </si>
  <si>
    <t>dragon4</t>
    <phoneticPr fontId="3" type="noConversion"/>
  </si>
  <si>
    <t>dragon6</t>
    <phoneticPr fontId="3" type="noConversion"/>
  </si>
  <si>
    <t>dragon7</t>
    <phoneticPr fontId="3" type="noConversion"/>
  </si>
  <si>
    <t>dragon8</t>
    <phoneticPr fontId="3" type="noConversion"/>
  </si>
  <si>
    <t>dragon9</t>
    <phoneticPr fontId="3" type="noConversion"/>
  </si>
  <si>
    <t>dragon10</t>
    <phoneticPr fontId="3" type="noConversion"/>
  </si>
  <si>
    <t>dragon11</t>
    <phoneticPr fontId="3" type="noConversion"/>
  </si>
  <si>
    <t>dragon12</t>
    <phoneticPr fontId="3" type="noConversion"/>
  </si>
  <si>
    <t>dragon13</t>
    <phoneticPr fontId="3" type="noConversion"/>
  </si>
  <si>
    <t>dragon14</t>
    <phoneticPr fontId="3" type="noConversion"/>
  </si>
  <si>
    <t>dragon15</t>
    <phoneticPr fontId="3" type="noConversion"/>
  </si>
  <si>
    <t>dragon16</t>
    <phoneticPr fontId="3" type="noConversion"/>
  </si>
  <si>
    <t>身体偏移</t>
    <phoneticPr fontId="3" type="noConversion"/>
  </si>
  <si>
    <t>body_z_offset#float</t>
    <phoneticPr fontId="3" type="noConversion"/>
  </si>
  <si>
    <t>ef_dragon1_1</t>
    <phoneticPr fontId="3" type="noConversion"/>
  </si>
  <si>
    <t>ef_dragon1_2</t>
  </si>
  <si>
    <t>ef_dragon2_1</t>
    <phoneticPr fontId="3" type="noConversion"/>
  </si>
  <si>
    <t>ef_dragon2_2</t>
  </si>
  <si>
    <t>ef_dragon3_1</t>
    <phoneticPr fontId="3" type="noConversion"/>
  </si>
  <si>
    <t>ef_dragon3_2</t>
  </si>
  <si>
    <t>ef_dragon4_1</t>
    <phoneticPr fontId="3" type="noConversion"/>
  </si>
  <si>
    <t>ef_dragon4_2</t>
  </si>
  <si>
    <t>ef_dragon5_1</t>
    <phoneticPr fontId="3" type="noConversion"/>
  </si>
  <si>
    <t>ef_dragon5_2</t>
    <phoneticPr fontId="3" type="noConversion"/>
  </si>
  <si>
    <t>ef_dragon6_1</t>
    <phoneticPr fontId="3" type="noConversion"/>
  </si>
  <si>
    <t>ef_dragon6_2</t>
  </si>
  <si>
    <t>ef_dragon7_1</t>
    <phoneticPr fontId="3" type="noConversion"/>
  </si>
  <si>
    <t>ef_dragon7_2</t>
  </si>
  <si>
    <t>ef_dragon8_1</t>
    <phoneticPr fontId="3" type="noConversion"/>
  </si>
  <si>
    <t>ef_dragon8_2</t>
  </si>
  <si>
    <t>ef_dragon9_1</t>
    <phoneticPr fontId="3" type="noConversion"/>
  </si>
  <si>
    <t>ef_dragon9_2</t>
  </si>
  <si>
    <t>bloodsucking_rate#float</t>
    <phoneticPr fontId="3" type="noConversion"/>
  </si>
  <si>
    <t>吸血比例(X实际伤害输出）</t>
    <phoneticPr fontId="3" type="noConversion"/>
  </si>
  <si>
    <t>ef_dragon10_1</t>
    <phoneticPr fontId="3" type="noConversion"/>
  </si>
  <si>
    <t>ef_dragon10_2</t>
  </si>
  <si>
    <t>ef_dragon11_1</t>
    <phoneticPr fontId="3" type="noConversion"/>
  </si>
  <si>
    <t>ef_dragon11_2</t>
  </si>
  <si>
    <t>ef_dragon12_1</t>
    <phoneticPr fontId="3" type="noConversion"/>
  </si>
  <si>
    <t>ef_dragon12_2</t>
  </si>
  <si>
    <t>ef_dragon13_1</t>
    <phoneticPr fontId="3" type="noConversion"/>
  </si>
  <si>
    <t>ef_dragon13_2</t>
  </si>
  <si>
    <t>ef_dragon14_1</t>
    <phoneticPr fontId="3" type="noConversion"/>
  </si>
  <si>
    <t>ef_dragon14_2</t>
  </si>
  <si>
    <t>ef_dragon15_1</t>
  </si>
  <si>
    <t>ef_dragon15_1</t>
    <phoneticPr fontId="3" type="noConversion"/>
  </si>
  <si>
    <t>ef_dragon15_2</t>
  </si>
  <si>
    <t>ef_dragon16_1</t>
    <phoneticPr fontId="3" type="noConversion"/>
  </si>
  <si>
    <t>ef_dragon16_2</t>
  </si>
  <si>
    <t>mind_control_count_max#int</t>
    <phoneticPr fontId="3" type="noConversion"/>
  </si>
  <si>
    <t>最大可同时心灵控制的单位数量</t>
    <phoneticPr fontId="3" type="noConversion"/>
  </si>
  <si>
    <t>!tmp</t>
    <phoneticPr fontId="3" type="noConversion"/>
  </si>
  <si>
    <t>魔法伤害
系数</t>
    <phoneticPr fontId="3" type="noConversion"/>
  </si>
  <si>
    <t>暴击伤害倍率</t>
    <phoneticPr fontId="3" type="noConversion"/>
  </si>
  <si>
    <t>ef_dragon1_2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</si>
</sst>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charset val="134"/>
      <scheme val="minor"/>
    </font>
    <font>
      <sz val="12"/>
      <color rgb="FF19191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6" borderId="1" xfId="0" applyFill="1" applyBorder="1"/>
    <xf numFmtId="0" fontId="1" fillId="4" borderId="1" xfId="0" applyFont="1" applyFill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5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2" xfId="0" applyBorder="1"/>
    <xf numFmtId="0" fontId="0" fillId="5" borderId="5" xfId="0" applyFill="1" applyBorder="1"/>
    <xf numFmtId="0" fontId="0" fillId="0" borderId="5" xfId="0" applyBorder="1"/>
    <xf numFmtId="0" fontId="0" fillId="5" borderId="3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5" borderId="0" xfId="0" applyFill="1"/>
    <xf numFmtId="0" fontId="0" fillId="5" borderId="6" xfId="0" applyFill="1" applyBorder="1"/>
    <xf numFmtId="0" fontId="2" fillId="4" borderId="1" xfId="0" applyFont="1" applyFill="1" applyBorder="1"/>
    <xf numFmtId="0" fontId="2" fillId="4" borderId="6" xfId="0" applyFont="1" applyFill="1" applyBorder="1"/>
    <xf numFmtId="0" fontId="2" fillId="3" borderId="6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4" borderId="0" xfId="0" applyFill="1"/>
    <xf numFmtId="0" fontId="2" fillId="0" borderId="1" xfId="0" quotePrefix="1" applyFont="1" applyBorder="1" applyAlignment="1">
      <alignment wrapText="1"/>
    </xf>
    <xf numFmtId="0" fontId="0" fillId="3" borderId="1" xfId="0" applyFill="1" applyBorder="1" applyAlignment="1">
      <alignment vertical="center"/>
    </xf>
    <xf numFmtId="176" fontId="2" fillId="0" borderId="1" xfId="0" applyNumberFormat="1" applyFont="1" applyBorder="1" applyAlignment="1">
      <alignment wrapText="1"/>
    </xf>
    <xf numFmtId="176" fontId="2" fillId="0" borderId="1" xfId="0" applyNumberFormat="1" applyFont="1" applyBorder="1"/>
    <xf numFmtId="176" fontId="0" fillId="0" borderId="1" xfId="0" applyNumberFormat="1" applyBorder="1"/>
    <xf numFmtId="176" fontId="0" fillId="3" borderId="1" xfId="0" applyNumberFormat="1" applyFill="1" applyBorder="1"/>
    <xf numFmtId="176" fontId="0" fillId="0" borderId="0" xfId="0" applyNumberFormat="1"/>
    <xf numFmtId="0" fontId="2" fillId="2" borderId="1" xfId="0" applyFont="1" applyFill="1" applyBorder="1"/>
    <xf numFmtId="0" fontId="2" fillId="2" borderId="6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A582"/>
  <sheetViews>
    <sheetView tabSelected="1" topLeftCell="BM1" workbookViewId="0">
      <pane ySplit="1" topLeftCell="A401" activePane="bottomLeft" state="frozen"/>
      <selection pane="bottomLeft" activeCell="CF16" sqref="CF16"/>
    </sheetView>
  </sheetViews>
  <sheetFormatPr defaultRowHeight="13.5" x14ac:dyDescent="0.15"/>
  <cols>
    <col min="1" max="1" width="9.375" customWidth="1"/>
    <col min="2" max="2" width="13.625" customWidth="1"/>
    <col min="3" max="3" width="8.375" customWidth="1"/>
    <col min="4" max="4" width="6.25" customWidth="1"/>
    <col min="5" max="5" width="5.875" customWidth="1"/>
    <col min="6" max="6" width="5.375" customWidth="1"/>
    <col min="7" max="7" width="16.125" style="47" customWidth="1"/>
    <col min="8" max="8" width="26" customWidth="1"/>
    <col min="9" max="9" width="25.75" customWidth="1"/>
    <col min="10" max="10" width="10" customWidth="1"/>
    <col min="11" max="11" width="7.375" customWidth="1"/>
    <col min="12" max="12" width="6.5" style="40" customWidth="1"/>
    <col min="13" max="13" width="5.375" customWidth="1"/>
    <col min="14" max="14" width="5.375" style="40" customWidth="1"/>
    <col min="15" max="17" width="5.375" customWidth="1"/>
    <col min="18" max="18" width="8.875" customWidth="1"/>
    <col min="19" max="25" width="5.375" customWidth="1"/>
    <col min="26" max="26" width="23.25" customWidth="1"/>
    <col min="27" max="29" width="5.375" customWidth="1"/>
    <col min="30" max="30" width="24.5" customWidth="1"/>
    <col min="31" max="31" width="5.375" style="33" customWidth="1"/>
    <col min="32" max="32" width="8.75" customWidth="1"/>
    <col min="33" max="39" width="5.375" customWidth="1"/>
    <col min="40" max="40" width="5.375" style="2" customWidth="1"/>
    <col min="41" max="41" width="5.375" customWidth="1"/>
    <col min="42" max="42" width="13.625" customWidth="1"/>
    <col min="43" max="43" width="8.375" customWidth="1"/>
    <col min="44" max="44" width="5" style="2" customWidth="1"/>
    <col min="45" max="45" width="8.375" style="3" customWidth="1"/>
    <col min="46" max="46" width="8.125" style="3" customWidth="1"/>
    <col min="47" max="48" width="5.5" customWidth="1"/>
    <col min="49" max="51" width="6.75" customWidth="1"/>
    <col min="52" max="52" width="7.5" customWidth="1"/>
    <col min="53" max="55" width="8.625" customWidth="1"/>
    <col min="56" max="56" width="8" customWidth="1"/>
    <col min="57" max="70" width="8.625" customWidth="1"/>
    <col min="71" max="71" width="8.875" style="1" customWidth="1"/>
    <col min="72" max="73" width="5.125" style="1" customWidth="1"/>
    <col min="74" max="74" width="8.5" style="1" customWidth="1"/>
    <col min="75" max="77" width="8.375" style="1" customWidth="1"/>
    <col min="78" max="80" width="13.25" customWidth="1"/>
    <col min="81" max="81" width="4.625" customWidth="1"/>
    <col min="82" max="84" width="7.875" customWidth="1"/>
    <col min="85" max="86" width="13.625" customWidth="1"/>
    <col min="87" max="87" width="7.875" customWidth="1"/>
    <col min="88" max="88" width="6.75" style="1" customWidth="1"/>
    <col min="89" max="89" width="7.625" customWidth="1"/>
    <col min="90" max="90" width="6.25" customWidth="1"/>
    <col min="91" max="91" width="6.25" style="33" customWidth="1"/>
    <col min="92" max="92" width="6.25" customWidth="1"/>
    <col min="93" max="93" width="7.625" customWidth="1"/>
    <col min="94" max="94" width="6.25" customWidth="1"/>
    <col min="95" max="95" width="7.625" customWidth="1"/>
    <col min="96" max="96" width="6.25" customWidth="1"/>
    <col min="97" max="99" width="8.625" customWidth="1"/>
    <col min="100" max="103" width="6.25" customWidth="1"/>
    <col min="104" max="104" width="5" style="2" customWidth="1"/>
    <col min="105" max="105" width="7.875" style="3" customWidth="1"/>
    <col min="106" max="107" width="7.875" customWidth="1"/>
    <col min="108" max="109" width="7.875" style="3" customWidth="1"/>
    <col min="110" max="110" width="7.875" customWidth="1"/>
    <col min="111" max="111" width="7.625" style="3" customWidth="1"/>
    <col min="112" max="112" width="7.5" customWidth="1"/>
    <col min="113" max="113" width="4.75" style="2" customWidth="1"/>
    <col min="114" max="114" width="8.375" customWidth="1"/>
    <col min="115" max="115" width="4.75" style="2" customWidth="1"/>
    <col min="116" max="116" width="8.375" customWidth="1"/>
    <col min="117" max="117" width="12.625" customWidth="1"/>
    <col min="118" max="118" width="8" customWidth="1"/>
    <col min="119" max="121" width="6.875" customWidth="1"/>
    <col min="122" max="122" width="8.375" customWidth="1"/>
    <col min="123" max="123" width="9.5" style="3" customWidth="1"/>
    <col min="124" max="124" width="9.125" customWidth="1"/>
    <col min="125" max="125" width="9.5" customWidth="1"/>
    <col min="126" max="126" width="8.625" style="3" customWidth="1"/>
    <col min="127" max="127" width="5.875" customWidth="1"/>
    <col min="128" max="128" width="4.5" customWidth="1"/>
    <col min="129" max="130" width="4.375" customWidth="1"/>
    <col min="131" max="131" width="12.25" customWidth="1"/>
  </cols>
  <sheetData>
    <row r="1" spans="1:131" s="1" customFormat="1" ht="94.5" x14ac:dyDescent="0.15">
      <c r="A1" s="4" t="s">
        <v>0</v>
      </c>
      <c r="B1" s="4" t="s">
        <v>1</v>
      </c>
      <c r="C1" s="30" t="s">
        <v>979</v>
      </c>
      <c r="D1" s="30" t="s">
        <v>980</v>
      </c>
      <c r="E1" s="30" t="s">
        <v>983</v>
      </c>
      <c r="F1" s="30" t="s">
        <v>918</v>
      </c>
      <c r="G1" s="43" t="s">
        <v>1016</v>
      </c>
      <c r="H1" s="30" t="s">
        <v>898</v>
      </c>
      <c r="I1" s="30" t="s">
        <v>977</v>
      </c>
      <c r="J1" s="30" t="s">
        <v>1037</v>
      </c>
      <c r="K1" s="30" t="s">
        <v>904</v>
      </c>
      <c r="L1" s="39" t="s">
        <v>891</v>
      </c>
      <c r="M1" s="30" t="s">
        <v>887</v>
      </c>
      <c r="N1" s="39" t="s">
        <v>888</v>
      </c>
      <c r="O1" s="30" t="s">
        <v>906</v>
      </c>
      <c r="P1" s="30" t="s">
        <v>893</v>
      </c>
      <c r="Q1" s="30" t="s">
        <v>894</v>
      </c>
      <c r="R1" s="30" t="s">
        <v>948</v>
      </c>
      <c r="S1" s="30" t="s">
        <v>944</v>
      </c>
      <c r="T1" s="30" t="s">
        <v>949</v>
      </c>
      <c r="U1" s="30" t="s">
        <v>956</v>
      </c>
      <c r="V1" s="30" t="s">
        <v>951</v>
      </c>
      <c r="W1" s="30" t="s">
        <v>971</v>
      </c>
      <c r="X1" s="4" t="s">
        <v>622</v>
      </c>
      <c r="Y1" s="4" t="s">
        <v>622</v>
      </c>
      <c r="Z1" s="30" t="s">
        <v>959</v>
      </c>
      <c r="AA1" s="30" t="s">
        <v>949</v>
      </c>
      <c r="AB1" s="30" t="s">
        <v>964</v>
      </c>
      <c r="AC1" s="30" t="s">
        <v>967</v>
      </c>
      <c r="AD1" s="30" t="s">
        <v>960</v>
      </c>
      <c r="AE1" s="29" t="s">
        <v>954</v>
      </c>
      <c r="AF1" s="30" t="s">
        <v>947</v>
      </c>
      <c r="AG1" s="30" t="s">
        <v>945</v>
      </c>
      <c r="AH1" s="30" t="s">
        <v>889</v>
      </c>
      <c r="AI1" s="31" t="s">
        <v>1057</v>
      </c>
      <c r="AJ1" s="31" t="s">
        <v>890</v>
      </c>
      <c r="AK1" s="31" t="s">
        <v>913</v>
      </c>
      <c r="AL1" s="31" t="s">
        <v>902</v>
      </c>
      <c r="AM1" s="31" t="s">
        <v>903</v>
      </c>
      <c r="AN1" s="32" t="s">
        <v>1056</v>
      </c>
      <c r="AO1" s="31" t="s">
        <v>987</v>
      </c>
      <c r="AP1" s="4" t="s">
        <v>1</v>
      </c>
      <c r="AQ1" s="30" t="s">
        <v>1054</v>
      </c>
      <c r="AR1" s="13" t="s">
        <v>53</v>
      </c>
      <c r="AS1" s="12" t="s">
        <v>54</v>
      </c>
      <c r="AT1" s="12" t="s">
        <v>55</v>
      </c>
      <c r="AU1" s="4" t="s">
        <v>715</v>
      </c>
      <c r="AV1" s="30" t="s">
        <v>724</v>
      </c>
      <c r="AW1" s="4" t="s">
        <v>2</v>
      </c>
      <c r="AX1" s="30" t="s">
        <v>721</v>
      </c>
      <c r="AY1" s="30" t="s">
        <v>719</v>
      </c>
      <c r="AZ1" s="4" t="s">
        <v>3</v>
      </c>
      <c r="BA1" s="4" t="s">
        <v>4</v>
      </c>
      <c r="BB1" s="4" t="s">
        <v>5</v>
      </c>
      <c r="BC1" s="4" t="s">
        <v>6</v>
      </c>
      <c r="BD1" s="4" t="s">
        <v>7</v>
      </c>
      <c r="BE1" s="11" t="s">
        <v>8</v>
      </c>
      <c r="BF1" s="11" t="s">
        <v>9</v>
      </c>
      <c r="BG1" s="11" t="s">
        <v>10</v>
      </c>
      <c r="BH1" s="29" t="s">
        <v>638</v>
      </c>
      <c r="BI1" s="11" t="s">
        <v>11</v>
      </c>
      <c r="BJ1" s="29" t="s">
        <v>690</v>
      </c>
      <c r="BK1" s="29" t="s">
        <v>691</v>
      </c>
      <c r="BL1" s="29" t="s">
        <v>641</v>
      </c>
      <c r="BM1" s="11" t="s">
        <v>12</v>
      </c>
      <c r="BN1" s="11" t="s">
        <v>13</v>
      </c>
      <c r="BO1" s="11" t="s">
        <v>14</v>
      </c>
      <c r="BP1" s="11" t="s">
        <v>15</v>
      </c>
      <c r="BQ1" s="11" t="s">
        <v>16</v>
      </c>
      <c r="BR1" s="11" t="s">
        <v>17</v>
      </c>
      <c r="BS1" s="12" t="s">
        <v>18</v>
      </c>
      <c r="BT1" s="4" t="s">
        <v>19</v>
      </c>
      <c r="BU1" s="4" t="s">
        <v>20</v>
      </c>
      <c r="BV1" s="4" t="s">
        <v>21</v>
      </c>
      <c r="BW1" s="4" t="s">
        <v>22</v>
      </c>
      <c r="BX1" s="4" t="s">
        <v>23</v>
      </c>
      <c r="BY1" s="4" t="s">
        <v>24</v>
      </c>
      <c r="BZ1" s="4" t="s">
        <v>25</v>
      </c>
      <c r="CA1" s="4" t="s">
        <v>26</v>
      </c>
      <c r="CB1" s="30" t="s">
        <v>916</v>
      </c>
      <c r="CC1" s="4" t="s">
        <v>27</v>
      </c>
      <c r="CD1" s="4" t="s">
        <v>28</v>
      </c>
      <c r="CE1" s="4" t="s">
        <v>29</v>
      </c>
      <c r="CF1" s="4" t="s">
        <v>596</v>
      </c>
      <c r="CG1" s="4" t="s">
        <v>1</v>
      </c>
      <c r="CH1" s="30" t="s">
        <v>718</v>
      </c>
      <c r="CI1" s="4" t="s">
        <v>30</v>
      </c>
      <c r="CJ1" s="12" t="s">
        <v>31</v>
      </c>
      <c r="CK1" s="12" t="s">
        <v>32</v>
      </c>
      <c r="CL1" s="12" t="s">
        <v>33</v>
      </c>
      <c r="CM1" s="11" t="s">
        <v>626</v>
      </c>
      <c r="CN1" s="12" t="s">
        <v>624</v>
      </c>
      <c r="CO1" s="12" t="s">
        <v>34</v>
      </c>
      <c r="CP1" s="12" t="s">
        <v>35</v>
      </c>
      <c r="CQ1" s="12" t="s">
        <v>36</v>
      </c>
      <c r="CR1" s="12" t="s">
        <v>37</v>
      </c>
      <c r="CS1" s="12" t="s">
        <v>38</v>
      </c>
      <c r="CT1" s="12" t="s">
        <v>39</v>
      </c>
      <c r="CU1" s="12" t="s">
        <v>40</v>
      </c>
      <c r="CV1" s="4" t="s">
        <v>41</v>
      </c>
      <c r="CW1" s="4" t="s">
        <v>42</v>
      </c>
      <c r="CX1" s="4" t="s">
        <v>43</v>
      </c>
      <c r="CY1" s="4" t="s">
        <v>44</v>
      </c>
      <c r="CZ1" s="13" t="s">
        <v>45</v>
      </c>
      <c r="DA1" s="12" t="s">
        <v>46</v>
      </c>
      <c r="DB1" s="4" t="s">
        <v>47</v>
      </c>
      <c r="DC1" s="30" t="s">
        <v>941</v>
      </c>
      <c r="DD1" s="12" t="s">
        <v>48</v>
      </c>
      <c r="DE1" s="12" t="s">
        <v>49</v>
      </c>
      <c r="DF1" s="4" t="s">
        <v>50</v>
      </c>
      <c r="DG1" s="12" t="s">
        <v>51</v>
      </c>
      <c r="DH1" s="4" t="s">
        <v>52</v>
      </c>
      <c r="DI1" s="32" t="s">
        <v>908</v>
      </c>
      <c r="DJ1" s="30" t="s">
        <v>909</v>
      </c>
      <c r="DK1" s="32" t="s">
        <v>907</v>
      </c>
      <c r="DL1" s="30" t="s">
        <v>911</v>
      </c>
      <c r="DM1" s="4" t="s">
        <v>1</v>
      </c>
      <c r="DN1" s="4" t="s">
        <v>56</v>
      </c>
      <c r="DO1" s="4" t="s">
        <v>57</v>
      </c>
      <c r="DP1" s="4" t="s">
        <v>58</v>
      </c>
      <c r="DQ1" s="4" t="s">
        <v>59</v>
      </c>
      <c r="DR1" s="4" t="s">
        <v>60</v>
      </c>
      <c r="DS1" s="31" t="s">
        <v>968</v>
      </c>
      <c r="DT1" s="4" t="s">
        <v>622</v>
      </c>
      <c r="DU1" s="4" t="s">
        <v>622</v>
      </c>
      <c r="DV1" s="12" t="s">
        <v>61</v>
      </c>
      <c r="DW1" s="4" t="s">
        <v>62</v>
      </c>
      <c r="DX1" s="4" t="s">
        <v>63</v>
      </c>
      <c r="DY1" s="4" t="s">
        <v>64</v>
      </c>
      <c r="DZ1" s="4" t="s">
        <v>65</v>
      </c>
      <c r="EA1" s="4" t="s">
        <v>66</v>
      </c>
    </row>
    <row r="2" spans="1:131" x14ac:dyDescent="0.15">
      <c r="A2" s="5" t="s">
        <v>67</v>
      </c>
      <c r="B2" s="5" t="s">
        <v>68</v>
      </c>
      <c r="C2" s="27" t="s">
        <v>982</v>
      </c>
      <c r="D2" s="27" t="s">
        <v>981</v>
      </c>
      <c r="E2" s="27" t="s">
        <v>984</v>
      </c>
      <c r="F2" s="27" t="s">
        <v>886</v>
      </c>
      <c r="G2" s="44" t="s">
        <v>1017</v>
      </c>
      <c r="H2" s="35" t="s">
        <v>978</v>
      </c>
      <c r="I2" s="35" t="s">
        <v>976</v>
      </c>
      <c r="J2" s="35" t="s">
        <v>1036</v>
      </c>
      <c r="K2" s="35" t="s">
        <v>986</v>
      </c>
      <c r="L2" s="36" t="s">
        <v>896</v>
      </c>
      <c r="M2" s="35" t="s">
        <v>892</v>
      </c>
      <c r="N2" s="36" t="s">
        <v>896</v>
      </c>
      <c r="O2" s="36" t="s">
        <v>905</v>
      </c>
      <c r="P2" s="28" t="s">
        <v>895</v>
      </c>
      <c r="Q2" s="37" t="s">
        <v>896</v>
      </c>
      <c r="R2" s="28" t="s">
        <v>943</v>
      </c>
      <c r="S2" s="28" t="s">
        <v>973</v>
      </c>
      <c r="T2" s="28" t="s">
        <v>950</v>
      </c>
      <c r="U2" s="28" t="s">
        <v>957</v>
      </c>
      <c r="V2" s="28" t="s">
        <v>952</v>
      </c>
      <c r="W2" s="28" t="s">
        <v>953</v>
      </c>
      <c r="X2" s="27" t="s">
        <v>969</v>
      </c>
      <c r="Y2" s="27" t="s">
        <v>970</v>
      </c>
      <c r="Z2" s="28" t="s">
        <v>961</v>
      </c>
      <c r="AA2" s="28" t="s">
        <v>963</v>
      </c>
      <c r="AB2" s="28" t="s">
        <v>965</v>
      </c>
      <c r="AC2" s="28" t="s">
        <v>966</v>
      </c>
      <c r="AD2" s="28" t="s">
        <v>962</v>
      </c>
      <c r="AE2" s="38" t="s">
        <v>955</v>
      </c>
      <c r="AF2" s="28" t="s">
        <v>946</v>
      </c>
      <c r="AG2" s="28" t="s">
        <v>972</v>
      </c>
      <c r="AH2" s="28" t="s">
        <v>899</v>
      </c>
      <c r="AI2" s="28" t="s">
        <v>897</v>
      </c>
      <c r="AJ2" s="37" t="s">
        <v>595</v>
      </c>
      <c r="AK2" s="37" t="s">
        <v>914</v>
      </c>
      <c r="AL2" s="35" t="s">
        <v>900</v>
      </c>
      <c r="AM2" s="35" t="s">
        <v>901</v>
      </c>
      <c r="AN2" s="49" t="s">
        <v>896</v>
      </c>
      <c r="AO2" s="36" t="s">
        <v>988</v>
      </c>
      <c r="AP2" s="5" t="s">
        <v>68</v>
      </c>
      <c r="AQ2" s="27" t="s">
        <v>1053</v>
      </c>
      <c r="AR2" s="48" t="s">
        <v>1055</v>
      </c>
      <c r="AS2" s="6" t="s">
        <v>108</v>
      </c>
      <c r="AT2" s="6" t="s">
        <v>109</v>
      </c>
      <c r="AU2" s="5" t="s">
        <v>716</v>
      </c>
      <c r="AV2" s="27" t="s">
        <v>723</v>
      </c>
      <c r="AW2" s="5" t="s">
        <v>69</v>
      </c>
      <c r="AX2" s="27" t="s">
        <v>722</v>
      </c>
      <c r="AY2" s="27" t="s">
        <v>720</v>
      </c>
      <c r="AZ2" s="27" t="s">
        <v>594</v>
      </c>
      <c r="BA2" s="5" t="s">
        <v>70</v>
      </c>
      <c r="BB2" s="5" t="s">
        <v>71</v>
      </c>
      <c r="BC2" s="27" t="s">
        <v>597</v>
      </c>
      <c r="BD2" s="5" t="s">
        <v>72</v>
      </c>
      <c r="BE2" s="5" t="s">
        <v>73</v>
      </c>
      <c r="BF2" s="5" t="s">
        <v>74</v>
      </c>
      <c r="BG2" s="27" t="s">
        <v>615</v>
      </c>
      <c r="BH2" s="27" t="s">
        <v>639</v>
      </c>
      <c r="BI2" s="27" t="s">
        <v>616</v>
      </c>
      <c r="BJ2" s="27" t="s">
        <v>692</v>
      </c>
      <c r="BK2" s="27" t="s">
        <v>612</v>
      </c>
      <c r="BL2" s="27" t="s">
        <v>640</v>
      </c>
      <c r="BM2" s="27" t="s">
        <v>613</v>
      </c>
      <c r="BN2" s="27" t="s">
        <v>614</v>
      </c>
      <c r="BO2" s="5" t="s">
        <v>75</v>
      </c>
      <c r="BP2" s="5" t="s">
        <v>76</v>
      </c>
      <c r="BQ2" s="5" t="s">
        <v>77</v>
      </c>
      <c r="BR2" s="5" t="s">
        <v>77</v>
      </c>
      <c r="BS2" s="5" t="s">
        <v>78</v>
      </c>
      <c r="BT2" s="5" t="s">
        <v>79</v>
      </c>
      <c r="BU2" s="5" t="s">
        <v>80</v>
      </c>
      <c r="BV2" s="5" t="s">
        <v>77</v>
      </c>
      <c r="BW2" s="5" t="s">
        <v>77</v>
      </c>
      <c r="BX2" s="5" t="s">
        <v>81</v>
      </c>
      <c r="BY2" s="5" t="s">
        <v>82</v>
      </c>
      <c r="BZ2" s="5" t="s">
        <v>83</v>
      </c>
      <c r="CA2" s="27" t="s">
        <v>958</v>
      </c>
      <c r="CB2" s="27" t="s">
        <v>915</v>
      </c>
      <c r="CC2" s="5" t="s">
        <v>84</v>
      </c>
      <c r="CD2" s="5" t="s">
        <v>85</v>
      </c>
      <c r="CE2" s="5" t="s">
        <v>86</v>
      </c>
      <c r="CF2" s="5" t="s">
        <v>595</v>
      </c>
      <c r="CG2" s="5" t="s">
        <v>68</v>
      </c>
      <c r="CH2" s="27" t="s">
        <v>717</v>
      </c>
      <c r="CI2" s="5" t="s">
        <v>87</v>
      </c>
      <c r="CJ2" s="5" t="s">
        <v>88</v>
      </c>
      <c r="CK2" s="5" t="s">
        <v>89</v>
      </c>
      <c r="CL2" s="5" t="s">
        <v>90</v>
      </c>
      <c r="CM2" s="20" t="s">
        <v>627</v>
      </c>
      <c r="CN2" s="27" t="s">
        <v>625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10" t="s">
        <v>98</v>
      </c>
      <c r="CW2" s="10" t="s">
        <v>99</v>
      </c>
      <c r="CX2" s="10" t="s">
        <v>100</v>
      </c>
      <c r="CY2" s="10" t="s">
        <v>101</v>
      </c>
      <c r="CZ2" s="8" t="s">
        <v>77</v>
      </c>
      <c r="DA2" s="6" t="s">
        <v>102</v>
      </c>
      <c r="DB2" s="5" t="s">
        <v>103</v>
      </c>
      <c r="DC2" s="27" t="s">
        <v>942</v>
      </c>
      <c r="DD2" s="6" t="s">
        <v>104</v>
      </c>
      <c r="DE2" s="6" t="s">
        <v>77</v>
      </c>
      <c r="DF2" s="5" t="s">
        <v>105</v>
      </c>
      <c r="DG2" s="6" t="s">
        <v>106</v>
      </c>
      <c r="DH2" s="5" t="s">
        <v>107</v>
      </c>
      <c r="DI2" s="8" t="s">
        <v>77</v>
      </c>
      <c r="DJ2" s="27" t="s">
        <v>910</v>
      </c>
      <c r="DK2" s="8" t="s">
        <v>77</v>
      </c>
      <c r="DL2" s="27" t="s">
        <v>912</v>
      </c>
      <c r="DM2" s="5" t="s">
        <v>68</v>
      </c>
      <c r="DN2" s="5" t="s">
        <v>110</v>
      </c>
      <c r="DO2" s="5" t="s">
        <v>623</v>
      </c>
      <c r="DP2" s="27" t="s">
        <v>619</v>
      </c>
      <c r="DQ2" s="5" t="s">
        <v>618</v>
      </c>
      <c r="DR2" s="5" t="s">
        <v>620</v>
      </c>
      <c r="DS2" s="28" t="s">
        <v>598</v>
      </c>
      <c r="DT2" s="27" t="s">
        <v>599</v>
      </c>
      <c r="DU2" s="5" t="s">
        <v>617</v>
      </c>
      <c r="DV2" s="28" t="s">
        <v>621</v>
      </c>
      <c r="DW2" s="5" t="s">
        <v>111</v>
      </c>
      <c r="DX2" s="5" t="s">
        <v>112</v>
      </c>
      <c r="DY2" s="5" t="s">
        <v>113</v>
      </c>
      <c r="DZ2" s="5" t="s">
        <v>114</v>
      </c>
      <c r="EA2" s="5" t="s">
        <v>115</v>
      </c>
    </row>
    <row r="3" spans="1:131" x14ac:dyDescent="0.15">
      <c r="A3" s="5">
        <v>201001</v>
      </c>
      <c r="B3" s="5" t="s">
        <v>116</v>
      </c>
      <c r="C3" s="5"/>
      <c r="D3" s="5"/>
      <c r="E3" s="5"/>
      <c r="F3" s="5">
        <v>0</v>
      </c>
      <c r="G3" s="45"/>
      <c r="H3" s="5"/>
      <c r="I3" s="5"/>
      <c r="J3" s="5"/>
      <c r="K3" s="5"/>
      <c r="L3" s="10"/>
      <c r="M3" s="5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20"/>
      <c r="AF3" s="5"/>
      <c r="AG3" s="5"/>
      <c r="AH3" s="5"/>
      <c r="AI3" s="5"/>
      <c r="AJ3" s="5"/>
      <c r="AK3" s="5"/>
      <c r="AL3" s="5"/>
      <c r="AM3" s="5"/>
      <c r="AN3" s="8"/>
      <c r="AO3" s="5">
        <v>0</v>
      </c>
      <c r="AP3" s="5" t="s">
        <v>116</v>
      </c>
      <c r="AQ3" s="5">
        <v>0</v>
      </c>
      <c r="AR3" s="8">
        <v>3</v>
      </c>
      <c r="AS3" s="6">
        <f>AR3*3*BV3</f>
        <v>9</v>
      </c>
      <c r="AT3" s="6">
        <f>(AR3+1)*3*BV3</f>
        <v>12</v>
      </c>
      <c r="AU3" s="5">
        <v>0</v>
      </c>
      <c r="AV3" s="5">
        <v>1</v>
      </c>
      <c r="AW3" s="5">
        <v>1</v>
      </c>
      <c r="AX3" s="5">
        <v>1</v>
      </c>
      <c r="AY3" s="5">
        <v>1</v>
      </c>
      <c r="AZ3" s="5">
        <v>13</v>
      </c>
      <c r="BA3" s="5">
        <v>203001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/>
      <c r="BR3" s="5"/>
      <c r="BS3" s="4">
        <v>1</v>
      </c>
      <c r="BT3" s="4">
        <v>1</v>
      </c>
      <c r="BU3" s="4">
        <v>0</v>
      </c>
      <c r="BV3" s="4">
        <f>BT3</f>
        <v>1</v>
      </c>
      <c r="BW3" s="4">
        <f>BT3</f>
        <v>1</v>
      </c>
      <c r="BX3" s="14">
        <f>0.85-(BT3-1)*0.07</f>
        <v>0.85</v>
      </c>
      <c r="BY3" s="14">
        <f>0.55-(BT3-1)*0.05</f>
        <v>0.55000000000000004</v>
      </c>
      <c r="BZ3" s="5" t="s">
        <v>117</v>
      </c>
      <c r="CA3" s="5" t="s">
        <v>118</v>
      </c>
      <c r="CB3" s="5" t="s">
        <v>118</v>
      </c>
      <c r="CC3" s="5">
        <v>0</v>
      </c>
      <c r="CD3" s="6">
        <v>2</v>
      </c>
      <c r="CE3" s="5">
        <f>BT3*CF3</f>
        <v>0</v>
      </c>
      <c r="CF3" s="5">
        <v>0</v>
      </c>
      <c r="CG3" s="5" t="s">
        <v>116</v>
      </c>
      <c r="CH3" s="5">
        <v>3</v>
      </c>
      <c r="CI3" s="5">
        <v>101</v>
      </c>
      <c r="CJ3" s="4">
        <v>0</v>
      </c>
      <c r="CK3" s="5">
        <v>0</v>
      </c>
      <c r="CL3" s="5">
        <v>0</v>
      </c>
      <c r="CM3" s="20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10">
        <v>1</v>
      </c>
      <c r="CW3" s="10">
        <v>0.6</v>
      </c>
      <c r="CX3" s="10">
        <v>1.25</v>
      </c>
      <c r="CY3" s="10">
        <v>1.06</v>
      </c>
      <c r="CZ3" s="8">
        <v>1</v>
      </c>
      <c r="DA3" s="6">
        <f t="shared" ref="DA3:DA66" si="0">CZ3*25*BV3</f>
        <v>25</v>
      </c>
      <c r="DB3" s="5">
        <v>0</v>
      </c>
      <c r="DC3" s="5">
        <f>DD3</f>
        <v>0.25</v>
      </c>
      <c r="DD3" s="6">
        <f t="shared" ref="DD3:DD66" si="1">(1+(BT3-1)*0.05)*DE3*0.5</f>
        <v>0.25</v>
      </c>
      <c r="DE3" s="6">
        <v>0.5</v>
      </c>
      <c r="DF3" s="5">
        <v>0</v>
      </c>
      <c r="DG3" s="6">
        <f>DH3+1</f>
        <v>2.25</v>
      </c>
      <c r="DH3" s="5">
        <v>1.25</v>
      </c>
      <c r="DI3" s="8">
        <v>1.25</v>
      </c>
      <c r="DJ3" s="5">
        <f t="shared" ref="DJ3:DJ66" si="2">DI3*5*(1+BV3/2)</f>
        <v>9.375</v>
      </c>
      <c r="DK3" s="8">
        <v>0</v>
      </c>
      <c r="DL3" s="5">
        <f t="shared" ref="DL3:DL66" si="3">DK3*5*(1+BV3/2)</f>
        <v>0</v>
      </c>
      <c r="DM3" s="5" t="s">
        <v>116</v>
      </c>
      <c r="DN3" s="5">
        <v>6</v>
      </c>
      <c r="DO3" s="5">
        <v>0</v>
      </c>
      <c r="DP3" s="5">
        <v>0</v>
      </c>
      <c r="DQ3" s="5">
        <v>0</v>
      </c>
      <c r="DR3" s="5">
        <f>DS3*0.9</f>
        <v>2.7</v>
      </c>
      <c r="DS3" s="6">
        <v>3</v>
      </c>
      <c r="DT3" s="5">
        <v>-0.3</v>
      </c>
      <c r="DU3" s="5">
        <v>3</v>
      </c>
      <c r="DV3" s="6">
        <v>0.35</v>
      </c>
      <c r="DW3" s="5">
        <f>DX3/12</f>
        <v>0.58333333333333337</v>
      </c>
      <c r="DX3" s="5">
        <v>7</v>
      </c>
      <c r="DY3" s="5">
        <f>DZ3/12</f>
        <v>0</v>
      </c>
      <c r="DZ3" s="5">
        <v>0</v>
      </c>
      <c r="EA3" s="5"/>
    </row>
    <row r="4" spans="1:131" x14ac:dyDescent="0.15">
      <c r="A4" s="5">
        <v>201002</v>
      </c>
      <c r="B4" s="5" t="s">
        <v>119</v>
      </c>
      <c r="C4" s="5"/>
      <c r="D4" s="5"/>
      <c r="E4" s="5"/>
      <c r="F4" s="5">
        <v>0</v>
      </c>
      <c r="G4" s="45"/>
      <c r="H4" s="5"/>
      <c r="I4" s="5"/>
      <c r="J4" s="5"/>
      <c r="K4" s="5"/>
      <c r="L4" s="10"/>
      <c r="M4" s="5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20"/>
      <c r="AF4" s="5"/>
      <c r="AG4" s="5"/>
      <c r="AH4" s="5"/>
      <c r="AI4" s="5"/>
      <c r="AJ4" s="5"/>
      <c r="AK4" s="5"/>
      <c r="AL4" s="5"/>
      <c r="AM4" s="5"/>
      <c r="AN4" s="8"/>
      <c r="AO4" s="5">
        <v>0</v>
      </c>
      <c r="AP4" s="5" t="s">
        <v>119</v>
      </c>
      <c r="AQ4" s="5">
        <v>0</v>
      </c>
      <c r="AR4" s="8">
        <v>3</v>
      </c>
      <c r="AS4" s="6">
        <f t="shared" ref="AS4:AS67" si="4">AR4*3*BV4</f>
        <v>9</v>
      </c>
      <c r="AT4" s="6">
        <f t="shared" ref="AT4:AT67" si="5">(AR4+1)*3*BV4</f>
        <v>12</v>
      </c>
      <c r="AU4" s="5">
        <v>0</v>
      </c>
      <c r="AV4" s="5">
        <v>1</v>
      </c>
      <c r="AW4" s="5">
        <v>0</v>
      </c>
      <c r="AX4" s="5">
        <v>0</v>
      </c>
      <c r="AY4" s="5">
        <v>0</v>
      </c>
      <c r="AZ4" s="5">
        <v>13</v>
      </c>
      <c r="BA4" s="5">
        <v>203002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/>
      <c r="BR4" s="5"/>
      <c r="BS4" s="4">
        <v>1</v>
      </c>
      <c r="BT4" s="4">
        <v>1</v>
      </c>
      <c r="BU4" s="4">
        <v>0</v>
      </c>
      <c r="BV4" s="4">
        <f t="shared" ref="BV4:BV67" si="6">BT4</f>
        <v>1</v>
      </c>
      <c r="BW4" s="4">
        <f t="shared" ref="BW4:BW67" si="7">BT4</f>
        <v>1</v>
      </c>
      <c r="BX4" s="14">
        <f t="shared" ref="BX4:BX67" si="8">0.85-(BT4-1)*0.07</f>
        <v>0.85</v>
      </c>
      <c r="BY4" s="14">
        <f t="shared" ref="BY4:BY67" si="9">0.55-(BT4-1)*0.05</f>
        <v>0.55000000000000004</v>
      </c>
      <c r="BZ4" s="5" t="s">
        <v>120</v>
      </c>
      <c r="CA4" s="5" t="s">
        <v>121</v>
      </c>
      <c r="CB4" s="5" t="s">
        <v>121</v>
      </c>
      <c r="CC4" s="5">
        <v>0</v>
      </c>
      <c r="CD4" s="5">
        <v>1</v>
      </c>
      <c r="CE4" s="5">
        <f t="shared" ref="CE4:CE67" si="10">BT4*CF4</f>
        <v>0</v>
      </c>
      <c r="CF4" s="5">
        <v>0</v>
      </c>
      <c r="CG4" s="5" t="s">
        <v>119</v>
      </c>
      <c r="CH4" s="5">
        <v>0</v>
      </c>
      <c r="CI4" s="5">
        <v>0</v>
      </c>
      <c r="CJ4" s="4">
        <v>0</v>
      </c>
      <c r="CK4" s="5">
        <v>0</v>
      </c>
      <c r="CL4" s="5">
        <v>0</v>
      </c>
      <c r="CM4" s="20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10">
        <v>0.8</v>
      </c>
      <c r="CW4" s="10">
        <v>0.6</v>
      </c>
      <c r="CX4" s="10">
        <v>1.34</v>
      </c>
      <c r="CY4" s="10">
        <v>1.35</v>
      </c>
      <c r="CZ4" s="8">
        <v>1</v>
      </c>
      <c r="DA4" s="6">
        <f t="shared" si="0"/>
        <v>25</v>
      </c>
      <c r="DB4" s="5">
        <v>0</v>
      </c>
      <c r="DC4" s="5">
        <f t="shared" ref="DC4:DC67" si="11">DD4</f>
        <v>0.5</v>
      </c>
      <c r="DD4" s="6">
        <f t="shared" si="1"/>
        <v>0.5</v>
      </c>
      <c r="DE4" s="6">
        <v>1</v>
      </c>
      <c r="DF4" s="5">
        <v>0</v>
      </c>
      <c r="DG4" s="6">
        <f t="shared" ref="DG4:DG23" si="12">DH4+1</f>
        <v>2.25</v>
      </c>
      <c r="DH4" s="5">
        <v>1.25</v>
      </c>
      <c r="DI4" s="8">
        <v>0</v>
      </c>
      <c r="DJ4" s="5">
        <f t="shared" si="2"/>
        <v>0</v>
      </c>
      <c r="DK4" s="8">
        <v>0</v>
      </c>
      <c r="DL4" s="5">
        <f t="shared" si="3"/>
        <v>0</v>
      </c>
      <c r="DM4" s="5" t="s">
        <v>119</v>
      </c>
      <c r="DN4" s="5">
        <v>8</v>
      </c>
      <c r="DO4" s="5">
        <v>0</v>
      </c>
      <c r="DP4" s="5">
        <v>0</v>
      </c>
      <c r="DQ4" s="5">
        <v>0</v>
      </c>
      <c r="DR4" s="5">
        <f t="shared" ref="DR4:DR67" si="13">DS4*0.9</f>
        <v>0.9</v>
      </c>
      <c r="DS4" s="6">
        <v>1</v>
      </c>
      <c r="DT4" s="5">
        <v>-0.5</v>
      </c>
      <c r="DU4" s="5">
        <v>0.5</v>
      </c>
      <c r="DV4" s="6">
        <v>0.35</v>
      </c>
      <c r="DW4" s="5">
        <f t="shared" ref="DW4:DY23" si="14">DX4/12</f>
        <v>0.58333333333333337</v>
      </c>
      <c r="DX4" s="5">
        <v>7</v>
      </c>
      <c r="DY4" s="5">
        <f t="shared" si="14"/>
        <v>0</v>
      </c>
      <c r="DZ4" s="5">
        <v>0</v>
      </c>
      <c r="EA4" s="5"/>
    </row>
    <row r="5" spans="1:131" x14ac:dyDescent="0.15">
      <c r="A5" s="5">
        <v>201003</v>
      </c>
      <c r="B5" s="6" t="s">
        <v>122</v>
      </c>
      <c r="C5" s="5"/>
      <c r="D5" s="5"/>
      <c r="E5" s="5"/>
      <c r="F5" s="5">
        <v>0</v>
      </c>
      <c r="G5" s="45"/>
      <c r="H5" s="5"/>
      <c r="I5" s="5"/>
      <c r="J5" s="5"/>
      <c r="K5" s="5"/>
      <c r="L5" s="10"/>
      <c r="M5" s="5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20"/>
      <c r="AF5" s="5"/>
      <c r="AG5" s="5"/>
      <c r="AH5" s="5"/>
      <c r="AI5" s="5"/>
      <c r="AJ5" s="5"/>
      <c r="AK5" s="5"/>
      <c r="AL5" s="5"/>
      <c r="AM5" s="5"/>
      <c r="AN5" s="8"/>
      <c r="AO5" s="5">
        <v>0</v>
      </c>
      <c r="AP5" s="6" t="s">
        <v>122</v>
      </c>
      <c r="AQ5" s="5">
        <v>0</v>
      </c>
      <c r="AR5" s="8">
        <v>3</v>
      </c>
      <c r="AS5" s="6">
        <f t="shared" si="4"/>
        <v>9</v>
      </c>
      <c r="AT5" s="6">
        <f t="shared" si="5"/>
        <v>12</v>
      </c>
      <c r="AU5" s="5">
        <v>0</v>
      </c>
      <c r="AV5" s="5">
        <v>1</v>
      </c>
      <c r="AW5" s="6">
        <v>1</v>
      </c>
      <c r="AX5" s="6">
        <v>1</v>
      </c>
      <c r="AY5" s="6">
        <v>0</v>
      </c>
      <c r="AZ5" s="5">
        <v>12</v>
      </c>
      <c r="BA5" s="5">
        <v>203003</v>
      </c>
      <c r="BB5" s="5">
        <v>0</v>
      </c>
      <c r="BC5" s="5">
        <v>0</v>
      </c>
      <c r="BD5" s="5">
        <v>1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/>
      <c r="BR5" s="5"/>
      <c r="BS5" s="4">
        <v>1</v>
      </c>
      <c r="BT5" s="4">
        <v>1</v>
      </c>
      <c r="BU5" s="4">
        <v>0</v>
      </c>
      <c r="BV5" s="4">
        <f t="shared" si="6"/>
        <v>1</v>
      </c>
      <c r="BW5" s="4">
        <f t="shared" si="7"/>
        <v>1</v>
      </c>
      <c r="BX5" s="14">
        <f t="shared" si="8"/>
        <v>0.85</v>
      </c>
      <c r="BY5" s="14">
        <f t="shared" si="9"/>
        <v>0.55000000000000004</v>
      </c>
      <c r="BZ5" s="5" t="s">
        <v>123</v>
      </c>
      <c r="CA5" s="5" t="s">
        <v>124</v>
      </c>
      <c r="CB5" s="5" t="s">
        <v>124</v>
      </c>
      <c r="CC5" s="5">
        <v>0</v>
      </c>
      <c r="CD5" s="15">
        <v>3</v>
      </c>
      <c r="CE5" s="5">
        <f t="shared" si="10"/>
        <v>1</v>
      </c>
      <c r="CF5" s="5">
        <v>1</v>
      </c>
      <c r="CG5" s="6" t="s">
        <v>122</v>
      </c>
      <c r="CH5" s="5">
        <v>0</v>
      </c>
      <c r="CI5" s="5">
        <v>102</v>
      </c>
      <c r="CJ5" s="4">
        <v>0</v>
      </c>
      <c r="CK5" s="5">
        <v>0</v>
      </c>
      <c r="CL5" s="5">
        <v>0</v>
      </c>
      <c r="CM5" s="20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10">
        <v>0.8</v>
      </c>
      <c r="CW5" s="10">
        <v>0.6</v>
      </c>
      <c r="CX5" s="10">
        <v>1</v>
      </c>
      <c r="CY5" s="10">
        <v>1</v>
      </c>
      <c r="CZ5" s="8">
        <v>1</v>
      </c>
      <c r="DA5" s="6">
        <f t="shared" si="0"/>
        <v>25</v>
      </c>
      <c r="DB5" s="5">
        <v>0</v>
      </c>
      <c r="DC5" s="5">
        <f t="shared" si="11"/>
        <v>0.3</v>
      </c>
      <c r="DD5" s="6">
        <f t="shared" si="1"/>
        <v>0.3</v>
      </c>
      <c r="DE5" s="6">
        <v>0.6</v>
      </c>
      <c r="DF5" s="5">
        <v>0</v>
      </c>
      <c r="DG5" s="6">
        <f t="shared" si="12"/>
        <v>2</v>
      </c>
      <c r="DH5" s="5">
        <v>1</v>
      </c>
      <c r="DI5" s="8">
        <v>2</v>
      </c>
      <c r="DJ5" s="5">
        <f t="shared" si="2"/>
        <v>15</v>
      </c>
      <c r="DK5" s="8">
        <v>0</v>
      </c>
      <c r="DL5" s="5">
        <f t="shared" si="3"/>
        <v>0</v>
      </c>
      <c r="DM5" s="5" t="s">
        <v>122</v>
      </c>
      <c r="DN5" s="5">
        <v>6</v>
      </c>
      <c r="DO5" s="5">
        <v>0</v>
      </c>
      <c r="DP5" s="5">
        <v>0</v>
      </c>
      <c r="DQ5" s="5">
        <v>0</v>
      </c>
      <c r="DR5" s="5">
        <f t="shared" si="13"/>
        <v>0.9</v>
      </c>
      <c r="DS5" s="6">
        <v>1</v>
      </c>
      <c r="DT5" s="5">
        <v>-0.5</v>
      </c>
      <c r="DU5" s="5">
        <v>0.5</v>
      </c>
      <c r="DV5" s="6">
        <v>0.3</v>
      </c>
      <c r="DW5" s="5">
        <f t="shared" si="14"/>
        <v>0.5</v>
      </c>
      <c r="DX5" s="5">
        <v>6</v>
      </c>
      <c r="DY5" s="5">
        <f t="shared" si="14"/>
        <v>0</v>
      </c>
      <c r="DZ5" s="5">
        <v>0</v>
      </c>
      <c r="EA5" s="5"/>
    </row>
    <row r="6" spans="1:131" x14ac:dyDescent="0.15">
      <c r="A6" s="5">
        <v>201004</v>
      </c>
      <c r="B6" s="6" t="s">
        <v>125</v>
      </c>
      <c r="C6" s="5"/>
      <c r="D6" s="5"/>
      <c r="E6" s="5"/>
      <c r="F6" s="5">
        <v>0</v>
      </c>
      <c r="G6" s="45"/>
      <c r="H6" s="5"/>
      <c r="I6" s="5"/>
      <c r="J6" s="5"/>
      <c r="K6" s="5"/>
      <c r="L6" s="10"/>
      <c r="M6" s="5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20"/>
      <c r="AF6" s="5"/>
      <c r="AG6" s="5"/>
      <c r="AH6" s="5"/>
      <c r="AI6" s="5"/>
      <c r="AJ6" s="5"/>
      <c r="AK6" s="5"/>
      <c r="AL6" s="5"/>
      <c r="AM6" s="5"/>
      <c r="AN6" s="8"/>
      <c r="AO6" s="5">
        <v>0</v>
      </c>
      <c r="AP6" s="6" t="s">
        <v>125</v>
      </c>
      <c r="AQ6" s="5">
        <v>0</v>
      </c>
      <c r="AR6" s="8">
        <v>4</v>
      </c>
      <c r="AS6" s="6">
        <f t="shared" si="4"/>
        <v>12</v>
      </c>
      <c r="AT6" s="6">
        <f t="shared" si="5"/>
        <v>15</v>
      </c>
      <c r="AU6" s="5">
        <v>0</v>
      </c>
      <c r="AV6" s="5">
        <v>1</v>
      </c>
      <c r="AW6" s="6">
        <v>1</v>
      </c>
      <c r="AX6" s="6">
        <v>1</v>
      </c>
      <c r="AY6" s="6">
        <v>1</v>
      </c>
      <c r="AZ6" s="5">
        <v>12</v>
      </c>
      <c r="BA6" s="5">
        <v>203004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/>
      <c r="BR6" s="5"/>
      <c r="BS6" s="4">
        <v>1</v>
      </c>
      <c r="BT6" s="4">
        <v>1</v>
      </c>
      <c r="BU6" s="4">
        <v>0</v>
      </c>
      <c r="BV6" s="4">
        <f t="shared" si="6"/>
        <v>1</v>
      </c>
      <c r="BW6" s="4">
        <f t="shared" si="7"/>
        <v>1</v>
      </c>
      <c r="BX6" s="14">
        <f t="shared" si="8"/>
        <v>0.85</v>
      </c>
      <c r="BY6" s="14">
        <f t="shared" si="9"/>
        <v>0.55000000000000004</v>
      </c>
      <c r="BZ6" s="5" t="s">
        <v>126</v>
      </c>
      <c r="CA6" s="5" t="s">
        <v>127</v>
      </c>
      <c r="CB6" s="5" t="s">
        <v>127</v>
      </c>
      <c r="CC6" s="5">
        <v>0</v>
      </c>
      <c r="CD6" s="5">
        <v>1</v>
      </c>
      <c r="CE6" s="5">
        <f t="shared" si="10"/>
        <v>0</v>
      </c>
      <c r="CF6" s="5">
        <v>0</v>
      </c>
      <c r="CG6" s="6" t="s">
        <v>125</v>
      </c>
      <c r="CH6" s="5">
        <v>3</v>
      </c>
      <c r="CI6" s="5">
        <v>0</v>
      </c>
      <c r="CJ6" s="4">
        <v>0</v>
      </c>
      <c r="CK6" s="5">
        <v>0</v>
      </c>
      <c r="CL6" s="5">
        <v>0</v>
      </c>
      <c r="CM6" s="20">
        <v>109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10">
        <v>0.8</v>
      </c>
      <c r="CW6" s="10">
        <v>0.6</v>
      </c>
      <c r="CX6" s="10">
        <v>1.25</v>
      </c>
      <c r="CY6" s="10">
        <v>1</v>
      </c>
      <c r="CZ6" s="8">
        <v>2</v>
      </c>
      <c r="DA6" s="6">
        <f t="shared" si="0"/>
        <v>50</v>
      </c>
      <c r="DB6" s="5">
        <v>0</v>
      </c>
      <c r="DC6" s="5">
        <f t="shared" si="11"/>
        <v>0.2</v>
      </c>
      <c r="DD6" s="6">
        <f t="shared" si="1"/>
        <v>0.2</v>
      </c>
      <c r="DE6" s="6">
        <v>0.4</v>
      </c>
      <c r="DF6" s="5">
        <v>0</v>
      </c>
      <c r="DG6" s="6">
        <f t="shared" si="12"/>
        <v>2</v>
      </c>
      <c r="DH6" s="5">
        <v>1</v>
      </c>
      <c r="DI6" s="8">
        <v>0</v>
      </c>
      <c r="DJ6" s="5">
        <f t="shared" si="2"/>
        <v>0</v>
      </c>
      <c r="DK6" s="8">
        <v>0</v>
      </c>
      <c r="DL6" s="5">
        <f t="shared" si="3"/>
        <v>0</v>
      </c>
      <c r="DM6" s="27" t="s">
        <v>602</v>
      </c>
      <c r="DN6" s="5">
        <v>6</v>
      </c>
      <c r="DO6" s="5">
        <v>0</v>
      </c>
      <c r="DP6" s="5">
        <v>0</v>
      </c>
      <c r="DQ6" s="5">
        <v>0</v>
      </c>
      <c r="DR6" s="5">
        <f t="shared" si="13"/>
        <v>0.9</v>
      </c>
      <c r="DS6" s="6">
        <v>1</v>
      </c>
      <c r="DT6" s="5">
        <v>-0.5</v>
      </c>
      <c r="DU6" s="5">
        <v>0.5</v>
      </c>
      <c r="DV6" s="6">
        <v>0.3</v>
      </c>
      <c r="DW6" s="5">
        <f t="shared" si="14"/>
        <v>0.5</v>
      </c>
      <c r="DX6" s="5">
        <v>6</v>
      </c>
      <c r="DY6" s="5">
        <f t="shared" si="14"/>
        <v>0</v>
      </c>
      <c r="DZ6" s="5">
        <v>0</v>
      </c>
      <c r="EA6" s="5"/>
    </row>
    <row r="7" spans="1:131" x14ac:dyDescent="0.15">
      <c r="A7" s="5">
        <v>201005</v>
      </c>
      <c r="B7" s="5" t="s">
        <v>128</v>
      </c>
      <c r="C7" s="5"/>
      <c r="D7" s="5"/>
      <c r="E7" s="5"/>
      <c r="F7" s="5">
        <v>0</v>
      </c>
      <c r="G7" s="45"/>
      <c r="H7" s="5"/>
      <c r="I7" s="5"/>
      <c r="J7" s="5"/>
      <c r="K7" s="5"/>
      <c r="L7" s="10"/>
      <c r="M7" s="5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20"/>
      <c r="AF7" s="5"/>
      <c r="AG7" s="5"/>
      <c r="AH7" s="5"/>
      <c r="AI7" s="5"/>
      <c r="AJ7" s="5"/>
      <c r="AK7" s="5"/>
      <c r="AL7" s="5"/>
      <c r="AM7" s="5"/>
      <c r="AN7" s="8"/>
      <c r="AO7" s="5">
        <v>0</v>
      </c>
      <c r="AP7" s="5" t="s">
        <v>128</v>
      </c>
      <c r="AQ7" s="5">
        <v>0</v>
      </c>
      <c r="AR7" s="8">
        <v>3</v>
      </c>
      <c r="AS7" s="6">
        <f t="shared" si="4"/>
        <v>9</v>
      </c>
      <c r="AT7" s="6">
        <f t="shared" si="5"/>
        <v>12</v>
      </c>
      <c r="AU7" s="5">
        <v>0</v>
      </c>
      <c r="AV7" s="5">
        <v>1</v>
      </c>
      <c r="AW7" s="5">
        <v>1</v>
      </c>
      <c r="AX7" s="5">
        <v>1</v>
      </c>
      <c r="AY7" s="5">
        <v>1</v>
      </c>
      <c r="AZ7" s="5">
        <v>12</v>
      </c>
      <c r="BA7" s="5">
        <v>203005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/>
      <c r="BR7" s="5"/>
      <c r="BS7" s="4">
        <v>1</v>
      </c>
      <c r="BT7" s="4">
        <v>1</v>
      </c>
      <c r="BU7" s="4">
        <v>0</v>
      </c>
      <c r="BV7" s="4">
        <f t="shared" si="6"/>
        <v>1</v>
      </c>
      <c r="BW7" s="4">
        <f t="shared" si="7"/>
        <v>1</v>
      </c>
      <c r="BX7" s="14">
        <f t="shared" si="8"/>
        <v>0.85</v>
      </c>
      <c r="BY7" s="14">
        <f t="shared" si="9"/>
        <v>0.55000000000000004</v>
      </c>
      <c r="BZ7" s="5" t="s">
        <v>129</v>
      </c>
      <c r="CA7" s="5" t="s">
        <v>130</v>
      </c>
      <c r="CB7" s="5" t="s">
        <v>130</v>
      </c>
      <c r="CC7" s="5">
        <v>0</v>
      </c>
      <c r="CD7" s="15">
        <v>3</v>
      </c>
      <c r="CE7" s="5">
        <f t="shared" si="10"/>
        <v>0</v>
      </c>
      <c r="CF7" s="5">
        <v>0</v>
      </c>
      <c r="CG7" s="5" t="s">
        <v>128</v>
      </c>
      <c r="CH7" s="5">
        <v>0</v>
      </c>
      <c r="CI7" s="5">
        <v>103</v>
      </c>
      <c r="CJ7" s="4">
        <v>0</v>
      </c>
      <c r="CK7" s="5">
        <v>0</v>
      </c>
      <c r="CL7" s="5">
        <v>0</v>
      </c>
      <c r="CM7" s="20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10">
        <v>0.8</v>
      </c>
      <c r="CW7" s="10">
        <v>0.6</v>
      </c>
      <c r="CX7" s="10">
        <v>0.8</v>
      </c>
      <c r="CY7" s="10">
        <v>0.8</v>
      </c>
      <c r="CZ7" s="8">
        <v>1</v>
      </c>
      <c r="DA7" s="6">
        <f t="shared" si="0"/>
        <v>25</v>
      </c>
      <c r="DB7" s="5">
        <v>0</v>
      </c>
      <c r="DC7" s="5">
        <f t="shared" si="11"/>
        <v>0.25</v>
      </c>
      <c r="DD7" s="6">
        <f t="shared" si="1"/>
        <v>0.25</v>
      </c>
      <c r="DE7" s="6">
        <v>0.5</v>
      </c>
      <c r="DF7" s="5">
        <v>0</v>
      </c>
      <c r="DG7" s="6">
        <f t="shared" si="12"/>
        <v>2.5</v>
      </c>
      <c r="DH7" s="5">
        <v>1.5</v>
      </c>
      <c r="DI7" s="8">
        <v>0.3</v>
      </c>
      <c r="DJ7" s="5">
        <f t="shared" si="2"/>
        <v>2.25</v>
      </c>
      <c r="DK7" s="8">
        <v>0</v>
      </c>
      <c r="DL7" s="5">
        <f t="shared" si="3"/>
        <v>0</v>
      </c>
      <c r="DM7" s="5" t="s">
        <v>128</v>
      </c>
      <c r="DN7" s="5">
        <v>10</v>
      </c>
      <c r="DO7" s="5">
        <v>1</v>
      </c>
      <c r="DP7" s="5">
        <v>0</v>
      </c>
      <c r="DQ7" s="5">
        <v>0</v>
      </c>
      <c r="DR7" s="5">
        <f t="shared" si="13"/>
        <v>4.5</v>
      </c>
      <c r="DS7" s="6">
        <v>5</v>
      </c>
      <c r="DT7" s="5">
        <v>-5</v>
      </c>
      <c r="DU7" s="5">
        <v>5</v>
      </c>
      <c r="DV7" s="6">
        <v>0.5</v>
      </c>
      <c r="DW7" s="5">
        <f t="shared" si="14"/>
        <v>0.5</v>
      </c>
      <c r="DX7" s="5">
        <v>6</v>
      </c>
      <c r="DY7" s="5">
        <f t="shared" si="14"/>
        <v>0</v>
      </c>
      <c r="DZ7" s="5">
        <v>0</v>
      </c>
      <c r="EA7" s="5"/>
    </row>
    <row r="8" spans="1:131" ht="14.25" x14ac:dyDescent="0.15">
      <c r="A8" s="5">
        <v>201006</v>
      </c>
      <c r="B8" s="7" t="s">
        <v>131</v>
      </c>
      <c r="C8" s="9"/>
      <c r="D8" s="9"/>
      <c r="E8" s="9"/>
      <c r="F8" s="5">
        <v>0</v>
      </c>
      <c r="G8" s="45"/>
      <c r="H8" s="5"/>
      <c r="I8" s="5"/>
      <c r="J8" s="5"/>
      <c r="K8" s="5"/>
      <c r="L8" s="10"/>
      <c r="M8" s="5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20"/>
      <c r="AF8" s="5"/>
      <c r="AG8" s="5"/>
      <c r="AH8" s="5"/>
      <c r="AI8" s="5"/>
      <c r="AJ8" s="5"/>
      <c r="AK8" s="5"/>
      <c r="AL8" s="5"/>
      <c r="AM8" s="5"/>
      <c r="AN8" s="8"/>
      <c r="AO8" s="5">
        <v>0</v>
      </c>
      <c r="AP8" s="7" t="s">
        <v>131</v>
      </c>
      <c r="AQ8" s="5">
        <v>0</v>
      </c>
      <c r="AR8" s="8">
        <v>4</v>
      </c>
      <c r="AS8" s="6">
        <f t="shared" si="4"/>
        <v>12</v>
      </c>
      <c r="AT8" s="6">
        <f t="shared" si="5"/>
        <v>15</v>
      </c>
      <c r="AU8" s="5">
        <v>0</v>
      </c>
      <c r="AV8" s="5">
        <v>1</v>
      </c>
      <c r="AW8" s="7">
        <v>1</v>
      </c>
      <c r="AX8" s="7">
        <v>1</v>
      </c>
      <c r="AY8" s="7">
        <v>1</v>
      </c>
      <c r="AZ8" s="5">
        <v>11</v>
      </c>
      <c r="BA8" s="5">
        <v>203006</v>
      </c>
      <c r="BB8" s="5">
        <v>0</v>
      </c>
      <c r="BC8" s="5">
        <v>0</v>
      </c>
      <c r="BD8" s="5">
        <v>0</v>
      </c>
      <c r="BE8" s="5">
        <v>304001</v>
      </c>
      <c r="BF8" s="5">
        <v>90</v>
      </c>
      <c r="BG8" s="5">
        <v>30</v>
      </c>
      <c r="BH8" s="5">
        <v>30</v>
      </c>
      <c r="BI8" s="5">
        <v>1</v>
      </c>
      <c r="BJ8" s="5">
        <f t="shared" ref="BJ8:BJ71" si="15">BL8*BT8</f>
        <v>1</v>
      </c>
      <c r="BK8" s="5">
        <v>1</v>
      </c>
      <c r="BL8" s="5">
        <v>1</v>
      </c>
      <c r="BM8" s="5">
        <v>30</v>
      </c>
      <c r="BN8" s="5">
        <v>180</v>
      </c>
      <c r="BO8" s="5">
        <v>108006</v>
      </c>
      <c r="BP8" s="5">
        <v>3</v>
      </c>
      <c r="BQ8" s="5">
        <v>3</v>
      </c>
      <c r="BR8" s="5">
        <f>50*BT8*3-360/BM8*BJ8*BQ8</f>
        <v>114</v>
      </c>
      <c r="BS8" s="4">
        <v>2</v>
      </c>
      <c r="BT8" s="4">
        <v>1</v>
      </c>
      <c r="BU8" s="4">
        <v>0</v>
      </c>
      <c r="BV8" s="4">
        <f t="shared" si="6"/>
        <v>1</v>
      </c>
      <c r="BW8" s="4">
        <f t="shared" si="7"/>
        <v>1</v>
      </c>
      <c r="BX8" s="14">
        <f t="shared" si="8"/>
        <v>0.85</v>
      </c>
      <c r="BY8" s="14">
        <f t="shared" si="9"/>
        <v>0.55000000000000004</v>
      </c>
      <c r="BZ8" s="5" t="s">
        <v>132</v>
      </c>
      <c r="CA8" s="5" t="s">
        <v>133</v>
      </c>
      <c r="CB8" s="5" t="s">
        <v>133</v>
      </c>
      <c r="CC8" s="5">
        <v>0</v>
      </c>
      <c r="CD8" s="5">
        <v>1</v>
      </c>
      <c r="CE8" s="5">
        <f t="shared" si="10"/>
        <v>1</v>
      </c>
      <c r="CF8" s="5">
        <v>1</v>
      </c>
      <c r="CG8" s="7" t="s">
        <v>131</v>
      </c>
      <c r="CH8" s="5">
        <v>3</v>
      </c>
      <c r="CI8" s="5">
        <v>0</v>
      </c>
      <c r="CJ8" s="4">
        <v>0</v>
      </c>
      <c r="CK8" s="5">
        <v>0</v>
      </c>
      <c r="CL8" s="5">
        <v>0</v>
      </c>
      <c r="CM8" s="20">
        <v>110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10">
        <v>0.8</v>
      </c>
      <c r="CW8" s="10">
        <v>0.6</v>
      </c>
      <c r="CX8" s="10">
        <v>1.25</v>
      </c>
      <c r="CY8" s="10">
        <v>1</v>
      </c>
      <c r="CZ8" s="8">
        <v>1</v>
      </c>
      <c r="DA8" s="6">
        <f t="shared" si="0"/>
        <v>25</v>
      </c>
      <c r="DB8" s="5">
        <v>0</v>
      </c>
      <c r="DC8" s="5">
        <f t="shared" si="11"/>
        <v>0.45</v>
      </c>
      <c r="DD8" s="6">
        <f t="shared" si="1"/>
        <v>0.45</v>
      </c>
      <c r="DE8" s="6">
        <v>0.9</v>
      </c>
      <c r="DF8" s="5">
        <v>0</v>
      </c>
      <c r="DG8" s="6">
        <f t="shared" si="12"/>
        <v>2.5</v>
      </c>
      <c r="DH8" s="5">
        <v>1.5</v>
      </c>
      <c r="DI8" s="8">
        <v>0</v>
      </c>
      <c r="DJ8" s="5">
        <f t="shared" si="2"/>
        <v>0</v>
      </c>
      <c r="DK8" s="8">
        <v>0</v>
      </c>
      <c r="DL8" s="5">
        <f t="shared" si="3"/>
        <v>0</v>
      </c>
      <c r="DM8" s="9" t="s">
        <v>131</v>
      </c>
      <c r="DN8" s="5">
        <v>6</v>
      </c>
      <c r="DO8" s="5">
        <v>0</v>
      </c>
      <c r="DP8" s="5">
        <v>0</v>
      </c>
      <c r="DQ8" s="5">
        <v>0</v>
      </c>
      <c r="DR8" s="5">
        <f t="shared" si="13"/>
        <v>0.9</v>
      </c>
      <c r="DS8" s="6">
        <v>1</v>
      </c>
      <c r="DT8" s="5">
        <v>-0.5</v>
      </c>
      <c r="DU8" s="5">
        <v>0.5</v>
      </c>
      <c r="DV8" s="6">
        <v>0.5</v>
      </c>
      <c r="DW8" s="5">
        <f t="shared" si="14"/>
        <v>0.41666666666666669</v>
      </c>
      <c r="DX8" s="5">
        <v>5</v>
      </c>
      <c r="DY8" s="5">
        <f t="shared" si="14"/>
        <v>1.3333333333333333</v>
      </c>
      <c r="DZ8" s="5">
        <v>16</v>
      </c>
      <c r="EA8" s="5"/>
    </row>
    <row r="9" spans="1:131" x14ac:dyDescent="0.15">
      <c r="A9" s="5">
        <v>201007</v>
      </c>
      <c r="B9" s="6" t="s">
        <v>134</v>
      </c>
      <c r="C9" s="5"/>
      <c r="D9" s="5"/>
      <c r="E9" s="5"/>
      <c r="F9" s="5">
        <v>0</v>
      </c>
      <c r="G9" s="45"/>
      <c r="H9" s="5"/>
      <c r="I9" s="5"/>
      <c r="J9" s="5"/>
      <c r="K9" s="5"/>
      <c r="L9" s="10"/>
      <c r="M9" s="5"/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20"/>
      <c r="AF9" s="5"/>
      <c r="AG9" s="5"/>
      <c r="AH9" s="5"/>
      <c r="AI9" s="5"/>
      <c r="AJ9" s="5"/>
      <c r="AK9" s="5"/>
      <c r="AL9" s="5"/>
      <c r="AM9" s="5"/>
      <c r="AN9" s="8"/>
      <c r="AO9" s="5">
        <v>0</v>
      </c>
      <c r="AP9" s="6" t="s">
        <v>134</v>
      </c>
      <c r="AQ9" s="5">
        <v>0</v>
      </c>
      <c r="AR9" s="8">
        <v>5</v>
      </c>
      <c r="AS9" s="6">
        <f t="shared" si="4"/>
        <v>15</v>
      </c>
      <c r="AT9" s="6">
        <f t="shared" si="5"/>
        <v>18</v>
      </c>
      <c r="AU9" s="5">
        <v>0</v>
      </c>
      <c r="AV9" s="5">
        <v>1</v>
      </c>
      <c r="AW9" s="6">
        <v>1</v>
      </c>
      <c r="AX9" s="6">
        <v>1</v>
      </c>
      <c r="AY9" s="6">
        <v>1</v>
      </c>
      <c r="AZ9" s="5">
        <v>10701</v>
      </c>
      <c r="BA9" s="5">
        <v>203007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f t="shared" si="15"/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/>
      <c r="BR9" s="5"/>
      <c r="BS9" s="4">
        <v>2</v>
      </c>
      <c r="BT9" s="4">
        <v>1</v>
      </c>
      <c r="BU9" s="4">
        <v>0</v>
      </c>
      <c r="BV9" s="4">
        <f t="shared" si="6"/>
        <v>1</v>
      </c>
      <c r="BW9" s="4">
        <f t="shared" si="7"/>
        <v>1</v>
      </c>
      <c r="BX9" s="14">
        <f t="shared" si="8"/>
        <v>0.85</v>
      </c>
      <c r="BY9" s="14">
        <f t="shared" si="9"/>
        <v>0.55000000000000004</v>
      </c>
      <c r="BZ9" s="5" t="s">
        <v>135</v>
      </c>
      <c r="CA9" s="5" t="s">
        <v>136</v>
      </c>
      <c r="CB9" s="5" t="s">
        <v>136</v>
      </c>
      <c r="CC9" s="5">
        <v>0</v>
      </c>
      <c r="CD9" s="5">
        <v>4</v>
      </c>
      <c r="CE9" s="5">
        <f t="shared" si="10"/>
        <v>1</v>
      </c>
      <c r="CF9" s="5">
        <v>1</v>
      </c>
      <c r="CG9" s="6" t="s">
        <v>134</v>
      </c>
      <c r="CH9" s="5">
        <v>3</v>
      </c>
      <c r="CI9" s="5">
        <v>0</v>
      </c>
      <c r="CJ9" s="4">
        <v>0</v>
      </c>
      <c r="CK9" s="5"/>
      <c r="CL9" s="5">
        <v>0</v>
      </c>
      <c r="CM9" s="20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10">
        <v>0.8</v>
      </c>
      <c r="CW9" s="10">
        <v>0.6</v>
      </c>
      <c r="CX9" s="10">
        <v>1</v>
      </c>
      <c r="CY9" s="10">
        <v>1</v>
      </c>
      <c r="CZ9" s="8">
        <v>1</v>
      </c>
      <c r="DA9" s="6">
        <f t="shared" si="0"/>
        <v>25</v>
      </c>
      <c r="DB9" s="5">
        <v>0</v>
      </c>
      <c r="DC9" s="5">
        <f t="shared" si="11"/>
        <v>0.25</v>
      </c>
      <c r="DD9" s="6">
        <f t="shared" si="1"/>
        <v>0.25</v>
      </c>
      <c r="DE9" s="6">
        <v>0.5</v>
      </c>
      <c r="DF9" s="5">
        <v>1</v>
      </c>
      <c r="DG9" s="6">
        <f t="shared" si="12"/>
        <v>2.25</v>
      </c>
      <c r="DH9" s="5">
        <v>1.25</v>
      </c>
      <c r="DI9" s="8">
        <v>3</v>
      </c>
      <c r="DJ9" s="5">
        <f t="shared" si="2"/>
        <v>22.5</v>
      </c>
      <c r="DK9" s="8">
        <v>0</v>
      </c>
      <c r="DL9" s="5">
        <f t="shared" si="3"/>
        <v>0</v>
      </c>
      <c r="DM9" s="5" t="s">
        <v>134</v>
      </c>
      <c r="DN9" s="5">
        <v>6</v>
      </c>
      <c r="DO9" s="5">
        <v>0</v>
      </c>
      <c r="DP9" s="5">
        <v>1</v>
      </c>
      <c r="DQ9" s="5">
        <v>0</v>
      </c>
      <c r="DR9" s="5">
        <f t="shared" si="13"/>
        <v>1.1700000000000002</v>
      </c>
      <c r="DS9" s="6">
        <v>1.3</v>
      </c>
      <c r="DT9" s="5">
        <v>-0.5</v>
      </c>
      <c r="DU9" s="5">
        <v>0.5</v>
      </c>
      <c r="DV9" s="6">
        <v>0.6</v>
      </c>
      <c r="DW9" s="5">
        <f t="shared" si="14"/>
        <v>0.5</v>
      </c>
      <c r="DX9" s="5">
        <v>6</v>
      </c>
      <c r="DY9" s="5">
        <f t="shared" si="14"/>
        <v>0</v>
      </c>
      <c r="DZ9" s="5">
        <v>0</v>
      </c>
      <c r="EA9" s="5"/>
    </row>
    <row r="10" spans="1:131" x14ac:dyDescent="0.15">
      <c r="A10" s="5">
        <v>201008</v>
      </c>
      <c r="B10" s="5" t="s">
        <v>137</v>
      </c>
      <c r="C10" s="5"/>
      <c r="D10" s="5"/>
      <c r="E10" s="5"/>
      <c r="F10" s="5">
        <v>0</v>
      </c>
      <c r="G10" s="45"/>
      <c r="H10" s="5"/>
      <c r="I10" s="5"/>
      <c r="J10" s="5"/>
      <c r="K10" s="5"/>
      <c r="L10" s="10"/>
      <c r="M10" s="5"/>
      <c r="N10" s="1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0"/>
      <c r="AF10" s="5"/>
      <c r="AG10" s="5"/>
      <c r="AH10" s="5"/>
      <c r="AI10" s="5"/>
      <c r="AJ10" s="5"/>
      <c r="AK10" s="5"/>
      <c r="AL10" s="5"/>
      <c r="AM10" s="5"/>
      <c r="AN10" s="8"/>
      <c r="AO10" s="5">
        <v>0</v>
      </c>
      <c r="AP10" s="5" t="s">
        <v>137</v>
      </c>
      <c r="AQ10" s="5">
        <v>0</v>
      </c>
      <c r="AR10" s="8">
        <v>4</v>
      </c>
      <c r="AS10" s="6">
        <f t="shared" si="4"/>
        <v>12</v>
      </c>
      <c r="AT10" s="6">
        <f t="shared" si="5"/>
        <v>15</v>
      </c>
      <c r="AU10" s="5">
        <v>0.8</v>
      </c>
      <c r="AV10" s="5">
        <v>1</v>
      </c>
      <c r="AW10" s="5">
        <v>0</v>
      </c>
      <c r="AX10" s="5">
        <v>0</v>
      </c>
      <c r="AY10" s="5">
        <v>1</v>
      </c>
      <c r="AZ10" s="5">
        <v>13</v>
      </c>
      <c r="BA10" s="5">
        <v>203008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f t="shared" si="15"/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/>
      <c r="BR10" s="5"/>
      <c r="BS10" s="4">
        <v>2</v>
      </c>
      <c r="BT10" s="4">
        <v>1</v>
      </c>
      <c r="BU10" s="4">
        <v>1</v>
      </c>
      <c r="BV10" s="4">
        <f t="shared" si="6"/>
        <v>1</v>
      </c>
      <c r="BW10" s="4">
        <f t="shared" si="7"/>
        <v>1</v>
      </c>
      <c r="BX10" s="14">
        <f t="shared" si="8"/>
        <v>0.85</v>
      </c>
      <c r="BY10" s="14">
        <f t="shared" si="9"/>
        <v>0.55000000000000004</v>
      </c>
      <c r="BZ10" s="5" t="s">
        <v>138</v>
      </c>
      <c r="CA10" s="5" t="s">
        <v>139</v>
      </c>
      <c r="CB10" s="5" t="s">
        <v>139</v>
      </c>
      <c r="CC10" s="5">
        <v>0</v>
      </c>
      <c r="CD10" s="5">
        <v>1</v>
      </c>
      <c r="CE10" s="5">
        <f t="shared" si="10"/>
        <v>0</v>
      </c>
      <c r="CF10" s="5">
        <v>0</v>
      </c>
      <c r="CG10" s="5" t="s">
        <v>137</v>
      </c>
      <c r="CH10" s="5">
        <v>3</v>
      </c>
      <c r="CI10" s="5">
        <v>0</v>
      </c>
      <c r="CJ10" s="4">
        <v>0</v>
      </c>
      <c r="CK10" s="5">
        <v>0</v>
      </c>
      <c r="CL10" s="5">
        <v>0</v>
      </c>
      <c r="CM10" s="20">
        <v>112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10">
        <v>0.8</v>
      </c>
      <c r="CW10" s="10">
        <v>0.6</v>
      </c>
      <c r="CX10" s="10">
        <v>1</v>
      </c>
      <c r="CY10" s="10">
        <v>1</v>
      </c>
      <c r="CZ10" s="8">
        <v>0.4</v>
      </c>
      <c r="DA10" s="6">
        <f t="shared" si="0"/>
        <v>10</v>
      </c>
      <c r="DB10" s="5">
        <v>0</v>
      </c>
      <c r="DC10" s="5">
        <f t="shared" si="11"/>
        <v>0.6</v>
      </c>
      <c r="DD10" s="6">
        <f t="shared" si="1"/>
        <v>0.6</v>
      </c>
      <c r="DE10" s="6">
        <v>1.2</v>
      </c>
      <c r="DF10" s="5">
        <v>0</v>
      </c>
      <c r="DG10" s="6">
        <f t="shared" si="12"/>
        <v>2.25</v>
      </c>
      <c r="DH10" s="5">
        <v>1.25</v>
      </c>
      <c r="DI10" s="8">
        <v>0</v>
      </c>
      <c r="DJ10" s="5">
        <f t="shared" si="2"/>
        <v>0</v>
      </c>
      <c r="DK10" s="8">
        <v>0</v>
      </c>
      <c r="DL10" s="5">
        <f t="shared" si="3"/>
        <v>0</v>
      </c>
      <c r="DM10" s="5" t="s">
        <v>137</v>
      </c>
      <c r="DN10" s="5">
        <v>6</v>
      </c>
      <c r="DO10" s="5">
        <v>0</v>
      </c>
      <c r="DP10" s="5">
        <v>0</v>
      </c>
      <c r="DQ10" s="5">
        <v>0</v>
      </c>
      <c r="DR10" s="5">
        <f t="shared" si="13"/>
        <v>0.9</v>
      </c>
      <c r="DS10" s="6">
        <v>1</v>
      </c>
      <c r="DT10" s="5">
        <v>-0.5</v>
      </c>
      <c r="DU10" s="5">
        <v>0.5</v>
      </c>
      <c r="DV10" s="6">
        <v>0.75</v>
      </c>
      <c r="DW10" s="5">
        <f t="shared" si="14"/>
        <v>0.5</v>
      </c>
      <c r="DX10" s="5">
        <v>6</v>
      </c>
      <c r="DY10" s="5">
        <f t="shared" si="14"/>
        <v>0</v>
      </c>
      <c r="DZ10" s="5">
        <v>0</v>
      </c>
      <c r="EA10" s="5"/>
    </row>
    <row r="11" spans="1:131" x14ac:dyDescent="0.15">
      <c r="A11" s="5">
        <v>201009</v>
      </c>
      <c r="B11" s="5" t="s">
        <v>140</v>
      </c>
      <c r="C11" s="5"/>
      <c r="D11" s="5"/>
      <c r="E11" s="5"/>
      <c r="F11" s="5">
        <v>0</v>
      </c>
      <c r="G11" s="45"/>
      <c r="H11" s="5"/>
      <c r="I11" s="5"/>
      <c r="J11" s="5"/>
      <c r="K11" s="5"/>
      <c r="L11" s="10"/>
      <c r="M11" s="5"/>
      <c r="N11" s="1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20"/>
      <c r="AF11" s="5"/>
      <c r="AG11" s="5"/>
      <c r="AH11" s="5"/>
      <c r="AI11" s="5"/>
      <c r="AJ11" s="5"/>
      <c r="AK11" s="5"/>
      <c r="AL11" s="5"/>
      <c r="AM11" s="5"/>
      <c r="AN11" s="8"/>
      <c r="AO11" s="5">
        <v>0</v>
      </c>
      <c r="AP11" s="5" t="s">
        <v>140</v>
      </c>
      <c r="AQ11" s="5">
        <v>0</v>
      </c>
      <c r="AR11" s="8">
        <v>0.65</v>
      </c>
      <c r="AS11" s="6">
        <f t="shared" si="4"/>
        <v>1.9500000000000002</v>
      </c>
      <c r="AT11" s="6">
        <f t="shared" si="5"/>
        <v>4.9499999999999993</v>
      </c>
      <c r="AU11" s="5">
        <v>0</v>
      </c>
      <c r="AV11" s="5">
        <v>1</v>
      </c>
      <c r="AW11" s="5">
        <v>0</v>
      </c>
      <c r="AX11" s="5">
        <v>0</v>
      </c>
      <c r="AY11" s="5">
        <v>1</v>
      </c>
      <c r="AZ11" s="5">
        <v>13</v>
      </c>
      <c r="BA11" s="5">
        <v>203009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f t="shared" si="15"/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/>
      <c r="BR11" s="5"/>
      <c r="BS11" s="4">
        <v>2</v>
      </c>
      <c r="BT11" s="4">
        <v>1</v>
      </c>
      <c r="BU11" s="4">
        <v>0</v>
      </c>
      <c r="BV11" s="4">
        <f t="shared" si="6"/>
        <v>1</v>
      </c>
      <c r="BW11" s="4">
        <f t="shared" si="7"/>
        <v>1</v>
      </c>
      <c r="BX11" s="14">
        <f t="shared" si="8"/>
        <v>0.85</v>
      </c>
      <c r="BY11" s="14">
        <f t="shared" si="9"/>
        <v>0.55000000000000004</v>
      </c>
      <c r="BZ11" s="5" t="s">
        <v>141</v>
      </c>
      <c r="CA11" s="5" t="s">
        <v>628</v>
      </c>
      <c r="CB11" s="5" t="s">
        <v>628</v>
      </c>
      <c r="CC11" s="5">
        <v>0</v>
      </c>
      <c r="CD11" s="5">
        <v>1</v>
      </c>
      <c r="CE11" s="5">
        <f t="shared" si="10"/>
        <v>0</v>
      </c>
      <c r="CF11" s="5">
        <v>0</v>
      </c>
      <c r="CG11" s="5" t="s">
        <v>629</v>
      </c>
      <c r="CH11" s="5">
        <v>3</v>
      </c>
      <c r="CI11" s="5">
        <v>0</v>
      </c>
      <c r="CJ11" s="4">
        <v>0</v>
      </c>
      <c r="CK11" s="5">
        <v>0</v>
      </c>
      <c r="CL11" s="5">
        <v>0</v>
      </c>
      <c r="CM11" s="20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10">
        <v>0.1</v>
      </c>
      <c r="CW11" s="10">
        <v>0.6</v>
      </c>
      <c r="CX11" s="10">
        <v>1</v>
      </c>
      <c r="CY11" s="10">
        <v>1</v>
      </c>
      <c r="CZ11" s="8">
        <v>0.3</v>
      </c>
      <c r="DA11" s="6">
        <f t="shared" si="0"/>
        <v>7.5</v>
      </c>
      <c r="DB11" s="5">
        <v>1</v>
      </c>
      <c r="DC11" s="5">
        <f t="shared" si="11"/>
        <v>0.4</v>
      </c>
      <c r="DD11" s="6">
        <f t="shared" si="1"/>
        <v>0.4</v>
      </c>
      <c r="DE11" s="6">
        <v>0.8</v>
      </c>
      <c r="DF11" s="5">
        <v>0</v>
      </c>
      <c r="DG11" s="6">
        <v>3</v>
      </c>
      <c r="DH11" s="5">
        <v>1.5</v>
      </c>
      <c r="DI11" s="8">
        <v>0</v>
      </c>
      <c r="DJ11" s="5">
        <f t="shared" si="2"/>
        <v>0</v>
      </c>
      <c r="DK11" s="8">
        <v>0</v>
      </c>
      <c r="DL11" s="5">
        <f t="shared" si="3"/>
        <v>0</v>
      </c>
      <c r="DM11" s="27" t="s">
        <v>600</v>
      </c>
      <c r="DN11" s="5">
        <v>6</v>
      </c>
      <c r="DO11" s="5">
        <v>0</v>
      </c>
      <c r="DP11" s="5">
        <v>0</v>
      </c>
      <c r="DQ11" s="5">
        <v>0</v>
      </c>
      <c r="DR11" s="5">
        <f t="shared" si="13"/>
        <v>1.8</v>
      </c>
      <c r="DS11" s="6">
        <v>2</v>
      </c>
      <c r="DT11" s="5">
        <v>-2</v>
      </c>
      <c r="DU11" s="5">
        <v>2</v>
      </c>
      <c r="DV11" s="6">
        <v>0.1</v>
      </c>
      <c r="DW11" s="5">
        <f t="shared" si="14"/>
        <v>8.3333333333333329E-2</v>
      </c>
      <c r="DX11" s="5">
        <v>1</v>
      </c>
      <c r="DY11" s="5">
        <f t="shared" si="14"/>
        <v>0</v>
      </c>
      <c r="DZ11" s="5">
        <v>0</v>
      </c>
      <c r="EA11" s="5"/>
    </row>
    <row r="12" spans="1:131" x14ac:dyDescent="0.15">
      <c r="A12" s="5">
        <v>201010</v>
      </c>
      <c r="B12" s="6" t="s">
        <v>142</v>
      </c>
      <c r="C12" s="5"/>
      <c r="D12" s="5"/>
      <c r="E12" s="5"/>
      <c r="F12" s="5">
        <v>0</v>
      </c>
      <c r="G12" s="45"/>
      <c r="H12" s="5"/>
      <c r="I12" s="5"/>
      <c r="J12" s="5"/>
      <c r="K12" s="5"/>
      <c r="L12" s="10"/>
      <c r="M12" s="5"/>
      <c r="N12" s="1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20"/>
      <c r="AF12" s="5"/>
      <c r="AG12" s="5"/>
      <c r="AH12" s="5"/>
      <c r="AI12" s="5"/>
      <c r="AJ12" s="5"/>
      <c r="AK12" s="5"/>
      <c r="AL12" s="5"/>
      <c r="AM12" s="5"/>
      <c r="AN12" s="8"/>
      <c r="AO12" s="5">
        <v>0</v>
      </c>
      <c r="AP12" s="6" t="s">
        <v>142</v>
      </c>
      <c r="AQ12" s="5">
        <v>0</v>
      </c>
      <c r="AR12" s="8">
        <v>1</v>
      </c>
      <c r="AS12" s="6">
        <f t="shared" si="4"/>
        <v>3</v>
      </c>
      <c r="AT12" s="6">
        <f t="shared" si="5"/>
        <v>6</v>
      </c>
      <c r="AU12" s="5">
        <v>0</v>
      </c>
      <c r="AV12" s="5">
        <v>1</v>
      </c>
      <c r="AW12" s="6">
        <v>1</v>
      </c>
      <c r="AX12" s="6">
        <v>1</v>
      </c>
      <c r="AY12" s="6">
        <v>1</v>
      </c>
      <c r="AZ12" s="5">
        <v>201010</v>
      </c>
      <c r="BA12" s="5">
        <v>203010</v>
      </c>
      <c r="BB12" s="5">
        <v>0</v>
      </c>
      <c r="BC12" s="5">
        <v>0</v>
      </c>
      <c r="BD12" s="5">
        <v>0</v>
      </c>
      <c r="BE12" s="5">
        <v>305003</v>
      </c>
      <c r="BF12" s="5">
        <v>180</v>
      </c>
      <c r="BG12" s="5">
        <v>0</v>
      </c>
      <c r="BH12" s="5">
        <v>0</v>
      </c>
      <c r="BI12" s="5">
        <v>0</v>
      </c>
      <c r="BJ12" s="5">
        <f t="shared" si="15"/>
        <v>1</v>
      </c>
      <c r="BK12" s="5">
        <v>1</v>
      </c>
      <c r="BL12" s="5">
        <v>1</v>
      </c>
      <c r="BM12" s="5">
        <v>30</v>
      </c>
      <c r="BN12" s="5">
        <v>180</v>
      </c>
      <c r="BO12" s="5">
        <v>108006</v>
      </c>
      <c r="BP12" s="5">
        <v>2</v>
      </c>
      <c r="BQ12" s="5">
        <v>2</v>
      </c>
      <c r="BR12" s="5">
        <f>50*BT12*3-360/BM12*BJ12*BQ12</f>
        <v>126</v>
      </c>
      <c r="BS12" s="4">
        <v>2</v>
      </c>
      <c r="BT12" s="4">
        <v>1</v>
      </c>
      <c r="BU12" s="4">
        <v>0</v>
      </c>
      <c r="BV12" s="4">
        <f t="shared" si="6"/>
        <v>1</v>
      </c>
      <c r="BW12" s="4">
        <f t="shared" si="7"/>
        <v>1</v>
      </c>
      <c r="BX12" s="14">
        <f t="shared" si="8"/>
        <v>0.85</v>
      </c>
      <c r="BY12" s="14">
        <f t="shared" si="9"/>
        <v>0.55000000000000004</v>
      </c>
      <c r="BZ12" s="5" t="s">
        <v>143</v>
      </c>
      <c r="CA12" s="5" t="s">
        <v>144</v>
      </c>
      <c r="CB12" s="5" t="s">
        <v>144</v>
      </c>
      <c r="CC12" s="5">
        <v>0</v>
      </c>
      <c r="CD12" s="5">
        <v>1</v>
      </c>
      <c r="CE12" s="5">
        <f t="shared" si="10"/>
        <v>0</v>
      </c>
      <c r="CF12" s="5">
        <v>0</v>
      </c>
      <c r="CG12" s="6" t="s">
        <v>142</v>
      </c>
      <c r="CH12" s="5">
        <v>3</v>
      </c>
      <c r="CI12" s="5">
        <v>0</v>
      </c>
      <c r="CJ12" s="4">
        <v>0</v>
      </c>
      <c r="CK12" s="5">
        <v>0</v>
      </c>
      <c r="CL12" s="5">
        <v>0</v>
      </c>
      <c r="CM12" s="20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10">
        <v>0.8</v>
      </c>
      <c r="CW12" s="10">
        <v>0.6</v>
      </c>
      <c r="CX12" s="10">
        <v>1</v>
      </c>
      <c r="CY12" s="10">
        <v>1</v>
      </c>
      <c r="CZ12" s="8">
        <v>1</v>
      </c>
      <c r="DA12" s="6">
        <f t="shared" si="0"/>
        <v>25</v>
      </c>
      <c r="DB12" s="5">
        <v>0</v>
      </c>
      <c r="DC12" s="5">
        <f t="shared" si="11"/>
        <v>0.125</v>
      </c>
      <c r="DD12" s="6">
        <f t="shared" si="1"/>
        <v>0.125</v>
      </c>
      <c r="DE12" s="6">
        <v>0.25</v>
      </c>
      <c r="DF12" s="5">
        <v>0</v>
      </c>
      <c r="DG12" s="6">
        <f t="shared" si="12"/>
        <v>2.5</v>
      </c>
      <c r="DH12" s="5">
        <v>1.5</v>
      </c>
      <c r="DI12" s="8">
        <v>0</v>
      </c>
      <c r="DJ12" s="5">
        <f t="shared" si="2"/>
        <v>0</v>
      </c>
      <c r="DK12" s="8">
        <v>0</v>
      </c>
      <c r="DL12" s="5">
        <f t="shared" si="3"/>
        <v>0</v>
      </c>
      <c r="DM12" s="27" t="s">
        <v>601</v>
      </c>
      <c r="DN12" s="5">
        <v>6</v>
      </c>
      <c r="DO12" s="5">
        <v>0</v>
      </c>
      <c r="DP12" s="5">
        <v>0</v>
      </c>
      <c r="DQ12" s="5">
        <v>0</v>
      </c>
      <c r="DR12" s="5">
        <f t="shared" si="13"/>
        <v>0.9</v>
      </c>
      <c r="DS12" s="6">
        <v>1</v>
      </c>
      <c r="DT12" s="5">
        <v>-0.5</v>
      </c>
      <c r="DU12" s="5">
        <v>0.5</v>
      </c>
      <c r="DV12" s="6">
        <v>0.5</v>
      </c>
      <c r="DW12" s="5">
        <f t="shared" si="14"/>
        <v>0.75</v>
      </c>
      <c r="DX12" s="5">
        <v>9</v>
      </c>
      <c r="DY12" s="5">
        <f t="shared" si="14"/>
        <v>0</v>
      </c>
      <c r="DZ12" s="5">
        <v>0</v>
      </c>
      <c r="EA12" s="5"/>
    </row>
    <row r="13" spans="1:131" x14ac:dyDescent="0.15">
      <c r="A13" s="5">
        <v>201011</v>
      </c>
      <c r="B13" s="5" t="s">
        <v>145</v>
      </c>
      <c r="C13" s="5"/>
      <c r="D13" s="5"/>
      <c r="E13" s="5"/>
      <c r="F13" s="5">
        <v>0</v>
      </c>
      <c r="G13" s="45"/>
      <c r="H13" s="5"/>
      <c r="I13" s="5"/>
      <c r="J13" s="5"/>
      <c r="K13" s="5"/>
      <c r="L13" s="10"/>
      <c r="M13" s="5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20"/>
      <c r="AF13" s="5"/>
      <c r="AG13" s="5"/>
      <c r="AH13" s="5"/>
      <c r="AI13" s="5"/>
      <c r="AJ13" s="5"/>
      <c r="AK13" s="5"/>
      <c r="AL13" s="5"/>
      <c r="AM13" s="5"/>
      <c r="AN13" s="8"/>
      <c r="AO13" s="5">
        <v>0</v>
      </c>
      <c r="AP13" s="5" t="s">
        <v>145</v>
      </c>
      <c r="AQ13" s="5">
        <v>0</v>
      </c>
      <c r="AR13" s="8">
        <v>2</v>
      </c>
      <c r="AS13" s="6">
        <f t="shared" si="4"/>
        <v>6</v>
      </c>
      <c r="AT13" s="6">
        <f t="shared" si="5"/>
        <v>9</v>
      </c>
      <c r="AU13" s="5">
        <v>0</v>
      </c>
      <c r="AV13" s="5">
        <v>1</v>
      </c>
      <c r="AW13" s="5">
        <v>1</v>
      </c>
      <c r="AX13" s="5">
        <v>1</v>
      </c>
      <c r="AY13" s="5">
        <v>1</v>
      </c>
      <c r="AZ13" s="5">
        <v>13</v>
      </c>
      <c r="BA13" s="5">
        <v>203011</v>
      </c>
      <c r="BB13" s="5">
        <v>0</v>
      </c>
      <c r="BC13" s="5">
        <v>0</v>
      </c>
      <c r="BD13" s="5">
        <v>0</v>
      </c>
      <c r="BE13" s="5">
        <v>304002</v>
      </c>
      <c r="BF13" s="5">
        <v>180</v>
      </c>
      <c r="BG13" s="5">
        <v>30</v>
      </c>
      <c r="BH13" s="5">
        <v>30</v>
      </c>
      <c r="BI13" s="5">
        <v>1</v>
      </c>
      <c r="BJ13" s="5">
        <f t="shared" si="15"/>
        <v>1</v>
      </c>
      <c r="BK13" s="5">
        <v>2</v>
      </c>
      <c r="BL13" s="5">
        <v>1</v>
      </c>
      <c r="BM13" s="5">
        <v>30</v>
      </c>
      <c r="BN13" s="5">
        <v>180</v>
      </c>
      <c r="BO13" s="5">
        <v>108006</v>
      </c>
      <c r="BP13" s="5">
        <v>3</v>
      </c>
      <c r="BQ13" s="5">
        <v>2</v>
      </c>
      <c r="BR13" s="5">
        <f>50*BT13*3-360/BM13*BJ13*BQ13</f>
        <v>126</v>
      </c>
      <c r="BS13" s="4">
        <v>3</v>
      </c>
      <c r="BT13" s="4">
        <v>1</v>
      </c>
      <c r="BU13" s="4">
        <v>0</v>
      </c>
      <c r="BV13" s="4">
        <f t="shared" si="6"/>
        <v>1</v>
      </c>
      <c r="BW13" s="4">
        <f t="shared" si="7"/>
        <v>1</v>
      </c>
      <c r="BX13" s="14">
        <f t="shared" si="8"/>
        <v>0.85</v>
      </c>
      <c r="BY13" s="14">
        <f t="shared" si="9"/>
        <v>0.55000000000000004</v>
      </c>
      <c r="BZ13" s="5" t="s">
        <v>146</v>
      </c>
      <c r="CA13" s="5" t="s">
        <v>147</v>
      </c>
      <c r="CB13" s="5" t="s">
        <v>147</v>
      </c>
      <c r="CC13" s="5">
        <v>0</v>
      </c>
      <c r="CD13" s="5">
        <v>1</v>
      </c>
      <c r="CE13" s="5">
        <f t="shared" si="10"/>
        <v>0</v>
      </c>
      <c r="CF13" s="5">
        <v>0</v>
      </c>
      <c r="CG13" s="5" t="s">
        <v>145</v>
      </c>
      <c r="CH13" s="5">
        <v>0</v>
      </c>
      <c r="CI13" s="5">
        <v>0</v>
      </c>
      <c r="CJ13" s="4">
        <v>0</v>
      </c>
      <c r="CK13" s="5">
        <v>0</v>
      </c>
      <c r="CL13" s="5">
        <v>0</v>
      </c>
      <c r="CM13" s="20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10">
        <v>0.8</v>
      </c>
      <c r="CW13" s="10">
        <v>0.6</v>
      </c>
      <c r="CX13" s="10">
        <v>1</v>
      </c>
      <c r="CY13" s="10">
        <v>1</v>
      </c>
      <c r="CZ13" s="8">
        <v>2</v>
      </c>
      <c r="DA13" s="6">
        <f t="shared" si="0"/>
        <v>50</v>
      </c>
      <c r="DB13" s="5">
        <v>0</v>
      </c>
      <c r="DC13" s="5">
        <f t="shared" si="11"/>
        <v>0.25</v>
      </c>
      <c r="DD13" s="6">
        <f t="shared" si="1"/>
        <v>0.25</v>
      </c>
      <c r="DE13" s="6">
        <v>0.5</v>
      </c>
      <c r="DF13" s="5">
        <v>0</v>
      </c>
      <c r="DG13" s="6">
        <f t="shared" si="12"/>
        <v>3</v>
      </c>
      <c r="DH13" s="5">
        <v>2</v>
      </c>
      <c r="DI13" s="8">
        <v>0</v>
      </c>
      <c r="DJ13" s="5">
        <f t="shared" si="2"/>
        <v>0</v>
      </c>
      <c r="DK13" s="8">
        <v>0</v>
      </c>
      <c r="DL13" s="5">
        <f t="shared" si="3"/>
        <v>0</v>
      </c>
      <c r="DM13" s="27" t="s">
        <v>603</v>
      </c>
      <c r="DN13" s="5">
        <v>6</v>
      </c>
      <c r="DO13" s="5">
        <v>0</v>
      </c>
      <c r="DP13" s="5">
        <v>1</v>
      </c>
      <c r="DQ13" s="5">
        <v>1</v>
      </c>
      <c r="DR13" s="5">
        <f t="shared" si="13"/>
        <v>1.1700000000000002</v>
      </c>
      <c r="DS13" s="6">
        <v>1.3</v>
      </c>
      <c r="DT13" s="5">
        <v>-0.5</v>
      </c>
      <c r="DU13" s="5">
        <v>0.5</v>
      </c>
      <c r="DV13" s="6">
        <v>0.2</v>
      </c>
      <c r="DW13" s="5">
        <f t="shared" si="14"/>
        <v>0.41666666666666669</v>
      </c>
      <c r="DX13" s="5">
        <v>5</v>
      </c>
      <c r="DY13" s="5">
        <f t="shared" si="14"/>
        <v>0</v>
      </c>
      <c r="DZ13" s="5">
        <v>0</v>
      </c>
      <c r="EA13" s="5"/>
    </row>
    <row r="14" spans="1:131" x14ac:dyDescent="0.15">
      <c r="A14" s="5">
        <v>201012</v>
      </c>
      <c r="B14" s="5" t="s">
        <v>148</v>
      </c>
      <c r="C14" s="5"/>
      <c r="D14" s="5"/>
      <c r="E14" s="5"/>
      <c r="F14" s="5">
        <v>0</v>
      </c>
      <c r="G14" s="45"/>
      <c r="H14" s="5"/>
      <c r="I14" s="5"/>
      <c r="J14" s="5"/>
      <c r="K14" s="5"/>
      <c r="L14" s="10"/>
      <c r="M14" s="5"/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20"/>
      <c r="AF14" s="5"/>
      <c r="AG14" s="5"/>
      <c r="AH14" s="5"/>
      <c r="AI14" s="5"/>
      <c r="AJ14" s="5"/>
      <c r="AK14" s="5"/>
      <c r="AL14" s="5"/>
      <c r="AM14" s="5"/>
      <c r="AN14" s="8"/>
      <c r="AO14" s="5">
        <v>0</v>
      </c>
      <c r="AP14" s="5" t="s">
        <v>148</v>
      </c>
      <c r="AQ14" s="5">
        <v>0</v>
      </c>
      <c r="AR14" s="8">
        <v>5</v>
      </c>
      <c r="AS14" s="6">
        <f t="shared" si="4"/>
        <v>15</v>
      </c>
      <c r="AT14" s="6">
        <f t="shared" si="5"/>
        <v>18</v>
      </c>
      <c r="AU14" s="5">
        <v>0</v>
      </c>
      <c r="AV14" s="5">
        <v>1</v>
      </c>
      <c r="AW14" s="5">
        <v>0</v>
      </c>
      <c r="AX14" s="5">
        <v>0</v>
      </c>
      <c r="AY14" s="5">
        <v>1</v>
      </c>
      <c r="AZ14" s="5">
        <v>13</v>
      </c>
      <c r="BA14" s="5">
        <v>203012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f t="shared" si="15"/>
        <v>0</v>
      </c>
      <c r="BK14" s="5">
        <v>3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/>
      <c r="BR14" s="5"/>
      <c r="BS14" s="4">
        <v>3</v>
      </c>
      <c r="BT14" s="4">
        <v>1</v>
      </c>
      <c r="BU14" s="4">
        <v>0</v>
      </c>
      <c r="BV14" s="4">
        <f t="shared" si="6"/>
        <v>1</v>
      </c>
      <c r="BW14" s="4">
        <f t="shared" si="7"/>
        <v>1</v>
      </c>
      <c r="BX14" s="14">
        <f t="shared" si="8"/>
        <v>0.85</v>
      </c>
      <c r="BY14" s="14">
        <f t="shared" si="9"/>
        <v>0.55000000000000004</v>
      </c>
      <c r="BZ14" s="5" t="s">
        <v>149</v>
      </c>
      <c r="CA14" s="5" t="s">
        <v>150</v>
      </c>
      <c r="CB14" s="5" t="s">
        <v>150</v>
      </c>
      <c r="CC14" s="5">
        <v>0</v>
      </c>
      <c r="CD14" s="5">
        <v>1</v>
      </c>
      <c r="CE14" s="5">
        <f t="shared" si="10"/>
        <v>0</v>
      </c>
      <c r="CF14" s="5">
        <v>0</v>
      </c>
      <c r="CG14" s="5" t="s">
        <v>148</v>
      </c>
      <c r="CH14" s="5">
        <v>3</v>
      </c>
      <c r="CI14" s="5">
        <v>0</v>
      </c>
      <c r="CJ14" s="4">
        <v>0</v>
      </c>
      <c r="CK14" s="5">
        <v>0</v>
      </c>
      <c r="CL14" s="5">
        <v>0</v>
      </c>
      <c r="CM14" s="20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10">
        <v>0.8</v>
      </c>
      <c r="CW14" s="10">
        <v>0.6</v>
      </c>
      <c r="CX14" s="10">
        <v>1</v>
      </c>
      <c r="CY14" s="10">
        <v>1</v>
      </c>
      <c r="CZ14" s="8">
        <v>0.8</v>
      </c>
      <c r="DA14" s="6">
        <f t="shared" si="0"/>
        <v>20</v>
      </c>
      <c r="DB14" s="5">
        <v>1</v>
      </c>
      <c r="DC14" s="5">
        <f t="shared" si="11"/>
        <v>0.4</v>
      </c>
      <c r="DD14" s="6">
        <f t="shared" si="1"/>
        <v>0.4</v>
      </c>
      <c r="DE14" s="6">
        <v>0.8</v>
      </c>
      <c r="DF14" s="5">
        <v>0</v>
      </c>
      <c r="DG14" s="6">
        <v>3.5</v>
      </c>
      <c r="DH14" s="5">
        <v>2</v>
      </c>
      <c r="DI14" s="8">
        <v>0</v>
      </c>
      <c r="DJ14" s="5">
        <f t="shared" si="2"/>
        <v>0</v>
      </c>
      <c r="DK14" s="8">
        <v>0</v>
      </c>
      <c r="DL14" s="5">
        <f t="shared" si="3"/>
        <v>0</v>
      </c>
      <c r="DM14" s="5" t="s">
        <v>148</v>
      </c>
      <c r="DN14" s="5">
        <v>4</v>
      </c>
      <c r="DO14" s="5">
        <v>0</v>
      </c>
      <c r="DP14" s="5">
        <v>0</v>
      </c>
      <c r="DQ14" s="5">
        <v>0</v>
      </c>
      <c r="DR14" s="5">
        <f t="shared" si="13"/>
        <v>0.9</v>
      </c>
      <c r="DS14" s="6">
        <v>1</v>
      </c>
      <c r="DT14" s="5">
        <v>-0.5</v>
      </c>
      <c r="DU14" s="5">
        <v>0.5</v>
      </c>
      <c r="DV14" s="6">
        <v>0.2</v>
      </c>
      <c r="DW14" s="5">
        <f t="shared" si="14"/>
        <v>0.33333333333333331</v>
      </c>
      <c r="DX14" s="5">
        <v>4</v>
      </c>
      <c r="DY14" s="5">
        <f t="shared" si="14"/>
        <v>0</v>
      </c>
      <c r="DZ14" s="5">
        <v>0</v>
      </c>
      <c r="EA14" s="5"/>
    </row>
    <row r="15" spans="1:131" x14ac:dyDescent="0.15">
      <c r="A15" s="5">
        <v>201013</v>
      </c>
      <c r="B15" s="5" t="s">
        <v>151</v>
      </c>
      <c r="C15" s="5"/>
      <c r="D15" s="5"/>
      <c r="E15" s="5"/>
      <c r="F15" s="5">
        <v>0</v>
      </c>
      <c r="G15" s="45"/>
      <c r="H15" s="5"/>
      <c r="I15" s="5"/>
      <c r="J15" s="5"/>
      <c r="K15" s="5"/>
      <c r="L15" s="10"/>
      <c r="M15" s="5"/>
      <c r="N15" s="1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20"/>
      <c r="AF15" s="5"/>
      <c r="AG15" s="5"/>
      <c r="AH15" s="5"/>
      <c r="AI15" s="5"/>
      <c r="AJ15" s="5"/>
      <c r="AK15" s="5"/>
      <c r="AL15" s="5"/>
      <c r="AM15" s="5"/>
      <c r="AN15" s="8"/>
      <c r="AO15" s="5">
        <v>0</v>
      </c>
      <c r="AP15" s="5" t="s">
        <v>151</v>
      </c>
      <c r="AQ15" s="5">
        <v>0</v>
      </c>
      <c r="AR15" s="8">
        <v>2</v>
      </c>
      <c r="AS15" s="6">
        <f t="shared" si="4"/>
        <v>6</v>
      </c>
      <c r="AT15" s="6">
        <f t="shared" si="5"/>
        <v>9</v>
      </c>
      <c r="AU15" s="5">
        <v>0</v>
      </c>
      <c r="AV15" s="5">
        <v>1</v>
      </c>
      <c r="AW15" s="5">
        <v>1</v>
      </c>
      <c r="AX15" s="5">
        <v>1</v>
      </c>
      <c r="AY15" s="5">
        <v>1</v>
      </c>
      <c r="AZ15" s="5">
        <v>13</v>
      </c>
      <c r="BA15" s="5">
        <v>203013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f t="shared" si="15"/>
        <v>0</v>
      </c>
      <c r="BK15" s="5">
        <v>4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/>
      <c r="BR15" s="5"/>
      <c r="BS15" s="4">
        <v>3</v>
      </c>
      <c r="BT15" s="4">
        <v>1</v>
      </c>
      <c r="BU15" s="4">
        <v>0</v>
      </c>
      <c r="BV15" s="4">
        <f t="shared" si="6"/>
        <v>1</v>
      </c>
      <c r="BW15" s="4">
        <f t="shared" si="7"/>
        <v>1</v>
      </c>
      <c r="BX15" s="14">
        <f t="shared" si="8"/>
        <v>0.85</v>
      </c>
      <c r="BY15" s="14">
        <f t="shared" si="9"/>
        <v>0.55000000000000004</v>
      </c>
      <c r="BZ15" s="5" t="s">
        <v>152</v>
      </c>
      <c r="CA15" s="5" t="s">
        <v>153</v>
      </c>
      <c r="CB15" s="5" t="s">
        <v>153</v>
      </c>
      <c r="CC15" s="5">
        <v>0</v>
      </c>
      <c r="CD15" s="5">
        <v>1</v>
      </c>
      <c r="CE15" s="5">
        <f t="shared" si="10"/>
        <v>0</v>
      </c>
      <c r="CF15" s="5">
        <v>0</v>
      </c>
      <c r="CG15" s="5" t="s">
        <v>151</v>
      </c>
      <c r="CH15" s="5">
        <v>3</v>
      </c>
      <c r="CI15" s="5">
        <v>0</v>
      </c>
      <c r="CJ15" s="4">
        <v>0</v>
      </c>
      <c r="CK15" s="5">
        <v>0</v>
      </c>
      <c r="CL15" s="5">
        <v>0</v>
      </c>
      <c r="CM15" s="20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10">
        <v>0.8</v>
      </c>
      <c r="CW15" s="10">
        <v>0.6</v>
      </c>
      <c r="CX15" s="10">
        <v>1</v>
      </c>
      <c r="CY15" s="10">
        <v>1</v>
      </c>
      <c r="CZ15" s="8">
        <v>1</v>
      </c>
      <c r="DA15" s="6">
        <f t="shared" si="0"/>
        <v>25</v>
      </c>
      <c r="DB15" s="5">
        <v>0</v>
      </c>
      <c r="DC15" s="5">
        <f t="shared" si="11"/>
        <v>0.45</v>
      </c>
      <c r="DD15" s="6">
        <f t="shared" si="1"/>
        <v>0.45</v>
      </c>
      <c r="DE15" s="6">
        <v>0.9</v>
      </c>
      <c r="DF15" s="5">
        <v>0</v>
      </c>
      <c r="DG15" s="6">
        <f t="shared" si="12"/>
        <v>2.75</v>
      </c>
      <c r="DH15" s="5">
        <v>1.75</v>
      </c>
      <c r="DI15" s="8">
        <v>0</v>
      </c>
      <c r="DJ15" s="5">
        <f t="shared" si="2"/>
        <v>0</v>
      </c>
      <c r="DK15" s="8">
        <v>0</v>
      </c>
      <c r="DL15" s="5">
        <f t="shared" si="3"/>
        <v>0</v>
      </c>
      <c r="DM15" s="5" t="s">
        <v>151</v>
      </c>
      <c r="DN15" s="5">
        <v>6</v>
      </c>
      <c r="DO15" s="5">
        <v>0</v>
      </c>
      <c r="DP15" s="5">
        <v>0</v>
      </c>
      <c r="DQ15" s="5">
        <v>0</v>
      </c>
      <c r="DR15" s="5">
        <f t="shared" si="13"/>
        <v>0.9</v>
      </c>
      <c r="DS15" s="6">
        <v>1</v>
      </c>
      <c r="DT15" s="5">
        <v>-0.5</v>
      </c>
      <c r="DU15" s="5">
        <v>0.5</v>
      </c>
      <c r="DV15" s="6">
        <v>0.25</v>
      </c>
      <c r="DW15" s="5">
        <f t="shared" si="14"/>
        <v>0.66666666666666663</v>
      </c>
      <c r="DX15" s="5">
        <v>8</v>
      </c>
      <c r="DY15" s="5">
        <f t="shared" si="14"/>
        <v>0</v>
      </c>
      <c r="DZ15" s="5">
        <v>0</v>
      </c>
      <c r="EA15" s="5"/>
    </row>
    <row r="16" spans="1:131" x14ac:dyDescent="0.15">
      <c r="A16" s="5">
        <v>201014</v>
      </c>
      <c r="B16" s="5" t="s">
        <v>154</v>
      </c>
      <c r="C16" s="5"/>
      <c r="D16" s="5"/>
      <c r="E16" s="5"/>
      <c r="F16" s="5">
        <v>0</v>
      </c>
      <c r="G16" s="45"/>
      <c r="H16" s="5"/>
      <c r="I16" s="5"/>
      <c r="J16" s="5"/>
      <c r="K16" s="5"/>
      <c r="L16" s="10"/>
      <c r="M16" s="5"/>
      <c r="N16" s="1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20"/>
      <c r="AF16" s="5"/>
      <c r="AG16" s="5"/>
      <c r="AH16" s="5"/>
      <c r="AI16" s="5"/>
      <c r="AJ16" s="5"/>
      <c r="AK16" s="5"/>
      <c r="AL16" s="5"/>
      <c r="AM16" s="5"/>
      <c r="AN16" s="8"/>
      <c r="AO16" s="5">
        <v>0</v>
      </c>
      <c r="AP16" s="5" t="s">
        <v>154</v>
      </c>
      <c r="AQ16" s="5">
        <v>0</v>
      </c>
      <c r="AR16" s="8">
        <v>5</v>
      </c>
      <c r="AS16" s="6">
        <f t="shared" si="4"/>
        <v>15</v>
      </c>
      <c r="AT16" s="6">
        <f t="shared" si="5"/>
        <v>18</v>
      </c>
      <c r="AU16" s="5">
        <v>0</v>
      </c>
      <c r="AV16" s="5">
        <v>1</v>
      </c>
      <c r="AW16" s="5">
        <v>0</v>
      </c>
      <c r="AX16" s="5">
        <v>0</v>
      </c>
      <c r="AY16" s="5">
        <v>0</v>
      </c>
      <c r="AZ16" s="5">
        <v>13</v>
      </c>
      <c r="BA16" s="5">
        <v>203014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f t="shared" si="15"/>
        <v>0</v>
      </c>
      <c r="BK16" s="5">
        <v>5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/>
      <c r="BR16" s="5"/>
      <c r="BS16" s="4">
        <v>3</v>
      </c>
      <c r="BT16" s="4">
        <v>1</v>
      </c>
      <c r="BU16" s="4">
        <v>0</v>
      </c>
      <c r="BV16" s="4">
        <f t="shared" si="6"/>
        <v>1</v>
      </c>
      <c r="BW16" s="4">
        <f t="shared" si="7"/>
        <v>1</v>
      </c>
      <c r="BX16" s="14">
        <f t="shared" si="8"/>
        <v>0.85</v>
      </c>
      <c r="BY16" s="14">
        <f t="shared" si="9"/>
        <v>0.55000000000000004</v>
      </c>
      <c r="BZ16" s="5" t="s">
        <v>155</v>
      </c>
      <c r="CA16" s="5" t="s">
        <v>156</v>
      </c>
      <c r="CB16" s="5" t="s">
        <v>156</v>
      </c>
      <c r="CC16" s="5">
        <v>0</v>
      </c>
      <c r="CD16" s="5">
        <v>1</v>
      </c>
      <c r="CE16" s="5">
        <f t="shared" si="10"/>
        <v>2</v>
      </c>
      <c r="CF16" s="5">
        <v>2</v>
      </c>
      <c r="CG16" s="5" t="s">
        <v>154</v>
      </c>
      <c r="CH16" s="5">
        <v>0</v>
      </c>
      <c r="CI16" s="5">
        <v>0</v>
      </c>
      <c r="CJ16" s="4">
        <v>0</v>
      </c>
      <c r="CK16" s="5">
        <v>0</v>
      </c>
      <c r="CL16" s="5">
        <v>0</v>
      </c>
      <c r="CM16" s="20">
        <v>113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10">
        <v>0.8</v>
      </c>
      <c r="CW16" s="10">
        <v>0.6</v>
      </c>
      <c r="CX16" s="10">
        <v>1</v>
      </c>
      <c r="CY16" s="10">
        <v>1</v>
      </c>
      <c r="CZ16" s="8">
        <v>1</v>
      </c>
      <c r="DA16" s="6">
        <f t="shared" si="0"/>
        <v>25</v>
      </c>
      <c r="DB16" s="5">
        <v>1</v>
      </c>
      <c r="DC16" s="5">
        <f t="shared" si="11"/>
        <v>0.75</v>
      </c>
      <c r="DD16" s="6">
        <f t="shared" si="1"/>
        <v>0.75</v>
      </c>
      <c r="DE16" s="6">
        <v>1.5</v>
      </c>
      <c r="DF16" s="5">
        <v>0</v>
      </c>
      <c r="DG16" s="6">
        <f t="shared" si="12"/>
        <v>2.75</v>
      </c>
      <c r="DH16" s="5">
        <v>1.75</v>
      </c>
      <c r="DI16" s="8">
        <v>0</v>
      </c>
      <c r="DJ16" s="5">
        <f t="shared" si="2"/>
        <v>0</v>
      </c>
      <c r="DK16" s="8">
        <v>0</v>
      </c>
      <c r="DL16" s="5">
        <f t="shared" si="3"/>
        <v>0</v>
      </c>
      <c r="DM16" s="27" t="s">
        <v>611</v>
      </c>
      <c r="DN16" s="5">
        <v>6</v>
      </c>
      <c r="DO16" s="5">
        <v>0</v>
      </c>
      <c r="DP16" s="5">
        <v>1</v>
      </c>
      <c r="DQ16" s="5">
        <v>0</v>
      </c>
      <c r="DR16" s="5">
        <f t="shared" si="13"/>
        <v>0.9</v>
      </c>
      <c r="DS16" s="6">
        <v>1</v>
      </c>
      <c r="DT16" s="5">
        <v>-0.5</v>
      </c>
      <c r="DU16" s="5">
        <v>0.5</v>
      </c>
      <c r="DV16" s="6">
        <v>0.25</v>
      </c>
      <c r="DW16" s="5">
        <f t="shared" si="14"/>
        <v>0.33333333333333331</v>
      </c>
      <c r="DX16" s="5">
        <v>4</v>
      </c>
      <c r="DY16" s="5">
        <f t="shared" si="14"/>
        <v>0</v>
      </c>
      <c r="DZ16" s="5">
        <v>0</v>
      </c>
      <c r="EA16" s="5"/>
    </row>
    <row r="17" spans="1:131" x14ac:dyDescent="0.15">
      <c r="A17" s="5">
        <v>201015</v>
      </c>
      <c r="B17" s="5" t="s">
        <v>157</v>
      </c>
      <c r="C17" s="5"/>
      <c r="D17" s="5"/>
      <c r="E17" s="5"/>
      <c r="F17" s="5">
        <v>0</v>
      </c>
      <c r="G17" s="45"/>
      <c r="H17" s="5"/>
      <c r="I17" s="5"/>
      <c r="J17" s="5"/>
      <c r="K17" s="5"/>
      <c r="L17" s="10"/>
      <c r="M17" s="5"/>
      <c r="N17" s="1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20"/>
      <c r="AF17" s="5"/>
      <c r="AG17" s="5"/>
      <c r="AH17" s="5"/>
      <c r="AI17" s="5"/>
      <c r="AJ17" s="5"/>
      <c r="AK17" s="5"/>
      <c r="AL17" s="5"/>
      <c r="AM17" s="5"/>
      <c r="AN17" s="8"/>
      <c r="AO17" s="5">
        <v>0</v>
      </c>
      <c r="AP17" s="5" t="s">
        <v>157</v>
      </c>
      <c r="AQ17" s="5">
        <v>0</v>
      </c>
      <c r="AR17" s="8">
        <v>2</v>
      </c>
      <c r="AS17" s="6">
        <f t="shared" si="4"/>
        <v>6</v>
      </c>
      <c r="AT17" s="6">
        <f t="shared" si="5"/>
        <v>9</v>
      </c>
      <c r="AU17" s="5">
        <v>0</v>
      </c>
      <c r="AV17" s="5">
        <v>0</v>
      </c>
      <c r="AW17" s="5">
        <v>1</v>
      </c>
      <c r="AX17" s="5">
        <v>1</v>
      </c>
      <c r="AY17" s="5">
        <v>0</v>
      </c>
      <c r="AZ17" s="5">
        <v>12</v>
      </c>
      <c r="BA17" s="5">
        <v>203015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f t="shared" si="15"/>
        <v>0</v>
      </c>
      <c r="BK17" s="5">
        <v>6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/>
      <c r="BR17" s="5"/>
      <c r="BS17" s="4">
        <v>3</v>
      </c>
      <c r="BT17" s="4">
        <v>1</v>
      </c>
      <c r="BU17" s="4">
        <v>0</v>
      </c>
      <c r="BV17" s="4">
        <f t="shared" si="6"/>
        <v>1</v>
      </c>
      <c r="BW17" s="4">
        <f t="shared" si="7"/>
        <v>1</v>
      </c>
      <c r="BX17" s="14">
        <f t="shared" si="8"/>
        <v>0.85</v>
      </c>
      <c r="BY17" s="14">
        <f t="shared" si="9"/>
        <v>0.55000000000000004</v>
      </c>
      <c r="BZ17" s="5" t="s">
        <v>158</v>
      </c>
      <c r="CA17" s="5" t="s">
        <v>159</v>
      </c>
      <c r="CB17" s="5" t="s">
        <v>159</v>
      </c>
      <c r="CC17" s="5">
        <v>0</v>
      </c>
      <c r="CD17" s="5">
        <v>1</v>
      </c>
      <c r="CE17" s="5">
        <f t="shared" si="10"/>
        <v>0</v>
      </c>
      <c r="CF17" s="5">
        <v>0</v>
      </c>
      <c r="CG17" s="5" t="s">
        <v>157</v>
      </c>
      <c r="CH17" s="5">
        <v>0</v>
      </c>
      <c r="CI17" s="5">
        <v>0</v>
      </c>
      <c r="CJ17" s="4">
        <v>0</v>
      </c>
      <c r="CK17" s="5">
        <v>0</v>
      </c>
      <c r="CL17" s="5">
        <v>0</v>
      </c>
      <c r="CM17" s="20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10">
        <v>0.8</v>
      </c>
      <c r="CW17" s="10">
        <v>0.6</v>
      </c>
      <c r="CX17" s="10">
        <v>1</v>
      </c>
      <c r="CY17" s="10">
        <v>1</v>
      </c>
      <c r="CZ17" s="8">
        <v>2</v>
      </c>
      <c r="DA17" s="6">
        <f t="shared" si="0"/>
        <v>50</v>
      </c>
      <c r="DB17" s="5">
        <v>0</v>
      </c>
      <c r="DC17" s="5">
        <f t="shared" si="11"/>
        <v>0.15</v>
      </c>
      <c r="DD17" s="6">
        <f t="shared" si="1"/>
        <v>0.15</v>
      </c>
      <c r="DE17" s="6">
        <v>0.3</v>
      </c>
      <c r="DF17" s="5">
        <v>0</v>
      </c>
      <c r="DG17" s="6">
        <f t="shared" si="12"/>
        <v>3</v>
      </c>
      <c r="DH17" s="5">
        <v>2</v>
      </c>
      <c r="DI17" s="8">
        <v>0</v>
      </c>
      <c r="DJ17" s="5">
        <f t="shared" si="2"/>
        <v>0</v>
      </c>
      <c r="DK17" s="8">
        <v>0</v>
      </c>
      <c r="DL17" s="5">
        <f t="shared" si="3"/>
        <v>0</v>
      </c>
      <c r="DM17" s="27" t="s">
        <v>604</v>
      </c>
      <c r="DN17" s="5">
        <v>6</v>
      </c>
      <c r="DO17" s="5">
        <v>0</v>
      </c>
      <c r="DP17" s="5">
        <v>0</v>
      </c>
      <c r="DQ17" s="5">
        <v>0</v>
      </c>
      <c r="DR17" s="5">
        <f t="shared" si="13"/>
        <v>0.9</v>
      </c>
      <c r="DS17" s="6">
        <v>1</v>
      </c>
      <c r="DT17" s="5">
        <v>-0.5</v>
      </c>
      <c r="DU17" s="5">
        <v>0.5</v>
      </c>
      <c r="DV17" s="6">
        <v>0.2</v>
      </c>
      <c r="DW17" s="5">
        <f t="shared" si="14"/>
        <v>0.58333333333333337</v>
      </c>
      <c r="DX17" s="5">
        <v>7</v>
      </c>
      <c r="DY17" s="5">
        <f t="shared" si="14"/>
        <v>0</v>
      </c>
      <c r="DZ17" s="5">
        <v>0</v>
      </c>
      <c r="EA17" s="5"/>
    </row>
    <row r="18" spans="1:131" x14ac:dyDescent="0.15">
      <c r="A18" s="5">
        <v>201016</v>
      </c>
      <c r="B18" s="6" t="s">
        <v>160</v>
      </c>
      <c r="C18" s="5"/>
      <c r="D18" s="5"/>
      <c r="E18" s="5"/>
      <c r="F18" s="5">
        <v>0</v>
      </c>
      <c r="G18" s="45"/>
      <c r="H18" s="5"/>
      <c r="I18" s="5"/>
      <c r="J18" s="5"/>
      <c r="K18" s="5"/>
      <c r="L18" s="10"/>
      <c r="M18" s="5"/>
      <c r="N18" s="1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20"/>
      <c r="AF18" s="5"/>
      <c r="AG18" s="5"/>
      <c r="AH18" s="5"/>
      <c r="AI18" s="5"/>
      <c r="AJ18" s="5"/>
      <c r="AK18" s="5"/>
      <c r="AL18" s="5"/>
      <c r="AM18" s="5"/>
      <c r="AN18" s="8"/>
      <c r="AO18" s="5">
        <v>0</v>
      </c>
      <c r="AP18" s="6" t="s">
        <v>160</v>
      </c>
      <c r="AQ18" s="5">
        <v>0</v>
      </c>
      <c r="AR18" s="8">
        <v>2</v>
      </c>
      <c r="AS18" s="6">
        <f t="shared" si="4"/>
        <v>6</v>
      </c>
      <c r="AT18" s="6">
        <f t="shared" si="5"/>
        <v>9</v>
      </c>
      <c r="AU18" s="5">
        <v>0</v>
      </c>
      <c r="AV18" s="5">
        <v>1</v>
      </c>
      <c r="AW18" s="6">
        <v>0</v>
      </c>
      <c r="AX18" s="6">
        <v>0</v>
      </c>
      <c r="AY18" s="6">
        <v>1</v>
      </c>
      <c r="AZ18" s="5">
        <v>13</v>
      </c>
      <c r="BA18" s="5">
        <v>203016</v>
      </c>
      <c r="BB18" s="5">
        <v>0</v>
      </c>
      <c r="BC18" s="5">
        <v>0</v>
      </c>
      <c r="BD18" s="5">
        <v>0</v>
      </c>
      <c r="BE18" s="5">
        <v>306001</v>
      </c>
      <c r="BF18" s="5">
        <v>0</v>
      </c>
      <c r="BG18" s="5">
        <v>0</v>
      </c>
      <c r="BH18" s="5">
        <v>0</v>
      </c>
      <c r="BI18" s="5">
        <v>0</v>
      </c>
      <c r="BJ18" s="5">
        <f t="shared" si="15"/>
        <v>1</v>
      </c>
      <c r="BK18" s="5">
        <f>BJ18*360/BM18</f>
        <v>2</v>
      </c>
      <c r="BL18" s="5">
        <v>1</v>
      </c>
      <c r="BM18" s="5">
        <v>180</v>
      </c>
      <c r="BN18" s="5">
        <v>180</v>
      </c>
      <c r="BO18" s="5">
        <v>203017</v>
      </c>
      <c r="BP18" s="5">
        <v>3</v>
      </c>
      <c r="BQ18" s="5">
        <v>4</v>
      </c>
      <c r="BR18" s="5">
        <f>50*BT18*3-360/BM18*BJ18*BQ18</f>
        <v>142</v>
      </c>
      <c r="BS18" s="4">
        <v>4</v>
      </c>
      <c r="BT18" s="4">
        <v>1</v>
      </c>
      <c r="BU18" s="4">
        <v>0</v>
      </c>
      <c r="BV18" s="4">
        <f t="shared" si="6"/>
        <v>1</v>
      </c>
      <c r="BW18" s="4">
        <f t="shared" si="7"/>
        <v>1</v>
      </c>
      <c r="BX18" s="14">
        <f t="shared" si="8"/>
        <v>0.85</v>
      </c>
      <c r="BY18" s="14">
        <f t="shared" si="9"/>
        <v>0.55000000000000004</v>
      </c>
      <c r="BZ18" s="5" t="s">
        <v>161</v>
      </c>
      <c r="CA18" s="5" t="s">
        <v>162</v>
      </c>
      <c r="CB18" s="5" t="s">
        <v>162</v>
      </c>
      <c r="CC18" s="5">
        <v>0</v>
      </c>
      <c r="CD18" s="6">
        <v>2</v>
      </c>
      <c r="CE18" s="5">
        <f t="shared" si="10"/>
        <v>0</v>
      </c>
      <c r="CF18" s="5">
        <v>0</v>
      </c>
      <c r="CG18" s="6" t="s">
        <v>160</v>
      </c>
      <c r="CH18" s="5">
        <v>3</v>
      </c>
      <c r="CI18" s="5">
        <v>104</v>
      </c>
      <c r="CJ18" s="4">
        <v>0</v>
      </c>
      <c r="CK18" s="5">
        <v>0</v>
      </c>
      <c r="CL18" s="5">
        <v>0</v>
      </c>
      <c r="CM18" s="20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10">
        <v>0.8</v>
      </c>
      <c r="CW18" s="10">
        <v>0.6</v>
      </c>
      <c r="CX18" s="10">
        <v>1</v>
      </c>
      <c r="CY18" s="10">
        <v>1</v>
      </c>
      <c r="CZ18" s="8">
        <v>0.8</v>
      </c>
      <c r="DA18" s="6">
        <f t="shared" si="0"/>
        <v>20</v>
      </c>
      <c r="DB18" s="5">
        <v>1</v>
      </c>
      <c r="DC18" s="5">
        <f t="shared" si="11"/>
        <v>0.26</v>
      </c>
      <c r="DD18" s="6">
        <f t="shared" si="1"/>
        <v>0.26</v>
      </c>
      <c r="DE18" s="6">
        <v>0.52</v>
      </c>
      <c r="DF18" s="5">
        <v>0</v>
      </c>
      <c r="DG18" s="6">
        <f t="shared" si="12"/>
        <v>3</v>
      </c>
      <c r="DH18" s="5">
        <v>2</v>
      </c>
      <c r="DI18" s="8">
        <v>2</v>
      </c>
      <c r="DJ18" s="5">
        <f t="shared" si="2"/>
        <v>15</v>
      </c>
      <c r="DK18" s="8">
        <v>0</v>
      </c>
      <c r="DL18" s="5">
        <f t="shared" si="3"/>
        <v>0</v>
      </c>
      <c r="DM18" s="27" t="s">
        <v>605</v>
      </c>
      <c r="DN18" s="5">
        <v>6</v>
      </c>
      <c r="DO18" s="5">
        <v>0</v>
      </c>
      <c r="DP18" s="5">
        <v>0</v>
      </c>
      <c r="DQ18" s="5">
        <v>0</v>
      </c>
      <c r="DR18" s="5">
        <f t="shared" si="13"/>
        <v>4.5</v>
      </c>
      <c r="DS18" s="6">
        <v>5</v>
      </c>
      <c r="DT18" s="5">
        <v>-5</v>
      </c>
      <c r="DU18" s="5">
        <v>0</v>
      </c>
      <c r="DV18" s="6">
        <v>0.2</v>
      </c>
      <c r="DW18" s="5">
        <f t="shared" si="14"/>
        <v>0.5</v>
      </c>
      <c r="DX18" s="5">
        <v>6</v>
      </c>
      <c r="DY18" s="5">
        <f t="shared" si="14"/>
        <v>0</v>
      </c>
      <c r="DZ18" s="5">
        <v>0</v>
      </c>
      <c r="EA18" s="5"/>
    </row>
    <row r="19" spans="1:131" x14ac:dyDescent="0.15">
      <c r="A19" s="5">
        <v>201017</v>
      </c>
      <c r="B19" s="6" t="s">
        <v>163</v>
      </c>
      <c r="C19" s="5"/>
      <c r="D19" s="5"/>
      <c r="E19" s="5"/>
      <c r="F19" s="5">
        <v>0</v>
      </c>
      <c r="G19" s="45"/>
      <c r="H19" s="5"/>
      <c r="I19" s="5"/>
      <c r="J19" s="5"/>
      <c r="K19" s="5"/>
      <c r="L19" s="10"/>
      <c r="M19" s="5"/>
      <c r="N19" s="1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20"/>
      <c r="AF19" s="5"/>
      <c r="AG19" s="5"/>
      <c r="AH19" s="5"/>
      <c r="AI19" s="5"/>
      <c r="AJ19" s="5"/>
      <c r="AK19" s="5"/>
      <c r="AL19" s="5"/>
      <c r="AM19" s="5"/>
      <c r="AN19" s="8"/>
      <c r="AO19" s="5">
        <v>0</v>
      </c>
      <c r="AP19" s="6" t="s">
        <v>163</v>
      </c>
      <c r="AQ19" s="5">
        <v>0</v>
      </c>
      <c r="AR19" s="8">
        <v>1.5</v>
      </c>
      <c r="AS19" s="6">
        <f t="shared" si="4"/>
        <v>4.5</v>
      </c>
      <c r="AT19" s="6">
        <f t="shared" si="5"/>
        <v>7.5</v>
      </c>
      <c r="AU19" s="5">
        <v>0</v>
      </c>
      <c r="AV19" s="5">
        <v>1</v>
      </c>
      <c r="AW19" s="6">
        <v>0</v>
      </c>
      <c r="AX19" s="6">
        <v>0</v>
      </c>
      <c r="AY19" s="6">
        <v>1</v>
      </c>
      <c r="AZ19" s="5">
        <v>13</v>
      </c>
      <c r="BA19" s="5">
        <v>203017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15</v>
      </c>
      <c r="BH19" s="5">
        <v>270</v>
      </c>
      <c r="BI19" s="5">
        <v>0</v>
      </c>
      <c r="BJ19" s="5">
        <f t="shared" si="15"/>
        <v>0</v>
      </c>
      <c r="BK19" s="5">
        <v>8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/>
      <c r="BR19" s="5"/>
      <c r="BS19" s="4">
        <v>4</v>
      </c>
      <c r="BT19" s="4">
        <v>1</v>
      </c>
      <c r="BU19" s="4">
        <v>0</v>
      </c>
      <c r="BV19" s="4">
        <f t="shared" si="6"/>
        <v>1</v>
      </c>
      <c r="BW19" s="4">
        <f t="shared" si="7"/>
        <v>1</v>
      </c>
      <c r="BX19" s="14">
        <f t="shared" si="8"/>
        <v>0.85</v>
      </c>
      <c r="BY19" s="14">
        <f t="shared" si="9"/>
        <v>0.55000000000000004</v>
      </c>
      <c r="BZ19" s="5" t="s">
        <v>164</v>
      </c>
      <c r="CA19" s="5" t="s">
        <v>165</v>
      </c>
      <c r="CB19" s="5" t="s">
        <v>165</v>
      </c>
      <c r="CC19" s="5">
        <v>0</v>
      </c>
      <c r="CD19" s="6">
        <v>2</v>
      </c>
      <c r="CE19" s="5">
        <f t="shared" si="10"/>
        <v>0</v>
      </c>
      <c r="CF19" s="5">
        <v>0</v>
      </c>
      <c r="CG19" s="6" t="s">
        <v>163</v>
      </c>
      <c r="CH19" s="5">
        <v>3</v>
      </c>
      <c r="CI19" s="5">
        <v>0</v>
      </c>
      <c r="CJ19" s="4">
        <v>0</v>
      </c>
      <c r="CK19" s="5">
        <v>0</v>
      </c>
      <c r="CL19" s="5">
        <v>0</v>
      </c>
      <c r="CM19" s="20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201016</v>
      </c>
      <c r="CT19" s="5">
        <v>0</v>
      </c>
      <c r="CU19" s="5">
        <v>0</v>
      </c>
      <c r="CV19" s="10">
        <v>0.8</v>
      </c>
      <c r="CW19" s="10">
        <v>0.6</v>
      </c>
      <c r="CX19" s="10">
        <v>1</v>
      </c>
      <c r="CY19" s="10">
        <v>1</v>
      </c>
      <c r="CZ19" s="8">
        <v>1</v>
      </c>
      <c r="DA19" s="6">
        <f t="shared" si="0"/>
        <v>25</v>
      </c>
      <c r="DB19" s="5">
        <v>1</v>
      </c>
      <c r="DC19" s="5">
        <f t="shared" si="11"/>
        <v>0.125</v>
      </c>
      <c r="DD19" s="6">
        <f t="shared" si="1"/>
        <v>0.125</v>
      </c>
      <c r="DE19" s="6">
        <v>0.25</v>
      </c>
      <c r="DF19" s="5">
        <v>0</v>
      </c>
      <c r="DG19" s="6">
        <f t="shared" si="12"/>
        <v>3</v>
      </c>
      <c r="DH19" s="5">
        <v>2</v>
      </c>
      <c r="DI19" s="8">
        <v>0</v>
      </c>
      <c r="DJ19" s="5">
        <f t="shared" si="2"/>
        <v>0</v>
      </c>
      <c r="DK19" s="8">
        <v>0</v>
      </c>
      <c r="DL19" s="5">
        <f t="shared" si="3"/>
        <v>0</v>
      </c>
      <c r="DM19" s="27" t="s">
        <v>606</v>
      </c>
      <c r="DN19" s="5">
        <v>0</v>
      </c>
      <c r="DO19" s="5">
        <v>0</v>
      </c>
      <c r="DP19" s="5">
        <v>0</v>
      </c>
      <c r="DQ19" s="5">
        <v>0</v>
      </c>
      <c r="DR19" s="5">
        <f t="shared" si="13"/>
        <v>3.15</v>
      </c>
      <c r="DS19" s="6">
        <v>3.5</v>
      </c>
      <c r="DT19" s="5">
        <v>-0.5</v>
      </c>
      <c r="DU19" s="5">
        <v>0.5</v>
      </c>
      <c r="DV19" s="6">
        <v>0.2</v>
      </c>
      <c r="DW19" s="5">
        <f t="shared" si="14"/>
        <v>0</v>
      </c>
      <c r="DX19" s="5">
        <v>0</v>
      </c>
      <c r="DY19" s="5">
        <f t="shared" si="14"/>
        <v>0</v>
      </c>
      <c r="DZ19" s="5">
        <v>0</v>
      </c>
      <c r="EA19" s="5"/>
    </row>
    <row r="20" spans="1:131" x14ac:dyDescent="0.15">
      <c r="A20" s="5">
        <v>201018</v>
      </c>
      <c r="B20" s="6" t="s">
        <v>166</v>
      </c>
      <c r="C20" s="5"/>
      <c r="D20" s="5"/>
      <c r="E20" s="5"/>
      <c r="F20" s="5">
        <v>0</v>
      </c>
      <c r="G20" s="45"/>
      <c r="H20" s="5"/>
      <c r="I20" s="5"/>
      <c r="J20" s="5"/>
      <c r="K20" s="5"/>
      <c r="L20" s="10"/>
      <c r="M20" s="5"/>
      <c r="N20" s="1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20"/>
      <c r="AF20" s="5"/>
      <c r="AG20" s="5"/>
      <c r="AH20" s="5"/>
      <c r="AI20" s="5"/>
      <c r="AJ20" s="5"/>
      <c r="AK20" s="5"/>
      <c r="AL20" s="5"/>
      <c r="AM20" s="5"/>
      <c r="AN20" s="8"/>
      <c r="AO20" s="5">
        <v>0</v>
      </c>
      <c r="AP20" s="6" t="s">
        <v>166</v>
      </c>
      <c r="AQ20" s="5">
        <v>0</v>
      </c>
      <c r="AR20" s="8">
        <v>2</v>
      </c>
      <c r="AS20" s="6">
        <f t="shared" si="4"/>
        <v>6</v>
      </c>
      <c r="AT20" s="6">
        <f t="shared" si="5"/>
        <v>9</v>
      </c>
      <c r="AU20" s="5">
        <v>0</v>
      </c>
      <c r="AV20" s="5">
        <v>1</v>
      </c>
      <c r="AW20" s="6">
        <v>1</v>
      </c>
      <c r="AX20" s="6">
        <v>1</v>
      </c>
      <c r="AY20" s="6">
        <v>1</v>
      </c>
      <c r="AZ20" s="5">
        <v>12</v>
      </c>
      <c r="BA20" s="5">
        <v>203018</v>
      </c>
      <c r="BB20" s="5">
        <v>0</v>
      </c>
      <c r="BC20" s="5">
        <v>0</v>
      </c>
      <c r="BD20" s="5">
        <v>0</v>
      </c>
      <c r="BE20" s="5">
        <v>604001</v>
      </c>
      <c r="BF20" s="5">
        <v>0</v>
      </c>
      <c r="BG20" s="5">
        <v>0</v>
      </c>
      <c r="BH20" s="5">
        <v>0</v>
      </c>
      <c r="BI20" s="5">
        <v>0</v>
      </c>
      <c r="BJ20" s="5">
        <v>4</v>
      </c>
      <c r="BK20" s="5">
        <f>BJ20*360/BM20</f>
        <v>16</v>
      </c>
      <c r="BL20" s="5">
        <v>2</v>
      </c>
      <c r="BM20" s="5">
        <v>90</v>
      </c>
      <c r="BN20" s="5">
        <v>180</v>
      </c>
      <c r="BO20" s="5">
        <v>203019</v>
      </c>
      <c r="BP20" s="5">
        <v>3</v>
      </c>
      <c r="BQ20" s="5">
        <v>2</v>
      </c>
      <c r="BR20" s="5">
        <f>50*BT20*3-360/BM20*BJ20*BQ20</f>
        <v>118</v>
      </c>
      <c r="BS20" s="4">
        <v>4</v>
      </c>
      <c r="BT20" s="4">
        <v>1</v>
      </c>
      <c r="BU20" s="4">
        <v>0</v>
      </c>
      <c r="BV20" s="4">
        <f t="shared" si="6"/>
        <v>1</v>
      </c>
      <c r="BW20" s="4">
        <f t="shared" si="7"/>
        <v>1</v>
      </c>
      <c r="BX20" s="14">
        <f t="shared" si="8"/>
        <v>0.85</v>
      </c>
      <c r="BY20" s="14">
        <f t="shared" si="9"/>
        <v>0.55000000000000004</v>
      </c>
      <c r="BZ20" s="5" t="s">
        <v>167</v>
      </c>
      <c r="CA20" s="5" t="s">
        <v>168</v>
      </c>
      <c r="CB20" s="5" t="s">
        <v>168</v>
      </c>
      <c r="CC20" s="5">
        <v>0</v>
      </c>
      <c r="CD20" s="6">
        <v>2</v>
      </c>
      <c r="CE20" s="5">
        <f t="shared" si="10"/>
        <v>1</v>
      </c>
      <c r="CF20" s="5">
        <v>1</v>
      </c>
      <c r="CG20" s="6" t="s">
        <v>166</v>
      </c>
      <c r="CH20" s="5">
        <v>3</v>
      </c>
      <c r="CI20" s="5">
        <v>105</v>
      </c>
      <c r="CJ20" s="4">
        <v>0</v>
      </c>
      <c r="CK20" s="5">
        <v>0</v>
      </c>
      <c r="CL20" s="5">
        <v>0</v>
      </c>
      <c r="CM20" s="20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10">
        <v>0.8</v>
      </c>
      <c r="CW20" s="10">
        <v>0.6</v>
      </c>
      <c r="CX20" s="10">
        <v>1</v>
      </c>
      <c r="CY20" s="10">
        <v>1</v>
      </c>
      <c r="CZ20" s="8">
        <v>1</v>
      </c>
      <c r="DA20" s="6">
        <f t="shared" si="0"/>
        <v>25</v>
      </c>
      <c r="DB20" s="5">
        <v>0</v>
      </c>
      <c r="DC20" s="5">
        <f t="shared" si="11"/>
        <v>0.125</v>
      </c>
      <c r="DD20" s="6">
        <f t="shared" si="1"/>
        <v>0.125</v>
      </c>
      <c r="DE20" s="6">
        <v>0.25</v>
      </c>
      <c r="DF20" s="5">
        <v>0</v>
      </c>
      <c r="DG20" s="6">
        <f t="shared" si="12"/>
        <v>2.25</v>
      </c>
      <c r="DH20" s="5">
        <v>1.25</v>
      </c>
      <c r="DI20" s="8">
        <v>4</v>
      </c>
      <c r="DJ20" s="5">
        <f t="shared" si="2"/>
        <v>30</v>
      </c>
      <c r="DK20" s="8">
        <v>0</v>
      </c>
      <c r="DL20" s="5">
        <f t="shared" si="3"/>
        <v>0</v>
      </c>
      <c r="DM20" s="27" t="s">
        <v>607</v>
      </c>
      <c r="DN20" s="5">
        <v>6</v>
      </c>
      <c r="DO20" s="5">
        <v>0</v>
      </c>
      <c r="DP20" s="5">
        <v>0</v>
      </c>
      <c r="DQ20" s="5">
        <v>0</v>
      </c>
      <c r="DR20" s="5">
        <f t="shared" si="13"/>
        <v>1.35</v>
      </c>
      <c r="DS20" s="6">
        <v>1.5</v>
      </c>
      <c r="DT20" s="5">
        <v>-0.5</v>
      </c>
      <c r="DU20" s="5">
        <v>0.5</v>
      </c>
      <c r="DV20" s="6">
        <v>0.35</v>
      </c>
      <c r="DW20" s="5">
        <f t="shared" si="14"/>
        <v>0.33333333333333331</v>
      </c>
      <c r="DX20" s="5">
        <v>4</v>
      </c>
      <c r="DY20" s="5">
        <f t="shared" si="14"/>
        <v>0</v>
      </c>
      <c r="DZ20" s="5">
        <v>0</v>
      </c>
      <c r="EA20" s="5"/>
    </row>
    <row r="21" spans="1:131" x14ac:dyDescent="0.15">
      <c r="A21" s="5">
        <v>201019</v>
      </c>
      <c r="B21" s="6" t="s">
        <v>169</v>
      </c>
      <c r="C21" s="5"/>
      <c r="D21" s="5"/>
      <c r="E21" s="5"/>
      <c r="F21" s="5">
        <v>0</v>
      </c>
      <c r="G21" s="45"/>
      <c r="H21" s="5"/>
      <c r="I21" s="5"/>
      <c r="J21" s="5"/>
      <c r="K21" s="5"/>
      <c r="L21" s="10"/>
      <c r="M21" s="5"/>
      <c r="N21" s="10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20"/>
      <c r="AF21" s="5"/>
      <c r="AG21" s="5"/>
      <c r="AH21" s="5"/>
      <c r="AI21" s="5"/>
      <c r="AJ21" s="5"/>
      <c r="AK21" s="5"/>
      <c r="AL21" s="5"/>
      <c r="AM21" s="5"/>
      <c r="AN21" s="8"/>
      <c r="AO21" s="5">
        <v>0</v>
      </c>
      <c r="AP21" s="6" t="s">
        <v>169</v>
      </c>
      <c r="AQ21" s="5">
        <v>0</v>
      </c>
      <c r="AR21" s="8">
        <v>1.5</v>
      </c>
      <c r="AS21" s="6">
        <f t="shared" si="4"/>
        <v>4.5</v>
      </c>
      <c r="AT21" s="6">
        <f t="shared" si="5"/>
        <v>7.5</v>
      </c>
      <c r="AU21" s="5">
        <v>0</v>
      </c>
      <c r="AV21" s="5">
        <v>1</v>
      </c>
      <c r="AW21" s="6">
        <v>1</v>
      </c>
      <c r="AX21" s="6">
        <v>1</v>
      </c>
      <c r="AY21" s="6">
        <v>1</v>
      </c>
      <c r="AZ21" s="5">
        <v>12</v>
      </c>
      <c r="BA21" s="5">
        <v>203019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15</v>
      </c>
      <c r="BH21" s="5">
        <v>270</v>
      </c>
      <c r="BI21" s="5">
        <v>0</v>
      </c>
      <c r="BJ21" s="5">
        <f t="shared" si="15"/>
        <v>0</v>
      </c>
      <c r="BK21" s="5">
        <v>10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/>
      <c r="BR21" s="5"/>
      <c r="BS21" s="4">
        <v>4</v>
      </c>
      <c r="BT21" s="4">
        <v>1</v>
      </c>
      <c r="BU21" s="4">
        <v>0</v>
      </c>
      <c r="BV21" s="4">
        <f t="shared" si="6"/>
        <v>1</v>
      </c>
      <c r="BW21" s="4">
        <f t="shared" si="7"/>
        <v>1</v>
      </c>
      <c r="BX21" s="14">
        <f t="shared" si="8"/>
        <v>0.85</v>
      </c>
      <c r="BY21" s="14">
        <f t="shared" si="9"/>
        <v>0.55000000000000004</v>
      </c>
      <c r="BZ21" s="5" t="s">
        <v>170</v>
      </c>
      <c r="CA21" s="5" t="s">
        <v>171</v>
      </c>
      <c r="CB21" s="5" t="s">
        <v>171</v>
      </c>
      <c r="CC21" s="5">
        <v>0</v>
      </c>
      <c r="CD21" s="6">
        <v>2</v>
      </c>
      <c r="CE21" s="5">
        <f t="shared" si="10"/>
        <v>0</v>
      </c>
      <c r="CF21" s="5">
        <v>0</v>
      </c>
      <c r="CG21" s="6" t="s">
        <v>169</v>
      </c>
      <c r="CH21" s="5">
        <v>3</v>
      </c>
      <c r="CI21" s="5">
        <v>0</v>
      </c>
      <c r="CJ21" s="4">
        <v>0</v>
      </c>
      <c r="CK21" s="5">
        <v>0</v>
      </c>
      <c r="CL21" s="5">
        <v>0</v>
      </c>
      <c r="CM21" s="20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201018</v>
      </c>
      <c r="CT21" s="5">
        <v>0</v>
      </c>
      <c r="CU21" s="5">
        <v>0</v>
      </c>
      <c r="CV21" s="10">
        <v>0.8</v>
      </c>
      <c r="CW21" s="10">
        <v>0.6</v>
      </c>
      <c r="CX21" s="10">
        <v>1</v>
      </c>
      <c r="CY21" s="10">
        <v>1</v>
      </c>
      <c r="CZ21" s="8">
        <v>1</v>
      </c>
      <c r="DA21" s="6">
        <f t="shared" si="0"/>
        <v>25</v>
      </c>
      <c r="DB21" s="5">
        <v>0</v>
      </c>
      <c r="DC21" s="5">
        <f t="shared" si="11"/>
        <v>0.125</v>
      </c>
      <c r="DD21" s="6">
        <f t="shared" si="1"/>
        <v>0.125</v>
      </c>
      <c r="DE21" s="6">
        <v>0.25</v>
      </c>
      <c r="DF21" s="5">
        <v>0</v>
      </c>
      <c r="DG21" s="6">
        <f t="shared" si="12"/>
        <v>2.25</v>
      </c>
      <c r="DH21" s="5">
        <v>1.25</v>
      </c>
      <c r="DI21" s="8">
        <v>0</v>
      </c>
      <c r="DJ21" s="5">
        <f t="shared" si="2"/>
        <v>0</v>
      </c>
      <c r="DK21" s="8">
        <v>0</v>
      </c>
      <c r="DL21" s="5">
        <f t="shared" si="3"/>
        <v>0</v>
      </c>
      <c r="DM21" s="27" t="s">
        <v>608</v>
      </c>
      <c r="DN21" s="5">
        <v>0</v>
      </c>
      <c r="DO21" s="5">
        <v>0</v>
      </c>
      <c r="DP21" s="5">
        <v>0</v>
      </c>
      <c r="DQ21" s="5">
        <v>0</v>
      </c>
      <c r="DR21" s="5">
        <f t="shared" si="13"/>
        <v>1.35</v>
      </c>
      <c r="DS21" s="6">
        <v>1.5</v>
      </c>
      <c r="DT21" s="5">
        <v>-0.5</v>
      </c>
      <c r="DU21" s="5">
        <v>0.5</v>
      </c>
      <c r="DV21" s="6">
        <v>0.35</v>
      </c>
      <c r="DW21" s="5">
        <f t="shared" si="14"/>
        <v>0</v>
      </c>
      <c r="DX21" s="5">
        <v>0</v>
      </c>
      <c r="DY21" s="5">
        <f t="shared" si="14"/>
        <v>0</v>
      </c>
      <c r="DZ21" s="5">
        <v>0</v>
      </c>
      <c r="EA21" s="5"/>
    </row>
    <row r="22" spans="1:131" x14ac:dyDescent="0.15">
      <c r="A22" s="5">
        <v>201020</v>
      </c>
      <c r="B22" s="6" t="s">
        <v>172</v>
      </c>
      <c r="C22" s="5"/>
      <c r="D22" s="5"/>
      <c r="E22" s="5"/>
      <c r="F22" s="5">
        <v>0</v>
      </c>
      <c r="G22" s="45"/>
      <c r="H22" s="5"/>
      <c r="I22" s="5"/>
      <c r="J22" s="5"/>
      <c r="K22" s="5"/>
      <c r="L22" s="10"/>
      <c r="M22" s="5"/>
      <c r="N22" s="1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20"/>
      <c r="AF22" s="5"/>
      <c r="AG22" s="5"/>
      <c r="AH22" s="5"/>
      <c r="AI22" s="5"/>
      <c r="AJ22" s="5"/>
      <c r="AK22" s="5"/>
      <c r="AL22" s="5"/>
      <c r="AM22" s="5"/>
      <c r="AN22" s="8"/>
      <c r="AO22" s="5">
        <v>0</v>
      </c>
      <c r="AP22" s="6" t="s">
        <v>172</v>
      </c>
      <c r="AQ22" s="5">
        <v>0</v>
      </c>
      <c r="AR22" s="8">
        <v>3</v>
      </c>
      <c r="AS22" s="6">
        <f t="shared" si="4"/>
        <v>9</v>
      </c>
      <c r="AT22" s="6">
        <f t="shared" si="5"/>
        <v>12</v>
      </c>
      <c r="AU22" s="5">
        <v>0.2</v>
      </c>
      <c r="AV22" s="5">
        <v>1</v>
      </c>
      <c r="AW22" s="6">
        <v>0</v>
      </c>
      <c r="AX22" s="6">
        <v>0</v>
      </c>
      <c r="AY22" s="6">
        <v>0</v>
      </c>
      <c r="AZ22" s="5">
        <v>11</v>
      </c>
      <c r="BA22" s="5">
        <v>203020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f t="shared" si="15"/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/>
      <c r="BR22" s="5"/>
      <c r="BS22" s="4">
        <v>4</v>
      </c>
      <c r="BT22" s="4">
        <v>1</v>
      </c>
      <c r="BU22" s="4">
        <v>0</v>
      </c>
      <c r="BV22" s="4">
        <f t="shared" si="6"/>
        <v>1</v>
      </c>
      <c r="BW22" s="4">
        <f t="shared" si="7"/>
        <v>1</v>
      </c>
      <c r="BX22" s="14">
        <f t="shared" si="8"/>
        <v>0.85</v>
      </c>
      <c r="BY22" s="14">
        <f t="shared" si="9"/>
        <v>0.55000000000000004</v>
      </c>
      <c r="BZ22" s="5" t="s">
        <v>173</v>
      </c>
      <c r="CA22" s="5" t="s">
        <v>174</v>
      </c>
      <c r="CB22" s="5" t="s">
        <v>174</v>
      </c>
      <c r="CC22" s="5">
        <v>0</v>
      </c>
      <c r="CD22" s="5">
        <v>1</v>
      </c>
      <c r="CE22" s="5">
        <f t="shared" si="10"/>
        <v>0</v>
      </c>
      <c r="CF22" s="5">
        <v>0</v>
      </c>
      <c r="CG22" s="6" t="s">
        <v>172</v>
      </c>
      <c r="CH22" s="5">
        <v>3</v>
      </c>
      <c r="CI22" s="5">
        <v>0</v>
      </c>
      <c r="CJ22" s="4">
        <v>0</v>
      </c>
      <c r="CK22" s="5">
        <v>0</v>
      </c>
      <c r="CL22" s="5">
        <v>0</v>
      </c>
      <c r="CM22" s="20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10">
        <v>0.8</v>
      </c>
      <c r="CW22" s="10">
        <v>0.6</v>
      </c>
      <c r="CX22" s="10">
        <v>1</v>
      </c>
      <c r="CY22" s="10">
        <v>1</v>
      </c>
      <c r="CZ22" s="8">
        <v>1</v>
      </c>
      <c r="DA22" s="6">
        <f t="shared" si="0"/>
        <v>25</v>
      </c>
      <c r="DB22" s="5">
        <v>0</v>
      </c>
      <c r="DC22" s="5">
        <f t="shared" si="11"/>
        <v>6.5000000000000002E-2</v>
      </c>
      <c r="DD22" s="6">
        <f t="shared" si="1"/>
        <v>6.5000000000000002E-2</v>
      </c>
      <c r="DE22" s="6">
        <v>0.13</v>
      </c>
      <c r="DF22" s="5">
        <v>0</v>
      </c>
      <c r="DG22" s="6">
        <f t="shared" si="12"/>
        <v>2.25</v>
      </c>
      <c r="DH22" s="5">
        <v>1.25</v>
      </c>
      <c r="DI22" s="8">
        <v>0</v>
      </c>
      <c r="DJ22" s="5">
        <f t="shared" si="2"/>
        <v>0</v>
      </c>
      <c r="DK22" s="8">
        <v>0</v>
      </c>
      <c r="DL22" s="5">
        <f t="shared" si="3"/>
        <v>0</v>
      </c>
      <c r="DM22" s="27" t="s">
        <v>609</v>
      </c>
      <c r="DN22" s="5">
        <v>6</v>
      </c>
      <c r="DO22" s="5">
        <v>0</v>
      </c>
      <c r="DP22" s="5">
        <v>0</v>
      </c>
      <c r="DQ22" s="5">
        <v>0</v>
      </c>
      <c r="DR22" s="5">
        <f t="shared" si="13"/>
        <v>0.9</v>
      </c>
      <c r="DS22" s="6">
        <v>1</v>
      </c>
      <c r="DT22" s="5">
        <v>-0.5</v>
      </c>
      <c r="DU22" s="5">
        <v>0.5</v>
      </c>
      <c r="DV22" s="6">
        <v>0.35</v>
      </c>
      <c r="DW22" s="5">
        <f t="shared" si="14"/>
        <v>0.41666666666666669</v>
      </c>
      <c r="DX22" s="5">
        <v>5</v>
      </c>
      <c r="DY22" s="5">
        <f t="shared" si="14"/>
        <v>0</v>
      </c>
      <c r="DZ22" s="5">
        <v>0</v>
      </c>
      <c r="EA22" s="5"/>
    </row>
    <row r="23" spans="1:131" x14ac:dyDescent="0.15">
      <c r="A23" s="5">
        <v>201021</v>
      </c>
      <c r="B23" s="5" t="s">
        <v>175</v>
      </c>
      <c r="C23" s="5"/>
      <c r="D23" s="5"/>
      <c r="E23" s="5"/>
      <c r="F23" s="5">
        <v>0</v>
      </c>
      <c r="G23" s="45"/>
      <c r="H23" s="5"/>
      <c r="I23" s="5"/>
      <c r="J23" s="5"/>
      <c r="K23" s="5"/>
      <c r="L23" s="10"/>
      <c r="M23" s="5"/>
      <c r="N23" s="1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20"/>
      <c r="AF23" s="5"/>
      <c r="AG23" s="5"/>
      <c r="AH23" s="5"/>
      <c r="AI23" s="5"/>
      <c r="AJ23" s="5"/>
      <c r="AK23" s="5"/>
      <c r="AL23" s="5"/>
      <c r="AM23" s="5"/>
      <c r="AN23" s="8"/>
      <c r="AO23" s="5">
        <v>0</v>
      </c>
      <c r="AP23" s="5" t="s">
        <v>175</v>
      </c>
      <c r="AQ23" s="5">
        <v>0</v>
      </c>
      <c r="AR23" s="8">
        <v>2</v>
      </c>
      <c r="AS23" s="6">
        <f t="shared" si="4"/>
        <v>6</v>
      </c>
      <c r="AT23" s="6">
        <f t="shared" si="5"/>
        <v>9</v>
      </c>
      <c r="AU23" s="5">
        <v>0</v>
      </c>
      <c r="AV23" s="5">
        <v>1</v>
      </c>
      <c r="AW23" s="5">
        <v>1</v>
      </c>
      <c r="AX23" s="5">
        <v>1</v>
      </c>
      <c r="AY23" s="5">
        <v>1</v>
      </c>
      <c r="AZ23" s="5">
        <v>13</v>
      </c>
      <c r="BA23" s="5">
        <v>203021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f t="shared" si="15"/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/>
      <c r="BR23" s="5"/>
      <c r="BS23" s="4">
        <v>4</v>
      </c>
      <c r="BT23" s="4">
        <v>1</v>
      </c>
      <c r="BU23" s="4">
        <f>BU3</f>
        <v>0</v>
      </c>
      <c r="BV23" s="4">
        <f t="shared" si="6"/>
        <v>1</v>
      </c>
      <c r="BW23" s="4">
        <f t="shared" si="7"/>
        <v>1</v>
      </c>
      <c r="BX23" s="14">
        <f t="shared" si="8"/>
        <v>0.85</v>
      </c>
      <c r="BY23" s="14">
        <f t="shared" si="9"/>
        <v>0.55000000000000004</v>
      </c>
      <c r="BZ23" s="5" t="s">
        <v>176</v>
      </c>
      <c r="CA23" s="5" t="s">
        <v>177</v>
      </c>
      <c r="CB23" s="5" t="s">
        <v>177</v>
      </c>
      <c r="CC23" s="5">
        <v>0</v>
      </c>
      <c r="CD23" s="5">
        <v>1</v>
      </c>
      <c r="CE23" s="5">
        <f t="shared" si="10"/>
        <v>0</v>
      </c>
      <c r="CF23" s="5">
        <v>0</v>
      </c>
      <c r="CG23" s="5" t="s">
        <v>175</v>
      </c>
      <c r="CH23" s="5">
        <v>3</v>
      </c>
      <c r="CI23" s="5">
        <v>0</v>
      </c>
      <c r="CJ23" s="4">
        <v>0</v>
      </c>
      <c r="CK23" s="5">
        <v>0</v>
      </c>
      <c r="CL23" s="5">
        <v>0</v>
      </c>
      <c r="CM23" s="20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10">
        <v>0.8</v>
      </c>
      <c r="CW23" s="10">
        <v>0.6</v>
      </c>
      <c r="CX23" s="10">
        <v>1</v>
      </c>
      <c r="CY23" s="10">
        <v>1</v>
      </c>
      <c r="CZ23" s="8">
        <v>1</v>
      </c>
      <c r="DA23" s="6">
        <f t="shared" si="0"/>
        <v>25</v>
      </c>
      <c r="DB23" s="5">
        <v>0</v>
      </c>
      <c r="DC23" s="5">
        <f t="shared" si="11"/>
        <v>0.3</v>
      </c>
      <c r="DD23" s="6">
        <f t="shared" si="1"/>
        <v>0.3</v>
      </c>
      <c r="DE23" s="6">
        <v>0.6</v>
      </c>
      <c r="DF23" s="5">
        <v>1</v>
      </c>
      <c r="DG23" s="6">
        <f t="shared" si="12"/>
        <v>2.5</v>
      </c>
      <c r="DH23" s="5">
        <v>1.5</v>
      </c>
      <c r="DI23" s="8">
        <v>0</v>
      </c>
      <c r="DJ23" s="5">
        <f t="shared" si="2"/>
        <v>0</v>
      </c>
      <c r="DK23" s="8">
        <v>0</v>
      </c>
      <c r="DL23" s="5">
        <f t="shared" si="3"/>
        <v>0</v>
      </c>
      <c r="DM23" s="27" t="s">
        <v>610</v>
      </c>
      <c r="DN23" s="5">
        <v>8</v>
      </c>
      <c r="DO23" s="5">
        <v>0</v>
      </c>
      <c r="DP23" s="5">
        <v>0</v>
      </c>
      <c r="DQ23" s="5">
        <v>0</v>
      </c>
      <c r="DR23" s="5">
        <f t="shared" si="13"/>
        <v>0.9</v>
      </c>
      <c r="DS23" s="6">
        <v>1</v>
      </c>
      <c r="DT23" s="5">
        <v>-0.5</v>
      </c>
      <c r="DU23" s="5">
        <v>0.5</v>
      </c>
      <c r="DV23" s="6">
        <v>0.5</v>
      </c>
      <c r="DW23" s="5">
        <f t="shared" si="14"/>
        <v>0.5</v>
      </c>
      <c r="DX23" s="5">
        <v>6</v>
      </c>
      <c r="DY23" s="5">
        <f t="shared" si="14"/>
        <v>0</v>
      </c>
      <c r="DZ23" s="5">
        <v>0</v>
      </c>
      <c r="EA23" s="5"/>
    </row>
    <row r="24" spans="1:131" s="2" customFormat="1" x14ac:dyDescent="0.15">
      <c r="A24" s="5">
        <v>201022</v>
      </c>
      <c r="B24" s="5" t="s">
        <v>178</v>
      </c>
      <c r="C24" s="5"/>
      <c r="D24" s="5"/>
      <c r="E24" s="5"/>
      <c r="F24" s="5">
        <v>0</v>
      </c>
      <c r="G24" s="45"/>
      <c r="H24" s="5"/>
      <c r="I24" s="5"/>
      <c r="J24" s="5"/>
      <c r="K24" s="5"/>
      <c r="L24" s="10"/>
      <c r="M24" s="5"/>
      <c r="N24" s="1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20"/>
      <c r="AF24" s="5"/>
      <c r="AG24" s="5"/>
      <c r="AH24" s="5"/>
      <c r="AI24" s="5"/>
      <c r="AJ24" s="5"/>
      <c r="AK24" s="5"/>
      <c r="AL24" s="5"/>
      <c r="AM24" s="5"/>
      <c r="AN24" s="8"/>
      <c r="AO24" s="5">
        <v>0</v>
      </c>
      <c r="AP24" s="5" t="s">
        <v>178</v>
      </c>
      <c r="AQ24" s="5">
        <v>0</v>
      </c>
      <c r="AR24" s="8">
        <f>AR3</f>
        <v>3</v>
      </c>
      <c r="AS24" s="6">
        <f t="shared" si="4"/>
        <v>18</v>
      </c>
      <c r="AT24" s="6">
        <f t="shared" si="5"/>
        <v>24</v>
      </c>
      <c r="AU24" s="5">
        <f>AU5</f>
        <v>0</v>
      </c>
      <c r="AV24" s="5">
        <f>AV3</f>
        <v>1</v>
      </c>
      <c r="AW24" s="5">
        <f>AW3</f>
        <v>1</v>
      </c>
      <c r="AX24" s="5">
        <f>AX3</f>
        <v>1</v>
      </c>
      <c r="AY24" s="5">
        <f>AY3</f>
        <v>1</v>
      </c>
      <c r="AZ24" s="8">
        <f>AZ3+10</f>
        <v>23</v>
      </c>
      <c r="BA24" s="5">
        <f t="shared" ref="BA24:BA87" si="16">BA3</f>
        <v>203001</v>
      </c>
      <c r="BB24" s="5">
        <v>0</v>
      </c>
      <c r="BC24" s="5">
        <v>0</v>
      </c>
      <c r="BD24" s="5">
        <f>BD3</f>
        <v>0</v>
      </c>
      <c r="BE24" s="5">
        <f t="shared" ref="BE24:BP24" si="17">BE3</f>
        <v>0</v>
      </c>
      <c r="BF24" s="5">
        <f t="shared" si="17"/>
        <v>0</v>
      </c>
      <c r="BG24" s="5">
        <f t="shared" si="17"/>
        <v>0</v>
      </c>
      <c r="BH24" s="5">
        <f t="shared" ref="BH24:BH87" si="18">BH3</f>
        <v>0</v>
      </c>
      <c r="BI24" s="5">
        <f t="shared" si="17"/>
        <v>0</v>
      </c>
      <c r="BJ24" s="5">
        <f t="shared" si="15"/>
        <v>0</v>
      </c>
      <c r="BK24" s="5">
        <v>0</v>
      </c>
      <c r="BL24" s="5">
        <v>0</v>
      </c>
      <c r="BM24" s="5">
        <f t="shared" si="17"/>
        <v>0</v>
      </c>
      <c r="BN24" s="5">
        <f t="shared" si="17"/>
        <v>0</v>
      </c>
      <c r="BO24" s="5">
        <f t="shared" si="17"/>
        <v>0</v>
      </c>
      <c r="BP24" s="5">
        <f t="shared" si="17"/>
        <v>0</v>
      </c>
      <c r="BQ24" s="5"/>
      <c r="BR24" s="5"/>
      <c r="BS24" s="4">
        <v>1</v>
      </c>
      <c r="BT24" s="13">
        <v>2</v>
      </c>
      <c r="BU24" s="4">
        <f>BU3</f>
        <v>0</v>
      </c>
      <c r="BV24" s="4">
        <f t="shared" si="6"/>
        <v>2</v>
      </c>
      <c r="BW24" s="4">
        <f t="shared" si="7"/>
        <v>2</v>
      </c>
      <c r="BX24" s="14">
        <f t="shared" si="8"/>
        <v>0.78</v>
      </c>
      <c r="BY24" s="14">
        <f t="shared" si="9"/>
        <v>0.5</v>
      </c>
      <c r="BZ24" s="8" t="s">
        <v>179</v>
      </c>
      <c r="CA24" s="5" t="s">
        <v>180</v>
      </c>
      <c r="CB24" s="5" t="s">
        <v>180</v>
      </c>
      <c r="CC24" s="5">
        <v>0</v>
      </c>
      <c r="CD24" s="8">
        <f>CD3</f>
        <v>2</v>
      </c>
      <c r="CE24" s="5">
        <f t="shared" si="10"/>
        <v>0</v>
      </c>
      <c r="CF24" s="5">
        <f>CF3</f>
        <v>0</v>
      </c>
      <c r="CG24" s="5" t="s">
        <v>178</v>
      </c>
      <c r="CH24" s="5">
        <f>CH3</f>
        <v>3</v>
      </c>
      <c r="CI24" s="8">
        <v>111</v>
      </c>
      <c r="CJ24" s="13">
        <v>1</v>
      </c>
      <c r="CK24" s="8">
        <v>0</v>
      </c>
      <c r="CL24" s="8">
        <v>0</v>
      </c>
      <c r="CM24" s="20">
        <f>CM3</f>
        <v>0</v>
      </c>
      <c r="CN24" s="8">
        <f>CN3</f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5">
        <v>0</v>
      </c>
      <c r="CU24" s="5">
        <v>0</v>
      </c>
      <c r="CV24" s="8">
        <f>CV3</f>
        <v>1</v>
      </c>
      <c r="CW24" s="8">
        <f>CW3</f>
        <v>0.6</v>
      </c>
      <c r="CX24" s="8">
        <f>CX3</f>
        <v>1.25</v>
      </c>
      <c r="CY24" s="8">
        <f>CY3</f>
        <v>1.06</v>
      </c>
      <c r="CZ24" s="8">
        <f>CZ3</f>
        <v>1</v>
      </c>
      <c r="DA24" s="6">
        <f t="shared" si="0"/>
        <v>50</v>
      </c>
      <c r="DB24" s="5">
        <f>DB3</f>
        <v>0</v>
      </c>
      <c r="DC24" s="5">
        <f t="shared" si="11"/>
        <v>0.26250000000000001</v>
      </c>
      <c r="DD24" s="6">
        <f t="shared" si="1"/>
        <v>0.26250000000000001</v>
      </c>
      <c r="DE24" s="8">
        <f>DE3</f>
        <v>0.5</v>
      </c>
      <c r="DF24" s="8">
        <v>0</v>
      </c>
      <c r="DG24" s="8">
        <f>DG3</f>
        <v>2.25</v>
      </c>
      <c r="DH24" s="8">
        <v>1.25</v>
      </c>
      <c r="DI24" s="8">
        <f>DI3</f>
        <v>1.25</v>
      </c>
      <c r="DJ24" s="8">
        <f t="shared" si="2"/>
        <v>12.5</v>
      </c>
      <c r="DK24" s="8">
        <v>0</v>
      </c>
      <c r="DL24" s="5">
        <f t="shared" si="3"/>
        <v>0</v>
      </c>
      <c r="DM24" s="8" t="s">
        <v>178</v>
      </c>
      <c r="DN24" s="8">
        <f>DN3</f>
        <v>6</v>
      </c>
      <c r="DO24" s="8">
        <f>DO3</f>
        <v>0</v>
      </c>
      <c r="DP24" s="5">
        <f>DP3</f>
        <v>0</v>
      </c>
      <c r="DQ24" s="8">
        <f>DQ3</f>
        <v>0</v>
      </c>
      <c r="DR24" s="8">
        <f t="shared" si="13"/>
        <v>2.7</v>
      </c>
      <c r="DS24" s="8">
        <f>DS3</f>
        <v>3</v>
      </c>
      <c r="DT24" s="8">
        <f>DT3</f>
        <v>-0.3</v>
      </c>
      <c r="DU24" s="8">
        <f>DU3</f>
        <v>3</v>
      </c>
      <c r="DV24" s="8">
        <f>DV3</f>
        <v>0.35</v>
      </c>
      <c r="DW24" s="8">
        <f>DX24/12</f>
        <v>0.58333333333333337</v>
      </c>
      <c r="DX24" s="8">
        <f>DX3</f>
        <v>7</v>
      </c>
      <c r="DY24" s="8">
        <f>DZ24/12</f>
        <v>0</v>
      </c>
      <c r="DZ24" s="8">
        <f>DZ3</f>
        <v>0</v>
      </c>
      <c r="EA24" s="8"/>
    </row>
    <row r="25" spans="1:131" x14ac:dyDescent="0.15">
      <c r="A25" s="5">
        <v>201023</v>
      </c>
      <c r="B25" s="5" t="s">
        <v>181</v>
      </c>
      <c r="C25" s="5"/>
      <c r="D25" s="5"/>
      <c r="E25" s="5"/>
      <c r="F25" s="5">
        <v>0</v>
      </c>
      <c r="G25" s="45"/>
      <c r="H25" s="5"/>
      <c r="I25" s="5"/>
      <c r="J25" s="5"/>
      <c r="K25" s="5"/>
      <c r="L25" s="10"/>
      <c r="M25" s="5"/>
      <c r="N25" s="1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20"/>
      <c r="AF25" s="5"/>
      <c r="AG25" s="5"/>
      <c r="AH25" s="5"/>
      <c r="AI25" s="5"/>
      <c r="AJ25" s="5"/>
      <c r="AK25" s="5"/>
      <c r="AL25" s="5"/>
      <c r="AM25" s="5"/>
      <c r="AN25" s="8"/>
      <c r="AO25" s="5">
        <v>0</v>
      </c>
      <c r="AP25" s="5" t="s">
        <v>181</v>
      </c>
      <c r="AQ25" s="5">
        <v>0</v>
      </c>
      <c r="AR25" s="8">
        <f t="shared" ref="AR25:AR88" si="19">AR4</f>
        <v>3</v>
      </c>
      <c r="AS25" s="6">
        <f t="shared" si="4"/>
        <v>18</v>
      </c>
      <c r="AT25" s="6">
        <f t="shared" si="5"/>
        <v>24</v>
      </c>
      <c r="AU25" s="5">
        <f t="shared" ref="AU25:AU88" si="20">AU6</f>
        <v>0</v>
      </c>
      <c r="AV25" s="5">
        <f t="shared" ref="AV25:AV88" si="21">AV4</f>
        <v>1</v>
      </c>
      <c r="AW25" s="5">
        <f t="shared" ref="AW25:AY88" si="22">AW4</f>
        <v>0</v>
      </c>
      <c r="AX25" s="5">
        <f t="shared" ref="AX25" si="23">AX4</f>
        <v>0</v>
      </c>
      <c r="AY25" s="5">
        <f t="shared" si="22"/>
        <v>0</v>
      </c>
      <c r="AZ25" s="8">
        <f t="shared" ref="AZ25:AZ88" si="24">AZ4+10</f>
        <v>23</v>
      </c>
      <c r="BA25" s="5">
        <f t="shared" si="16"/>
        <v>203002</v>
      </c>
      <c r="BB25" s="5">
        <v>0</v>
      </c>
      <c r="BC25" s="5">
        <v>0</v>
      </c>
      <c r="BD25" s="5">
        <f t="shared" ref="BD25:BD88" si="25">BD4</f>
        <v>0</v>
      </c>
      <c r="BE25" s="5">
        <f t="shared" ref="BE25:BE88" si="26">BE4</f>
        <v>0</v>
      </c>
      <c r="BF25" s="5">
        <f t="shared" ref="BF25:BI88" si="27">BF4</f>
        <v>0</v>
      </c>
      <c r="BG25" s="5">
        <f t="shared" si="27"/>
        <v>0</v>
      </c>
      <c r="BH25" s="5">
        <f t="shared" si="18"/>
        <v>0</v>
      </c>
      <c r="BI25" s="5">
        <f t="shared" si="27"/>
        <v>0</v>
      </c>
      <c r="BJ25" s="5">
        <f t="shared" si="15"/>
        <v>0</v>
      </c>
      <c r="BK25" s="5">
        <v>0</v>
      </c>
      <c r="BL25" s="5">
        <v>0</v>
      </c>
      <c r="BM25" s="5">
        <f t="shared" ref="BM25:BP88" si="28">BM4</f>
        <v>0</v>
      </c>
      <c r="BN25" s="5">
        <f t="shared" si="28"/>
        <v>0</v>
      </c>
      <c r="BO25" s="5">
        <f t="shared" si="28"/>
        <v>0</v>
      </c>
      <c r="BP25" s="5">
        <f t="shared" si="28"/>
        <v>0</v>
      </c>
      <c r="BQ25" s="5"/>
      <c r="BR25" s="5"/>
      <c r="BS25" s="4">
        <v>1</v>
      </c>
      <c r="BT25" s="4">
        <v>2</v>
      </c>
      <c r="BU25" s="4">
        <f t="shared" ref="BU25:BU88" si="29">BU4</f>
        <v>0</v>
      </c>
      <c r="BV25" s="4">
        <f t="shared" si="6"/>
        <v>2</v>
      </c>
      <c r="BW25" s="4">
        <f t="shared" si="7"/>
        <v>2</v>
      </c>
      <c r="BX25" s="14">
        <f t="shared" si="8"/>
        <v>0.78</v>
      </c>
      <c r="BY25" s="14">
        <f t="shared" si="9"/>
        <v>0.5</v>
      </c>
      <c r="BZ25" s="5" t="s">
        <v>182</v>
      </c>
      <c r="CA25" s="5" t="s">
        <v>183</v>
      </c>
      <c r="CB25" s="5" t="s">
        <v>183</v>
      </c>
      <c r="CC25" s="5">
        <v>0</v>
      </c>
      <c r="CD25" s="8">
        <f t="shared" ref="CD25:CD88" si="30">CD4</f>
        <v>1</v>
      </c>
      <c r="CE25" s="5">
        <f t="shared" si="10"/>
        <v>0</v>
      </c>
      <c r="CF25" s="5">
        <f t="shared" ref="CF25:CF88" si="31">CF4</f>
        <v>0</v>
      </c>
      <c r="CG25" s="5" t="s">
        <v>181</v>
      </c>
      <c r="CH25" s="5">
        <f>CH3</f>
        <v>3</v>
      </c>
      <c r="CI25" s="5">
        <v>0</v>
      </c>
      <c r="CJ25" s="4">
        <v>1</v>
      </c>
      <c r="CK25" s="5">
        <v>903905</v>
      </c>
      <c r="CL25" s="5">
        <v>1</v>
      </c>
      <c r="CM25" s="20">
        <f t="shared" ref="CM25:CN88" si="32">CM4</f>
        <v>0</v>
      </c>
      <c r="CN25" s="8">
        <f t="shared" si="32"/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8">
        <f t="shared" ref="CV25:CY25" si="33">CV4</f>
        <v>0.8</v>
      </c>
      <c r="CW25" s="8">
        <f t="shared" si="33"/>
        <v>0.6</v>
      </c>
      <c r="CX25" s="8">
        <f t="shared" si="33"/>
        <v>1.34</v>
      </c>
      <c r="CY25" s="8">
        <f t="shared" si="33"/>
        <v>1.35</v>
      </c>
      <c r="CZ25" s="8">
        <f t="shared" ref="CZ25:CZ88" si="34">CZ4</f>
        <v>1</v>
      </c>
      <c r="DA25" s="6">
        <f t="shared" si="0"/>
        <v>50</v>
      </c>
      <c r="DB25" s="5">
        <f t="shared" ref="DB25:DB88" si="35">DB4</f>
        <v>0</v>
      </c>
      <c r="DC25" s="5">
        <f t="shared" si="11"/>
        <v>0.52500000000000002</v>
      </c>
      <c r="DD25" s="6">
        <f t="shared" si="1"/>
        <v>0.52500000000000002</v>
      </c>
      <c r="DE25" s="6">
        <f>DE4</f>
        <v>1</v>
      </c>
      <c r="DF25" s="5">
        <v>0</v>
      </c>
      <c r="DG25" s="8">
        <f t="shared" ref="DG25:DG88" si="36">DG4</f>
        <v>2.25</v>
      </c>
      <c r="DH25" s="5">
        <v>1.25</v>
      </c>
      <c r="DI25" s="8">
        <f t="shared" ref="DI25:DI88" si="37">DI4</f>
        <v>0</v>
      </c>
      <c r="DJ25" s="5">
        <f t="shared" si="2"/>
        <v>0</v>
      </c>
      <c r="DK25" s="8">
        <v>0</v>
      </c>
      <c r="DL25" s="5">
        <f t="shared" si="3"/>
        <v>0</v>
      </c>
      <c r="DM25" s="5" t="s">
        <v>181</v>
      </c>
      <c r="DN25" s="8">
        <f t="shared" ref="DN25:DP25" si="38">DN4</f>
        <v>8</v>
      </c>
      <c r="DO25" s="8">
        <f t="shared" si="38"/>
        <v>0</v>
      </c>
      <c r="DP25" s="5">
        <f t="shared" si="38"/>
        <v>0</v>
      </c>
      <c r="DQ25" s="8">
        <f t="shared" ref="DQ25:DQ56" si="39">DQ4</f>
        <v>0</v>
      </c>
      <c r="DR25" s="5">
        <f t="shared" si="13"/>
        <v>0.9</v>
      </c>
      <c r="DS25" s="8">
        <f t="shared" ref="DS25:DS88" si="40">DS4</f>
        <v>1</v>
      </c>
      <c r="DT25" s="8">
        <f t="shared" ref="DT25:DV88" si="41">DT4</f>
        <v>-0.5</v>
      </c>
      <c r="DU25" s="8">
        <f t="shared" si="41"/>
        <v>0.5</v>
      </c>
      <c r="DV25" s="8">
        <f t="shared" si="41"/>
        <v>0.35</v>
      </c>
      <c r="DW25" s="5">
        <f t="shared" ref="DW25:DW45" si="42">DX25/12</f>
        <v>0.58333333333333337</v>
      </c>
      <c r="DX25" s="8">
        <f t="shared" ref="DX25:DX88" si="43">DX4</f>
        <v>7</v>
      </c>
      <c r="DY25" s="8">
        <f t="shared" ref="DY25:DY88" si="44">DZ25/12</f>
        <v>0</v>
      </c>
      <c r="DZ25" s="8">
        <f t="shared" ref="DZ25:DZ88" si="45">DZ4</f>
        <v>0</v>
      </c>
      <c r="EA25" s="5"/>
    </row>
    <row r="26" spans="1:131" x14ac:dyDescent="0.15">
      <c r="A26" s="5">
        <v>201024</v>
      </c>
      <c r="B26" s="5" t="s">
        <v>184</v>
      </c>
      <c r="C26" s="5"/>
      <c r="D26" s="5"/>
      <c r="E26" s="5"/>
      <c r="F26" s="5">
        <v>0</v>
      </c>
      <c r="G26" s="45"/>
      <c r="H26" s="5"/>
      <c r="I26" s="5"/>
      <c r="J26" s="5"/>
      <c r="K26" s="5"/>
      <c r="L26" s="10"/>
      <c r="M26" s="5"/>
      <c r="N26" s="1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20"/>
      <c r="AF26" s="5"/>
      <c r="AG26" s="5"/>
      <c r="AH26" s="5"/>
      <c r="AI26" s="5"/>
      <c r="AJ26" s="5"/>
      <c r="AK26" s="5"/>
      <c r="AL26" s="5"/>
      <c r="AM26" s="5"/>
      <c r="AN26" s="8"/>
      <c r="AO26" s="5">
        <v>0</v>
      </c>
      <c r="AP26" s="5" t="s">
        <v>184</v>
      </c>
      <c r="AQ26" s="5">
        <v>0</v>
      </c>
      <c r="AR26" s="8">
        <f t="shared" si="19"/>
        <v>3</v>
      </c>
      <c r="AS26" s="6">
        <f t="shared" si="4"/>
        <v>18</v>
      </c>
      <c r="AT26" s="6">
        <f t="shared" si="5"/>
        <v>24</v>
      </c>
      <c r="AU26" s="5">
        <f t="shared" si="20"/>
        <v>0</v>
      </c>
      <c r="AV26" s="5">
        <f t="shared" si="21"/>
        <v>1</v>
      </c>
      <c r="AW26" s="5">
        <f t="shared" si="22"/>
        <v>1</v>
      </c>
      <c r="AX26" s="5">
        <f t="shared" ref="AX26" si="46">AX5</f>
        <v>1</v>
      </c>
      <c r="AY26" s="5">
        <f t="shared" si="22"/>
        <v>0</v>
      </c>
      <c r="AZ26" s="8">
        <f t="shared" si="24"/>
        <v>22</v>
      </c>
      <c r="BA26" s="5">
        <f t="shared" si="16"/>
        <v>203003</v>
      </c>
      <c r="BB26" s="5">
        <v>0</v>
      </c>
      <c r="BC26" s="5">
        <v>0</v>
      </c>
      <c r="BD26" s="5">
        <f t="shared" si="25"/>
        <v>1</v>
      </c>
      <c r="BE26" s="5">
        <f t="shared" si="26"/>
        <v>0</v>
      </c>
      <c r="BF26" s="5">
        <f t="shared" si="27"/>
        <v>0</v>
      </c>
      <c r="BG26" s="5">
        <f t="shared" si="27"/>
        <v>0</v>
      </c>
      <c r="BH26" s="5">
        <f t="shared" si="18"/>
        <v>0</v>
      </c>
      <c r="BI26" s="5">
        <f t="shared" si="27"/>
        <v>0</v>
      </c>
      <c r="BJ26" s="5">
        <f t="shared" si="15"/>
        <v>0</v>
      </c>
      <c r="BK26" s="5">
        <v>0</v>
      </c>
      <c r="BL26" s="5">
        <v>0</v>
      </c>
      <c r="BM26" s="5">
        <f t="shared" si="28"/>
        <v>0</v>
      </c>
      <c r="BN26" s="5">
        <f t="shared" si="28"/>
        <v>0</v>
      </c>
      <c r="BO26" s="5">
        <f t="shared" si="28"/>
        <v>0</v>
      </c>
      <c r="BP26" s="5">
        <f t="shared" si="28"/>
        <v>0</v>
      </c>
      <c r="BQ26" s="5"/>
      <c r="BR26" s="5"/>
      <c r="BS26" s="4">
        <v>1</v>
      </c>
      <c r="BT26" s="4">
        <v>2</v>
      </c>
      <c r="BU26" s="4">
        <f t="shared" si="29"/>
        <v>0</v>
      </c>
      <c r="BV26" s="4">
        <f t="shared" si="6"/>
        <v>2</v>
      </c>
      <c r="BW26" s="4">
        <f t="shared" si="7"/>
        <v>2</v>
      </c>
      <c r="BX26" s="14">
        <f t="shared" si="8"/>
        <v>0.78</v>
      </c>
      <c r="BY26" s="14">
        <f t="shared" si="9"/>
        <v>0.5</v>
      </c>
      <c r="BZ26" s="5" t="s">
        <v>185</v>
      </c>
      <c r="CA26" s="5" t="s">
        <v>186</v>
      </c>
      <c r="CB26" s="5" t="s">
        <v>186</v>
      </c>
      <c r="CC26" s="5">
        <v>0</v>
      </c>
      <c r="CD26" s="8">
        <f t="shared" si="30"/>
        <v>3</v>
      </c>
      <c r="CE26" s="5">
        <f t="shared" si="10"/>
        <v>2</v>
      </c>
      <c r="CF26" s="5">
        <f t="shared" si="31"/>
        <v>1</v>
      </c>
      <c r="CG26" s="5" t="s">
        <v>184</v>
      </c>
      <c r="CH26" s="5">
        <f t="shared" ref="CH26:CH88" si="47">CH5</f>
        <v>0</v>
      </c>
      <c r="CI26" s="5">
        <v>112</v>
      </c>
      <c r="CJ26" s="4">
        <v>1</v>
      </c>
      <c r="CK26" s="5">
        <v>903906</v>
      </c>
      <c r="CL26" s="5">
        <v>0</v>
      </c>
      <c r="CM26" s="20">
        <f t="shared" si="32"/>
        <v>0</v>
      </c>
      <c r="CN26" s="8">
        <f t="shared" si="32"/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8">
        <f t="shared" ref="CV26:CY26" si="48">CV5</f>
        <v>0.8</v>
      </c>
      <c r="CW26" s="8">
        <f t="shared" si="48"/>
        <v>0.6</v>
      </c>
      <c r="CX26" s="8">
        <f t="shared" si="48"/>
        <v>1</v>
      </c>
      <c r="CY26" s="8">
        <f t="shared" si="48"/>
        <v>1</v>
      </c>
      <c r="CZ26" s="8">
        <f t="shared" si="34"/>
        <v>1</v>
      </c>
      <c r="DA26" s="6">
        <f t="shared" si="0"/>
        <v>50</v>
      </c>
      <c r="DB26" s="5">
        <f t="shared" si="35"/>
        <v>0</v>
      </c>
      <c r="DC26" s="5">
        <f t="shared" si="11"/>
        <v>0.315</v>
      </c>
      <c r="DD26" s="6">
        <f t="shared" si="1"/>
        <v>0.315</v>
      </c>
      <c r="DE26" s="6">
        <f t="shared" ref="DE26:DE89" si="49">DE5</f>
        <v>0.6</v>
      </c>
      <c r="DF26" s="5">
        <v>0</v>
      </c>
      <c r="DG26" s="8">
        <f t="shared" si="36"/>
        <v>2</v>
      </c>
      <c r="DH26" s="5">
        <v>1</v>
      </c>
      <c r="DI26" s="8">
        <f t="shared" si="37"/>
        <v>2</v>
      </c>
      <c r="DJ26" s="5">
        <f t="shared" si="2"/>
        <v>20</v>
      </c>
      <c r="DK26" s="8">
        <v>0</v>
      </c>
      <c r="DL26" s="5">
        <f t="shared" si="3"/>
        <v>0</v>
      </c>
      <c r="DM26" s="5" t="s">
        <v>184</v>
      </c>
      <c r="DN26" s="8">
        <f t="shared" ref="DN26:DP26" si="50">DN5</f>
        <v>6</v>
      </c>
      <c r="DO26" s="8">
        <f t="shared" si="50"/>
        <v>0</v>
      </c>
      <c r="DP26" s="5">
        <f t="shared" si="50"/>
        <v>0</v>
      </c>
      <c r="DQ26" s="8">
        <f t="shared" si="39"/>
        <v>0</v>
      </c>
      <c r="DR26" s="5">
        <f t="shared" si="13"/>
        <v>0.9</v>
      </c>
      <c r="DS26" s="8">
        <f t="shared" si="40"/>
        <v>1</v>
      </c>
      <c r="DT26" s="8">
        <f t="shared" si="41"/>
        <v>-0.5</v>
      </c>
      <c r="DU26" s="8">
        <f t="shared" si="41"/>
        <v>0.5</v>
      </c>
      <c r="DV26" s="8">
        <f t="shared" si="41"/>
        <v>0.3</v>
      </c>
      <c r="DW26" s="5">
        <f t="shared" si="42"/>
        <v>0.5</v>
      </c>
      <c r="DX26" s="8">
        <f t="shared" si="43"/>
        <v>6</v>
      </c>
      <c r="DY26" s="8">
        <f t="shared" si="44"/>
        <v>0</v>
      </c>
      <c r="DZ26" s="8">
        <f t="shared" si="45"/>
        <v>0</v>
      </c>
      <c r="EA26" s="5"/>
    </row>
    <row r="27" spans="1:131" x14ac:dyDescent="0.15">
      <c r="A27" s="5">
        <v>201025</v>
      </c>
      <c r="B27" s="5" t="s">
        <v>187</v>
      </c>
      <c r="C27" s="5"/>
      <c r="D27" s="5"/>
      <c r="E27" s="5"/>
      <c r="F27" s="5">
        <v>0</v>
      </c>
      <c r="G27" s="45"/>
      <c r="H27" s="5"/>
      <c r="I27" s="5"/>
      <c r="J27" s="5"/>
      <c r="K27" s="5"/>
      <c r="L27" s="10"/>
      <c r="M27" s="5"/>
      <c r="N27" s="1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20"/>
      <c r="AF27" s="5"/>
      <c r="AG27" s="5"/>
      <c r="AH27" s="5"/>
      <c r="AI27" s="5"/>
      <c r="AJ27" s="5"/>
      <c r="AK27" s="5"/>
      <c r="AL27" s="5"/>
      <c r="AM27" s="5"/>
      <c r="AN27" s="8"/>
      <c r="AO27" s="5">
        <v>0</v>
      </c>
      <c r="AP27" s="5" t="s">
        <v>187</v>
      </c>
      <c r="AQ27" s="5">
        <v>0</v>
      </c>
      <c r="AR27" s="8">
        <f t="shared" si="19"/>
        <v>4</v>
      </c>
      <c r="AS27" s="6">
        <f t="shared" si="4"/>
        <v>24</v>
      </c>
      <c r="AT27" s="6">
        <f t="shared" si="5"/>
        <v>30</v>
      </c>
      <c r="AU27" s="5">
        <f t="shared" si="20"/>
        <v>0</v>
      </c>
      <c r="AV27" s="5">
        <f t="shared" si="21"/>
        <v>1</v>
      </c>
      <c r="AW27" s="5">
        <f t="shared" si="22"/>
        <v>1</v>
      </c>
      <c r="AX27" s="5">
        <f t="shared" ref="AX27" si="51">AX6</f>
        <v>1</v>
      </c>
      <c r="AY27" s="5">
        <f t="shared" si="22"/>
        <v>1</v>
      </c>
      <c r="AZ27" s="8">
        <f t="shared" si="24"/>
        <v>22</v>
      </c>
      <c r="BA27" s="5">
        <f t="shared" si="16"/>
        <v>203004</v>
      </c>
      <c r="BB27" s="5">
        <v>0</v>
      </c>
      <c r="BC27" s="5">
        <v>0</v>
      </c>
      <c r="BD27" s="5">
        <f t="shared" si="25"/>
        <v>0</v>
      </c>
      <c r="BE27" s="5">
        <f t="shared" si="26"/>
        <v>0</v>
      </c>
      <c r="BF27" s="5">
        <f t="shared" si="27"/>
        <v>0</v>
      </c>
      <c r="BG27" s="5">
        <f t="shared" si="27"/>
        <v>0</v>
      </c>
      <c r="BH27" s="5">
        <f t="shared" si="18"/>
        <v>0</v>
      </c>
      <c r="BI27" s="5">
        <f t="shared" si="27"/>
        <v>0</v>
      </c>
      <c r="BJ27" s="5">
        <f t="shared" si="15"/>
        <v>0</v>
      </c>
      <c r="BK27" s="5">
        <v>0</v>
      </c>
      <c r="BL27" s="5">
        <v>0</v>
      </c>
      <c r="BM27" s="5">
        <f t="shared" si="28"/>
        <v>0</v>
      </c>
      <c r="BN27" s="5">
        <f t="shared" si="28"/>
        <v>0</v>
      </c>
      <c r="BO27" s="5">
        <f t="shared" si="28"/>
        <v>0</v>
      </c>
      <c r="BP27" s="5">
        <f t="shared" si="28"/>
        <v>0</v>
      </c>
      <c r="BQ27" s="5"/>
      <c r="BR27" s="5"/>
      <c r="BS27" s="4">
        <v>1</v>
      </c>
      <c r="BT27" s="4">
        <v>2</v>
      </c>
      <c r="BU27" s="4">
        <f t="shared" si="29"/>
        <v>0</v>
      </c>
      <c r="BV27" s="4">
        <f t="shared" si="6"/>
        <v>2</v>
      </c>
      <c r="BW27" s="4">
        <f t="shared" si="7"/>
        <v>2</v>
      </c>
      <c r="BX27" s="14">
        <f t="shared" si="8"/>
        <v>0.78</v>
      </c>
      <c r="BY27" s="14">
        <f t="shared" si="9"/>
        <v>0.5</v>
      </c>
      <c r="BZ27" s="5" t="s">
        <v>188</v>
      </c>
      <c r="CA27" s="5" t="s">
        <v>189</v>
      </c>
      <c r="CB27" s="5" t="s">
        <v>189</v>
      </c>
      <c r="CC27" s="5">
        <v>0</v>
      </c>
      <c r="CD27" s="8">
        <f t="shared" si="30"/>
        <v>1</v>
      </c>
      <c r="CE27" s="5">
        <f t="shared" si="10"/>
        <v>0</v>
      </c>
      <c r="CF27" s="5">
        <f t="shared" si="31"/>
        <v>0</v>
      </c>
      <c r="CG27" s="5" t="s">
        <v>187</v>
      </c>
      <c r="CH27" s="5">
        <f t="shared" si="47"/>
        <v>3</v>
      </c>
      <c r="CI27" s="5">
        <v>0</v>
      </c>
      <c r="CJ27" s="4">
        <v>1</v>
      </c>
      <c r="CK27" s="5">
        <v>0</v>
      </c>
      <c r="CL27" s="5">
        <v>0</v>
      </c>
      <c r="CM27" s="20">
        <f t="shared" ref="CM27" si="52">CM6</f>
        <v>109</v>
      </c>
      <c r="CN27" s="8">
        <f t="shared" si="32"/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8">
        <f t="shared" ref="CV27:CY27" si="53">CV6</f>
        <v>0.8</v>
      </c>
      <c r="CW27" s="8">
        <f t="shared" si="53"/>
        <v>0.6</v>
      </c>
      <c r="CX27" s="8">
        <f t="shared" si="53"/>
        <v>1.25</v>
      </c>
      <c r="CY27" s="8">
        <f t="shared" si="53"/>
        <v>1</v>
      </c>
      <c r="CZ27" s="8">
        <f t="shared" si="34"/>
        <v>2</v>
      </c>
      <c r="DA27" s="6">
        <f t="shared" si="0"/>
        <v>100</v>
      </c>
      <c r="DB27" s="5">
        <f t="shared" si="35"/>
        <v>0</v>
      </c>
      <c r="DC27" s="5">
        <f t="shared" si="11"/>
        <v>0.21000000000000002</v>
      </c>
      <c r="DD27" s="6">
        <f t="shared" si="1"/>
        <v>0.21000000000000002</v>
      </c>
      <c r="DE27" s="6">
        <f t="shared" si="49"/>
        <v>0.4</v>
      </c>
      <c r="DF27" s="5">
        <v>0</v>
      </c>
      <c r="DG27" s="8">
        <f t="shared" si="36"/>
        <v>2</v>
      </c>
      <c r="DH27" s="5">
        <v>1</v>
      </c>
      <c r="DI27" s="8">
        <f t="shared" si="37"/>
        <v>0</v>
      </c>
      <c r="DJ27" s="5">
        <f t="shared" si="2"/>
        <v>0</v>
      </c>
      <c r="DK27" s="8">
        <v>0</v>
      </c>
      <c r="DL27" s="5">
        <f t="shared" si="3"/>
        <v>0</v>
      </c>
      <c r="DM27" s="5" t="s">
        <v>187</v>
      </c>
      <c r="DN27" s="8">
        <f t="shared" ref="DN27:DP27" si="54">DN6</f>
        <v>6</v>
      </c>
      <c r="DO27" s="8">
        <f t="shared" si="54"/>
        <v>0</v>
      </c>
      <c r="DP27" s="5">
        <f t="shared" si="54"/>
        <v>0</v>
      </c>
      <c r="DQ27" s="8">
        <f t="shared" si="39"/>
        <v>0</v>
      </c>
      <c r="DR27" s="5">
        <f t="shared" si="13"/>
        <v>0.9</v>
      </c>
      <c r="DS27" s="8">
        <f t="shared" si="40"/>
        <v>1</v>
      </c>
      <c r="DT27" s="8">
        <f t="shared" si="41"/>
        <v>-0.5</v>
      </c>
      <c r="DU27" s="8">
        <f t="shared" si="41"/>
        <v>0.5</v>
      </c>
      <c r="DV27" s="8">
        <f t="shared" si="41"/>
        <v>0.3</v>
      </c>
      <c r="DW27" s="5">
        <f t="shared" si="42"/>
        <v>0.5</v>
      </c>
      <c r="DX27" s="8">
        <f t="shared" si="43"/>
        <v>6</v>
      </c>
      <c r="DY27" s="8">
        <f t="shared" si="44"/>
        <v>0</v>
      </c>
      <c r="DZ27" s="8">
        <f t="shared" si="45"/>
        <v>0</v>
      </c>
      <c r="EA27" s="5"/>
    </row>
    <row r="28" spans="1:131" x14ac:dyDescent="0.15">
      <c r="A28" s="5">
        <v>201026</v>
      </c>
      <c r="B28" s="5" t="s">
        <v>190</v>
      </c>
      <c r="C28" s="5"/>
      <c r="D28" s="5"/>
      <c r="E28" s="5"/>
      <c r="F28" s="5">
        <v>0</v>
      </c>
      <c r="G28" s="45"/>
      <c r="H28" s="5"/>
      <c r="I28" s="5"/>
      <c r="J28" s="5"/>
      <c r="K28" s="5"/>
      <c r="L28" s="10"/>
      <c r="M28" s="5"/>
      <c r="N28" s="1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20"/>
      <c r="AF28" s="5"/>
      <c r="AG28" s="5"/>
      <c r="AH28" s="5"/>
      <c r="AI28" s="5"/>
      <c r="AJ28" s="5"/>
      <c r="AK28" s="5"/>
      <c r="AL28" s="5"/>
      <c r="AM28" s="5"/>
      <c r="AN28" s="8"/>
      <c r="AO28" s="5">
        <v>0</v>
      </c>
      <c r="AP28" s="5" t="s">
        <v>190</v>
      </c>
      <c r="AQ28" s="5">
        <v>0</v>
      </c>
      <c r="AR28" s="8">
        <f t="shared" si="19"/>
        <v>3</v>
      </c>
      <c r="AS28" s="6">
        <f t="shared" si="4"/>
        <v>18</v>
      </c>
      <c r="AT28" s="6">
        <f t="shared" si="5"/>
        <v>24</v>
      </c>
      <c r="AU28" s="5">
        <f t="shared" si="20"/>
        <v>0</v>
      </c>
      <c r="AV28" s="5">
        <f t="shared" si="21"/>
        <v>1</v>
      </c>
      <c r="AW28" s="5">
        <f t="shared" si="22"/>
        <v>1</v>
      </c>
      <c r="AX28" s="5">
        <f t="shared" ref="AX28" si="55">AX7</f>
        <v>1</v>
      </c>
      <c r="AY28" s="5">
        <f t="shared" si="22"/>
        <v>1</v>
      </c>
      <c r="AZ28" s="8">
        <f t="shared" si="24"/>
        <v>22</v>
      </c>
      <c r="BA28" s="5">
        <f t="shared" si="16"/>
        <v>203005</v>
      </c>
      <c r="BB28" s="5">
        <v>0</v>
      </c>
      <c r="BC28" s="5">
        <v>0</v>
      </c>
      <c r="BD28" s="5">
        <f t="shared" si="25"/>
        <v>0</v>
      </c>
      <c r="BE28" s="5">
        <f t="shared" si="26"/>
        <v>0</v>
      </c>
      <c r="BF28" s="5">
        <f t="shared" si="27"/>
        <v>0</v>
      </c>
      <c r="BG28" s="5">
        <f t="shared" si="27"/>
        <v>0</v>
      </c>
      <c r="BH28" s="5">
        <f t="shared" si="18"/>
        <v>0</v>
      </c>
      <c r="BI28" s="5">
        <f t="shared" si="27"/>
        <v>0</v>
      </c>
      <c r="BJ28" s="5">
        <f t="shared" si="15"/>
        <v>0</v>
      </c>
      <c r="BK28" s="5">
        <v>0</v>
      </c>
      <c r="BL28" s="5">
        <v>0</v>
      </c>
      <c r="BM28" s="5">
        <f t="shared" si="28"/>
        <v>0</v>
      </c>
      <c r="BN28" s="5">
        <f t="shared" si="28"/>
        <v>0</v>
      </c>
      <c r="BO28" s="5">
        <f t="shared" si="28"/>
        <v>0</v>
      </c>
      <c r="BP28" s="5">
        <f t="shared" si="28"/>
        <v>0</v>
      </c>
      <c r="BQ28" s="5"/>
      <c r="BR28" s="5"/>
      <c r="BS28" s="4">
        <v>1</v>
      </c>
      <c r="BT28" s="12">
        <v>2</v>
      </c>
      <c r="BU28" s="4">
        <f t="shared" si="29"/>
        <v>0</v>
      </c>
      <c r="BV28" s="4">
        <f t="shared" si="6"/>
        <v>2</v>
      </c>
      <c r="BW28" s="4">
        <f t="shared" si="7"/>
        <v>2</v>
      </c>
      <c r="BX28" s="14">
        <f t="shared" si="8"/>
        <v>0.78</v>
      </c>
      <c r="BY28" s="14">
        <f t="shared" si="9"/>
        <v>0.5</v>
      </c>
      <c r="BZ28" s="6" t="s">
        <v>191</v>
      </c>
      <c r="CA28" s="5" t="s">
        <v>192</v>
      </c>
      <c r="CB28" s="5" t="s">
        <v>192</v>
      </c>
      <c r="CC28" s="5">
        <v>0</v>
      </c>
      <c r="CD28" s="8">
        <f t="shared" si="30"/>
        <v>3</v>
      </c>
      <c r="CE28" s="5">
        <f t="shared" si="10"/>
        <v>0</v>
      </c>
      <c r="CF28" s="5">
        <f t="shared" si="31"/>
        <v>0</v>
      </c>
      <c r="CG28" s="5" t="s">
        <v>190</v>
      </c>
      <c r="CH28" s="5">
        <f t="shared" si="47"/>
        <v>0</v>
      </c>
      <c r="CI28" s="6">
        <v>103</v>
      </c>
      <c r="CJ28" s="12">
        <v>1</v>
      </c>
      <c r="CK28" s="6">
        <v>0</v>
      </c>
      <c r="CL28" s="6">
        <v>0</v>
      </c>
      <c r="CM28" s="34">
        <v>0</v>
      </c>
      <c r="CN28" s="8">
        <v>108</v>
      </c>
      <c r="CO28" s="5">
        <v>0</v>
      </c>
      <c r="CP28" s="5">
        <v>0</v>
      </c>
      <c r="CQ28" s="6">
        <v>201021</v>
      </c>
      <c r="CR28" s="6">
        <v>3</v>
      </c>
      <c r="CS28" s="5">
        <v>0</v>
      </c>
      <c r="CT28" s="5">
        <v>0</v>
      </c>
      <c r="CU28" s="5">
        <v>0</v>
      </c>
      <c r="CV28" s="8">
        <f t="shared" ref="CV28:CY28" si="56">CV7</f>
        <v>0.8</v>
      </c>
      <c r="CW28" s="8">
        <f t="shared" si="56"/>
        <v>0.6</v>
      </c>
      <c r="CX28" s="8">
        <f t="shared" si="56"/>
        <v>0.8</v>
      </c>
      <c r="CY28" s="8">
        <f t="shared" si="56"/>
        <v>0.8</v>
      </c>
      <c r="CZ28" s="8">
        <f t="shared" si="34"/>
        <v>1</v>
      </c>
      <c r="DA28" s="6">
        <f t="shared" si="0"/>
        <v>50</v>
      </c>
      <c r="DB28" s="5">
        <f t="shared" si="35"/>
        <v>0</v>
      </c>
      <c r="DC28" s="5">
        <f t="shared" si="11"/>
        <v>0.26250000000000001</v>
      </c>
      <c r="DD28" s="6">
        <f t="shared" si="1"/>
        <v>0.26250000000000001</v>
      </c>
      <c r="DE28" s="6">
        <f t="shared" si="49"/>
        <v>0.5</v>
      </c>
      <c r="DF28" s="5">
        <v>0</v>
      </c>
      <c r="DG28" s="8">
        <f t="shared" si="36"/>
        <v>2.5</v>
      </c>
      <c r="DH28" s="5">
        <v>1.5</v>
      </c>
      <c r="DI28" s="8">
        <f t="shared" si="37"/>
        <v>0.3</v>
      </c>
      <c r="DJ28" s="5">
        <f t="shared" si="2"/>
        <v>3</v>
      </c>
      <c r="DK28" s="8">
        <v>0</v>
      </c>
      <c r="DL28" s="5">
        <f t="shared" si="3"/>
        <v>0</v>
      </c>
      <c r="DM28" s="6" t="s">
        <v>190</v>
      </c>
      <c r="DN28" s="8">
        <f t="shared" ref="DN28:DP28" si="57">DN7</f>
        <v>10</v>
      </c>
      <c r="DO28" s="8">
        <f t="shared" si="57"/>
        <v>1</v>
      </c>
      <c r="DP28" s="5">
        <f t="shared" si="57"/>
        <v>0</v>
      </c>
      <c r="DQ28" s="8">
        <f t="shared" si="39"/>
        <v>0</v>
      </c>
      <c r="DR28" s="5">
        <f t="shared" si="13"/>
        <v>4.5</v>
      </c>
      <c r="DS28" s="8">
        <f t="shared" si="40"/>
        <v>5</v>
      </c>
      <c r="DT28" s="8">
        <f t="shared" si="41"/>
        <v>-5</v>
      </c>
      <c r="DU28" s="8">
        <f t="shared" si="41"/>
        <v>5</v>
      </c>
      <c r="DV28" s="8">
        <f t="shared" si="41"/>
        <v>0.5</v>
      </c>
      <c r="DW28" s="5">
        <f t="shared" si="42"/>
        <v>0.5</v>
      </c>
      <c r="DX28" s="8">
        <f t="shared" si="43"/>
        <v>6</v>
      </c>
      <c r="DY28" s="8">
        <f t="shared" si="44"/>
        <v>0</v>
      </c>
      <c r="DZ28" s="8">
        <f t="shared" si="45"/>
        <v>0</v>
      </c>
      <c r="EA28" s="5"/>
    </row>
    <row r="29" spans="1:131" ht="14.25" x14ac:dyDescent="0.15">
      <c r="A29" s="5">
        <v>201027</v>
      </c>
      <c r="B29" s="9" t="s">
        <v>193</v>
      </c>
      <c r="C29" s="9"/>
      <c r="D29" s="9"/>
      <c r="E29" s="9"/>
      <c r="F29" s="5">
        <v>0</v>
      </c>
      <c r="G29" s="45"/>
      <c r="H29" s="5"/>
      <c r="I29" s="5"/>
      <c r="J29" s="5"/>
      <c r="K29" s="5"/>
      <c r="L29" s="10"/>
      <c r="M29" s="5"/>
      <c r="N29" s="1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20"/>
      <c r="AF29" s="5"/>
      <c r="AG29" s="5"/>
      <c r="AH29" s="5"/>
      <c r="AI29" s="5"/>
      <c r="AJ29" s="5"/>
      <c r="AK29" s="5"/>
      <c r="AL29" s="5"/>
      <c r="AM29" s="5"/>
      <c r="AN29" s="8"/>
      <c r="AO29" s="5">
        <v>0</v>
      </c>
      <c r="AP29" s="9" t="s">
        <v>193</v>
      </c>
      <c r="AQ29" s="5">
        <v>0</v>
      </c>
      <c r="AR29" s="8">
        <f t="shared" si="19"/>
        <v>4</v>
      </c>
      <c r="AS29" s="6">
        <f t="shared" si="4"/>
        <v>24</v>
      </c>
      <c r="AT29" s="6">
        <f t="shared" si="5"/>
        <v>30</v>
      </c>
      <c r="AU29" s="5">
        <f t="shared" si="20"/>
        <v>0.8</v>
      </c>
      <c r="AV29" s="5">
        <f t="shared" si="21"/>
        <v>1</v>
      </c>
      <c r="AW29" s="5">
        <f t="shared" si="22"/>
        <v>1</v>
      </c>
      <c r="AX29" s="5">
        <f t="shared" ref="AX29" si="58">AX8</f>
        <v>1</v>
      </c>
      <c r="AY29" s="5">
        <f t="shared" si="22"/>
        <v>1</v>
      </c>
      <c r="AZ29" s="8">
        <f t="shared" si="24"/>
        <v>21</v>
      </c>
      <c r="BA29" s="5">
        <f t="shared" si="16"/>
        <v>203006</v>
      </c>
      <c r="BB29" s="5">
        <v>0</v>
      </c>
      <c r="BC29" s="5">
        <v>0</v>
      </c>
      <c r="BD29" s="5">
        <f t="shared" si="25"/>
        <v>0</v>
      </c>
      <c r="BE29" s="5">
        <f t="shared" si="26"/>
        <v>304001</v>
      </c>
      <c r="BF29" s="5">
        <f t="shared" si="27"/>
        <v>90</v>
      </c>
      <c r="BG29" s="5">
        <f t="shared" si="27"/>
        <v>30</v>
      </c>
      <c r="BH29" s="5">
        <f t="shared" si="18"/>
        <v>30</v>
      </c>
      <c r="BI29" s="5">
        <f t="shared" si="27"/>
        <v>1</v>
      </c>
      <c r="BJ29" s="5">
        <f t="shared" si="15"/>
        <v>2</v>
      </c>
      <c r="BK29" s="5">
        <v>2</v>
      </c>
      <c r="BL29" s="5">
        <f>BL8</f>
        <v>1</v>
      </c>
      <c r="BM29" s="5">
        <f t="shared" si="28"/>
        <v>30</v>
      </c>
      <c r="BN29" s="5">
        <f t="shared" si="28"/>
        <v>180</v>
      </c>
      <c r="BO29" s="5">
        <f t="shared" si="28"/>
        <v>108006</v>
      </c>
      <c r="BP29" s="5">
        <f t="shared" si="28"/>
        <v>3</v>
      </c>
      <c r="BQ29" s="5">
        <f>BQ8</f>
        <v>3</v>
      </c>
      <c r="BR29" s="5">
        <f>50*BT29*3-360/BM29*BJ29*BQ29</f>
        <v>228</v>
      </c>
      <c r="BS29" s="4">
        <v>2</v>
      </c>
      <c r="BT29" s="4">
        <v>2</v>
      </c>
      <c r="BU29" s="4">
        <f t="shared" si="29"/>
        <v>0</v>
      </c>
      <c r="BV29" s="4">
        <f t="shared" si="6"/>
        <v>2</v>
      </c>
      <c r="BW29" s="4">
        <f t="shared" si="7"/>
        <v>2</v>
      </c>
      <c r="BX29" s="14">
        <f t="shared" si="8"/>
        <v>0.78</v>
      </c>
      <c r="BY29" s="14">
        <f t="shared" si="9"/>
        <v>0.5</v>
      </c>
      <c r="BZ29" s="5" t="s">
        <v>194</v>
      </c>
      <c r="CA29" s="5" t="s">
        <v>195</v>
      </c>
      <c r="CB29" s="5" t="s">
        <v>195</v>
      </c>
      <c r="CC29" s="5">
        <v>0</v>
      </c>
      <c r="CD29" s="8">
        <f t="shared" si="30"/>
        <v>1</v>
      </c>
      <c r="CE29" s="5">
        <f t="shared" si="10"/>
        <v>2</v>
      </c>
      <c r="CF29" s="5">
        <f t="shared" si="31"/>
        <v>1</v>
      </c>
      <c r="CG29" s="9" t="s">
        <v>193</v>
      </c>
      <c r="CH29" s="5">
        <f t="shared" si="47"/>
        <v>3</v>
      </c>
      <c r="CI29" s="5">
        <v>0</v>
      </c>
      <c r="CJ29" s="4">
        <v>1</v>
      </c>
      <c r="CK29" s="5">
        <v>0</v>
      </c>
      <c r="CL29" s="5">
        <v>0</v>
      </c>
      <c r="CM29" s="20">
        <f t="shared" ref="CM29" si="59">CM8</f>
        <v>110</v>
      </c>
      <c r="CN29" s="8">
        <f t="shared" si="32"/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8">
        <f t="shared" ref="CV29:CY29" si="60">CV8</f>
        <v>0.8</v>
      </c>
      <c r="CW29" s="8">
        <f t="shared" si="60"/>
        <v>0.6</v>
      </c>
      <c r="CX29" s="8">
        <f t="shared" si="60"/>
        <v>1.25</v>
      </c>
      <c r="CY29" s="8">
        <f t="shared" si="60"/>
        <v>1</v>
      </c>
      <c r="CZ29" s="8">
        <f t="shared" si="34"/>
        <v>1</v>
      </c>
      <c r="DA29" s="6">
        <f t="shared" si="0"/>
        <v>50</v>
      </c>
      <c r="DB29" s="5">
        <f t="shared" si="35"/>
        <v>0</v>
      </c>
      <c r="DC29" s="5">
        <f t="shared" si="11"/>
        <v>0.47250000000000003</v>
      </c>
      <c r="DD29" s="6">
        <f t="shared" si="1"/>
        <v>0.47250000000000003</v>
      </c>
      <c r="DE29" s="6">
        <f t="shared" si="49"/>
        <v>0.9</v>
      </c>
      <c r="DF29" s="5">
        <v>0</v>
      </c>
      <c r="DG29" s="8">
        <f t="shared" si="36"/>
        <v>2.5</v>
      </c>
      <c r="DH29" s="5">
        <v>1.5</v>
      </c>
      <c r="DI29" s="8">
        <f t="shared" si="37"/>
        <v>0</v>
      </c>
      <c r="DJ29" s="5">
        <f t="shared" si="2"/>
        <v>0</v>
      </c>
      <c r="DK29" s="8">
        <v>0</v>
      </c>
      <c r="DL29" s="5">
        <f t="shared" si="3"/>
        <v>0</v>
      </c>
      <c r="DM29" s="9" t="s">
        <v>193</v>
      </c>
      <c r="DN29" s="8">
        <f t="shared" ref="DN29:DP29" si="61">DN8</f>
        <v>6</v>
      </c>
      <c r="DO29" s="8">
        <f t="shared" si="61"/>
        <v>0</v>
      </c>
      <c r="DP29" s="5">
        <f t="shared" si="61"/>
        <v>0</v>
      </c>
      <c r="DQ29" s="8">
        <f t="shared" si="39"/>
        <v>0</v>
      </c>
      <c r="DR29" s="5">
        <f t="shared" si="13"/>
        <v>0.9</v>
      </c>
      <c r="DS29" s="8">
        <f t="shared" si="40"/>
        <v>1</v>
      </c>
      <c r="DT29" s="8">
        <f t="shared" si="41"/>
        <v>-0.5</v>
      </c>
      <c r="DU29" s="8">
        <f t="shared" si="41"/>
        <v>0.5</v>
      </c>
      <c r="DV29" s="8">
        <f t="shared" si="41"/>
        <v>0.5</v>
      </c>
      <c r="DW29" s="5">
        <f t="shared" si="42"/>
        <v>0.41666666666666669</v>
      </c>
      <c r="DX29" s="8">
        <f t="shared" si="43"/>
        <v>5</v>
      </c>
      <c r="DY29" s="8">
        <f t="shared" si="44"/>
        <v>1.3333333333333333</v>
      </c>
      <c r="DZ29" s="8">
        <f t="shared" si="45"/>
        <v>16</v>
      </c>
      <c r="EA29" s="5"/>
    </row>
    <row r="30" spans="1:131" x14ac:dyDescent="0.15">
      <c r="A30" s="5">
        <v>201028</v>
      </c>
      <c r="B30" s="5" t="s">
        <v>196</v>
      </c>
      <c r="C30" s="5"/>
      <c r="D30" s="5"/>
      <c r="E30" s="5"/>
      <c r="F30" s="5">
        <v>0</v>
      </c>
      <c r="G30" s="45"/>
      <c r="H30" s="5"/>
      <c r="I30" s="5"/>
      <c r="J30" s="5"/>
      <c r="K30" s="5"/>
      <c r="L30" s="10"/>
      <c r="M30" s="5"/>
      <c r="N30" s="1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20"/>
      <c r="AF30" s="5"/>
      <c r="AG30" s="5"/>
      <c r="AH30" s="5"/>
      <c r="AI30" s="5"/>
      <c r="AJ30" s="5"/>
      <c r="AK30" s="5"/>
      <c r="AL30" s="5"/>
      <c r="AM30" s="5"/>
      <c r="AN30" s="8"/>
      <c r="AO30" s="5">
        <v>0</v>
      </c>
      <c r="AP30" s="5" t="s">
        <v>196</v>
      </c>
      <c r="AQ30" s="5">
        <v>0</v>
      </c>
      <c r="AR30" s="8">
        <f t="shared" si="19"/>
        <v>5</v>
      </c>
      <c r="AS30" s="6">
        <f t="shared" si="4"/>
        <v>30</v>
      </c>
      <c r="AT30" s="6">
        <f t="shared" si="5"/>
        <v>36</v>
      </c>
      <c r="AU30" s="5">
        <f t="shared" si="20"/>
        <v>0</v>
      </c>
      <c r="AV30" s="5">
        <f t="shared" si="21"/>
        <v>1</v>
      </c>
      <c r="AW30" s="5">
        <f t="shared" si="22"/>
        <v>1</v>
      </c>
      <c r="AX30" s="5">
        <f t="shared" ref="AX30" si="62">AX9</f>
        <v>1</v>
      </c>
      <c r="AY30" s="5">
        <f t="shared" si="22"/>
        <v>1</v>
      </c>
      <c r="AZ30" s="8">
        <f>AZ9+1</f>
        <v>10702</v>
      </c>
      <c r="BA30" s="5">
        <f t="shared" si="16"/>
        <v>203007</v>
      </c>
      <c r="BB30" s="5">
        <v>0</v>
      </c>
      <c r="BC30" s="5">
        <v>0</v>
      </c>
      <c r="BD30" s="5">
        <f t="shared" si="25"/>
        <v>0</v>
      </c>
      <c r="BE30" s="5">
        <f t="shared" si="26"/>
        <v>0</v>
      </c>
      <c r="BF30" s="5">
        <f t="shared" si="27"/>
        <v>0</v>
      </c>
      <c r="BG30" s="5">
        <f t="shared" si="27"/>
        <v>0</v>
      </c>
      <c r="BH30" s="5">
        <f t="shared" si="18"/>
        <v>0</v>
      </c>
      <c r="BI30" s="5">
        <f t="shared" si="27"/>
        <v>0</v>
      </c>
      <c r="BJ30" s="5">
        <f t="shared" si="15"/>
        <v>0</v>
      </c>
      <c r="BK30" s="5">
        <v>0</v>
      </c>
      <c r="BL30" s="5">
        <f t="shared" ref="BL30:BL93" si="63">BL9</f>
        <v>0</v>
      </c>
      <c r="BM30" s="5">
        <f t="shared" si="28"/>
        <v>0</v>
      </c>
      <c r="BN30" s="5">
        <f t="shared" si="28"/>
        <v>0</v>
      </c>
      <c r="BO30" s="5">
        <f t="shared" si="28"/>
        <v>0</v>
      </c>
      <c r="BP30" s="5">
        <f t="shared" si="28"/>
        <v>0</v>
      </c>
      <c r="BQ30" s="5">
        <f t="shared" ref="BQ30:BQ93" si="64">BQ9</f>
        <v>0</v>
      </c>
      <c r="BR30" s="5"/>
      <c r="BS30" s="4">
        <v>2</v>
      </c>
      <c r="BT30" s="4">
        <v>2</v>
      </c>
      <c r="BU30" s="4">
        <f t="shared" si="29"/>
        <v>0</v>
      </c>
      <c r="BV30" s="4">
        <f t="shared" si="6"/>
        <v>2</v>
      </c>
      <c r="BW30" s="4">
        <f t="shared" si="7"/>
        <v>2</v>
      </c>
      <c r="BX30" s="14">
        <f t="shared" si="8"/>
        <v>0.78</v>
      </c>
      <c r="BY30" s="14">
        <f t="shared" si="9"/>
        <v>0.5</v>
      </c>
      <c r="BZ30" s="5" t="s">
        <v>197</v>
      </c>
      <c r="CA30" s="5" t="s">
        <v>198</v>
      </c>
      <c r="CB30" s="5" t="s">
        <v>198</v>
      </c>
      <c r="CC30" s="5">
        <v>0</v>
      </c>
      <c r="CD30" s="8">
        <f t="shared" si="30"/>
        <v>4</v>
      </c>
      <c r="CE30" s="5">
        <f t="shared" si="10"/>
        <v>2</v>
      </c>
      <c r="CF30" s="5">
        <f t="shared" si="31"/>
        <v>1</v>
      </c>
      <c r="CG30" s="5" t="s">
        <v>196</v>
      </c>
      <c r="CH30" s="5">
        <f t="shared" si="47"/>
        <v>3</v>
      </c>
      <c r="CI30" s="5">
        <v>0</v>
      </c>
      <c r="CJ30" s="4">
        <v>1</v>
      </c>
      <c r="CK30" s="5">
        <v>903907</v>
      </c>
      <c r="CL30" s="5">
        <v>0</v>
      </c>
      <c r="CM30" s="20">
        <f t="shared" si="32"/>
        <v>0</v>
      </c>
      <c r="CN30" s="8">
        <f t="shared" si="32"/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8">
        <f t="shared" ref="CV30:CY30" si="65">CV9</f>
        <v>0.8</v>
      </c>
      <c r="CW30" s="8">
        <f t="shared" si="65"/>
        <v>0.6</v>
      </c>
      <c r="CX30" s="8">
        <f t="shared" si="65"/>
        <v>1</v>
      </c>
      <c r="CY30" s="8">
        <f t="shared" si="65"/>
        <v>1</v>
      </c>
      <c r="CZ30" s="8">
        <f t="shared" si="34"/>
        <v>1</v>
      </c>
      <c r="DA30" s="6">
        <f t="shared" si="0"/>
        <v>50</v>
      </c>
      <c r="DB30" s="5">
        <f t="shared" si="35"/>
        <v>0</v>
      </c>
      <c r="DC30" s="5">
        <f t="shared" si="11"/>
        <v>0.26250000000000001</v>
      </c>
      <c r="DD30" s="6">
        <f t="shared" si="1"/>
        <v>0.26250000000000001</v>
      </c>
      <c r="DE30" s="6">
        <f t="shared" si="49"/>
        <v>0.5</v>
      </c>
      <c r="DF30" s="5">
        <v>1</v>
      </c>
      <c r="DG30" s="8">
        <f t="shared" si="36"/>
        <v>2.25</v>
      </c>
      <c r="DH30" s="5">
        <v>1.25</v>
      </c>
      <c r="DI30" s="8">
        <f t="shared" si="37"/>
        <v>3</v>
      </c>
      <c r="DJ30" s="5">
        <f t="shared" si="2"/>
        <v>30</v>
      </c>
      <c r="DK30" s="8">
        <v>0</v>
      </c>
      <c r="DL30" s="5">
        <f t="shared" si="3"/>
        <v>0</v>
      </c>
      <c r="DM30" s="5" t="s">
        <v>196</v>
      </c>
      <c r="DN30" s="8">
        <f t="shared" ref="DN30:DP30" si="66">DN9</f>
        <v>6</v>
      </c>
      <c r="DO30" s="8">
        <f t="shared" si="66"/>
        <v>0</v>
      </c>
      <c r="DP30" s="5">
        <f t="shared" si="66"/>
        <v>1</v>
      </c>
      <c r="DQ30" s="8">
        <f t="shared" si="39"/>
        <v>0</v>
      </c>
      <c r="DR30" s="5">
        <f t="shared" si="13"/>
        <v>1.1700000000000002</v>
      </c>
      <c r="DS30" s="8">
        <f t="shared" si="40"/>
        <v>1.3</v>
      </c>
      <c r="DT30" s="8">
        <f t="shared" si="41"/>
        <v>-0.5</v>
      </c>
      <c r="DU30" s="8">
        <f t="shared" si="41"/>
        <v>0.5</v>
      </c>
      <c r="DV30" s="8">
        <f t="shared" si="41"/>
        <v>0.6</v>
      </c>
      <c r="DW30" s="5">
        <f t="shared" si="42"/>
        <v>0.5</v>
      </c>
      <c r="DX30" s="8">
        <f t="shared" si="43"/>
        <v>6</v>
      </c>
      <c r="DY30" s="8">
        <f t="shared" si="44"/>
        <v>0</v>
      </c>
      <c r="DZ30" s="8">
        <f t="shared" si="45"/>
        <v>0</v>
      </c>
      <c r="EA30" s="5"/>
    </row>
    <row r="31" spans="1:131" x14ac:dyDescent="0.15">
      <c r="A31" s="5">
        <v>201029</v>
      </c>
      <c r="B31" s="5" t="s">
        <v>199</v>
      </c>
      <c r="C31" s="5"/>
      <c r="D31" s="5"/>
      <c r="E31" s="5"/>
      <c r="F31" s="5">
        <v>0</v>
      </c>
      <c r="G31" s="45"/>
      <c r="H31" s="5"/>
      <c r="I31" s="5"/>
      <c r="J31" s="5"/>
      <c r="K31" s="5"/>
      <c r="L31" s="10"/>
      <c r="M31" s="5"/>
      <c r="N31" s="1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20"/>
      <c r="AF31" s="5"/>
      <c r="AG31" s="5"/>
      <c r="AH31" s="5"/>
      <c r="AI31" s="5"/>
      <c r="AJ31" s="5"/>
      <c r="AK31" s="5"/>
      <c r="AL31" s="5"/>
      <c r="AM31" s="5"/>
      <c r="AN31" s="8"/>
      <c r="AO31" s="5">
        <v>0</v>
      </c>
      <c r="AP31" s="5" t="s">
        <v>199</v>
      </c>
      <c r="AQ31" s="5">
        <v>0</v>
      </c>
      <c r="AR31" s="8">
        <f t="shared" si="19"/>
        <v>4</v>
      </c>
      <c r="AS31" s="6">
        <f t="shared" si="4"/>
        <v>24</v>
      </c>
      <c r="AT31" s="6">
        <f t="shared" si="5"/>
        <v>30</v>
      </c>
      <c r="AU31" s="5">
        <f t="shared" si="20"/>
        <v>0</v>
      </c>
      <c r="AV31" s="5">
        <f t="shared" si="21"/>
        <v>1</v>
      </c>
      <c r="AW31" s="5">
        <f t="shared" si="22"/>
        <v>0</v>
      </c>
      <c r="AX31" s="5">
        <f t="shared" ref="AX31" si="67">AX10</f>
        <v>0</v>
      </c>
      <c r="AY31" s="5">
        <f t="shared" si="22"/>
        <v>1</v>
      </c>
      <c r="AZ31" s="8">
        <f t="shared" si="24"/>
        <v>23</v>
      </c>
      <c r="BA31" s="5">
        <f t="shared" si="16"/>
        <v>203008</v>
      </c>
      <c r="BB31" s="5">
        <v>0</v>
      </c>
      <c r="BC31" s="5">
        <v>0</v>
      </c>
      <c r="BD31" s="5">
        <f t="shared" si="25"/>
        <v>0</v>
      </c>
      <c r="BE31" s="5">
        <f t="shared" si="26"/>
        <v>0</v>
      </c>
      <c r="BF31" s="5">
        <f t="shared" si="27"/>
        <v>0</v>
      </c>
      <c r="BG31" s="5">
        <f t="shared" si="27"/>
        <v>0</v>
      </c>
      <c r="BH31" s="5">
        <f t="shared" si="18"/>
        <v>0</v>
      </c>
      <c r="BI31" s="5">
        <f t="shared" si="27"/>
        <v>0</v>
      </c>
      <c r="BJ31" s="5">
        <f t="shared" si="15"/>
        <v>0</v>
      </c>
      <c r="BK31" s="5">
        <v>0</v>
      </c>
      <c r="BL31" s="5">
        <f t="shared" si="63"/>
        <v>0</v>
      </c>
      <c r="BM31" s="5">
        <f t="shared" si="28"/>
        <v>0</v>
      </c>
      <c r="BN31" s="5">
        <f t="shared" si="28"/>
        <v>0</v>
      </c>
      <c r="BO31" s="5">
        <f t="shared" si="28"/>
        <v>0</v>
      </c>
      <c r="BP31" s="5">
        <f t="shared" si="28"/>
        <v>0</v>
      </c>
      <c r="BQ31" s="5">
        <f t="shared" si="64"/>
        <v>0</v>
      </c>
      <c r="BR31" s="5"/>
      <c r="BS31" s="4">
        <v>2</v>
      </c>
      <c r="BT31" s="4">
        <v>2</v>
      </c>
      <c r="BU31" s="4">
        <f t="shared" si="29"/>
        <v>1</v>
      </c>
      <c r="BV31" s="4">
        <f t="shared" si="6"/>
        <v>2</v>
      </c>
      <c r="BW31" s="4">
        <f t="shared" si="7"/>
        <v>2</v>
      </c>
      <c r="BX31" s="14">
        <f t="shared" si="8"/>
        <v>0.78</v>
      </c>
      <c r="BY31" s="14">
        <f t="shared" si="9"/>
        <v>0.5</v>
      </c>
      <c r="BZ31" s="5" t="s">
        <v>200</v>
      </c>
      <c r="CA31" s="5" t="s">
        <v>201</v>
      </c>
      <c r="CB31" s="5" t="s">
        <v>201</v>
      </c>
      <c r="CC31" s="5">
        <v>0</v>
      </c>
      <c r="CD31" s="8">
        <f t="shared" si="30"/>
        <v>1</v>
      </c>
      <c r="CE31" s="5">
        <f t="shared" si="10"/>
        <v>0</v>
      </c>
      <c r="CF31" s="5">
        <f t="shared" si="31"/>
        <v>0</v>
      </c>
      <c r="CG31" s="5" t="s">
        <v>199</v>
      </c>
      <c r="CH31" s="5">
        <f t="shared" si="47"/>
        <v>3</v>
      </c>
      <c r="CI31" s="5">
        <v>0</v>
      </c>
      <c r="CJ31" s="4">
        <v>1</v>
      </c>
      <c r="CK31" s="5">
        <v>0</v>
      </c>
      <c r="CL31" s="5">
        <v>0</v>
      </c>
      <c r="CM31" s="20">
        <f t="shared" si="32"/>
        <v>112</v>
      </c>
      <c r="CN31" s="8">
        <f t="shared" si="32"/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8">
        <f t="shared" ref="CV31:CY31" si="68">CV10</f>
        <v>0.8</v>
      </c>
      <c r="CW31" s="8">
        <f t="shared" si="68"/>
        <v>0.6</v>
      </c>
      <c r="CX31" s="8">
        <f t="shared" si="68"/>
        <v>1</v>
      </c>
      <c r="CY31" s="8">
        <f t="shared" si="68"/>
        <v>1</v>
      </c>
      <c r="CZ31" s="8">
        <f t="shared" si="34"/>
        <v>0.4</v>
      </c>
      <c r="DA31" s="6">
        <f t="shared" si="0"/>
        <v>20</v>
      </c>
      <c r="DB31" s="5">
        <f t="shared" si="35"/>
        <v>0</v>
      </c>
      <c r="DC31" s="5">
        <f t="shared" si="11"/>
        <v>0.63</v>
      </c>
      <c r="DD31" s="6">
        <f t="shared" si="1"/>
        <v>0.63</v>
      </c>
      <c r="DE31" s="6">
        <f t="shared" si="49"/>
        <v>1.2</v>
      </c>
      <c r="DF31" s="5">
        <v>0</v>
      </c>
      <c r="DG31" s="8">
        <f t="shared" si="36"/>
        <v>2.25</v>
      </c>
      <c r="DH31" s="5">
        <v>1.25</v>
      </c>
      <c r="DI31" s="8">
        <f t="shared" si="37"/>
        <v>0</v>
      </c>
      <c r="DJ31" s="5">
        <f t="shared" si="2"/>
        <v>0</v>
      </c>
      <c r="DK31" s="8">
        <v>0</v>
      </c>
      <c r="DL31" s="5">
        <f t="shared" si="3"/>
        <v>0</v>
      </c>
      <c r="DM31" s="5" t="s">
        <v>199</v>
      </c>
      <c r="DN31" s="8">
        <f t="shared" ref="DN31:DP31" si="69">DN10</f>
        <v>6</v>
      </c>
      <c r="DO31" s="8">
        <f t="shared" si="69"/>
        <v>0</v>
      </c>
      <c r="DP31" s="5">
        <f t="shared" si="69"/>
        <v>0</v>
      </c>
      <c r="DQ31" s="8">
        <f t="shared" si="39"/>
        <v>0</v>
      </c>
      <c r="DR31" s="5">
        <f t="shared" si="13"/>
        <v>0.9</v>
      </c>
      <c r="DS31" s="8">
        <f t="shared" si="40"/>
        <v>1</v>
      </c>
      <c r="DT31" s="8">
        <f t="shared" si="41"/>
        <v>-0.5</v>
      </c>
      <c r="DU31" s="8">
        <f t="shared" si="41"/>
        <v>0.5</v>
      </c>
      <c r="DV31" s="8">
        <f t="shared" si="41"/>
        <v>0.75</v>
      </c>
      <c r="DW31" s="5">
        <f t="shared" si="42"/>
        <v>0.5</v>
      </c>
      <c r="DX31" s="8">
        <f t="shared" si="43"/>
        <v>6</v>
      </c>
      <c r="DY31" s="8">
        <f t="shared" si="44"/>
        <v>0</v>
      </c>
      <c r="DZ31" s="8">
        <f t="shared" si="45"/>
        <v>0</v>
      </c>
      <c r="EA31" s="5"/>
    </row>
    <row r="32" spans="1:131" x14ac:dyDescent="0.15">
      <c r="A32" s="5">
        <v>201030</v>
      </c>
      <c r="B32" s="5" t="s">
        <v>202</v>
      </c>
      <c r="C32" s="5"/>
      <c r="D32" s="5"/>
      <c r="E32" s="5"/>
      <c r="F32" s="5">
        <v>0</v>
      </c>
      <c r="G32" s="45"/>
      <c r="H32" s="5"/>
      <c r="I32" s="5"/>
      <c r="J32" s="5"/>
      <c r="K32" s="5"/>
      <c r="L32" s="10"/>
      <c r="M32" s="5"/>
      <c r="N32" s="1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20"/>
      <c r="AF32" s="5"/>
      <c r="AG32" s="5"/>
      <c r="AH32" s="5"/>
      <c r="AI32" s="5"/>
      <c r="AJ32" s="5"/>
      <c r="AK32" s="5"/>
      <c r="AL32" s="5"/>
      <c r="AM32" s="5"/>
      <c r="AN32" s="8"/>
      <c r="AO32" s="5">
        <v>0</v>
      </c>
      <c r="AP32" s="5" t="s">
        <v>202</v>
      </c>
      <c r="AQ32" s="5">
        <v>0</v>
      </c>
      <c r="AR32" s="8">
        <f t="shared" si="19"/>
        <v>0.65</v>
      </c>
      <c r="AS32" s="6">
        <f t="shared" si="4"/>
        <v>3.9000000000000004</v>
      </c>
      <c r="AT32" s="6">
        <f t="shared" si="5"/>
        <v>9.8999999999999986</v>
      </c>
      <c r="AU32" s="5">
        <f t="shared" si="20"/>
        <v>0</v>
      </c>
      <c r="AV32" s="5">
        <f t="shared" si="21"/>
        <v>1</v>
      </c>
      <c r="AW32" s="5">
        <f t="shared" si="22"/>
        <v>0</v>
      </c>
      <c r="AX32" s="5">
        <f t="shared" ref="AX32" si="70">AX11</f>
        <v>0</v>
      </c>
      <c r="AY32" s="5">
        <f t="shared" si="22"/>
        <v>1</v>
      </c>
      <c r="AZ32" s="8">
        <f t="shared" si="24"/>
        <v>23</v>
      </c>
      <c r="BA32" s="5">
        <f t="shared" si="16"/>
        <v>203009</v>
      </c>
      <c r="BB32" s="5">
        <v>0</v>
      </c>
      <c r="BC32" s="5">
        <v>0</v>
      </c>
      <c r="BD32" s="5">
        <f t="shared" si="25"/>
        <v>0</v>
      </c>
      <c r="BE32" s="5">
        <f t="shared" si="26"/>
        <v>0</v>
      </c>
      <c r="BF32" s="5">
        <f t="shared" si="27"/>
        <v>0</v>
      </c>
      <c r="BG32" s="5">
        <f t="shared" si="27"/>
        <v>0</v>
      </c>
      <c r="BH32" s="5">
        <f t="shared" si="18"/>
        <v>0</v>
      </c>
      <c r="BI32" s="5">
        <f t="shared" si="27"/>
        <v>0</v>
      </c>
      <c r="BJ32" s="5">
        <f t="shared" si="15"/>
        <v>0</v>
      </c>
      <c r="BK32" s="5">
        <v>0</v>
      </c>
      <c r="BL32" s="5">
        <f t="shared" si="63"/>
        <v>0</v>
      </c>
      <c r="BM32" s="5">
        <f t="shared" si="28"/>
        <v>0</v>
      </c>
      <c r="BN32" s="5">
        <f t="shared" si="28"/>
        <v>0</v>
      </c>
      <c r="BO32" s="5">
        <f t="shared" si="28"/>
        <v>0</v>
      </c>
      <c r="BP32" s="5">
        <f t="shared" si="28"/>
        <v>0</v>
      </c>
      <c r="BQ32" s="5">
        <f t="shared" si="64"/>
        <v>0</v>
      </c>
      <c r="BR32" s="5"/>
      <c r="BS32" s="4">
        <v>2</v>
      </c>
      <c r="BT32" s="4">
        <v>2</v>
      </c>
      <c r="BU32" s="4">
        <f t="shared" si="29"/>
        <v>0</v>
      </c>
      <c r="BV32" s="4">
        <f t="shared" si="6"/>
        <v>2</v>
      </c>
      <c r="BW32" s="4">
        <f t="shared" si="7"/>
        <v>2</v>
      </c>
      <c r="BX32" s="14">
        <f t="shared" si="8"/>
        <v>0.78</v>
      </c>
      <c r="BY32" s="14">
        <f t="shared" si="9"/>
        <v>0.5</v>
      </c>
      <c r="BZ32" s="5" t="s">
        <v>203</v>
      </c>
      <c r="CA32" s="5" t="s">
        <v>204</v>
      </c>
      <c r="CB32" s="5" t="s">
        <v>204</v>
      </c>
      <c r="CC32" s="5">
        <v>0</v>
      </c>
      <c r="CD32" s="8">
        <f t="shared" si="30"/>
        <v>1</v>
      </c>
      <c r="CE32" s="5">
        <f t="shared" si="10"/>
        <v>0</v>
      </c>
      <c r="CF32" s="5">
        <f t="shared" si="31"/>
        <v>0</v>
      </c>
      <c r="CG32" s="5" t="s">
        <v>202</v>
      </c>
      <c r="CH32" s="5">
        <f t="shared" si="47"/>
        <v>3</v>
      </c>
      <c r="CI32" s="5">
        <v>0</v>
      </c>
      <c r="CJ32" s="4">
        <v>1</v>
      </c>
      <c r="CK32" s="5">
        <v>0</v>
      </c>
      <c r="CL32" s="5">
        <v>0</v>
      </c>
      <c r="CM32" s="20">
        <f t="shared" si="32"/>
        <v>0</v>
      </c>
      <c r="CN32" s="8">
        <f t="shared" si="32"/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8">
        <f t="shared" ref="CV32:CY32" si="71">CV11</f>
        <v>0.1</v>
      </c>
      <c r="CW32" s="8">
        <f t="shared" si="71"/>
        <v>0.6</v>
      </c>
      <c r="CX32" s="8">
        <f t="shared" si="71"/>
        <v>1</v>
      </c>
      <c r="CY32" s="8">
        <f t="shared" si="71"/>
        <v>1</v>
      </c>
      <c r="CZ32" s="8">
        <f t="shared" si="34"/>
        <v>0.3</v>
      </c>
      <c r="DA32" s="6">
        <f t="shared" si="0"/>
        <v>15</v>
      </c>
      <c r="DB32" s="5">
        <f t="shared" si="35"/>
        <v>1</v>
      </c>
      <c r="DC32" s="5">
        <f t="shared" si="11"/>
        <v>0.42000000000000004</v>
      </c>
      <c r="DD32" s="6">
        <f t="shared" si="1"/>
        <v>0.42000000000000004</v>
      </c>
      <c r="DE32" s="6">
        <f t="shared" si="49"/>
        <v>0.8</v>
      </c>
      <c r="DF32" s="5">
        <v>0</v>
      </c>
      <c r="DG32" s="8">
        <f t="shared" si="36"/>
        <v>3</v>
      </c>
      <c r="DH32" s="5">
        <v>1.5</v>
      </c>
      <c r="DI32" s="8">
        <f t="shared" si="37"/>
        <v>0</v>
      </c>
      <c r="DJ32" s="5">
        <f t="shared" si="2"/>
        <v>0</v>
      </c>
      <c r="DK32" s="8">
        <v>0</v>
      </c>
      <c r="DL32" s="5">
        <f t="shared" si="3"/>
        <v>0</v>
      </c>
      <c r="DM32" s="5" t="s">
        <v>202</v>
      </c>
      <c r="DN32" s="8">
        <f t="shared" ref="DN32:DP32" si="72">DN11</f>
        <v>6</v>
      </c>
      <c r="DO32" s="8">
        <f t="shared" si="72"/>
        <v>0</v>
      </c>
      <c r="DP32" s="5">
        <f t="shared" si="72"/>
        <v>0</v>
      </c>
      <c r="DQ32" s="8">
        <f t="shared" si="39"/>
        <v>0</v>
      </c>
      <c r="DR32" s="5">
        <f t="shared" si="13"/>
        <v>1.8</v>
      </c>
      <c r="DS32" s="8">
        <f t="shared" si="40"/>
        <v>2</v>
      </c>
      <c r="DT32" s="8">
        <f t="shared" si="41"/>
        <v>-2</v>
      </c>
      <c r="DU32" s="8">
        <f t="shared" si="41"/>
        <v>2</v>
      </c>
      <c r="DV32" s="8">
        <f t="shared" si="41"/>
        <v>0.1</v>
      </c>
      <c r="DW32" s="5">
        <f t="shared" si="42"/>
        <v>8.3333333333333329E-2</v>
      </c>
      <c r="DX32" s="8">
        <f t="shared" si="43"/>
        <v>1</v>
      </c>
      <c r="DY32" s="8">
        <f t="shared" si="44"/>
        <v>0</v>
      </c>
      <c r="DZ32" s="8">
        <f t="shared" si="45"/>
        <v>0</v>
      </c>
      <c r="EA32" s="5"/>
    </row>
    <row r="33" spans="1:131" x14ac:dyDescent="0.15">
      <c r="A33" s="5">
        <v>201031</v>
      </c>
      <c r="B33" s="5" t="s">
        <v>205</v>
      </c>
      <c r="C33" s="5"/>
      <c r="D33" s="5"/>
      <c r="E33" s="5"/>
      <c r="F33" s="5">
        <v>0</v>
      </c>
      <c r="G33" s="45"/>
      <c r="H33" s="5"/>
      <c r="I33" s="5"/>
      <c r="J33" s="5"/>
      <c r="K33" s="5"/>
      <c r="L33" s="10"/>
      <c r="M33" s="5"/>
      <c r="N33" s="1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20"/>
      <c r="AF33" s="5"/>
      <c r="AG33" s="5"/>
      <c r="AH33" s="5"/>
      <c r="AI33" s="5"/>
      <c r="AJ33" s="5"/>
      <c r="AK33" s="5"/>
      <c r="AL33" s="5"/>
      <c r="AM33" s="5"/>
      <c r="AN33" s="8"/>
      <c r="AO33" s="5">
        <v>0</v>
      </c>
      <c r="AP33" s="5" t="s">
        <v>205</v>
      </c>
      <c r="AQ33" s="5">
        <v>0</v>
      </c>
      <c r="AR33" s="8">
        <f t="shared" si="19"/>
        <v>1</v>
      </c>
      <c r="AS33" s="6">
        <f t="shared" si="4"/>
        <v>6</v>
      </c>
      <c r="AT33" s="6">
        <f t="shared" si="5"/>
        <v>12</v>
      </c>
      <c r="AU33" s="5">
        <f t="shared" si="20"/>
        <v>0</v>
      </c>
      <c r="AV33" s="5">
        <f t="shared" si="21"/>
        <v>1</v>
      </c>
      <c r="AW33" s="5">
        <f t="shared" si="22"/>
        <v>1</v>
      </c>
      <c r="AX33" s="5">
        <f t="shared" ref="AX33" si="73">AX12</f>
        <v>1</v>
      </c>
      <c r="AY33" s="5">
        <f t="shared" si="22"/>
        <v>1</v>
      </c>
      <c r="AZ33" s="8">
        <v>201031</v>
      </c>
      <c r="BA33" s="5">
        <f t="shared" si="16"/>
        <v>203010</v>
      </c>
      <c r="BB33" s="5">
        <v>0</v>
      </c>
      <c r="BC33" s="5">
        <v>0</v>
      </c>
      <c r="BD33" s="5">
        <f t="shared" si="25"/>
        <v>0</v>
      </c>
      <c r="BE33" s="5">
        <f t="shared" si="26"/>
        <v>305003</v>
      </c>
      <c r="BF33" s="5">
        <f t="shared" si="27"/>
        <v>180</v>
      </c>
      <c r="BG33" s="5">
        <f t="shared" si="27"/>
        <v>0</v>
      </c>
      <c r="BH33" s="5">
        <f t="shared" si="18"/>
        <v>0</v>
      </c>
      <c r="BI33" s="5">
        <f t="shared" si="27"/>
        <v>0</v>
      </c>
      <c r="BJ33" s="5">
        <f t="shared" si="15"/>
        <v>2</v>
      </c>
      <c r="BK33" s="5">
        <v>2</v>
      </c>
      <c r="BL33" s="5">
        <f t="shared" si="63"/>
        <v>1</v>
      </c>
      <c r="BM33" s="5">
        <f t="shared" si="28"/>
        <v>30</v>
      </c>
      <c r="BN33" s="5">
        <f t="shared" si="28"/>
        <v>180</v>
      </c>
      <c r="BO33" s="5">
        <f t="shared" si="28"/>
        <v>108006</v>
      </c>
      <c r="BP33" s="5">
        <f t="shared" si="28"/>
        <v>2</v>
      </c>
      <c r="BQ33" s="5">
        <f t="shared" si="64"/>
        <v>2</v>
      </c>
      <c r="BR33" s="5">
        <f>50*BT33*3-360/BM33*BJ33*BQ33</f>
        <v>252</v>
      </c>
      <c r="BS33" s="4">
        <v>2</v>
      </c>
      <c r="BT33" s="4">
        <v>2</v>
      </c>
      <c r="BU33" s="4">
        <f t="shared" si="29"/>
        <v>0</v>
      </c>
      <c r="BV33" s="4">
        <f t="shared" si="6"/>
        <v>2</v>
      </c>
      <c r="BW33" s="4">
        <f t="shared" si="7"/>
        <v>2</v>
      </c>
      <c r="BX33" s="14">
        <f t="shared" si="8"/>
        <v>0.78</v>
      </c>
      <c r="BY33" s="14">
        <f t="shared" si="9"/>
        <v>0.5</v>
      </c>
      <c r="BZ33" s="5" t="s">
        <v>206</v>
      </c>
      <c r="CA33" s="5" t="s">
        <v>207</v>
      </c>
      <c r="CB33" s="5" t="s">
        <v>207</v>
      </c>
      <c r="CC33" s="5">
        <v>0</v>
      </c>
      <c r="CD33" s="8">
        <f t="shared" si="30"/>
        <v>1</v>
      </c>
      <c r="CE33" s="5">
        <f t="shared" si="10"/>
        <v>0</v>
      </c>
      <c r="CF33" s="5">
        <f t="shared" si="31"/>
        <v>0</v>
      </c>
      <c r="CG33" s="5" t="s">
        <v>205</v>
      </c>
      <c r="CH33" s="5">
        <f t="shared" si="47"/>
        <v>3</v>
      </c>
      <c r="CI33" s="5">
        <v>0</v>
      </c>
      <c r="CJ33" s="4">
        <v>1</v>
      </c>
      <c r="CK33" s="5">
        <v>0</v>
      </c>
      <c r="CL33" s="5">
        <v>0</v>
      </c>
      <c r="CM33" s="20">
        <f t="shared" si="32"/>
        <v>0</v>
      </c>
      <c r="CN33" s="8">
        <f t="shared" si="32"/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8">
        <f t="shared" ref="CV33:CY33" si="74">CV12</f>
        <v>0.8</v>
      </c>
      <c r="CW33" s="8">
        <f t="shared" si="74"/>
        <v>0.6</v>
      </c>
      <c r="CX33" s="8">
        <f t="shared" si="74"/>
        <v>1</v>
      </c>
      <c r="CY33" s="8">
        <f t="shared" si="74"/>
        <v>1</v>
      </c>
      <c r="CZ33" s="8">
        <f t="shared" si="34"/>
        <v>1</v>
      </c>
      <c r="DA33" s="6">
        <f t="shared" si="0"/>
        <v>50</v>
      </c>
      <c r="DB33" s="5">
        <f t="shared" si="35"/>
        <v>0</v>
      </c>
      <c r="DC33" s="5">
        <f t="shared" si="11"/>
        <v>0.13125000000000001</v>
      </c>
      <c r="DD33" s="6">
        <f t="shared" si="1"/>
        <v>0.13125000000000001</v>
      </c>
      <c r="DE33" s="6">
        <f t="shared" si="49"/>
        <v>0.25</v>
      </c>
      <c r="DF33" s="5">
        <v>0</v>
      </c>
      <c r="DG33" s="8">
        <f t="shared" si="36"/>
        <v>2.5</v>
      </c>
      <c r="DH33" s="5">
        <v>1.5</v>
      </c>
      <c r="DI33" s="8">
        <f t="shared" si="37"/>
        <v>0</v>
      </c>
      <c r="DJ33" s="5">
        <f t="shared" si="2"/>
        <v>0</v>
      </c>
      <c r="DK33" s="8">
        <v>0</v>
      </c>
      <c r="DL33" s="5">
        <f t="shared" si="3"/>
        <v>0</v>
      </c>
      <c r="DM33" s="5" t="s">
        <v>208</v>
      </c>
      <c r="DN33" s="8">
        <f t="shared" ref="DN33:DP33" si="75">DN12</f>
        <v>6</v>
      </c>
      <c r="DO33" s="8">
        <f t="shared" si="75"/>
        <v>0</v>
      </c>
      <c r="DP33" s="5">
        <f t="shared" si="75"/>
        <v>0</v>
      </c>
      <c r="DQ33" s="8">
        <f t="shared" si="39"/>
        <v>0</v>
      </c>
      <c r="DR33" s="5">
        <f t="shared" si="13"/>
        <v>0.9</v>
      </c>
      <c r="DS33" s="8">
        <f t="shared" si="40"/>
        <v>1</v>
      </c>
      <c r="DT33" s="8">
        <f t="shared" si="41"/>
        <v>-0.5</v>
      </c>
      <c r="DU33" s="8">
        <f t="shared" si="41"/>
        <v>0.5</v>
      </c>
      <c r="DV33" s="8">
        <f t="shared" si="41"/>
        <v>0.5</v>
      </c>
      <c r="DW33" s="5">
        <f t="shared" si="42"/>
        <v>0.75</v>
      </c>
      <c r="DX33" s="8">
        <f t="shared" si="43"/>
        <v>9</v>
      </c>
      <c r="DY33" s="8">
        <f t="shared" si="44"/>
        <v>0</v>
      </c>
      <c r="DZ33" s="8">
        <f t="shared" si="45"/>
        <v>0</v>
      </c>
      <c r="EA33" s="5"/>
    </row>
    <row r="34" spans="1:131" x14ac:dyDescent="0.15">
      <c r="A34" s="5">
        <v>201032</v>
      </c>
      <c r="B34" s="5" t="s">
        <v>209</v>
      </c>
      <c r="C34" s="5"/>
      <c r="D34" s="5"/>
      <c r="E34" s="5"/>
      <c r="F34" s="5">
        <v>0</v>
      </c>
      <c r="G34" s="45"/>
      <c r="H34" s="5"/>
      <c r="I34" s="5"/>
      <c r="J34" s="5"/>
      <c r="K34" s="5"/>
      <c r="L34" s="10"/>
      <c r="M34" s="5"/>
      <c r="N34" s="1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20"/>
      <c r="AF34" s="5"/>
      <c r="AG34" s="5"/>
      <c r="AH34" s="5"/>
      <c r="AI34" s="5"/>
      <c r="AJ34" s="5"/>
      <c r="AK34" s="5"/>
      <c r="AL34" s="5"/>
      <c r="AM34" s="5"/>
      <c r="AN34" s="8"/>
      <c r="AO34" s="5">
        <v>0</v>
      </c>
      <c r="AP34" s="5" t="s">
        <v>209</v>
      </c>
      <c r="AQ34" s="5">
        <v>0</v>
      </c>
      <c r="AR34" s="8">
        <f t="shared" si="19"/>
        <v>2</v>
      </c>
      <c r="AS34" s="6">
        <f t="shared" si="4"/>
        <v>12</v>
      </c>
      <c r="AT34" s="6">
        <f t="shared" si="5"/>
        <v>18</v>
      </c>
      <c r="AU34" s="5">
        <f t="shared" si="20"/>
        <v>0</v>
      </c>
      <c r="AV34" s="5">
        <f t="shared" si="21"/>
        <v>1</v>
      </c>
      <c r="AW34" s="5">
        <f t="shared" si="22"/>
        <v>1</v>
      </c>
      <c r="AX34" s="5">
        <f t="shared" ref="AX34" si="76">AX13</f>
        <v>1</v>
      </c>
      <c r="AY34" s="5">
        <f t="shared" si="22"/>
        <v>1</v>
      </c>
      <c r="AZ34" s="8">
        <f t="shared" si="24"/>
        <v>23</v>
      </c>
      <c r="BA34" s="5">
        <f t="shared" si="16"/>
        <v>203011</v>
      </c>
      <c r="BB34" s="5">
        <v>0</v>
      </c>
      <c r="BC34" s="5">
        <v>0</v>
      </c>
      <c r="BD34" s="5">
        <f t="shared" si="25"/>
        <v>0</v>
      </c>
      <c r="BE34" s="5">
        <f t="shared" si="26"/>
        <v>304002</v>
      </c>
      <c r="BF34" s="5">
        <f t="shared" si="27"/>
        <v>180</v>
      </c>
      <c r="BG34" s="5">
        <f t="shared" si="27"/>
        <v>30</v>
      </c>
      <c r="BH34" s="5">
        <f t="shared" si="18"/>
        <v>30</v>
      </c>
      <c r="BI34" s="5">
        <f t="shared" si="27"/>
        <v>1</v>
      </c>
      <c r="BJ34" s="5">
        <f t="shared" si="15"/>
        <v>2</v>
      </c>
      <c r="BK34" s="5">
        <v>2</v>
      </c>
      <c r="BL34" s="5">
        <f t="shared" si="63"/>
        <v>1</v>
      </c>
      <c r="BM34" s="5">
        <f t="shared" si="28"/>
        <v>30</v>
      </c>
      <c r="BN34" s="5">
        <f t="shared" si="28"/>
        <v>180</v>
      </c>
      <c r="BO34" s="5">
        <f t="shared" si="28"/>
        <v>108006</v>
      </c>
      <c r="BP34" s="5">
        <f t="shared" si="28"/>
        <v>3</v>
      </c>
      <c r="BQ34" s="5">
        <f t="shared" si="64"/>
        <v>2</v>
      </c>
      <c r="BR34" s="5">
        <f>50*BT34*3-360/BM34*BJ34*BQ34</f>
        <v>252</v>
      </c>
      <c r="BS34" s="4">
        <v>3</v>
      </c>
      <c r="BT34" s="4">
        <v>2</v>
      </c>
      <c r="BU34" s="4">
        <f t="shared" si="29"/>
        <v>0</v>
      </c>
      <c r="BV34" s="4">
        <f t="shared" si="6"/>
        <v>2</v>
      </c>
      <c r="BW34" s="4">
        <f t="shared" si="7"/>
        <v>2</v>
      </c>
      <c r="BX34" s="14">
        <f t="shared" si="8"/>
        <v>0.78</v>
      </c>
      <c r="BY34" s="14">
        <f t="shared" si="9"/>
        <v>0.5</v>
      </c>
      <c r="BZ34" s="5" t="s">
        <v>210</v>
      </c>
      <c r="CA34" s="5" t="s">
        <v>211</v>
      </c>
      <c r="CB34" s="5" t="s">
        <v>211</v>
      </c>
      <c r="CC34" s="5">
        <v>0</v>
      </c>
      <c r="CD34" s="8">
        <f t="shared" si="30"/>
        <v>1</v>
      </c>
      <c r="CE34" s="5">
        <f t="shared" si="10"/>
        <v>0</v>
      </c>
      <c r="CF34" s="5">
        <f t="shared" si="31"/>
        <v>0</v>
      </c>
      <c r="CG34" s="5" t="s">
        <v>209</v>
      </c>
      <c r="CH34" s="5">
        <f t="shared" si="47"/>
        <v>0</v>
      </c>
      <c r="CI34" s="5">
        <v>0</v>
      </c>
      <c r="CJ34" s="4">
        <v>1</v>
      </c>
      <c r="CK34" s="5">
        <v>0</v>
      </c>
      <c r="CL34" s="5">
        <v>0</v>
      </c>
      <c r="CM34" s="20">
        <f t="shared" si="32"/>
        <v>0</v>
      </c>
      <c r="CN34" s="8">
        <f t="shared" si="32"/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8">
        <f t="shared" ref="CV34:CY34" si="77">CV13</f>
        <v>0.8</v>
      </c>
      <c r="CW34" s="8">
        <f t="shared" si="77"/>
        <v>0.6</v>
      </c>
      <c r="CX34" s="8">
        <f t="shared" si="77"/>
        <v>1</v>
      </c>
      <c r="CY34" s="8">
        <f t="shared" si="77"/>
        <v>1</v>
      </c>
      <c r="CZ34" s="8">
        <f t="shared" si="34"/>
        <v>2</v>
      </c>
      <c r="DA34" s="6">
        <f t="shared" si="0"/>
        <v>100</v>
      </c>
      <c r="DB34" s="5">
        <f t="shared" si="35"/>
        <v>0</v>
      </c>
      <c r="DC34" s="5">
        <f t="shared" si="11"/>
        <v>0.26250000000000001</v>
      </c>
      <c r="DD34" s="6">
        <f t="shared" si="1"/>
        <v>0.26250000000000001</v>
      </c>
      <c r="DE34" s="6">
        <f t="shared" si="49"/>
        <v>0.5</v>
      </c>
      <c r="DF34" s="5">
        <v>0</v>
      </c>
      <c r="DG34" s="8">
        <f t="shared" si="36"/>
        <v>3</v>
      </c>
      <c r="DH34" s="5">
        <v>2</v>
      </c>
      <c r="DI34" s="8">
        <f t="shared" si="37"/>
        <v>0</v>
      </c>
      <c r="DJ34" s="5">
        <f t="shared" si="2"/>
        <v>0</v>
      </c>
      <c r="DK34" s="8">
        <v>0</v>
      </c>
      <c r="DL34" s="5">
        <f t="shared" si="3"/>
        <v>0</v>
      </c>
      <c r="DM34" s="5" t="s">
        <v>209</v>
      </c>
      <c r="DN34" s="8">
        <f t="shared" ref="DN34:DP34" si="78">DN13</f>
        <v>6</v>
      </c>
      <c r="DO34" s="8">
        <f t="shared" si="78"/>
        <v>0</v>
      </c>
      <c r="DP34" s="5">
        <f t="shared" si="78"/>
        <v>1</v>
      </c>
      <c r="DQ34" s="8">
        <f t="shared" si="39"/>
        <v>1</v>
      </c>
      <c r="DR34" s="5">
        <f t="shared" si="13"/>
        <v>1.1700000000000002</v>
      </c>
      <c r="DS34" s="8">
        <f t="shared" si="40"/>
        <v>1.3</v>
      </c>
      <c r="DT34" s="8">
        <f t="shared" si="41"/>
        <v>-0.5</v>
      </c>
      <c r="DU34" s="8">
        <f t="shared" si="41"/>
        <v>0.5</v>
      </c>
      <c r="DV34" s="8">
        <f t="shared" si="41"/>
        <v>0.2</v>
      </c>
      <c r="DW34" s="5">
        <f t="shared" si="42"/>
        <v>0.41666666666666669</v>
      </c>
      <c r="DX34" s="8">
        <f t="shared" si="43"/>
        <v>5</v>
      </c>
      <c r="DY34" s="8">
        <f t="shared" si="44"/>
        <v>0</v>
      </c>
      <c r="DZ34" s="8">
        <f t="shared" si="45"/>
        <v>0</v>
      </c>
      <c r="EA34" s="5"/>
    </row>
    <row r="35" spans="1:131" x14ac:dyDescent="0.15">
      <c r="A35" s="5">
        <v>201033</v>
      </c>
      <c r="B35" s="5" t="s">
        <v>212</v>
      </c>
      <c r="C35" s="5"/>
      <c r="D35" s="5"/>
      <c r="E35" s="5"/>
      <c r="F35" s="5">
        <v>0</v>
      </c>
      <c r="G35" s="45"/>
      <c r="H35" s="5"/>
      <c r="I35" s="5"/>
      <c r="J35" s="5"/>
      <c r="K35" s="5"/>
      <c r="L35" s="10"/>
      <c r="M35" s="5"/>
      <c r="N35" s="1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20"/>
      <c r="AF35" s="5"/>
      <c r="AG35" s="5"/>
      <c r="AH35" s="5"/>
      <c r="AI35" s="5"/>
      <c r="AJ35" s="5"/>
      <c r="AK35" s="5"/>
      <c r="AL35" s="5"/>
      <c r="AM35" s="5"/>
      <c r="AN35" s="8"/>
      <c r="AO35" s="5">
        <v>0</v>
      </c>
      <c r="AP35" s="5" t="s">
        <v>212</v>
      </c>
      <c r="AQ35" s="5">
        <v>0</v>
      </c>
      <c r="AR35" s="8">
        <f t="shared" si="19"/>
        <v>5</v>
      </c>
      <c r="AS35" s="6">
        <f t="shared" si="4"/>
        <v>30</v>
      </c>
      <c r="AT35" s="6">
        <f t="shared" si="5"/>
        <v>36</v>
      </c>
      <c r="AU35" s="5">
        <f t="shared" si="20"/>
        <v>0</v>
      </c>
      <c r="AV35" s="5">
        <f t="shared" si="21"/>
        <v>1</v>
      </c>
      <c r="AW35" s="5">
        <f t="shared" si="22"/>
        <v>0</v>
      </c>
      <c r="AX35" s="5">
        <f t="shared" ref="AX35" si="79">AX14</f>
        <v>0</v>
      </c>
      <c r="AY35" s="5">
        <f t="shared" si="22"/>
        <v>1</v>
      </c>
      <c r="AZ35" s="8">
        <f t="shared" si="24"/>
        <v>23</v>
      </c>
      <c r="BA35" s="5">
        <f t="shared" si="16"/>
        <v>203012</v>
      </c>
      <c r="BB35" s="5">
        <v>0</v>
      </c>
      <c r="BC35" s="5">
        <v>0</v>
      </c>
      <c r="BD35" s="5">
        <f t="shared" si="25"/>
        <v>0</v>
      </c>
      <c r="BE35" s="5">
        <f t="shared" si="26"/>
        <v>0</v>
      </c>
      <c r="BF35" s="5">
        <f t="shared" si="27"/>
        <v>0</v>
      </c>
      <c r="BG35" s="5">
        <f t="shared" si="27"/>
        <v>0</v>
      </c>
      <c r="BH35" s="5">
        <f t="shared" si="18"/>
        <v>0</v>
      </c>
      <c r="BI35" s="5">
        <f t="shared" si="27"/>
        <v>0</v>
      </c>
      <c r="BJ35" s="5">
        <f t="shared" si="15"/>
        <v>0</v>
      </c>
      <c r="BK35" s="5">
        <v>0</v>
      </c>
      <c r="BL35" s="5">
        <f t="shared" si="63"/>
        <v>0</v>
      </c>
      <c r="BM35" s="5">
        <f t="shared" si="28"/>
        <v>0</v>
      </c>
      <c r="BN35" s="5">
        <f t="shared" si="28"/>
        <v>0</v>
      </c>
      <c r="BO35" s="5">
        <f t="shared" si="28"/>
        <v>0</v>
      </c>
      <c r="BP35" s="5">
        <f t="shared" si="28"/>
        <v>0</v>
      </c>
      <c r="BQ35" s="5">
        <f t="shared" si="64"/>
        <v>0</v>
      </c>
      <c r="BR35" s="5"/>
      <c r="BS35" s="4">
        <v>3</v>
      </c>
      <c r="BT35" s="4">
        <v>2</v>
      </c>
      <c r="BU35" s="4">
        <f t="shared" si="29"/>
        <v>0</v>
      </c>
      <c r="BV35" s="4">
        <f t="shared" si="6"/>
        <v>2</v>
      </c>
      <c r="BW35" s="4">
        <f t="shared" si="7"/>
        <v>2</v>
      </c>
      <c r="BX35" s="14">
        <f t="shared" si="8"/>
        <v>0.78</v>
      </c>
      <c r="BY35" s="14">
        <f t="shared" si="9"/>
        <v>0.5</v>
      </c>
      <c r="BZ35" s="5" t="s">
        <v>213</v>
      </c>
      <c r="CA35" s="5" t="s">
        <v>214</v>
      </c>
      <c r="CB35" s="5" t="s">
        <v>214</v>
      </c>
      <c r="CC35" s="5">
        <v>0</v>
      </c>
      <c r="CD35" s="8">
        <f t="shared" si="30"/>
        <v>1</v>
      </c>
      <c r="CE35" s="5">
        <f t="shared" si="10"/>
        <v>0</v>
      </c>
      <c r="CF35" s="5">
        <f t="shared" si="31"/>
        <v>0</v>
      </c>
      <c r="CG35" s="5" t="s">
        <v>212</v>
      </c>
      <c r="CH35" s="5">
        <f>CH13</f>
        <v>0</v>
      </c>
      <c r="CI35" s="5">
        <v>0</v>
      </c>
      <c r="CJ35" s="4">
        <v>1</v>
      </c>
      <c r="CK35" s="5">
        <v>0</v>
      </c>
      <c r="CL35" s="5">
        <v>0</v>
      </c>
      <c r="CM35" s="20">
        <f t="shared" si="32"/>
        <v>0</v>
      </c>
      <c r="CN35" s="8">
        <f t="shared" si="32"/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8">
        <f t="shared" ref="CV35:CY35" si="80">CV14</f>
        <v>0.8</v>
      </c>
      <c r="CW35" s="8">
        <f t="shared" si="80"/>
        <v>0.6</v>
      </c>
      <c r="CX35" s="8">
        <f t="shared" si="80"/>
        <v>1</v>
      </c>
      <c r="CY35" s="8">
        <f t="shared" si="80"/>
        <v>1</v>
      </c>
      <c r="CZ35" s="8">
        <f t="shared" si="34"/>
        <v>0.8</v>
      </c>
      <c r="DA35" s="6">
        <f t="shared" si="0"/>
        <v>40</v>
      </c>
      <c r="DB35" s="5">
        <f t="shared" si="35"/>
        <v>1</v>
      </c>
      <c r="DC35" s="5">
        <f t="shared" si="11"/>
        <v>0.42000000000000004</v>
      </c>
      <c r="DD35" s="6">
        <f t="shared" si="1"/>
        <v>0.42000000000000004</v>
      </c>
      <c r="DE35" s="6">
        <f t="shared" si="49"/>
        <v>0.8</v>
      </c>
      <c r="DF35" s="5">
        <v>0</v>
      </c>
      <c r="DG35" s="8">
        <f t="shared" si="36"/>
        <v>3.5</v>
      </c>
      <c r="DH35" s="5">
        <v>2</v>
      </c>
      <c r="DI35" s="8">
        <f t="shared" si="37"/>
        <v>0</v>
      </c>
      <c r="DJ35" s="5">
        <f t="shared" si="2"/>
        <v>0</v>
      </c>
      <c r="DK35" s="8">
        <v>0</v>
      </c>
      <c r="DL35" s="5">
        <f t="shared" si="3"/>
        <v>0</v>
      </c>
      <c r="DM35" s="5" t="s">
        <v>212</v>
      </c>
      <c r="DN35" s="8">
        <f t="shared" ref="DN35:DP35" si="81">DN14</f>
        <v>4</v>
      </c>
      <c r="DO35" s="8">
        <f t="shared" si="81"/>
        <v>0</v>
      </c>
      <c r="DP35" s="5">
        <f t="shared" si="81"/>
        <v>0</v>
      </c>
      <c r="DQ35" s="8">
        <f t="shared" si="39"/>
        <v>0</v>
      </c>
      <c r="DR35" s="5">
        <f t="shared" si="13"/>
        <v>0.9</v>
      </c>
      <c r="DS35" s="8">
        <f t="shared" si="40"/>
        <v>1</v>
      </c>
      <c r="DT35" s="8">
        <f t="shared" si="41"/>
        <v>-0.5</v>
      </c>
      <c r="DU35" s="8">
        <f t="shared" si="41"/>
        <v>0.5</v>
      </c>
      <c r="DV35" s="8">
        <f t="shared" si="41"/>
        <v>0.2</v>
      </c>
      <c r="DW35" s="5">
        <f t="shared" si="42"/>
        <v>0.33333333333333331</v>
      </c>
      <c r="DX35" s="8">
        <f t="shared" si="43"/>
        <v>4</v>
      </c>
      <c r="DY35" s="8">
        <f t="shared" si="44"/>
        <v>0</v>
      </c>
      <c r="DZ35" s="8">
        <f t="shared" si="45"/>
        <v>0</v>
      </c>
      <c r="EA35" s="5"/>
    </row>
    <row r="36" spans="1:131" x14ac:dyDescent="0.15">
      <c r="A36" s="5">
        <v>201034</v>
      </c>
      <c r="B36" s="5" t="s">
        <v>215</v>
      </c>
      <c r="C36" s="5"/>
      <c r="D36" s="5"/>
      <c r="E36" s="5"/>
      <c r="F36" s="5">
        <v>0</v>
      </c>
      <c r="G36" s="45"/>
      <c r="H36" s="5"/>
      <c r="I36" s="5"/>
      <c r="J36" s="5"/>
      <c r="K36" s="5"/>
      <c r="L36" s="10"/>
      <c r="M36" s="5"/>
      <c r="N36" s="1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20"/>
      <c r="AF36" s="5"/>
      <c r="AG36" s="5"/>
      <c r="AH36" s="5"/>
      <c r="AI36" s="5"/>
      <c r="AJ36" s="5"/>
      <c r="AK36" s="5"/>
      <c r="AL36" s="5"/>
      <c r="AM36" s="5"/>
      <c r="AN36" s="8"/>
      <c r="AO36" s="5">
        <v>0</v>
      </c>
      <c r="AP36" s="5" t="s">
        <v>215</v>
      </c>
      <c r="AQ36" s="5">
        <v>0</v>
      </c>
      <c r="AR36" s="8">
        <f t="shared" si="19"/>
        <v>2</v>
      </c>
      <c r="AS36" s="6">
        <f t="shared" si="4"/>
        <v>12</v>
      </c>
      <c r="AT36" s="6">
        <f t="shared" si="5"/>
        <v>18</v>
      </c>
      <c r="AU36" s="5">
        <f t="shared" si="20"/>
        <v>0</v>
      </c>
      <c r="AV36" s="5">
        <f t="shared" si="21"/>
        <v>1</v>
      </c>
      <c r="AW36" s="5">
        <f t="shared" si="22"/>
        <v>1</v>
      </c>
      <c r="AX36" s="5">
        <f t="shared" ref="AX36" si="82">AX15</f>
        <v>1</v>
      </c>
      <c r="AY36" s="5">
        <f t="shared" si="22"/>
        <v>1</v>
      </c>
      <c r="AZ36" s="8">
        <f t="shared" si="24"/>
        <v>23</v>
      </c>
      <c r="BA36" s="5">
        <f t="shared" si="16"/>
        <v>203013</v>
      </c>
      <c r="BB36" s="5">
        <v>0</v>
      </c>
      <c r="BC36" s="5">
        <v>0</v>
      </c>
      <c r="BD36" s="5">
        <f t="shared" si="25"/>
        <v>0</v>
      </c>
      <c r="BE36" s="5">
        <f t="shared" si="26"/>
        <v>0</v>
      </c>
      <c r="BF36" s="5">
        <f t="shared" si="27"/>
        <v>0</v>
      </c>
      <c r="BG36" s="5">
        <f t="shared" si="27"/>
        <v>0</v>
      </c>
      <c r="BH36" s="5">
        <f t="shared" si="18"/>
        <v>0</v>
      </c>
      <c r="BI36" s="5">
        <f t="shared" si="27"/>
        <v>0</v>
      </c>
      <c r="BJ36" s="5">
        <f t="shared" si="15"/>
        <v>0</v>
      </c>
      <c r="BK36" s="5">
        <v>0</v>
      </c>
      <c r="BL36" s="5">
        <f t="shared" si="63"/>
        <v>0</v>
      </c>
      <c r="BM36" s="5">
        <f t="shared" si="28"/>
        <v>0</v>
      </c>
      <c r="BN36" s="5">
        <f t="shared" si="28"/>
        <v>0</v>
      </c>
      <c r="BO36" s="5">
        <f t="shared" si="28"/>
        <v>0</v>
      </c>
      <c r="BP36" s="5">
        <f t="shared" si="28"/>
        <v>0</v>
      </c>
      <c r="BQ36" s="5">
        <f t="shared" si="64"/>
        <v>0</v>
      </c>
      <c r="BR36" s="5"/>
      <c r="BS36" s="4">
        <v>3</v>
      </c>
      <c r="BT36" s="4">
        <v>2</v>
      </c>
      <c r="BU36" s="4">
        <f t="shared" si="29"/>
        <v>0</v>
      </c>
      <c r="BV36" s="4">
        <f t="shared" si="6"/>
        <v>2</v>
      </c>
      <c r="BW36" s="4">
        <f t="shared" si="7"/>
        <v>2</v>
      </c>
      <c r="BX36" s="14">
        <f t="shared" si="8"/>
        <v>0.78</v>
      </c>
      <c r="BY36" s="14">
        <f t="shared" si="9"/>
        <v>0.5</v>
      </c>
      <c r="BZ36" s="5" t="s">
        <v>216</v>
      </c>
      <c r="CA36" s="5" t="s">
        <v>217</v>
      </c>
      <c r="CB36" s="5" t="s">
        <v>217</v>
      </c>
      <c r="CC36" s="5">
        <v>0</v>
      </c>
      <c r="CD36" s="8">
        <f t="shared" si="30"/>
        <v>1</v>
      </c>
      <c r="CE36" s="5">
        <f t="shared" si="10"/>
        <v>0</v>
      </c>
      <c r="CF36" s="5">
        <f t="shared" si="31"/>
        <v>0</v>
      </c>
      <c r="CG36" s="5" t="s">
        <v>215</v>
      </c>
      <c r="CH36" s="5">
        <f t="shared" si="47"/>
        <v>3</v>
      </c>
      <c r="CI36" s="5">
        <v>0</v>
      </c>
      <c r="CJ36" s="4">
        <v>1</v>
      </c>
      <c r="CK36" s="5">
        <v>0</v>
      </c>
      <c r="CL36" s="5">
        <v>0</v>
      </c>
      <c r="CM36" s="20">
        <f t="shared" si="32"/>
        <v>0</v>
      </c>
      <c r="CN36" s="8">
        <f t="shared" si="32"/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8">
        <f t="shared" ref="CV36:CY36" si="83">CV15</f>
        <v>0.8</v>
      </c>
      <c r="CW36" s="8">
        <f t="shared" si="83"/>
        <v>0.6</v>
      </c>
      <c r="CX36" s="8">
        <f t="shared" si="83"/>
        <v>1</v>
      </c>
      <c r="CY36" s="8">
        <f t="shared" si="83"/>
        <v>1</v>
      </c>
      <c r="CZ36" s="8">
        <f t="shared" si="34"/>
        <v>1</v>
      </c>
      <c r="DA36" s="6">
        <f t="shared" si="0"/>
        <v>50</v>
      </c>
      <c r="DB36" s="5">
        <f t="shared" si="35"/>
        <v>0</v>
      </c>
      <c r="DC36" s="5">
        <f t="shared" si="11"/>
        <v>0.47250000000000003</v>
      </c>
      <c r="DD36" s="6">
        <f t="shared" si="1"/>
        <v>0.47250000000000003</v>
      </c>
      <c r="DE36" s="6">
        <f t="shared" si="49"/>
        <v>0.9</v>
      </c>
      <c r="DF36" s="5">
        <v>0</v>
      </c>
      <c r="DG36" s="8">
        <f t="shared" si="36"/>
        <v>2.75</v>
      </c>
      <c r="DH36" s="5">
        <v>1.75</v>
      </c>
      <c r="DI36" s="8">
        <f t="shared" si="37"/>
        <v>0</v>
      </c>
      <c r="DJ36" s="5">
        <f t="shared" si="2"/>
        <v>0</v>
      </c>
      <c r="DK36" s="8">
        <v>0</v>
      </c>
      <c r="DL36" s="5">
        <f t="shared" si="3"/>
        <v>0</v>
      </c>
      <c r="DM36" s="5" t="s">
        <v>215</v>
      </c>
      <c r="DN36" s="8">
        <f t="shared" ref="DN36:DP36" si="84">DN15</f>
        <v>6</v>
      </c>
      <c r="DO36" s="8">
        <f t="shared" si="84"/>
        <v>0</v>
      </c>
      <c r="DP36" s="5">
        <f t="shared" si="84"/>
        <v>0</v>
      </c>
      <c r="DQ36" s="8">
        <f t="shared" si="39"/>
        <v>0</v>
      </c>
      <c r="DR36" s="5">
        <f t="shared" si="13"/>
        <v>0.9</v>
      </c>
      <c r="DS36" s="8">
        <f t="shared" si="40"/>
        <v>1</v>
      </c>
      <c r="DT36" s="8">
        <f t="shared" si="41"/>
        <v>-0.5</v>
      </c>
      <c r="DU36" s="8">
        <f t="shared" si="41"/>
        <v>0.5</v>
      </c>
      <c r="DV36" s="8">
        <f t="shared" si="41"/>
        <v>0.25</v>
      </c>
      <c r="DW36" s="5">
        <f t="shared" si="42"/>
        <v>0.66666666666666663</v>
      </c>
      <c r="DX36" s="8">
        <f t="shared" si="43"/>
        <v>8</v>
      </c>
      <c r="DY36" s="8">
        <f t="shared" si="44"/>
        <v>0</v>
      </c>
      <c r="DZ36" s="8">
        <f t="shared" si="45"/>
        <v>0</v>
      </c>
      <c r="EA36" s="5"/>
    </row>
    <row r="37" spans="1:131" x14ac:dyDescent="0.15">
      <c r="A37" s="5">
        <v>201035</v>
      </c>
      <c r="B37" s="5" t="s">
        <v>218</v>
      </c>
      <c r="C37" s="5"/>
      <c r="D37" s="5"/>
      <c r="E37" s="5"/>
      <c r="F37" s="5">
        <v>0</v>
      </c>
      <c r="G37" s="45"/>
      <c r="H37" s="5"/>
      <c r="I37" s="5"/>
      <c r="J37" s="5"/>
      <c r="K37" s="5"/>
      <c r="L37" s="10"/>
      <c r="M37" s="5"/>
      <c r="N37" s="1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20"/>
      <c r="AF37" s="5"/>
      <c r="AG37" s="5"/>
      <c r="AH37" s="5"/>
      <c r="AI37" s="5"/>
      <c r="AJ37" s="5"/>
      <c r="AK37" s="5"/>
      <c r="AL37" s="5"/>
      <c r="AM37" s="5"/>
      <c r="AN37" s="8"/>
      <c r="AO37" s="5">
        <v>0</v>
      </c>
      <c r="AP37" s="5" t="s">
        <v>218</v>
      </c>
      <c r="AQ37" s="5">
        <v>0</v>
      </c>
      <c r="AR37" s="8">
        <f t="shared" si="19"/>
        <v>5</v>
      </c>
      <c r="AS37" s="6">
        <f t="shared" si="4"/>
        <v>30</v>
      </c>
      <c r="AT37" s="6">
        <f t="shared" si="5"/>
        <v>36</v>
      </c>
      <c r="AU37" s="5">
        <f t="shared" si="20"/>
        <v>0</v>
      </c>
      <c r="AV37" s="5">
        <f t="shared" si="21"/>
        <v>1</v>
      </c>
      <c r="AW37" s="5">
        <f t="shared" si="22"/>
        <v>0</v>
      </c>
      <c r="AX37" s="5">
        <f t="shared" ref="AX37" si="85">AX16</f>
        <v>0</v>
      </c>
      <c r="AY37" s="5">
        <f t="shared" si="22"/>
        <v>0</v>
      </c>
      <c r="AZ37" s="8">
        <f t="shared" si="24"/>
        <v>23</v>
      </c>
      <c r="BA37" s="5">
        <f t="shared" si="16"/>
        <v>203014</v>
      </c>
      <c r="BB37" s="5">
        <v>0</v>
      </c>
      <c r="BC37" s="5">
        <v>0</v>
      </c>
      <c r="BD37" s="5">
        <f t="shared" si="25"/>
        <v>0</v>
      </c>
      <c r="BE37" s="5">
        <f t="shared" si="26"/>
        <v>0</v>
      </c>
      <c r="BF37" s="5">
        <f t="shared" si="27"/>
        <v>0</v>
      </c>
      <c r="BG37" s="5">
        <f t="shared" si="27"/>
        <v>0</v>
      </c>
      <c r="BH37" s="5">
        <f t="shared" si="18"/>
        <v>0</v>
      </c>
      <c r="BI37" s="5">
        <f t="shared" si="27"/>
        <v>0</v>
      </c>
      <c r="BJ37" s="5">
        <f t="shared" si="15"/>
        <v>0</v>
      </c>
      <c r="BK37" s="5">
        <v>0</v>
      </c>
      <c r="BL37" s="5">
        <f t="shared" si="63"/>
        <v>0</v>
      </c>
      <c r="BM37" s="5">
        <f t="shared" si="28"/>
        <v>0</v>
      </c>
      <c r="BN37" s="5">
        <f t="shared" si="28"/>
        <v>0</v>
      </c>
      <c r="BO37" s="5">
        <f t="shared" si="28"/>
        <v>0</v>
      </c>
      <c r="BP37" s="5">
        <f t="shared" si="28"/>
        <v>0</v>
      </c>
      <c r="BQ37" s="5">
        <f t="shared" si="64"/>
        <v>0</v>
      </c>
      <c r="BR37" s="5"/>
      <c r="BS37" s="4">
        <v>3</v>
      </c>
      <c r="BT37" s="4">
        <v>2</v>
      </c>
      <c r="BU37" s="4">
        <f t="shared" si="29"/>
        <v>0</v>
      </c>
      <c r="BV37" s="4">
        <f t="shared" si="6"/>
        <v>2</v>
      </c>
      <c r="BW37" s="4">
        <f t="shared" si="7"/>
        <v>2</v>
      </c>
      <c r="BX37" s="14">
        <f t="shared" si="8"/>
        <v>0.78</v>
      </c>
      <c r="BY37" s="14">
        <f t="shared" si="9"/>
        <v>0.5</v>
      </c>
      <c r="BZ37" s="5" t="s">
        <v>219</v>
      </c>
      <c r="CA37" s="5" t="s">
        <v>220</v>
      </c>
      <c r="CB37" s="5" t="s">
        <v>220</v>
      </c>
      <c r="CC37" s="5">
        <v>0</v>
      </c>
      <c r="CD37" s="8">
        <f t="shared" si="30"/>
        <v>1</v>
      </c>
      <c r="CE37" s="5">
        <f t="shared" si="10"/>
        <v>4</v>
      </c>
      <c r="CF37" s="5">
        <f t="shared" si="31"/>
        <v>2</v>
      </c>
      <c r="CG37" s="5" t="s">
        <v>218</v>
      </c>
      <c r="CH37" s="5">
        <f t="shared" si="47"/>
        <v>0</v>
      </c>
      <c r="CI37" s="5">
        <v>113</v>
      </c>
      <c r="CJ37" s="4">
        <v>1</v>
      </c>
      <c r="CK37" s="5">
        <v>0</v>
      </c>
      <c r="CL37" s="5">
        <v>0</v>
      </c>
      <c r="CM37" s="20">
        <f t="shared" si="32"/>
        <v>113</v>
      </c>
      <c r="CN37" s="8">
        <f t="shared" si="32"/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8">
        <f t="shared" ref="CV37:CY37" si="86">CV16</f>
        <v>0.8</v>
      </c>
      <c r="CW37" s="8">
        <f t="shared" si="86"/>
        <v>0.6</v>
      </c>
      <c r="CX37" s="8">
        <f t="shared" si="86"/>
        <v>1</v>
      </c>
      <c r="CY37" s="8">
        <f t="shared" si="86"/>
        <v>1</v>
      </c>
      <c r="CZ37" s="8">
        <f t="shared" si="34"/>
        <v>1</v>
      </c>
      <c r="DA37" s="6">
        <f t="shared" si="0"/>
        <v>50</v>
      </c>
      <c r="DB37" s="5">
        <f t="shared" si="35"/>
        <v>1</v>
      </c>
      <c r="DC37" s="5">
        <f t="shared" si="11"/>
        <v>0.78750000000000009</v>
      </c>
      <c r="DD37" s="6">
        <f t="shared" si="1"/>
        <v>0.78750000000000009</v>
      </c>
      <c r="DE37" s="6">
        <f t="shared" si="49"/>
        <v>1.5</v>
      </c>
      <c r="DF37" s="5">
        <v>0</v>
      </c>
      <c r="DG37" s="8">
        <f t="shared" si="36"/>
        <v>2.75</v>
      </c>
      <c r="DH37" s="5">
        <v>1.75</v>
      </c>
      <c r="DI37" s="8">
        <f t="shared" si="37"/>
        <v>0</v>
      </c>
      <c r="DJ37" s="5">
        <f t="shared" si="2"/>
        <v>0</v>
      </c>
      <c r="DK37" s="8">
        <v>0</v>
      </c>
      <c r="DL37" s="5">
        <f t="shared" si="3"/>
        <v>0</v>
      </c>
      <c r="DM37" s="5" t="s">
        <v>218</v>
      </c>
      <c r="DN37" s="8">
        <f t="shared" ref="DN37:DP37" si="87">DN16</f>
        <v>6</v>
      </c>
      <c r="DO37" s="8">
        <f t="shared" si="87"/>
        <v>0</v>
      </c>
      <c r="DP37" s="5">
        <f t="shared" si="87"/>
        <v>1</v>
      </c>
      <c r="DQ37" s="8">
        <f t="shared" si="39"/>
        <v>0</v>
      </c>
      <c r="DR37" s="5">
        <f t="shared" si="13"/>
        <v>0.9</v>
      </c>
      <c r="DS37" s="8">
        <f t="shared" si="40"/>
        <v>1</v>
      </c>
      <c r="DT37" s="8">
        <f t="shared" si="41"/>
        <v>-0.5</v>
      </c>
      <c r="DU37" s="8">
        <f t="shared" si="41"/>
        <v>0.5</v>
      </c>
      <c r="DV37" s="8">
        <f t="shared" si="41"/>
        <v>0.25</v>
      </c>
      <c r="DW37" s="5">
        <f t="shared" si="42"/>
        <v>0.33333333333333331</v>
      </c>
      <c r="DX37" s="8">
        <f t="shared" si="43"/>
        <v>4</v>
      </c>
      <c r="DY37" s="8">
        <f t="shared" si="44"/>
        <v>0</v>
      </c>
      <c r="DZ37" s="8">
        <f t="shared" si="45"/>
        <v>0</v>
      </c>
      <c r="EA37" s="5"/>
    </row>
    <row r="38" spans="1:131" x14ac:dyDescent="0.15">
      <c r="A38" s="5">
        <v>201036</v>
      </c>
      <c r="B38" s="5" t="s">
        <v>221</v>
      </c>
      <c r="C38" s="5"/>
      <c r="D38" s="5"/>
      <c r="E38" s="5"/>
      <c r="F38" s="5">
        <v>0</v>
      </c>
      <c r="G38" s="45"/>
      <c r="H38" s="5"/>
      <c r="I38" s="5"/>
      <c r="J38" s="5"/>
      <c r="K38" s="5"/>
      <c r="L38" s="10"/>
      <c r="M38" s="5"/>
      <c r="N38" s="1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20"/>
      <c r="AF38" s="5"/>
      <c r="AG38" s="5"/>
      <c r="AH38" s="5"/>
      <c r="AI38" s="5"/>
      <c r="AJ38" s="5"/>
      <c r="AK38" s="5"/>
      <c r="AL38" s="5"/>
      <c r="AM38" s="5"/>
      <c r="AN38" s="8"/>
      <c r="AO38" s="5">
        <v>0</v>
      </c>
      <c r="AP38" s="5" t="s">
        <v>221</v>
      </c>
      <c r="AQ38" s="5">
        <v>0</v>
      </c>
      <c r="AR38" s="8">
        <f t="shared" si="19"/>
        <v>2</v>
      </c>
      <c r="AS38" s="6">
        <f t="shared" si="4"/>
        <v>12</v>
      </c>
      <c r="AT38" s="6">
        <f t="shared" si="5"/>
        <v>18</v>
      </c>
      <c r="AU38" s="5">
        <f t="shared" si="20"/>
        <v>0</v>
      </c>
      <c r="AV38" s="5">
        <f t="shared" si="21"/>
        <v>0</v>
      </c>
      <c r="AW38" s="5">
        <f t="shared" si="22"/>
        <v>1</v>
      </c>
      <c r="AX38" s="5">
        <f t="shared" ref="AX38" si="88">AX17</f>
        <v>1</v>
      </c>
      <c r="AY38" s="5">
        <f t="shared" si="22"/>
        <v>0</v>
      </c>
      <c r="AZ38" s="8">
        <f t="shared" si="24"/>
        <v>22</v>
      </c>
      <c r="BA38" s="5">
        <f t="shared" si="16"/>
        <v>203015</v>
      </c>
      <c r="BB38" s="5">
        <v>0</v>
      </c>
      <c r="BC38" s="5">
        <v>0</v>
      </c>
      <c r="BD38" s="5">
        <f t="shared" si="25"/>
        <v>0</v>
      </c>
      <c r="BE38" s="5">
        <f t="shared" si="26"/>
        <v>0</v>
      </c>
      <c r="BF38" s="5">
        <f t="shared" si="27"/>
        <v>0</v>
      </c>
      <c r="BG38" s="5">
        <f t="shared" si="27"/>
        <v>0</v>
      </c>
      <c r="BH38" s="5">
        <f t="shared" si="18"/>
        <v>0</v>
      </c>
      <c r="BI38" s="5">
        <f t="shared" si="27"/>
        <v>0</v>
      </c>
      <c r="BJ38" s="5">
        <f t="shared" si="15"/>
        <v>0</v>
      </c>
      <c r="BK38" s="5">
        <v>0</v>
      </c>
      <c r="BL38" s="5">
        <f t="shared" si="63"/>
        <v>0</v>
      </c>
      <c r="BM38" s="5">
        <f t="shared" si="28"/>
        <v>0</v>
      </c>
      <c r="BN38" s="5">
        <f t="shared" si="28"/>
        <v>0</v>
      </c>
      <c r="BO38" s="5">
        <f t="shared" si="28"/>
        <v>0</v>
      </c>
      <c r="BP38" s="5">
        <f t="shared" si="28"/>
        <v>0</v>
      </c>
      <c r="BQ38" s="5">
        <f t="shared" si="64"/>
        <v>0</v>
      </c>
      <c r="BR38" s="5"/>
      <c r="BS38" s="4">
        <v>3</v>
      </c>
      <c r="BT38" s="4">
        <v>2</v>
      </c>
      <c r="BU38" s="4">
        <f t="shared" si="29"/>
        <v>0</v>
      </c>
      <c r="BV38" s="4">
        <f t="shared" si="6"/>
        <v>2</v>
      </c>
      <c r="BW38" s="4">
        <f t="shared" si="7"/>
        <v>2</v>
      </c>
      <c r="BX38" s="14">
        <f t="shared" si="8"/>
        <v>0.78</v>
      </c>
      <c r="BY38" s="14">
        <f t="shared" si="9"/>
        <v>0.5</v>
      </c>
      <c r="BZ38" s="5" t="s">
        <v>222</v>
      </c>
      <c r="CA38" s="5" t="s">
        <v>223</v>
      </c>
      <c r="CB38" s="5" t="s">
        <v>223</v>
      </c>
      <c r="CC38" s="5">
        <v>0</v>
      </c>
      <c r="CD38" s="8">
        <f t="shared" si="30"/>
        <v>1</v>
      </c>
      <c r="CE38" s="5">
        <f t="shared" si="10"/>
        <v>0</v>
      </c>
      <c r="CF38" s="5">
        <f t="shared" si="31"/>
        <v>0</v>
      </c>
      <c r="CG38" s="5" t="s">
        <v>221</v>
      </c>
      <c r="CH38" s="5">
        <f t="shared" si="47"/>
        <v>0</v>
      </c>
      <c r="CI38" s="5">
        <v>0</v>
      </c>
      <c r="CJ38" s="4">
        <v>1</v>
      </c>
      <c r="CK38" s="5">
        <v>0</v>
      </c>
      <c r="CL38" s="5">
        <v>0</v>
      </c>
      <c r="CM38" s="20">
        <f t="shared" si="32"/>
        <v>0</v>
      </c>
      <c r="CN38" s="8">
        <f t="shared" si="32"/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8">
        <f t="shared" ref="CV38:CY38" si="89">CV17</f>
        <v>0.8</v>
      </c>
      <c r="CW38" s="8">
        <f t="shared" si="89"/>
        <v>0.6</v>
      </c>
      <c r="CX38" s="8">
        <f t="shared" si="89"/>
        <v>1</v>
      </c>
      <c r="CY38" s="8">
        <f t="shared" si="89"/>
        <v>1</v>
      </c>
      <c r="CZ38" s="8">
        <f t="shared" si="34"/>
        <v>2</v>
      </c>
      <c r="DA38" s="6">
        <f t="shared" si="0"/>
        <v>100</v>
      </c>
      <c r="DB38" s="5">
        <f t="shared" si="35"/>
        <v>0</v>
      </c>
      <c r="DC38" s="5">
        <f t="shared" si="11"/>
        <v>0.1575</v>
      </c>
      <c r="DD38" s="6">
        <f t="shared" si="1"/>
        <v>0.1575</v>
      </c>
      <c r="DE38" s="6">
        <f t="shared" si="49"/>
        <v>0.3</v>
      </c>
      <c r="DF38" s="5">
        <v>0</v>
      </c>
      <c r="DG38" s="8">
        <f t="shared" si="36"/>
        <v>3</v>
      </c>
      <c r="DH38" s="5">
        <v>2</v>
      </c>
      <c r="DI38" s="8">
        <f t="shared" si="37"/>
        <v>0</v>
      </c>
      <c r="DJ38" s="5">
        <f t="shared" si="2"/>
        <v>0</v>
      </c>
      <c r="DK38" s="8">
        <v>0</v>
      </c>
      <c r="DL38" s="5">
        <f t="shared" si="3"/>
        <v>0</v>
      </c>
      <c r="DM38" s="5" t="s">
        <v>221</v>
      </c>
      <c r="DN38" s="8">
        <f t="shared" ref="DN38:DP38" si="90">DN17</f>
        <v>6</v>
      </c>
      <c r="DO38" s="8">
        <f t="shared" si="90"/>
        <v>0</v>
      </c>
      <c r="DP38" s="5">
        <f t="shared" si="90"/>
        <v>0</v>
      </c>
      <c r="DQ38" s="8">
        <f t="shared" si="39"/>
        <v>0</v>
      </c>
      <c r="DR38" s="5">
        <f t="shared" si="13"/>
        <v>0.9</v>
      </c>
      <c r="DS38" s="8">
        <f t="shared" si="40"/>
        <v>1</v>
      </c>
      <c r="DT38" s="8">
        <f t="shared" si="41"/>
        <v>-0.5</v>
      </c>
      <c r="DU38" s="8">
        <f t="shared" si="41"/>
        <v>0.5</v>
      </c>
      <c r="DV38" s="8">
        <f t="shared" si="41"/>
        <v>0.2</v>
      </c>
      <c r="DW38" s="5">
        <f t="shared" si="42"/>
        <v>0.58333333333333337</v>
      </c>
      <c r="DX38" s="8">
        <f t="shared" si="43"/>
        <v>7</v>
      </c>
      <c r="DY38" s="8">
        <f t="shared" si="44"/>
        <v>0</v>
      </c>
      <c r="DZ38" s="8">
        <f t="shared" si="45"/>
        <v>0</v>
      </c>
      <c r="EA38" s="5"/>
    </row>
    <row r="39" spans="1:131" x14ac:dyDescent="0.15">
      <c r="A39" s="5">
        <v>201037</v>
      </c>
      <c r="B39" s="5" t="s">
        <v>224</v>
      </c>
      <c r="C39" s="5"/>
      <c r="D39" s="5"/>
      <c r="E39" s="5"/>
      <c r="F39" s="5">
        <v>0</v>
      </c>
      <c r="G39" s="45"/>
      <c r="H39" s="5"/>
      <c r="I39" s="5"/>
      <c r="J39" s="5"/>
      <c r="K39" s="5"/>
      <c r="L39" s="10"/>
      <c r="M39" s="5"/>
      <c r="N39" s="10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20"/>
      <c r="AF39" s="5"/>
      <c r="AG39" s="5"/>
      <c r="AH39" s="5"/>
      <c r="AI39" s="5"/>
      <c r="AJ39" s="5"/>
      <c r="AK39" s="5"/>
      <c r="AL39" s="5"/>
      <c r="AM39" s="5"/>
      <c r="AN39" s="8"/>
      <c r="AO39" s="5">
        <v>0</v>
      </c>
      <c r="AP39" s="5" t="s">
        <v>224</v>
      </c>
      <c r="AQ39" s="5">
        <v>0</v>
      </c>
      <c r="AR39" s="8">
        <f t="shared" si="19"/>
        <v>2</v>
      </c>
      <c r="AS39" s="6">
        <f t="shared" si="4"/>
        <v>12</v>
      </c>
      <c r="AT39" s="6">
        <f t="shared" si="5"/>
        <v>18</v>
      </c>
      <c r="AU39" s="5">
        <f t="shared" si="20"/>
        <v>0</v>
      </c>
      <c r="AV39" s="5">
        <f t="shared" si="21"/>
        <v>1</v>
      </c>
      <c r="AW39" s="5">
        <f t="shared" si="22"/>
        <v>0</v>
      </c>
      <c r="AX39" s="5">
        <f t="shared" ref="AX39" si="91">AX18</f>
        <v>0</v>
      </c>
      <c r="AY39" s="5">
        <f t="shared" si="22"/>
        <v>1</v>
      </c>
      <c r="AZ39" s="8">
        <f t="shared" si="24"/>
        <v>23</v>
      </c>
      <c r="BA39" s="5">
        <f t="shared" si="16"/>
        <v>203016</v>
      </c>
      <c r="BB39" s="5">
        <v>0</v>
      </c>
      <c r="BC39" s="5">
        <v>0</v>
      </c>
      <c r="BD39" s="5">
        <f t="shared" si="25"/>
        <v>0</v>
      </c>
      <c r="BE39" s="5">
        <f t="shared" si="26"/>
        <v>306001</v>
      </c>
      <c r="BF39" s="5">
        <f t="shared" si="27"/>
        <v>0</v>
      </c>
      <c r="BG39" s="5">
        <f t="shared" si="27"/>
        <v>0</v>
      </c>
      <c r="BH39" s="5">
        <f t="shared" si="18"/>
        <v>0</v>
      </c>
      <c r="BI39" s="5">
        <f t="shared" si="27"/>
        <v>0</v>
      </c>
      <c r="BJ39" s="5">
        <f t="shared" si="15"/>
        <v>2</v>
      </c>
      <c r="BK39" s="5">
        <f>BJ39*360/BM39</f>
        <v>4</v>
      </c>
      <c r="BL39" s="5">
        <f t="shared" si="63"/>
        <v>1</v>
      </c>
      <c r="BM39" s="5">
        <f t="shared" si="28"/>
        <v>180</v>
      </c>
      <c r="BN39" s="5">
        <f t="shared" si="28"/>
        <v>180</v>
      </c>
      <c r="BO39" s="5">
        <f t="shared" si="28"/>
        <v>203017</v>
      </c>
      <c r="BP39" s="5">
        <f t="shared" si="28"/>
        <v>3</v>
      </c>
      <c r="BQ39" s="5">
        <f t="shared" si="64"/>
        <v>4</v>
      </c>
      <c r="BR39" s="5">
        <f>50*BT39*3-360/BM39*BJ39*BQ39</f>
        <v>284</v>
      </c>
      <c r="BS39" s="4">
        <v>4</v>
      </c>
      <c r="BT39" s="4">
        <v>2</v>
      </c>
      <c r="BU39" s="4">
        <f t="shared" si="29"/>
        <v>0</v>
      </c>
      <c r="BV39" s="4">
        <f t="shared" si="6"/>
        <v>2</v>
      </c>
      <c r="BW39" s="4">
        <f t="shared" si="7"/>
        <v>2</v>
      </c>
      <c r="BX39" s="14">
        <f t="shared" si="8"/>
        <v>0.78</v>
      </c>
      <c r="BY39" s="14">
        <f t="shared" si="9"/>
        <v>0.5</v>
      </c>
      <c r="BZ39" s="5" t="s">
        <v>225</v>
      </c>
      <c r="CA39" s="5" t="s">
        <v>226</v>
      </c>
      <c r="CB39" s="5" t="s">
        <v>226</v>
      </c>
      <c r="CC39" s="5">
        <v>0</v>
      </c>
      <c r="CD39" s="8">
        <f t="shared" si="30"/>
        <v>2</v>
      </c>
      <c r="CE39" s="5">
        <f t="shared" si="10"/>
        <v>0</v>
      </c>
      <c r="CF39" s="5">
        <f t="shared" si="31"/>
        <v>0</v>
      </c>
      <c r="CG39" s="5" t="s">
        <v>224</v>
      </c>
      <c r="CH39" s="5">
        <f t="shared" si="47"/>
        <v>3</v>
      </c>
      <c r="CI39" s="5">
        <v>114</v>
      </c>
      <c r="CJ39" s="4">
        <v>1</v>
      </c>
      <c r="CK39" s="5">
        <v>0</v>
      </c>
      <c r="CL39" s="5">
        <v>0</v>
      </c>
      <c r="CM39" s="20">
        <f t="shared" si="32"/>
        <v>0</v>
      </c>
      <c r="CN39" s="8">
        <f t="shared" si="32"/>
        <v>0</v>
      </c>
      <c r="CO39" s="5">
        <v>0</v>
      </c>
      <c r="CP39" s="5">
        <v>0</v>
      </c>
      <c r="CQ39" s="5">
        <v>201017</v>
      </c>
      <c r="CR39" s="5">
        <v>5</v>
      </c>
      <c r="CS39" s="5">
        <v>0</v>
      </c>
      <c r="CT39" s="5">
        <v>0</v>
      </c>
      <c r="CU39" s="5">
        <v>0</v>
      </c>
      <c r="CV39" s="8">
        <f t="shared" ref="CV39:CY39" si="92">CV18</f>
        <v>0.8</v>
      </c>
      <c r="CW39" s="8">
        <f t="shared" si="92"/>
        <v>0.6</v>
      </c>
      <c r="CX39" s="8">
        <f t="shared" si="92"/>
        <v>1</v>
      </c>
      <c r="CY39" s="8">
        <f t="shared" si="92"/>
        <v>1</v>
      </c>
      <c r="CZ39" s="8">
        <f t="shared" si="34"/>
        <v>0.8</v>
      </c>
      <c r="DA39" s="6">
        <f t="shared" si="0"/>
        <v>40</v>
      </c>
      <c r="DB39" s="5">
        <f t="shared" si="35"/>
        <v>1</v>
      </c>
      <c r="DC39" s="5">
        <f t="shared" si="11"/>
        <v>0.27300000000000002</v>
      </c>
      <c r="DD39" s="6">
        <f t="shared" si="1"/>
        <v>0.27300000000000002</v>
      </c>
      <c r="DE39" s="6">
        <f t="shared" si="49"/>
        <v>0.52</v>
      </c>
      <c r="DF39" s="5">
        <v>0</v>
      </c>
      <c r="DG39" s="8">
        <f t="shared" si="36"/>
        <v>3</v>
      </c>
      <c r="DH39" s="5">
        <v>2</v>
      </c>
      <c r="DI39" s="8">
        <f t="shared" si="37"/>
        <v>2</v>
      </c>
      <c r="DJ39" s="5">
        <f t="shared" si="2"/>
        <v>20</v>
      </c>
      <c r="DK39" s="8">
        <v>0</v>
      </c>
      <c r="DL39" s="5">
        <f t="shared" si="3"/>
        <v>0</v>
      </c>
      <c r="DM39" s="5" t="s">
        <v>224</v>
      </c>
      <c r="DN39" s="8">
        <f t="shared" ref="DN39:DP39" si="93">DN18</f>
        <v>6</v>
      </c>
      <c r="DO39" s="8">
        <f t="shared" si="93"/>
        <v>0</v>
      </c>
      <c r="DP39" s="5">
        <f t="shared" si="93"/>
        <v>0</v>
      </c>
      <c r="DQ39" s="8">
        <f t="shared" si="39"/>
        <v>0</v>
      </c>
      <c r="DR39" s="5">
        <f t="shared" si="13"/>
        <v>4.5</v>
      </c>
      <c r="DS39" s="8">
        <f t="shared" si="40"/>
        <v>5</v>
      </c>
      <c r="DT39" s="8">
        <f t="shared" si="41"/>
        <v>-5</v>
      </c>
      <c r="DU39" s="8">
        <f t="shared" si="41"/>
        <v>0</v>
      </c>
      <c r="DV39" s="8">
        <f t="shared" si="41"/>
        <v>0.2</v>
      </c>
      <c r="DW39" s="5">
        <f t="shared" si="42"/>
        <v>0.5</v>
      </c>
      <c r="DX39" s="8">
        <f t="shared" si="43"/>
        <v>6</v>
      </c>
      <c r="DY39" s="8">
        <f t="shared" si="44"/>
        <v>0</v>
      </c>
      <c r="DZ39" s="8">
        <f t="shared" si="45"/>
        <v>0</v>
      </c>
      <c r="EA39" s="5"/>
    </row>
    <row r="40" spans="1:131" x14ac:dyDescent="0.15">
      <c r="A40" s="5">
        <v>201038</v>
      </c>
      <c r="B40" s="5" t="s">
        <v>227</v>
      </c>
      <c r="C40" s="5"/>
      <c r="D40" s="5"/>
      <c r="E40" s="5"/>
      <c r="F40" s="5">
        <v>0</v>
      </c>
      <c r="G40" s="45"/>
      <c r="H40" s="5"/>
      <c r="I40" s="5"/>
      <c r="J40" s="5"/>
      <c r="K40" s="5"/>
      <c r="L40" s="10"/>
      <c r="M40" s="5"/>
      <c r="N40" s="10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20"/>
      <c r="AF40" s="5"/>
      <c r="AG40" s="5"/>
      <c r="AH40" s="5"/>
      <c r="AI40" s="5"/>
      <c r="AJ40" s="5"/>
      <c r="AK40" s="5"/>
      <c r="AL40" s="5"/>
      <c r="AM40" s="5"/>
      <c r="AN40" s="8"/>
      <c r="AO40" s="5">
        <v>0</v>
      </c>
      <c r="AP40" s="5" t="s">
        <v>227</v>
      </c>
      <c r="AQ40" s="5">
        <v>0</v>
      </c>
      <c r="AR40" s="8">
        <f t="shared" si="19"/>
        <v>1.5</v>
      </c>
      <c r="AS40" s="6">
        <f t="shared" si="4"/>
        <v>9</v>
      </c>
      <c r="AT40" s="6">
        <f t="shared" si="5"/>
        <v>15</v>
      </c>
      <c r="AU40" s="5">
        <f t="shared" si="20"/>
        <v>0</v>
      </c>
      <c r="AV40" s="5">
        <f t="shared" si="21"/>
        <v>1</v>
      </c>
      <c r="AW40" s="5">
        <f t="shared" si="22"/>
        <v>0</v>
      </c>
      <c r="AX40" s="5">
        <f t="shared" ref="AX40" si="94">AX19</f>
        <v>0</v>
      </c>
      <c r="AY40" s="5">
        <f t="shared" si="22"/>
        <v>1</v>
      </c>
      <c r="AZ40" s="8">
        <f t="shared" si="24"/>
        <v>23</v>
      </c>
      <c r="BA40" s="5">
        <f t="shared" si="16"/>
        <v>203017</v>
      </c>
      <c r="BB40" s="5">
        <v>0</v>
      </c>
      <c r="BC40" s="5">
        <v>0</v>
      </c>
      <c r="BD40" s="5">
        <f t="shared" si="25"/>
        <v>0</v>
      </c>
      <c r="BE40" s="5">
        <f t="shared" si="26"/>
        <v>0</v>
      </c>
      <c r="BF40" s="5">
        <f t="shared" si="27"/>
        <v>0</v>
      </c>
      <c r="BG40" s="5">
        <f t="shared" si="27"/>
        <v>15</v>
      </c>
      <c r="BH40" s="5">
        <f t="shared" si="18"/>
        <v>270</v>
      </c>
      <c r="BI40" s="5">
        <f t="shared" si="27"/>
        <v>0</v>
      </c>
      <c r="BJ40" s="5">
        <f t="shared" si="15"/>
        <v>0</v>
      </c>
      <c r="BK40" s="5">
        <v>0</v>
      </c>
      <c r="BL40" s="5">
        <f t="shared" si="63"/>
        <v>0</v>
      </c>
      <c r="BM40" s="5">
        <f t="shared" si="28"/>
        <v>0</v>
      </c>
      <c r="BN40" s="5">
        <f t="shared" si="28"/>
        <v>0</v>
      </c>
      <c r="BO40" s="5">
        <f t="shared" si="28"/>
        <v>0</v>
      </c>
      <c r="BP40" s="5">
        <f t="shared" si="28"/>
        <v>0</v>
      </c>
      <c r="BQ40" s="5">
        <f t="shared" si="64"/>
        <v>0</v>
      </c>
      <c r="BR40" s="5"/>
      <c r="BS40" s="4">
        <v>4</v>
      </c>
      <c r="BT40" s="4">
        <v>2</v>
      </c>
      <c r="BU40" s="4">
        <f t="shared" si="29"/>
        <v>0</v>
      </c>
      <c r="BV40" s="4">
        <f t="shared" si="6"/>
        <v>2</v>
      </c>
      <c r="BW40" s="4">
        <f t="shared" si="7"/>
        <v>2</v>
      </c>
      <c r="BX40" s="14">
        <f t="shared" si="8"/>
        <v>0.78</v>
      </c>
      <c r="BY40" s="14">
        <f t="shared" si="9"/>
        <v>0.5</v>
      </c>
      <c r="BZ40" s="5" t="s">
        <v>228</v>
      </c>
      <c r="CA40" s="5" t="s">
        <v>229</v>
      </c>
      <c r="CB40" s="5" t="s">
        <v>229</v>
      </c>
      <c r="CC40" s="5">
        <v>0</v>
      </c>
      <c r="CD40" s="8">
        <f t="shared" si="30"/>
        <v>2</v>
      </c>
      <c r="CE40" s="5">
        <f t="shared" si="10"/>
        <v>0</v>
      </c>
      <c r="CF40" s="5">
        <f t="shared" si="31"/>
        <v>0</v>
      </c>
      <c r="CG40" s="5" t="s">
        <v>227</v>
      </c>
      <c r="CH40" s="5">
        <f t="shared" si="47"/>
        <v>3</v>
      </c>
      <c r="CI40" s="5">
        <v>0</v>
      </c>
      <c r="CJ40" s="4">
        <v>1</v>
      </c>
      <c r="CK40" s="5">
        <v>0</v>
      </c>
      <c r="CL40" s="5">
        <v>0</v>
      </c>
      <c r="CM40" s="20">
        <f t="shared" si="32"/>
        <v>0</v>
      </c>
      <c r="CN40" s="8">
        <f t="shared" si="32"/>
        <v>0</v>
      </c>
      <c r="CO40" s="5">
        <v>0</v>
      </c>
      <c r="CP40" s="5">
        <v>0</v>
      </c>
      <c r="CQ40" s="5">
        <v>0</v>
      </c>
      <c r="CR40" s="5">
        <v>0</v>
      </c>
      <c r="CS40" s="5">
        <v>201037</v>
      </c>
      <c r="CT40" s="5">
        <v>0</v>
      </c>
      <c r="CU40" s="5">
        <v>0</v>
      </c>
      <c r="CV40" s="8">
        <f t="shared" ref="CV40:CY40" si="95">CV19</f>
        <v>0.8</v>
      </c>
      <c r="CW40" s="8">
        <f t="shared" si="95"/>
        <v>0.6</v>
      </c>
      <c r="CX40" s="8">
        <f t="shared" si="95"/>
        <v>1</v>
      </c>
      <c r="CY40" s="8">
        <f t="shared" si="95"/>
        <v>1</v>
      </c>
      <c r="CZ40" s="8">
        <f t="shared" si="34"/>
        <v>1</v>
      </c>
      <c r="DA40" s="6">
        <f t="shared" si="0"/>
        <v>50</v>
      </c>
      <c r="DB40" s="5">
        <f t="shared" si="35"/>
        <v>1</v>
      </c>
      <c r="DC40" s="5">
        <f t="shared" si="11"/>
        <v>0.13125000000000001</v>
      </c>
      <c r="DD40" s="6">
        <f t="shared" si="1"/>
        <v>0.13125000000000001</v>
      </c>
      <c r="DE40" s="6">
        <f t="shared" si="49"/>
        <v>0.25</v>
      </c>
      <c r="DF40" s="5">
        <v>0</v>
      </c>
      <c r="DG40" s="8">
        <f t="shared" si="36"/>
        <v>3</v>
      </c>
      <c r="DH40" s="5">
        <v>2</v>
      </c>
      <c r="DI40" s="8">
        <f t="shared" si="37"/>
        <v>0</v>
      </c>
      <c r="DJ40" s="5">
        <f t="shared" si="2"/>
        <v>0</v>
      </c>
      <c r="DK40" s="8">
        <v>0</v>
      </c>
      <c r="DL40" s="5">
        <f t="shared" si="3"/>
        <v>0</v>
      </c>
      <c r="DM40" s="5" t="s">
        <v>227</v>
      </c>
      <c r="DN40" s="8">
        <f t="shared" ref="DN40:DP40" si="96">DN19</f>
        <v>0</v>
      </c>
      <c r="DO40" s="8">
        <f t="shared" si="96"/>
        <v>0</v>
      </c>
      <c r="DP40" s="5">
        <f t="shared" si="96"/>
        <v>0</v>
      </c>
      <c r="DQ40" s="8">
        <f t="shared" si="39"/>
        <v>0</v>
      </c>
      <c r="DR40" s="5">
        <f t="shared" si="13"/>
        <v>3.15</v>
      </c>
      <c r="DS40" s="8">
        <f t="shared" si="40"/>
        <v>3.5</v>
      </c>
      <c r="DT40" s="8">
        <f t="shared" si="41"/>
        <v>-0.5</v>
      </c>
      <c r="DU40" s="8">
        <f t="shared" si="41"/>
        <v>0.5</v>
      </c>
      <c r="DV40" s="8">
        <f t="shared" si="41"/>
        <v>0.2</v>
      </c>
      <c r="DW40" s="5">
        <f t="shared" si="42"/>
        <v>0</v>
      </c>
      <c r="DX40" s="8">
        <f t="shared" si="43"/>
        <v>0</v>
      </c>
      <c r="DY40" s="8">
        <f t="shared" si="44"/>
        <v>0</v>
      </c>
      <c r="DZ40" s="8">
        <f t="shared" si="45"/>
        <v>0</v>
      </c>
      <c r="EA40" s="5"/>
    </row>
    <row r="41" spans="1:131" x14ac:dyDescent="0.15">
      <c r="A41" s="5">
        <v>201039</v>
      </c>
      <c r="B41" s="5" t="s">
        <v>230</v>
      </c>
      <c r="C41" s="5"/>
      <c r="D41" s="5"/>
      <c r="E41" s="5"/>
      <c r="F41" s="5">
        <v>0</v>
      </c>
      <c r="G41" s="45"/>
      <c r="H41" s="5"/>
      <c r="I41" s="5"/>
      <c r="J41" s="5"/>
      <c r="K41" s="5"/>
      <c r="L41" s="10"/>
      <c r="M41" s="5"/>
      <c r="N41" s="1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20"/>
      <c r="AF41" s="5"/>
      <c r="AG41" s="5"/>
      <c r="AH41" s="5"/>
      <c r="AI41" s="5"/>
      <c r="AJ41" s="5"/>
      <c r="AK41" s="5"/>
      <c r="AL41" s="5"/>
      <c r="AM41" s="5"/>
      <c r="AN41" s="8"/>
      <c r="AO41" s="5">
        <v>0</v>
      </c>
      <c r="AP41" s="5" t="s">
        <v>230</v>
      </c>
      <c r="AQ41" s="5">
        <v>0</v>
      </c>
      <c r="AR41" s="8">
        <f t="shared" si="19"/>
        <v>2</v>
      </c>
      <c r="AS41" s="6">
        <f t="shared" si="4"/>
        <v>12</v>
      </c>
      <c r="AT41" s="6">
        <f t="shared" si="5"/>
        <v>18</v>
      </c>
      <c r="AU41" s="5">
        <f t="shared" si="20"/>
        <v>0.2</v>
      </c>
      <c r="AV41" s="5">
        <f t="shared" si="21"/>
        <v>1</v>
      </c>
      <c r="AW41" s="5">
        <f t="shared" si="22"/>
        <v>1</v>
      </c>
      <c r="AX41" s="5">
        <f t="shared" ref="AX41" si="97">AX20</f>
        <v>1</v>
      </c>
      <c r="AY41" s="5">
        <f t="shared" si="22"/>
        <v>1</v>
      </c>
      <c r="AZ41" s="8">
        <f t="shared" si="24"/>
        <v>22</v>
      </c>
      <c r="BA41" s="5">
        <f t="shared" si="16"/>
        <v>203018</v>
      </c>
      <c r="BB41" s="5">
        <v>0</v>
      </c>
      <c r="BC41" s="5">
        <v>0</v>
      </c>
      <c r="BD41" s="5">
        <f t="shared" si="25"/>
        <v>0</v>
      </c>
      <c r="BE41" s="5">
        <f t="shared" si="26"/>
        <v>604001</v>
      </c>
      <c r="BF41" s="5">
        <f t="shared" si="27"/>
        <v>0</v>
      </c>
      <c r="BG41" s="5">
        <f t="shared" si="27"/>
        <v>0</v>
      </c>
      <c r="BH41" s="5">
        <f t="shared" si="18"/>
        <v>0</v>
      </c>
      <c r="BI41" s="5">
        <f t="shared" si="27"/>
        <v>0</v>
      </c>
      <c r="BJ41" s="5">
        <v>16</v>
      </c>
      <c r="BK41" s="5">
        <f>BJ41*360/BM41</f>
        <v>64</v>
      </c>
      <c r="BL41" s="5">
        <f t="shared" si="63"/>
        <v>2</v>
      </c>
      <c r="BM41" s="5">
        <f t="shared" si="28"/>
        <v>90</v>
      </c>
      <c r="BN41" s="5">
        <f t="shared" si="28"/>
        <v>180</v>
      </c>
      <c r="BO41" s="5">
        <f t="shared" si="28"/>
        <v>203019</v>
      </c>
      <c r="BP41" s="5">
        <f t="shared" si="28"/>
        <v>3</v>
      </c>
      <c r="BQ41" s="5">
        <f t="shared" si="64"/>
        <v>2</v>
      </c>
      <c r="BR41" s="5">
        <f>50*BT41*3-360/BM41*BJ41*BQ41</f>
        <v>172</v>
      </c>
      <c r="BS41" s="4">
        <v>4</v>
      </c>
      <c r="BT41" s="4">
        <v>2</v>
      </c>
      <c r="BU41" s="4">
        <f t="shared" si="29"/>
        <v>0</v>
      </c>
      <c r="BV41" s="4">
        <f t="shared" si="6"/>
        <v>2</v>
      </c>
      <c r="BW41" s="4">
        <f t="shared" si="7"/>
        <v>2</v>
      </c>
      <c r="BX41" s="14">
        <f t="shared" si="8"/>
        <v>0.78</v>
      </c>
      <c r="BY41" s="14">
        <f t="shared" si="9"/>
        <v>0.5</v>
      </c>
      <c r="BZ41" s="5" t="s">
        <v>231</v>
      </c>
      <c r="CA41" s="5" t="s">
        <v>232</v>
      </c>
      <c r="CB41" s="5" t="s">
        <v>232</v>
      </c>
      <c r="CC41" s="5">
        <v>0</v>
      </c>
      <c r="CD41" s="8">
        <f t="shared" si="30"/>
        <v>2</v>
      </c>
      <c r="CE41" s="5">
        <f t="shared" si="10"/>
        <v>2</v>
      </c>
      <c r="CF41" s="5">
        <f t="shared" si="31"/>
        <v>1</v>
      </c>
      <c r="CG41" s="5" t="s">
        <v>230</v>
      </c>
      <c r="CH41" s="5">
        <f t="shared" si="47"/>
        <v>3</v>
      </c>
      <c r="CI41" s="5">
        <v>105</v>
      </c>
      <c r="CJ41" s="4">
        <v>1</v>
      </c>
      <c r="CK41" s="5">
        <v>0</v>
      </c>
      <c r="CL41" s="5">
        <v>0</v>
      </c>
      <c r="CM41" s="20">
        <f t="shared" si="32"/>
        <v>0</v>
      </c>
      <c r="CN41" s="8">
        <f t="shared" si="32"/>
        <v>0</v>
      </c>
      <c r="CO41" s="5">
        <v>0</v>
      </c>
      <c r="CP41" s="5">
        <v>0</v>
      </c>
      <c r="CQ41" s="5">
        <v>201019</v>
      </c>
      <c r="CR41" s="5">
        <v>5</v>
      </c>
      <c r="CS41" s="5">
        <v>0</v>
      </c>
      <c r="CT41" s="5">
        <v>0</v>
      </c>
      <c r="CU41" s="5">
        <v>0</v>
      </c>
      <c r="CV41" s="8">
        <f t="shared" ref="CV41:CY41" si="98">CV20</f>
        <v>0.8</v>
      </c>
      <c r="CW41" s="8">
        <f t="shared" si="98"/>
        <v>0.6</v>
      </c>
      <c r="CX41" s="8">
        <f t="shared" si="98"/>
        <v>1</v>
      </c>
      <c r="CY41" s="8">
        <f t="shared" si="98"/>
        <v>1</v>
      </c>
      <c r="CZ41" s="8">
        <f t="shared" si="34"/>
        <v>1</v>
      </c>
      <c r="DA41" s="6">
        <f t="shared" si="0"/>
        <v>50</v>
      </c>
      <c r="DB41" s="5">
        <f t="shared" si="35"/>
        <v>0</v>
      </c>
      <c r="DC41" s="5">
        <f t="shared" si="11"/>
        <v>0.13125000000000001</v>
      </c>
      <c r="DD41" s="6">
        <f t="shared" si="1"/>
        <v>0.13125000000000001</v>
      </c>
      <c r="DE41" s="6">
        <f t="shared" si="49"/>
        <v>0.25</v>
      </c>
      <c r="DF41" s="5">
        <v>0</v>
      </c>
      <c r="DG41" s="8">
        <f t="shared" si="36"/>
        <v>2.25</v>
      </c>
      <c r="DH41" s="5">
        <v>1.25</v>
      </c>
      <c r="DI41" s="8">
        <f t="shared" si="37"/>
        <v>4</v>
      </c>
      <c r="DJ41" s="5">
        <f t="shared" si="2"/>
        <v>40</v>
      </c>
      <c r="DK41" s="8">
        <v>0</v>
      </c>
      <c r="DL41" s="5">
        <f t="shared" si="3"/>
        <v>0</v>
      </c>
      <c r="DM41" s="5" t="s">
        <v>233</v>
      </c>
      <c r="DN41" s="8">
        <f t="shared" ref="DN41:DP41" si="99">DN20</f>
        <v>6</v>
      </c>
      <c r="DO41" s="8">
        <f t="shared" si="99"/>
        <v>0</v>
      </c>
      <c r="DP41" s="5">
        <f t="shared" si="99"/>
        <v>0</v>
      </c>
      <c r="DQ41" s="8">
        <f t="shared" si="39"/>
        <v>0</v>
      </c>
      <c r="DR41" s="5">
        <f t="shared" si="13"/>
        <v>1.35</v>
      </c>
      <c r="DS41" s="8">
        <f t="shared" si="40"/>
        <v>1.5</v>
      </c>
      <c r="DT41" s="8">
        <f t="shared" si="41"/>
        <v>-0.5</v>
      </c>
      <c r="DU41" s="8">
        <f t="shared" si="41"/>
        <v>0.5</v>
      </c>
      <c r="DV41" s="8">
        <f t="shared" si="41"/>
        <v>0.35</v>
      </c>
      <c r="DW41" s="5">
        <f t="shared" si="42"/>
        <v>0.33333333333333331</v>
      </c>
      <c r="DX41" s="8">
        <f t="shared" si="43"/>
        <v>4</v>
      </c>
      <c r="DY41" s="8">
        <f t="shared" si="44"/>
        <v>0</v>
      </c>
      <c r="DZ41" s="8">
        <f t="shared" si="45"/>
        <v>0</v>
      </c>
      <c r="EA41" s="5"/>
    </row>
    <row r="42" spans="1:131" x14ac:dyDescent="0.15">
      <c r="A42" s="5">
        <v>201040</v>
      </c>
      <c r="B42" s="5" t="s">
        <v>234</v>
      </c>
      <c r="C42" s="5"/>
      <c r="D42" s="5"/>
      <c r="E42" s="5"/>
      <c r="F42" s="5">
        <v>0</v>
      </c>
      <c r="G42" s="45"/>
      <c r="H42" s="5"/>
      <c r="I42" s="5"/>
      <c r="J42" s="5"/>
      <c r="K42" s="5"/>
      <c r="L42" s="10"/>
      <c r="M42" s="5"/>
      <c r="N42" s="1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20"/>
      <c r="AF42" s="5"/>
      <c r="AG42" s="5"/>
      <c r="AH42" s="5"/>
      <c r="AI42" s="5"/>
      <c r="AJ42" s="5"/>
      <c r="AK42" s="5"/>
      <c r="AL42" s="5"/>
      <c r="AM42" s="5"/>
      <c r="AN42" s="8"/>
      <c r="AO42" s="5">
        <v>0</v>
      </c>
      <c r="AP42" s="5" t="s">
        <v>234</v>
      </c>
      <c r="AQ42" s="5">
        <v>0</v>
      </c>
      <c r="AR42" s="8">
        <f t="shared" si="19"/>
        <v>1.5</v>
      </c>
      <c r="AS42" s="6">
        <f t="shared" si="4"/>
        <v>9</v>
      </c>
      <c r="AT42" s="6">
        <f t="shared" si="5"/>
        <v>15</v>
      </c>
      <c r="AU42" s="5">
        <f t="shared" si="20"/>
        <v>0</v>
      </c>
      <c r="AV42" s="5">
        <f t="shared" si="21"/>
        <v>1</v>
      </c>
      <c r="AW42" s="5">
        <f t="shared" si="22"/>
        <v>1</v>
      </c>
      <c r="AX42" s="5">
        <f t="shared" ref="AX42" si="100">AX21</f>
        <v>1</v>
      </c>
      <c r="AY42" s="5">
        <f t="shared" si="22"/>
        <v>1</v>
      </c>
      <c r="AZ42" s="8">
        <f t="shared" si="24"/>
        <v>22</v>
      </c>
      <c r="BA42" s="5">
        <f t="shared" si="16"/>
        <v>203019</v>
      </c>
      <c r="BB42" s="5">
        <v>0</v>
      </c>
      <c r="BC42" s="5">
        <v>0</v>
      </c>
      <c r="BD42" s="5">
        <f t="shared" si="25"/>
        <v>0</v>
      </c>
      <c r="BE42" s="5">
        <f t="shared" si="26"/>
        <v>0</v>
      </c>
      <c r="BF42" s="5">
        <f t="shared" si="27"/>
        <v>0</v>
      </c>
      <c r="BG42" s="5">
        <f t="shared" si="27"/>
        <v>15</v>
      </c>
      <c r="BH42" s="5">
        <f t="shared" si="18"/>
        <v>270</v>
      </c>
      <c r="BI42" s="5">
        <f t="shared" si="27"/>
        <v>0</v>
      </c>
      <c r="BJ42" s="5">
        <f t="shared" si="15"/>
        <v>0</v>
      </c>
      <c r="BK42" s="5">
        <v>0</v>
      </c>
      <c r="BL42" s="5">
        <f t="shared" si="63"/>
        <v>0</v>
      </c>
      <c r="BM42" s="5">
        <f t="shared" si="28"/>
        <v>0</v>
      </c>
      <c r="BN42" s="5">
        <f t="shared" si="28"/>
        <v>0</v>
      </c>
      <c r="BO42" s="5">
        <f t="shared" si="28"/>
        <v>0</v>
      </c>
      <c r="BP42" s="5">
        <f t="shared" si="28"/>
        <v>0</v>
      </c>
      <c r="BQ42" s="5">
        <f t="shared" si="64"/>
        <v>0</v>
      </c>
      <c r="BR42" s="5"/>
      <c r="BS42" s="4">
        <v>4</v>
      </c>
      <c r="BT42" s="4">
        <v>2</v>
      </c>
      <c r="BU42" s="4">
        <f t="shared" si="29"/>
        <v>0</v>
      </c>
      <c r="BV42" s="4">
        <f t="shared" si="6"/>
        <v>2</v>
      </c>
      <c r="BW42" s="4">
        <f t="shared" si="7"/>
        <v>2</v>
      </c>
      <c r="BX42" s="14">
        <f t="shared" si="8"/>
        <v>0.78</v>
      </c>
      <c r="BY42" s="14">
        <f t="shared" si="9"/>
        <v>0.5</v>
      </c>
      <c r="BZ42" s="5" t="s">
        <v>235</v>
      </c>
      <c r="CA42" s="5" t="s">
        <v>236</v>
      </c>
      <c r="CB42" s="5" t="s">
        <v>236</v>
      </c>
      <c r="CC42" s="5">
        <v>0</v>
      </c>
      <c r="CD42" s="8">
        <f t="shared" si="30"/>
        <v>2</v>
      </c>
      <c r="CE42" s="5">
        <f t="shared" si="10"/>
        <v>0</v>
      </c>
      <c r="CF42" s="5">
        <f t="shared" si="31"/>
        <v>0</v>
      </c>
      <c r="CG42" s="5" t="s">
        <v>234</v>
      </c>
      <c r="CH42" s="5">
        <f t="shared" si="47"/>
        <v>3</v>
      </c>
      <c r="CI42" s="5">
        <v>0</v>
      </c>
      <c r="CJ42" s="4">
        <v>1</v>
      </c>
      <c r="CK42" s="5">
        <v>0</v>
      </c>
      <c r="CL42" s="5">
        <v>0</v>
      </c>
      <c r="CM42" s="20">
        <f t="shared" si="32"/>
        <v>0</v>
      </c>
      <c r="CN42" s="8">
        <f t="shared" si="32"/>
        <v>0</v>
      </c>
      <c r="CO42" s="5">
        <v>0</v>
      </c>
      <c r="CP42" s="5">
        <v>0</v>
      </c>
      <c r="CQ42" s="5">
        <v>0</v>
      </c>
      <c r="CR42" s="5">
        <v>0</v>
      </c>
      <c r="CS42" s="5">
        <v>201039</v>
      </c>
      <c r="CT42" s="5">
        <v>0</v>
      </c>
      <c r="CU42" s="5">
        <v>0</v>
      </c>
      <c r="CV42" s="8">
        <f t="shared" ref="CV42:CY42" si="101">CV21</f>
        <v>0.8</v>
      </c>
      <c r="CW42" s="8">
        <f t="shared" si="101"/>
        <v>0.6</v>
      </c>
      <c r="CX42" s="8">
        <f t="shared" si="101"/>
        <v>1</v>
      </c>
      <c r="CY42" s="8">
        <f t="shared" si="101"/>
        <v>1</v>
      </c>
      <c r="CZ42" s="8">
        <f t="shared" si="34"/>
        <v>1</v>
      </c>
      <c r="DA42" s="6">
        <f t="shared" si="0"/>
        <v>50</v>
      </c>
      <c r="DB42" s="5">
        <f t="shared" si="35"/>
        <v>0</v>
      </c>
      <c r="DC42" s="5">
        <f t="shared" si="11"/>
        <v>0.13125000000000001</v>
      </c>
      <c r="DD42" s="6">
        <f t="shared" si="1"/>
        <v>0.13125000000000001</v>
      </c>
      <c r="DE42" s="6">
        <f t="shared" si="49"/>
        <v>0.25</v>
      </c>
      <c r="DF42" s="5">
        <v>0</v>
      </c>
      <c r="DG42" s="8">
        <f t="shared" si="36"/>
        <v>2.25</v>
      </c>
      <c r="DH42" s="5">
        <v>1.25</v>
      </c>
      <c r="DI42" s="8">
        <f t="shared" si="37"/>
        <v>0</v>
      </c>
      <c r="DJ42" s="5">
        <f t="shared" si="2"/>
        <v>0</v>
      </c>
      <c r="DK42" s="8">
        <v>0</v>
      </c>
      <c r="DL42" s="5">
        <f t="shared" si="3"/>
        <v>0</v>
      </c>
      <c r="DM42" s="5" t="s">
        <v>237</v>
      </c>
      <c r="DN42" s="8">
        <f t="shared" ref="DN42:DP42" si="102">DN21</f>
        <v>0</v>
      </c>
      <c r="DO42" s="8">
        <f t="shared" si="102"/>
        <v>0</v>
      </c>
      <c r="DP42" s="5">
        <f t="shared" si="102"/>
        <v>0</v>
      </c>
      <c r="DQ42" s="8">
        <f t="shared" si="39"/>
        <v>0</v>
      </c>
      <c r="DR42" s="5">
        <f t="shared" si="13"/>
        <v>1.35</v>
      </c>
      <c r="DS42" s="8">
        <f t="shared" si="40"/>
        <v>1.5</v>
      </c>
      <c r="DT42" s="8">
        <f t="shared" si="41"/>
        <v>-0.5</v>
      </c>
      <c r="DU42" s="8">
        <f t="shared" si="41"/>
        <v>0.5</v>
      </c>
      <c r="DV42" s="8">
        <f t="shared" si="41"/>
        <v>0.35</v>
      </c>
      <c r="DW42" s="5">
        <f t="shared" si="42"/>
        <v>0</v>
      </c>
      <c r="DX42" s="8">
        <f t="shared" si="43"/>
        <v>0</v>
      </c>
      <c r="DY42" s="8">
        <f t="shared" si="44"/>
        <v>0</v>
      </c>
      <c r="DZ42" s="8">
        <f t="shared" si="45"/>
        <v>0</v>
      </c>
      <c r="EA42" s="5"/>
    </row>
    <row r="43" spans="1:131" x14ac:dyDescent="0.15">
      <c r="A43" s="5">
        <v>201041</v>
      </c>
      <c r="B43" s="5" t="s">
        <v>238</v>
      </c>
      <c r="C43" s="5"/>
      <c r="D43" s="5"/>
      <c r="E43" s="5"/>
      <c r="F43" s="5">
        <v>0</v>
      </c>
      <c r="G43" s="45"/>
      <c r="H43" s="5"/>
      <c r="I43" s="5"/>
      <c r="J43" s="5"/>
      <c r="K43" s="5"/>
      <c r="L43" s="10"/>
      <c r="M43" s="5"/>
      <c r="N43" s="1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20"/>
      <c r="AF43" s="5"/>
      <c r="AG43" s="5"/>
      <c r="AH43" s="5"/>
      <c r="AI43" s="5"/>
      <c r="AJ43" s="5"/>
      <c r="AK43" s="5"/>
      <c r="AL43" s="5"/>
      <c r="AM43" s="5"/>
      <c r="AN43" s="8"/>
      <c r="AO43" s="5">
        <v>0</v>
      </c>
      <c r="AP43" s="5" t="s">
        <v>238</v>
      </c>
      <c r="AQ43" s="5">
        <v>0</v>
      </c>
      <c r="AR43" s="8">
        <f t="shared" si="19"/>
        <v>3</v>
      </c>
      <c r="AS43" s="6">
        <f t="shared" si="4"/>
        <v>18</v>
      </c>
      <c r="AT43" s="6">
        <f t="shared" si="5"/>
        <v>24</v>
      </c>
      <c r="AU43" s="5">
        <f t="shared" si="20"/>
        <v>0</v>
      </c>
      <c r="AV43" s="5">
        <f t="shared" si="21"/>
        <v>1</v>
      </c>
      <c r="AW43" s="5">
        <f t="shared" si="22"/>
        <v>0</v>
      </c>
      <c r="AX43" s="5">
        <f t="shared" ref="AX43" si="103">AX22</f>
        <v>0</v>
      </c>
      <c r="AY43" s="5">
        <f t="shared" si="22"/>
        <v>0</v>
      </c>
      <c r="AZ43" s="8">
        <f t="shared" si="24"/>
        <v>21</v>
      </c>
      <c r="BA43" s="5">
        <f t="shared" si="16"/>
        <v>203020</v>
      </c>
      <c r="BB43" s="5">
        <v>0</v>
      </c>
      <c r="BC43" s="5">
        <v>0</v>
      </c>
      <c r="BD43" s="5">
        <f t="shared" si="25"/>
        <v>0</v>
      </c>
      <c r="BE43" s="5">
        <f t="shared" si="26"/>
        <v>0</v>
      </c>
      <c r="BF43" s="5">
        <f t="shared" si="27"/>
        <v>0</v>
      </c>
      <c r="BG43" s="5">
        <f t="shared" si="27"/>
        <v>0</v>
      </c>
      <c r="BH43" s="5">
        <f t="shared" si="18"/>
        <v>0</v>
      </c>
      <c r="BI43" s="5">
        <f t="shared" si="27"/>
        <v>0</v>
      </c>
      <c r="BJ43" s="5">
        <f t="shared" si="15"/>
        <v>0</v>
      </c>
      <c r="BK43" s="5">
        <v>0</v>
      </c>
      <c r="BL43" s="5">
        <f t="shared" si="63"/>
        <v>0</v>
      </c>
      <c r="BM43" s="5">
        <f t="shared" si="28"/>
        <v>0</v>
      </c>
      <c r="BN43" s="5">
        <f t="shared" si="28"/>
        <v>0</v>
      </c>
      <c r="BO43" s="5">
        <f t="shared" si="28"/>
        <v>0</v>
      </c>
      <c r="BP43" s="5">
        <f t="shared" si="28"/>
        <v>0</v>
      </c>
      <c r="BQ43" s="5">
        <f t="shared" si="64"/>
        <v>0</v>
      </c>
      <c r="BR43" s="5"/>
      <c r="BS43" s="4">
        <v>4</v>
      </c>
      <c r="BT43" s="4">
        <v>2</v>
      </c>
      <c r="BU43" s="4">
        <f t="shared" si="29"/>
        <v>0</v>
      </c>
      <c r="BV43" s="4">
        <f t="shared" si="6"/>
        <v>2</v>
      </c>
      <c r="BW43" s="4">
        <f t="shared" si="7"/>
        <v>2</v>
      </c>
      <c r="BX43" s="14">
        <f t="shared" si="8"/>
        <v>0.78</v>
      </c>
      <c r="BY43" s="14">
        <f t="shared" si="9"/>
        <v>0.5</v>
      </c>
      <c r="BZ43" s="5" t="s">
        <v>239</v>
      </c>
      <c r="CA43" s="5" t="s">
        <v>240</v>
      </c>
      <c r="CB43" s="5" t="s">
        <v>240</v>
      </c>
      <c r="CC43" s="5">
        <v>0</v>
      </c>
      <c r="CD43" s="8">
        <f t="shared" si="30"/>
        <v>1</v>
      </c>
      <c r="CE43" s="5">
        <f t="shared" si="10"/>
        <v>0</v>
      </c>
      <c r="CF43" s="5">
        <f t="shared" si="31"/>
        <v>0</v>
      </c>
      <c r="CG43" s="5" t="s">
        <v>238</v>
      </c>
      <c r="CH43" s="5">
        <f t="shared" si="47"/>
        <v>3</v>
      </c>
      <c r="CI43" s="5">
        <v>0</v>
      </c>
      <c r="CJ43" s="4">
        <v>1</v>
      </c>
      <c r="CK43" s="5">
        <v>0</v>
      </c>
      <c r="CL43" s="5">
        <v>0</v>
      </c>
      <c r="CM43" s="20">
        <f t="shared" si="32"/>
        <v>0</v>
      </c>
      <c r="CN43" s="8">
        <f t="shared" si="32"/>
        <v>0</v>
      </c>
      <c r="CO43" s="5">
        <v>0</v>
      </c>
      <c r="CP43" s="5">
        <v>0</v>
      </c>
      <c r="CQ43" s="5">
        <v>0</v>
      </c>
      <c r="CR43" s="5">
        <v>0</v>
      </c>
      <c r="CS43" s="5">
        <v>201020</v>
      </c>
      <c r="CT43" s="5">
        <v>0</v>
      </c>
      <c r="CU43" s="5">
        <v>0</v>
      </c>
      <c r="CV43" s="8">
        <f t="shared" ref="CV43:CY43" si="104">CV22</f>
        <v>0.8</v>
      </c>
      <c r="CW43" s="8">
        <f t="shared" si="104"/>
        <v>0.6</v>
      </c>
      <c r="CX43" s="8">
        <f t="shared" si="104"/>
        <v>1</v>
      </c>
      <c r="CY43" s="8">
        <f t="shared" si="104"/>
        <v>1</v>
      </c>
      <c r="CZ43" s="8">
        <f t="shared" si="34"/>
        <v>1</v>
      </c>
      <c r="DA43" s="6">
        <f t="shared" si="0"/>
        <v>50</v>
      </c>
      <c r="DB43" s="5">
        <f t="shared" si="35"/>
        <v>0</v>
      </c>
      <c r="DC43" s="5">
        <f t="shared" si="11"/>
        <v>6.8250000000000005E-2</v>
      </c>
      <c r="DD43" s="6">
        <f t="shared" si="1"/>
        <v>6.8250000000000005E-2</v>
      </c>
      <c r="DE43" s="6">
        <f t="shared" si="49"/>
        <v>0.13</v>
      </c>
      <c r="DF43" s="5">
        <v>0</v>
      </c>
      <c r="DG43" s="8">
        <f t="shared" si="36"/>
        <v>2.25</v>
      </c>
      <c r="DH43" s="5">
        <v>1.25</v>
      </c>
      <c r="DI43" s="8">
        <f t="shared" si="37"/>
        <v>0</v>
      </c>
      <c r="DJ43" s="5">
        <f t="shared" si="2"/>
        <v>0</v>
      </c>
      <c r="DK43" s="8">
        <v>0</v>
      </c>
      <c r="DL43" s="5">
        <f t="shared" si="3"/>
        <v>0</v>
      </c>
      <c r="DM43" s="5" t="s">
        <v>238</v>
      </c>
      <c r="DN43" s="8">
        <f t="shared" ref="DN43:DP43" si="105">DN22</f>
        <v>6</v>
      </c>
      <c r="DO43" s="8">
        <f t="shared" si="105"/>
        <v>0</v>
      </c>
      <c r="DP43" s="5">
        <f t="shared" si="105"/>
        <v>0</v>
      </c>
      <c r="DQ43" s="8">
        <f t="shared" si="39"/>
        <v>0</v>
      </c>
      <c r="DR43" s="5">
        <f t="shared" si="13"/>
        <v>0.9</v>
      </c>
      <c r="DS43" s="8">
        <f t="shared" si="40"/>
        <v>1</v>
      </c>
      <c r="DT43" s="8">
        <f t="shared" si="41"/>
        <v>-0.5</v>
      </c>
      <c r="DU43" s="8">
        <f t="shared" si="41"/>
        <v>0.5</v>
      </c>
      <c r="DV43" s="8">
        <f t="shared" si="41"/>
        <v>0.35</v>
      </c>
      <c r="DW43" s="5">
        <f t="shared" si="42"/>
        <v>0.41666666666666669</v>
      </c>
      <c r="DX43" s="8">
        <f t="shared" si="43"/>
        <v>5</v>
      </c>
      <c r="DY43" s="8">
        <f t="shared" si="44"/>
        <v>0</v>
      </c>
      <c r="DZ43" s="8">
        <f t="shared" si="45"/>
        <v>0</v>
      </c>
      <c r="EA43" s="5"/>
    </row>
    <row r="44" spans="1:131" x14ac:dyDescent="0.15">
      <c r="A44" s="5">
        <v>201042</v>
      </c>
      <c r="B44" s="5" t="s">
        <v>241</v>
      </c>
      <c r="C44" s="5"/>
      <c r="D44" s="5"/>
      <c r="E44" s="5"/>
      <c r="F44" s="5">
        <v>0</v>
      </c>
      <c r="G44" s="45"/>
      <c r="H44" s="5"/>
      <c r="I44" s="5"/>
      <c r="J44" s="5"/>
      <c r="K44" s="5"/>
      <c r="L44" s="10"/>
      <c r="M44" s="5"/>
      <c r="N44" s="1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20"/>
      <c r="AF44" s="5"/>
      <c r="AG44" s="5"/>
      <c r="AH44" s="5"/>
      <c r="AI44" s="5"/>
      <c r="AJ44" s="5"/>
      <c r="AK44" s="5"/>
      <c r="AL44" s="5"/>
      <c r="AM44" s="5"/>
      <c r="AN44" s="8"/>
      <c r="AO44" s="5">
        <v>0</v>
      </c>
      <c r="AP44" s="5" t="s">
        <v>241</v>
      </c>
      <c r="AQ44" s="5">
        <v>0</v>
      </c>
      <c r="AR44" s="8">
        <f t="shared" si="19"/>
        <v>2</v>
      </c>
      <c r="AS44" s="6">
        <f t="shared" si="4"/>
        <v>12</v>
      </c>
      <c r="AT44" s="6">
        <f t="shared" si="5"/>
        <v>18</v>
      </c>
      <c r="AU44" s="5">
        <f t="shared" si="20"/>
        <v>0</v>
      </c>
      <c r="AV44" s="5">
        <f t="shared" si="21"/>
        <v>1</v>
      </c>
      <c r="AW44" s="5">
        <f t="shared" si="22"/>
        <v>1</v>
      </c>
      <c r="AX44" s="5">
        <f t="shared" ref="AX44" si="106">AX23</f>
        <v>1</v>
      </c>
      <c r="AY44" s="5">
        <f t="shared" si="22"/>
        <v>1</v>
      </c>
      <c r="AZ44" s="8">
        <f t="shared" si="24"/>
        <v>23</v>
      </c>
      <c r="BA44" s="5">
        <f t="shared" si="16"/>
        <v>203021</v>
      </c>
      <c r="BB44" s="5">
        <v>0</v>
      </c>
      <c r="BC44" s="5">
        <v>0</v>
      </c>
      <c r="BD44" s="5">
        <f t="shared" si="25"/>
        <v>0</v>
      </c>
      <c r="BE44" s="5">
        <f t="shared" si="26"/>
        <v>0</v>
      </c>
      <c r="BF44" s="5">
        <f t="shared" si="27"/>
        <v>0</v>
      </c>
      <c r="BG44" s="5">
        <f t="shared" si="27"/>
        <v>0</v>
      </c>
      <c r="BH44" s="5">
        <f t="shared" si="18"/>
        <v>0</v>
      </c>
      <c r="BI44" s="5">
        <f t="shared" si="27"/>
        <v>0</v>
      </c>
      <c r="BJ44" s="5">
        <f t="shared" si="15"/>
        <v>0</v>
      </c>
      <c r="BK44" s="5">
        <v>0</v>
      </c>
      <c r="BL44" s="5">
        <f t="shared" si="63"/>
        <v>0</v>
      </c>
      <c r="BM44" s="5">
        <f t="shared" si="28"/>
        <v>0</v>
      </c>
      <c r="BN44" s="5">
        <f t="shared" si="28"/>
        <v>0</v>
      </c>
      <c r="BO44" s="5">
        <f t="shared" si="28"/>
        <v>0</v>
      </c>
      <c r="BP44" s="5">
        <f t="shared" si="28"/>
        <v>0</v>
      </c>
      <c r="BQ44" s="5">
        <f t="shared" si="64"/>
        <v>0</v>
      </c>
      <c r="BR44" s="5"/>
      <c r="BS44" s="4">
        <v>4</v>
      </c>
      <c r="BT44" s="4">
        <v>2</v>
      </c>
      <c r="BU44" s="4">
        <f t="shared" si="29"/>
        <v>0</v>
      </c>
      <c r="BV44" s="4">
        <f t="shared" si="6"/>
        <v>2</v>
      </c>
      <c r="BW44" s="4">
        <f t="shared" si="7"/>
        <v>2</v>
      </c>
      <c r="BX44" s="14">
        <f t="shared" si="8"/>
        <v>0.78</v>
      </c>
      <c r="BY44" s="14">
        <f t="shared" si="9"/>
        <v>0.5</v>
      </c>
      <c r="BZ44" s="5" t="s">
        <v>242</v>
      </c>
      <c r="CA44" s="5" t="s">
        <v>243</v>
      </c>
      <c r="CB44" s="5" t="s">
        <v>243</v>
      </c>
      <c r="CC44" s="5">
        <v>0</v>
      </c>
      <c r="CD44" s="8">
        <f t="shared" si="30"/>
        <v>1</v>
      </c>
      <c r="CE44" s="5">
        <f t="shared" si="10"/>
        <v>0</v>
      </c>
      <c r="CF44" s="5">
        <f t="shared" si="31"/>
        <v>0</v>
      </c>
      <c r="CG44" s="5" t="s">
        <v>241</v>
      </c>
      <c r="CH44" s="5">
        <f t="shared" si="47"/>
        <v>3</v>
      </c>
      <c r="CI44" s="5">
        <v>0</v>
      </c>
      <c r="CJ44" s="4">
        <v>1</v>
      </c>
      <c r="CK44" s="5">
        <v>0</v>
      </c>
      <c r="CL44" s="5">
        <v>0</v>
      </c>
      <c r="CM44" s="20">
        <f t="shared" si="32"/>
        <v>0</v>
      </c>
      <c r="CN44" s="8">
        <f t="shared" si="32"/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8">
        <f t="shared" ref="CV44:CY44" si="107">CV23</f>
        <v>0.8</v>
      </c>
      <c r="CW44" s="8">
        <f t="shared" si="107"/>
        <v>0.6</v>
      </c>
      <c r="CX44" s="8">
        <f t="shared" si="107"/>
        <v>1</v>
      </c>
      <c r="CY44" s="8">
        <f t="shared" si="107"/>
        <v>1</v>
      </c>
      <c r="CZ44" s="8">
        <f t="shared" si="34"/>
        <v>1</v>
      </c>
      <c r="DA44" s="6">
        <f t="shared" si="0"/>
        <v>50</v>
      </c>
      <c r="DB44" s="5">
        <f t="shared" si="35"/>
        <v>0</v>
      </c>
      <c r="DC44" s="5">
        <f t="shared" si="11"/>
        <v>0.315</v>
      </c>
      <c r="DD44" s="6">
        <f t="shared" si="1"/>
        <v>0.315</v>
      </c>
      <c r="DE44" s="6">
        <f t="shared" si="49"/>
        <v>0.6</v>
      </c>
      <c r="DF44" s="5">
        <v>1</v>
      </c>
      <c r="DG44" s="8">
        <f t="shared" si="36"/>
        <v>2.5</v>
      </c>
      <c r="DH44" s="5">
        <v>1.5</v>
      </c>
      <c r="DI44" s="8">
        <f t="shared" si="37"/>
        <v>0</v>
      </c>
      <c r="DJ44" s="5">
        <f t="shared" si="2"/>
        <v>0</v>
      </c>
      <c r="DK44" s="8">
        <v>0</v>
      </c>
      <c r="DL44" s="5">
        <f t="shared" si="3"/>
        <v>0</v>
      </c>
      <c r="DM44" s="5" t="s">
        <v>241</v>
      </c>
      <c r="DN44" s="8">
        <f t="shared" ref="DN44:DP44" si="108">DN23</f>
        <v>8</v>
      </c>
      <c r="DO44" s="8">
        <f t="shared" si="108"/>
        <v>0</v>
      </c>
      <c r="DP44" s="5">
        <f t="shared" si="108"/>
        <v>0</v>
      </c>
      <c r="DQ44" s="8">
        <f t="shared" si="39"/>
        <v>0</v>
      </c>
      <c r="DR44" s="5">
        <f t="shared" si="13"/>
        <v>0.9</v>
      </c>
      <c r="DS44" s="8">
        <f t="shared" si="40"/>
        <v>1</v>
      </c>
      <c r="DT44" s="8">
        <f t="shared" si="41"/>
        <v>-0.5</v>
      </c>
      <c r="DU44" s="8">
        <f t="shared" si="41"/>
        <v>0.5</v>
      </c>
      <c r="DV44" s="8">
        <f t="shared" si="41"/>
        <v>0.5</v>
      </c>
      <c r="DW44" s="5">
        <f t="shared" si="42"/>
        <v>0.5</v>
      </c>
      <c r="DX44" s="8">
        <f t="shared" si="43"/>
        <v>6</v>
      </c>
      <c r="DY44" s="8">
        <f t="shared" si="44"/>
        <v>0</v>
      </c>
      <c r="DZ44" s="8">
        <f t="shared" si="45"/>
        <v>0</v>
      </c>
      <c r="EA44" s="5"/>
    </row>
    <row r="45" spans="1:131" x14ac:dyDescent="0.15">
      <c r="A45" s="10">
        <v>201043</v>
      </c>
      <c r="B45" s="10" t="s">
        <v>244</v>
      </c>
      <c r="C45" s="5"/>
      <c r="D45" s="5"/>
      <c r="E45" s="5"/>
      <c r="F45" s="5">
        <v>0</v>
      </c>
      <c r="G45" s="45"/>
      <c r="H45" s="5"/>
      <c r="I45" s="5"/>
      <c r="J45" s="5"/>
      <c r="K45" s="5"/>
      <c r="L45" s="10"/>
      <c r="M45" s="5"/>
      <c r="N45" s="10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20"/>
      <c r="AF45" s="5"/>
      <c r="AG45" s="5"/>
      <c r="AH45" s="5"/>
      <c r="AI45" s="5"/>
      <c r="AJ45" s="5"/>
      <c r="AK45" s="5"/>
      <c r="AL45" s="5"/>
      <c r="AM45" s="5"/>
      <c r="AN45" s="8"/>
      <c r="AO45" s="5">
        <v>0</v>
      </c>
      <c r="AP45" s="10" t="s">
        <v>244</v>
      </c>
      <c r="AQ45" s="5">
        <v>0</v>
      </c>
      <c r="AR45" s="8">
        <f t="shared" si="19"/>
        <v>3</v>
      </c>
      <c r="AS45" s="6">
        <f t="shared" si="4"/>
        <v>27</v>
      </c>
      <c r="AT45" s="6">
        <f t="shared" si="5"/>
        <v>36</v>
      </c>
      <c r="AU45" s="5">
        <f t="shared" si="20"/>
        <v>0</v>
      </c>
      <c r="AV45" s="5">
        <f t="shared" si="21"/>
        <v>1</v>
      </c>
      <c r="AW45" s="5">
        <f t="shared" si="22"/>
        <v>1</v>
      </c>
      <c r="AX45" s="5">
        <f t="shared" ref="AX45" si="109">AX24</f>
        <v>1</v>
      </c>
      <c r="AY45" s="5">
        <f t="shared" si="22"/>
        <v>1</v>
      </c>
      <c r="AZ45" s="8">
        <f t="shared" si="24"/>
        <v>33</v>
      </c>
      <c r="BA45" s="5">
        <f t="shared" si="16"/>
        <v>203001</v>
      </c>
      <c r="BB45" s="5">
        <v>0</v>
      </c>
      <c r="BC45" s="5">
        <v>0</v>
      </c>
      <c r="BD45" s="5">
        <f t="shared" si="25"/>
        <v>0</v>
      </c>
      <c r="BE45" s="5">
        <f t="shared" si="26"/>
        <v>0</v>
      </c>
      <c r="BF45" s="5">
        <f t="shared" si="27"/>
        <v>0</v>
      </c>
      <c r="BG45" s="5">
        <f t="shared" si="27"/>
        <v>0</v>
      </c>
      <c r="BH45" s="5">
        <f t="shared" si="18"/>
        <v>0</v>
      </c>
      <c r="BI45" s="5">
        <f t="shared" si="27"/>
        <v>0</v>
      </c>
      <c r="BJ45" s="5">
        <f t="shared" si="15"/>
        <v>0</v>
      </c>
      <c r="BK45" s="5">
        <v>0</v>
      </c>
      <c r="BL45" s="5">
        <f t="shared" si="63"/>
        <v>0</v>
      </c>
      <c r="BM45" s="5">
        <f t="shared" si="28"/>
        <v>0</v>
      </c>
      <c r="BN45" s="5">
        <f t="shared" si="28"/>
        <v>0</v>
      </c>
      <c r="BO45" s="5">
        <f t="shared" si="28"/>
        <v>0</v>
      </c>
      <c r="BP45" s="5">
        <f t="shared" si="28"/>
        <v>0</v>
      </c>
      <c r="BQ45" s="5">
        <f t="shared" si="64"/>
        <v>0</v>
      </c>
      <c r="BR45" s="5"/>
      <c r="BS45" s="4">
        <v>1</v>
      </c>
      <c r="BT45" s="4">
        <v>3</v>
      </c>
      <c r="BU45" s="4">
        <f t="shared" si="29"/>
        <v>0</v>
      </c>
      <c r="BV45" s="4">
        <f t="shared" si="6"/>
        <v>3</v>
      </c>
      <c r="BW45" s="4">
        <f t="shared" si="7"/>
        <v>3</v>
      </c>
      <c r="BX45" s="14">
        <f t="shared" si="8"/>
        <v>0.71</v>
      </c>
      <c r="BY45" s="14">
        <f t="shared" si="9"/>
        <v>0.45000000000000007</v>
      </c>
      <c r="BZ45" s="5" t="s">
        <v>117</v>
      </c>
      <c r="CA45" s="8" t="str">
        <f>CA3</f>
        <v>monster_01</v>
      </c>
      <c r="CB45" s="8" t="str">
        <f>CB3</f>
        <v>monster_01</v>
      </c>
      <c r="CC45" s="5">
        <v>0</v>
      </c>
      <c r="CD45" s="8">
        <f t="shared" si="30"/>
        <v>2</v>
      </c>
      <c r="CE45" s="5">
        <f t="shared" si="10"/>
        <v>0</v>
      </c>
      <c r="CF45" s="5">
        <f t="shared" si="31"/>
        <v>0</v>
      </c>
      <c r="CG45" s="10" t="s">
        <v>244</v>
      </c>
      <c r="CH45" s="5">
        <f>CH23</f>
        <v>3</v>
      </c>
      <c r="CI45" s="5">
        <v>101</v>
      </c>
      <c r="CJ45" s="4">
        <v>0</v>
      </c>
      <c r="CK45" s="5">
        <v>0</v>
      </c>
      <c r="CL45" s="5">
        <v>0</v>
      </c>
      <c r="CM45" s="20">
        <f t="shared" si="32"/>
        <v>0</v>
      </c>
      <c r="CN45" s="8">
        <f t="shared" si="32"/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8">
        <f t="shared" ref="CV45:CY45" si="110">CV24</f>
        <v>1</v>
      </c>
      <c r="CW45" s="8">
        <f t="shared" si="110"/>
        <v>0.6</v>
      </c>
      <c r="CX45" s="8">
        <f t="shared" si="110"/>
        <v>1.25</v>
      </c>
      <c r="CY45" s="8">
        <f t="shared" si="110"/>
        <v>1.06</v>
      </c>
      <c r="CZ45" s="8">
        <f t="shared" si="34"/>
        <v>1</v>
      </c>
      <c r="DA45" s="6">
        <f t="shared" si="0"/>
        <v>75</v>
      </c>
      <c r="DB45" s="5">
        <f t="shared" si="35"/>
        <v>0</v>
      </c>
      <c r="DC45" s="5">
        <f t="shared" si="11"/>
        <v>0.27500000000000002</v>
      </c>
      <c r="DD45" s="6">
        <f t="shared" si="1"/>
        <v>0.27500000000000002</v>
      </c>
      <c r="DE45" s="6">
        <f t="shared" si="49"/>
        <v>0.5</v>
      </c>
      <c r="DF45" s="5">
        <v>0</v>
      </c>
      <c r="DG45" s="8">
        <f t="shared" si="36"/>
        <v>2.25</v>
      </c>
      <c r="DH45" s="5">
        <v>1.25</v>
      </c>
      <c r="DI45" s="8">
        <f t="shared" si="37"/>
        <v>1.25</v>
      </c>
      <c r="DJ45" s="5">
        <f t="shared" si="2"/>
        <v>15.625</v>
      </c>
      <c r="DK45" s="8">
        <v>0</v>
      </c>
      <c r="DL45" s="5">
        <f t="shared" si="3"/>
        <v>0</v>
      </c>
      <c r="DM45" s="5" t="s">
        <v>244</v>
      </c>
      <c r="DN45" s="8">
        <f t="shared" ref="DN45:DP45" si="111">DN24</f>
        <v>6</v>
      </c>
      <c r="DO45" s="8">
        <f t="shared" si="111"/>
        <v>0</v>
      </c>
      <c r="DP45" s="5">
        <f t="shared" si="111"/>
        <v>0</v>
      </c>
      <c r="DQ45" s="8">
        <f t="shared" si="39"/>
        <v>0</v>
      </c>
      <c r="DR45" s="5">
        <f t="shared" si="13"/>
        <v>2.7</v>
      </c>
      <c r="DS45" s="8">
        <f t="shared" si="40"/>
        <v>3</v>
      </c>
      <c r="DT45" s="8">
        <f t="shared" si="41"/>
        <v>-0.3</v>
      </c>
      <c r="DU45" s="8">
        <f t="shared" si="41"/>
        <v>3</v>
      </c>
      <c r="DV45" s="8">
        <f t="shared" si="41"/>
        <v>0.35</v>
      </c>
      <c r="DW45" s="5">
        <f t="shared" si="42"/>
        <v>0.58333333333333337</v>
      </c>
      <c r="DX45" s="8">
        <f t="shared" si="43"/>
        <v>7</v>
      </c>
      <c r="DY45" s="8">
        <f t="shared" si="44"/>
        <v>0</v>
      </c>
      <c r="DZ45" s="8">
        <f t="shared" si="45"/>
        <v>0</v>
      </c>
      <c r="EA45" s="5"/>
    </row>
    <row r="46" spans="1:131" x14ac:dyDescent="0.15">
      <c r="A46" s="10">
        <v>201044</v>
      </c>
      <c r="B46" s="10" t="s">
        <v>245</v>
      </c>
      <c r="C46" s="5"/>
      <c r="D46" s="5"/>
      <c r="E46" s="5"/>
      <c r="F46" s="5">
        <v>0</v>
      </c>
      <c r="G46" s="45"/>
      <c r="H46" s="5"/>
      <c r="I46" s="5"/>
      <c r="J46" s="5"/>
      <c r="K46" s="5"/>
      <c r="L46" s="10"/>
      <c r="M46" s="5"/>
      <c r="N46" s="1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20"/>
      <c r="AF46" s="5"/>
      <c r="AG46" s="5"/>
      <c r="AH46" s="5"/>
      <c r="AI46" s="5"/>
      <c r="AJ46" s="5"/>
      <c r="AK46" s="5"/>
      <c r="AL46" s="5"/>
      <c r="AM46" s="5"/>
      <c r="AN46" s="8"/>
      <c r="AO46" s="5">
        <v>0</v>
      </c>
      <c r="AP46" s="10" t="s">
        <v>245</v>
      </c>
      <c r="AQ46" s="5">
        <v>0</v>
      </c>
      <c r="AR46" s="8">
        <f t="shared" si="19"/>
        <v>3</v>
      </c>
      <c r="AS46" s="6">
        <f t="shared" si="4"/>
        <v>27</v>
      </c>
      <c r="AT46" s="6">
        <f t="shared" si="5"/>
        <v>36</v>
      </c>
      <c r="AU46" s="5">
        <f t="shared" si="20"/>
        <v>0</v>
      </c>
      <c r="AV46" s="5">
        <f t="shared" si="21"/>
        <v>1</v>
      </c>
      <c r="AW46" s="5">
        <f t="shared" si="22"/>
        <v>0</v>
      </c>
      <c r="AX46" s="5">
        <f t="shared" ref="AX46" si="112">AX25</f>
        <v>0</v>
      </c>
      <c r="AY46" s="5">
        <f t="shared" si="22"/>
        <v>0</v>
      </c>
      <c r="AZ46" s="8">
        <f t="shared" si="24"/>
        <v>33</v>
      </c>
      <c r="BA46" s="5">
        <f t="shared" si="16"/>
        <v>203002</v>
      </c>
      <c r="BB46" s="5">
        <v>0</v>
      </c>
      <c r="BC46" s="5">
        <v>0</v>
      </c>
      <c r="BD46" s="5">
        <f t="shared" si="25"/>
        <v>0</v>
      </c>
      <c r="BE46" s="5">
        <f t="shared" si="26"/>
        <v>0</v>
      </c>
      <c r="BF46" s="5">
        <f t="shared" si="27"/>
        <v>0</v>
      </c>
      <c r="BG46" s="5">
        <f t="shared" si="27"/>
        <v>0</v>
      </c>
      <c r="BH46" s="5">
        <f t="shared" si="18"/>
        <v>0</v>
      </c>
      <c r="BI46" s="5">
        <f t="shared" si="27"/>
        <v>0</v>
      </c>
      <c r="BJ46" s="5">
        <f t="shared" si="15"/>
        <v>0</v>
      </c>
      <c r="BK46" s="5">
        <v>0</v>
      </c>
      <c r="BL46" s="5">
        <f t="shared" si="63"/>
        <v>0</v>
      </c>
      <c r="BM46" s="5">
        <f t="shared" si="28"/>
        <v>0</v>
      </c>
      <c r="BN46" s="5">
        <f t="shared" si="28"/>
        <v>0</v>
      </c>
      <c r="BO46" s="5">
        <f t="shared" si="28"/>
        <v>0</v>
      </c>
      <c r="BP46" s="5">
        <f t="shared" si="28"/>
        <v>0</v>
      </c>
      <c r="BQ46" s="5">
        <f t="shared" si="64"/>
        <v>0</v>
      </c>
      <c r="BR46" s="5"/>
      <c r="BS46" s="4">
        <v>1</v>
      </c>
      <c r="BT46" s="4">
        <v>3</v>
      </c>
      <c r="BU46" s="4">
        <f t="shared" si="29"/>
        <v>0</v>
      </c>
      <c r="BV46" s="4">
        <f t="shared" si="6"/>
        <v>3</v>
      </c>
      <c r="BW46" s="4">
        <f t="shared" si="7"/>
        <v>3</v>
      </c>
      <c r="BX46" s="14">
        <f t="shared" si="8"/>
        <v>0.71</v>
      </c>
      <c r="BY46" s="14">
        <f t="shared" si="9"/>
        <v>0.45000000000000007</v>
      </c>
      <c r="BZ46" s="5" t="s">
        <v>120</v>
      </c>
      <c r="CA46" s="8" t="str">
        <f t="shared" ref="CA46:CB109" si="113">CA4</f>
        <v>monster_02</v>
      </c>
      <c r="CB46" s="8" t="str">
        <f t="shared" si="113"/>
        <v>monster_02</v>
      </c>
      <c r="CC46" s="5">
        <v>0</v>
      </c>
      <c r="CD46" s="8">
        <f t="shared" si="30"/>
        <v>1</v>
      </c>
      <c r="CE46" s="5">
        <f t="shared" si="10"/>
        <v>0</v>
      </c>
      <c r="CF46" s="5">
        <f t="shared" si="31"/>
        <v>0</v>
      </c>
      <c r="CG46" s="10" t="s">
        <v>245</v>
      </c>
      <c r="CH46" s="5">
        <f t="shared" si="47"/>
        <v>3</v>
      </c>
      <c r="CI46" s="5">
        <v>0</v>
      </c>
      <c r="CJ46" s="4">
        <v>0</v>
      </c>
      <c r="CK46" s="5">
        <v>0</v>
      </c>
      <c r="CL46" s="5">
        <v>0</v>
      </c>
      <c r="CM46" s="20">
        <f t="shared" si="32"/>
        <v>0</v>
      </c>
      <c r="CN46" s="8">
        <f t="shared" si="32"/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8">
        <f t="shared" ref="CV46:CY46" si="114">CV25</f>
        <v>0.8</v>
      </c>
      <c r="CW46" s="8">
        <f t="shared" si="114"/>
        <v>0.6</v>
      </c>
      <c r="CX46" s="8">
        <f t="shared" si="114"/>
        <v>1.34</v>
      </c>
      <c r="CY46" s="8">
        <f t="shared" si="114"/>
        <v>1.35</v>
      </c>
      <c r="CZ46" s="8">
        <f t="shared" si="34"/>
        <v>1</v>
      </c>
      <c r="DA46" s="6">
        <f t="shared" si="0"/>
        <v>75</v>
      </c>
      <c r="DB46" s="5">
        <f t="shared" si="35"/>
        <v>0</v>
      </c>
      <c r="DC46" s="5">
        <f t="shared" si="11"/>
        <v>0.55000000000000004</v>
      </c>
      <c r="DD46" s="6">
        <f t="shared" si="1"/>
        <v>0.55000000000000004</v>
      </c>
      <c r="DE46" s="6">
        <f t="shared" si="49"/>
        <v>1</v>
      </c>
      <c r="DF46" s="5">
        <v>0</v>
      </c>
      <c r="DG46" s="8">
        <f t="shared" si="36"/>
        <v>2.25</v>
      </c>
      <c r="DH46" s="5">
        <v>1.25</v>
      </c>
      <c r="DI46" s="8">
        <f t="shared" si="37"/>
        <v>0</v>
      </c>
      <c r="DJ46" s="5">
        <f t="shared" si="2"/>
        <v>0</v>
      </c>
      <c r="DK46" s="8">
        <v>0</v>
      </c>
      <c r="DL46" s="5">
        <f t="shared" si="3"/>
        <v>0</v>
      </c>
      <c r="DM46" s="5" t="s">
        <v>245</v>
      </c>
      <c r="DN46" s="8">
        <f t="shared" ref="DN46:DP46" si="115">DN25</f>
        <v>8</v>
      </c>
      <c r="DO46" s="8">
        <f t="shared" si="115"/>
        <v>0</v>
      </c>
      <c r="DP46" s="5">
        <f t="shared" si="115"/>
        <v>0</v>
      </c>
      <c r="DQ46" s="8">
        <f t="shared" si="39"/>
        <v>0</v>
      </c>
      <c r="DR46" s="5">
        <f t="shared" si="13"/>
        <v>0.9</v>
      </c>
      <c r="DS46" s="8">
        <f t="shared" si="40"/>
        <v>1</v>
      </c>
      <c r="DT46" s="8">
        <f t="shared" si="41"/>
        <v>-0.5</v>
      </c>
      <c r="DU46" s="8">
        <f t="shared" si="41"/>
        <v>0.5</v>
      </c>
      <c r="DV46" s="8">
        <f t="shared" si="41"/>
        <v>0.35</v>
      </c>
      <c r="DW46" s="5">
        <f t="shared" ref="DW46:DW66" si="116">DX46/12</f>
        <v>0.58333333333333337</v>
      </c>
      <c r="DX46" s="8">
        <f t="shared" si="43"/>
        <v>7</v>
      </c>
      <c r="DY46" s="8">
        <f t="shared" si="44"/>
        <v>0</v>
      </c>
      <c r="DZ46" s="8">
        <f t="shared" si="45"/>
        <v>0</v>
      </c>
      <c r="EA46" s="5"/>
    </row>
    <row r="47" spans="1:131" x14ac:dyDescent="0.15">
      <c r="A47" s="5">
        <v>201045</v>
      </c>
      <c r="B47" s="5" t="s">
        <v>246</v>
      </c>
      <c r="C47" s="5"/>
      <c r="D47" s="5"/>
      <c r="E47" s="5"/>
      <c r="F47" s="5">
        <v>0</v>
      </c>
      <c r="G47" s="45"/>
      <c r="H47" s="5"/>
      <c r="I47" s="5"/>
      <c r="J47" s="5"/>
      <c r="K47" s="5"/>
      <c r="L47" s="10"/>
      <c r="M47" s="5"/>
      <c r="N47" s="1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20"/>
      <c r="AF47" s="5"/>
      <c r="AG47" s="5"/>
      <c r="AH47" s="5"/>
      <c r="AI47" s="5"/>
      <c r="AJ47" s="5"/>
      <c r="AK47" s="5"/>
      <c r="AL47" s="5"/>
      <c r="AM47" s="5"/>
      <c r="AN47" s="8"/>
      <c r="AO47" s="5">
        <v>0</v>
      </c>
      <c r="AP47" s="5" t="s">
        <v>246</v>
      </c>
      <c r="AQ47" s="5">
        <v>0</v>
      </c>
      <c r="AR47" s="8">
        <f t="shared" si="19"/>
        <v>3</v>
      </c>
      <c r="AS47" s="6">
        <f t="shared" si="4"/>
        <v>27</v>
      </c>
      <c r="AT47" s="6">
        <f t="shared" si="5"/>
        <v>36</v>
      </c>
      <c r="AU47" s="5">
        <f t="shared" si="20"/>
        <v>0</v>
      </c>
      <c r="AV47" s="5">
        <f t="shared" si="21"/>
        <v>1</v>
      </c>
      <c r="AW47" s="5">
        <f t="shared" si="22"/>
        <v>1</v>
      </c>
      <c r="AX47" s="5">
        <f t="shared" ref="AX47" si="117">AX26</f>
        <v>1</v>
      </c>
      <c r="AY47" s="5">
        <f t="shared" si="22"/>
        <v>0</v>
      </c>
      <c r="AZ47" s="8">
        <f t="shared" si="24"/>
        <v>32</v>
      </c>
      <c r="BA47" s="5">
        <f t="shared" si="16"/>
        <v>203003</v>
      </c>
      <c r="BB47" s="5">
        <v>0</v>
      </c>
      <c r="BC47" s="5">
        <v>0</v>
      </c>
      <c r="BD47" s="5">
        <f t="shared" si="25"/>
        <v>1</v>
      </c>
      <c r="BE47" s="5">
        <f t="shared" si="26"/>
        <v>0</v>
      </c>
      <c r="BF47" s="5">
        <f t="shared" si="27"/>
        <v>0</v>
      </c>
      <c r="BG47" s="5">
        <f t="shared" si="27"/>
        <v>0</v>
      </c>
      <c r="BH47" s="5">
        <f t="shared" si="18"/>
        <v>0</v>
      </c>
      <c r="BI47" s="5">
        <f t="shared" si="27"/>
        <v>0</v>
      </c>
      <c r="BJ47" s="5">
        <f t="shared" si="15"/>
        <v>0</v>
      </c>
      <c r="BK47" s="5">
        <v>0</v>
      </c>
      <c r="BL47" s="5">
        <f t="shared" si="63"/>
        <v>0</v>
      </c>
      <c r="BM47" s="5">
        <f t="shared" si="28"/>
        <v>0</v>
      </c>
      <c r="BN47" s="5">
        <f t="shared" si="28"/>
        <v>0</v>
      </c>
      <c r="BO47" s="5">
        <f t="shared" si="28"/>
        <v>0</v>
      </c>
      <c r="BP47" s="5">
        <f t="shared" si="28"/>
        <v>0</v>
      </c>
      <c r="BQ47" s="5">
        <f t="shared" si="64"/>
        <v>0</v>
      </c>
      <c r="BR47" s="5"/>
      <c r="BS47" s="4">
        <v>1</v>
      </c>
      <c r="BT47" s="4">
        <v>3</v>
      </c>
      <c r="BU47" s="4">
        <f t="shared" si="29"/>
        <v>0</v>
      </c>
      <c r="BV47" s="4">
        <f t="shared" si="6"/>
        <v>3</v>
      </c>
      <c r="BW47" s="4">
        <f t="shared" si="7"/>
        <v>3</v>
      </c>
      <c r="BX47" s="14">
        <f t="shared" si="8"/>
        <v>0.71</v>
      </c>
      <c r="BY47" s="14">
        <f t="shared" si="9"/>
        <v>0.45000000000000007</v>
      </c>
      <c r="BZ47" s="5" t="s">
        <v>123</v>
      </c>
      <c r="CA47" s="8" t="str">
        <f t="shared" si="113"/>
        <v>monster_03</v>
      </c>
      <c r="CB47" s="8" t="str">
        <f t="shared" si="113"/>
        <v>monster_03</v>
      </c>
      <c r="CC47" s="5">
        <v>0</v>
      </c>
      <c r="CD47" s="8">
        <f t="shared" si="30"/>
        <v>3</v>
      </c>
      <c r="CE47" s="5">
        <f t="shared" si="10"/>
        <v>3</v>
      </c>
      <c r="CF47" s="5">
        <f t="shared" si="31"/>
        <v>1</v>
      </c>
      <c r="CG47" s="5" t="s">
        <v>246</v>
      </c>
      <c r="CH47" s="5">
        <f t="shared" si="47"/>
        <v>0</v>
      </c>
      <c r="CI47" s="5">
        <v>102</v>
      </c>
      <c r="CJ47" s="4">
        <v>0</v>
      </c>
      <c r="CK47" s="5">
        <v>0</v>
      </c>
      <c r="CL47" s="5">
        <v>0</v>
      </c>
      <c r="CM47" s="20">
        <f t="shared" si="32"/>
        <v>0</v>
      </c>
      <c r="CN47" s="8">
        <f t="shared" si="32"/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8">
        <f t="shared" ref="CV47:CY47" si="118">CV26</f>
        <v>0.8</v>
      </c>
      <c r="CW47" s="8">
        <f t="shared" si="118"/>
        <v>0.6</v>
      </c>
      <c r="CX47" s="8">
        <f t="shared" si="118"/>
        <v>1</v>
      </c>
      <c r="CY47" s="8">
        <f t="shared" si="118"/>
        <v>1</v>
      </c>
      <c r="CZ47" s="8">
        <f t="shared" si="34"/>
        <v>1</v>
      </c>
      <c r="DA47" s="6">
        <f t="shared" si="0"/>
        <v>75</v>
      </c>
      <c r="DB47" s="5">
        <f t="shared" si="35"/>
        <v>0</v>
      </c>
      <c r="DC47" s="5">
        <f t="shared" si="11"/>
        <v>0.33</v>
      </c>
      <c r="DD47" s="6">
        <f t="shared" si="1"/>
        <v>0.33</v>
      </c>
      <c r="DE47" s="6">
        <f t="shared" si="49"/>
        <v>0.6</v>
      </c>
      <c r="DF47" s="5">
        <v>0</v>
      </c>
      <c r="DG47" s="8">
        <f t="shared" si="36"/>
        <v>2</v>
      </c>
      <c r="DH47" s="5">
        <v>1</v>
      </c>
      <c r="DI47" s="8">
        <f t="shared" si="37"/>
        <v>2</v>
      </c>
      <c r="DJ47" s="5">
        <f t="shared" si="2"/>
        <v>25</v>
      </c>
      <c r="DK47" s="8">
        <v>0</v>
      </c>
      <c r="DL47" s="5">
        <f t="shared" si="3"/>
        <v>0</v>
      </c>
      <c r="DM47" s="5" t="s">
        <v>246</v>
      </c>
      <c r="DN47" s="8">
        <f t="shared" ref="DN47:DP47" si="119">DN26</f>
        <v>6</v>
      </c>
      <c r="DO47" s="8">
        <f t="shared" si="119"/>
        <v>0</v>
      </c>
      <c r="DP47" s="5">
        <f t="shared" si="119"/>
        <v>0</v>
      </c>
      <c r="DQ47" s="8">
        <f t="shared" si="39"/>
        <v>0</v>
      </c>
      <c r="DR47" s="5">
        <f t="shared" si="13"/>
        <v>0.9</v>
      </c>
      <c r="DS47" s="8">
        <f t="shared" si="40"/>
        <v>1</v>
      </c>
      <c r="DT47" s="8">
        <f t="shared" si="41"/>
        <v>-0.5</v>
      </c>
      <c r="DU47" s="8">
        <f t="shared" si="41"/>
        <v>0.5</v>
      </c>
      <c r="DV47" s="8">
        <f t="shared" si="41"/>
        <v>0.3</v>
      </c>
      <c r="DW47" s="5">
        <f t="shared" si="116"/>
        <v>0.5</v>
      </c>
      <c r="DX47" s="8">
        <f t="shared" si="43"/>
        <v>6</v>
      </c>
      <c r="DY47" s="8">
        <f t="shared" si="44"/>
        <v>0</v>
      </c>
      <c r="DZ47" s="8">
        <f t="shared" si="45"/>
        <v>0</v>
      </c>
      <c r="EA47" s="5"/>
    </row>
    <row r="48" spans="1:131" x14ac:dyDescent="0.15">
      <c r="A48" s="5">
        <v>201046</v>
      </c>
      <c r="B48" s="5" t="s">
        <v>247</v>
      </c>
      <c r="C48" s="5"/>
      <c r="D48" s="5"/>
      <c r="E48" s="5"/>
      <c r="F48" s="5">
        <v>0</v>
      </c>
      <c r="G48" s="45"/>
      <c r="H48" s="5"/>
      <c r="I48" s="5"/>
      <c r="J48" s="5"/>
      <c r="K48" s="5"/>
      <c r="L48" s="10"/>
      <c r="M48" s="5"/>
      <c r="N48" s="1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20"/>
      <c r="AF48" s="5"/>
      <c r="AG48" s="5"/>
      <c r="AH48" s="5"/>
      <c r="AI48" s="5"/>
      <c r="AJ48" s="5"/>
      <c r="AK48" s="5"/>
      <c r="AL48" s="5"/>
      <c r="AM48" s="5"/>
      <c r="AN48" s="8"/>
      <c r="AO48" s="5">
        <v>0</v>
      </c>
      <c r="AP48" s="5" t="s">
        <v>247</v>
      </c>
      <c r="AQ48" s="5">
        <v>0</v>
      </c>
      <c r="AR48" s="8">
        <f t="shared" si="19"/>
        <v>4</v>
      </c>
      <c r="AS48" s="6">
        <f t="shared" si="4"/>
        <v>36</v>
      </c>
      <c r="AT48" s="6">
        <f t="shared" si="5"/>
        <v>45</v>
      </c>
      <c r="AU48" s="5">
        <f t="shared" si="20"/>
        <v>0.8</v>
      </c>
      <c r="AV48" s="5">
        <f t="shared" si="21"/>
        <v>1</v>
      </c>
      <c r="AW48" s="5">
        <f t="shared" si="22"/>
        <v>1</v>
      </c>
      <c r="AX48" s="5">
        <f t="shared" ref="AX48" si="120">AX27</f>
        <v>1</v>
      </c>
      <c r="AY48" s="5">
        <f t="shared" si="22"/>
        <v>1</v>
      </c>
      <c r="AZ48" s="8">
        <f t="shared" si="24"/>
        <v>32</v>
      </c>
      <c r="BA48" s="5">
        <f t="shared" si="16"/>
        <v>203004</v>
      </c>
      <c r="BB48" s="5">
        <v>0</v>
      </c>
      <c r="BC48" s="5">
        <v>0</v>
      </c>
      <c r="BD48" s="5">
        <f t="shared" si="25"/>
        <v>0</v>
      </c>
      <c r="BE48" s="5">
        <f t="shared" si="26"/>
        <v>0</v>
      </c>
      <c r="BF48" s="5">
        <f t="shared" si="27"/>
        <v>0</v>
      </c>
      <c r="BG48" s="5">
        <f t="shared" si="27"/>
        <v>0</v>
      </c>
      <c r="BH48" s="5">
        <f t="shared" si="18"/>
        <v>0</v>
      </c>
      <c r="BI48" s="5">
        <f t="shared" si="27"/>
        <v>0</v>
      </c>
      <c r="BJ48" s="5">
        <f t="shared" si="15"/>
        <v>0</v>
      </c>
      <c r="BK48" s="5">
        <v>0</v>
      </c>
      <c r="BL48" s="5">
        <f t="shared" si="63"/>
        <v>0</v>
      </c>
      <c r="BM48" s="5">
        <f t="shared" si="28"/>
        <v>0</v>
      </c>
      <c r="BN48" s="5">
        <f t="shared" si="28"/>
        <v>0</v>
      </c>
      <c r="BO48" s="5">
        <f t="shared" si="28"/>
        <v>0</v>
      </c>
      <c r="BP48" s="5">
        <f t="shared" si="28"/>
        <v>0</v>
      </c>
      <c r="BQ48" s="5">
        <f t="shared" si="64"/>
        <v>0</v>
      </c>
      <c r="BR48" s="5"/>
      <c r="BS48" s="4">
        <v>1</v>
      </c>
      <c r="BT48" s="4">
        <v>3</v>
      </c>
      <c r="BU48" s="4">
        <f t="shared" si="29"/>
        <v>0</v>
      </c>
      <c r="BV48" s="4">
        <f t="shared" si="6"/>
        <v>3</v>
      </c>
      <c r="BW48" s="4">
        <f t="shared" si="7"/>
        <v>3</v>
      </c>
      <c r="BX48" s="14">
        <f t="shared" si="8"/>
        <v>0.71</v>
      </c>
      <c r="BY48" s="14">
        <f t="shared" si="9"/>
        <v>0.45000000000000007</v>
      </c>
      <c r="BZ48" s="5" t="s">
        <v>126</v>
      </c>
      <c r="CA48" s="8" t="str">
        <f t="shared" si="113"/>
        <v>monster_04</v>
      </c>
      <c r="CB48" s="8" t="str">
        <f t="shared" si="113"/>
        <v>monster_04</v>
      </c>
      <c r="CC48" s="5">
        <v>0</v>
      </c>
      <c r="CD48" s="8">
        <f t="shared" si="30"/>
        <v>1</v>
      </c>
      <c r="CE48" s="5">
        <f t="shared" si="10"/>
        <v>0</v>
      </c>
      <c r="CF48" s="5">
        <f t="shared" si="31"/>
        <v>0</v>
      </c>
      <c r="CG48" s="5" t="s">
        <v>247</v>
      </c>
      <c r="CH48" s="5">
        <f t="shared" si="47"/>
        <v>3</v>
      </c>
      <c r="CI48" s="5">
        <v>0</v>
      </c>
      <c r="CJ48" s="4">
        <v>0</v>
      </c>
      <c r="CK48" s="5">
        <v>0</v>
      </c>
      <c r="CL48" s="5">
        <v>0</v>
      </c>
      <c r="CM48" s="20">
        <f t="shared" si="32"/>
        <v>109</v>
      </c>
      <c r="CN48" s="8">
        <f t="shared" si="32"/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8">
        <f t="shared" ref="CV48:CY48" si="121">CV27</f>
        <v>0.8</v>
      </c>
      <c r="CW48" s="8">
        <f t="shared" si="121"/>
        <v>0.6</v>
      </c>
      <c r="CX48" s="8">
        <f t="shared" si="121"/>
        <v>1.25</v>
      </c>
      <c r="CY48" s="8">
        <f t="shared" si="121"/>
        <v>1</v>
      </c>
      <c r="CZ48" s="8">
        <f t="shared" si="34"/>
        <v>2</v>
      </c>
      <c r="DA48" s="6">
        <f t="shared" si="0"/>
        <v>150</v>
      </c>
      <c r="DB48" s="5">
        <f t="shared" si="35"/>
        <v>0</v>
      </c>
      <c r="DC48" s="5">
        <f t="shared" si="11"/>
        <v>0.22000000000000003</v>
      </c>
      <c r="DD48" s="6">
        <f t="shared" si="1"/>
        <v>0.22000000000000003</v>
      </c>
      <c r="DE48" s="6">
        <f t="shared" si="49"/>
        <v>0.4</v>
      </c>
      <c r="DF48" s="5">
        <v>0</v>
      </c>
      <c r="DG48" s="8">
        <f t="shared" si="36"/>
        <v>2</v>
      </c>
      <c r="DH48" s="5">
        <v>1</v>
      </c>
      <c r="DI48" s="8">
        <f t="shared" si="37"/>
        <v>0</v>
      </c>
      <c r="DJ48" s="5">
        <f t="shared" si="2"/>
        <v>0</v>
      </c>
      <c r="DK48" s="8">
        <v>0</v>
      </c>
      <c r="DL48" s="5">
        <f t="shared" si="3"/>
        <v>0</v>
      </c>
      <c r="DM48" s="5" t="s">
        <v>247</v>
      </c>
      <c r="DN48" s="8">
        <f t="shared" ref="DN48:DP48" si="122">DN27</f>
        <v>6</v>
      </c>
      <c r="DO48" s="8">
        <f t="shared" si="122"/>
        <v>0</v>
      </c>
      <c r="DP48" s="5">
        <f t="shared" si="122"/>
        <v>0</v>
      </c>
      <c r="DQ48" s="8">
        <f t="shared" si="39"/>
        <v>0</v>
      </c>
      <c r="DR48" s="5">
        <f t="shared" si="13"/>
        <v>0.9</v>
      </c>
      <c r="DS48" s="8">
        <f t="shared" si="40"/>
        <v>1</v>
      </c>
      <c r="DT48" s="8">
        <f t="shared" si="41"/>
        <v>-0.5</v>
      </c>
      <c r="DU48" s="8">
        <f t="shared" si="41"/>
        <v>0.5</v>
      </c>
      <c r="DV48" s="8">
        <f t="shared" si="41"/>
        <v>0.3</v>
      </c>
      <c r="DW48" s="5">
        <f t="shared" si="116"/>
        <v>0.5</v>
      </c>
      <c r="DX48" s="8">
        <f t="shared" si="43"/>
        <v>6</v>
      </c>
      <c r="DY48" s="8">
        <f t="shared" si="44"/>
        <v>0</v>
      </c>
      <c r="DZ48" s="8">
        <f t="shared" si="45"/>
        <v>0</v>
      </c>
      <c r="EA48" s="5"/>
    </row>
    <row r="49" spans="1:131" x14ac:dyDescent="0.15">
      <c r="A49" s="5">
        <v>201047</v>
      </c>
      <c r="B49" s="5" t="s">
        <v>248</v>
      </c>
      <c r="C49" s="5"/>
      <c r="D49" s="5"/>
      <c r="E49" s="5"/>
      <c r="F49" s="5">
        <v>0</v>
      </c>
      <c r="G49" s="45"/>
      <c r="H49" s="5"/>
      <c r="I49" s="5"/>
      <c r="J49" s="5"/>
      <c r="K49" s="5"/>
      <c r="L49" s="10"/>
      <c r="M49" s="5"/>
      <c r="N49" s="1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20"/>
      <c r="AF49" s="5"/>
      <c r="AG49" s="5"/>
      <c r="AH49" s="5"/>
      <c r="AI49" s="5"/>
      <c r="AJ49" s="5"/>
      <c r="AK49" s="5"/>
      <c r="AL49" s="5"/>
      <c r="AM49" s="5"/>
      <c r="AN49" s="8"/>
      <c r="AO49" s="5">
        <v>0</v>
      </c>
      <c r="AP49" s="5" t="s">
        <v>248</v>
      </c>
      <c r="AQ49" s="5">
        <v>0</v>
      </c>
      <c r="AR49" s="8">
        <f t="shared" si="19"/>
        <v>3</v>
      </c>
      <c r="AS49" s="6">
        <f t="shared" si="4"/>
        <v>27</v>
      </c>
      <c r="AT49" s="6">
        <f t="shared" si="5"/>
        <v>36</v>
      </c>
      <c r="AU49" s="5">
        <f t="shared" si="20"/>
        <v>0</v>
      </c>
      <c r="AV49" s="5">
        <f t="shared" si="21"/>
        <v>1</v>
      </c>
      <c r="AW49" s="5">
        <f t="shared" si="22"/>
        <v>1</v>
      </c>
      <c r="AX49" s="5">
        <f t="shared" ref="AX49" si="123">AX28</f>
        <v>1</v>
      </c>
      <c r="AY49" s="5">
        <f t="shared" si="22"/>
        <v>1</v>
      </c>
      <c r="AZ49" s="8">
        <f t="shared" si="24"/>
        <v>32</v>
      </c>
      <c r="BA49" s="5">
        <f t="shared" si="16"/>
        <v>203005</v>
      </c>
      <c r="BB49" s="5">
        <v>0</v>
      </c>
      <c r="BC49" s="5">
        <v>0</v>
      </c>
      <c r="BD49" s="5">
        <f t="shared" si="25"/>
        <v>0</v>
      </c>
      <c r="BE49" s="5">
        <f t="shared" si="26"/>
        <v>0</v>
      </c>
      <c r="BF49" s="5">
        <f t="shared" si="27"/>
        <v>0</v>
      </c>
      <c r="BG49" s="5">
        <f t="shared" si="27"/>
        <v>0</v>
      </c>
      <c r="BH49" s="5">
        <f t="shared" si="18"/>
        <v>0</v>
      </c>
      <c r="BI49" s="5">
        <f t="shared" si="27"/>
        <v>0</v>
      </c>
      <c r="BJ49" s="5">
        <f t="shared" si="15"/>
        <v>0</v>
      </c>
      <c r="BK49" s="5">
        <v>0</v>
      </c>
      <c r="BL49" s="5">
        <f t="shared" si="63"/>
        <v>0</v>
      </c>
      <c r="BM49" s="5">
        <f t="shared" si="28"/>
        <v>0</v>
      </c>
      <c r="BN49" s="5">
        <f t="shared" si="28"/>
        <v>0</v>
      </c>
      <c r="BO49" s="5">
        <f t="shared" si="28"/>
        <v>0</v>
      </c>
      <c r="BP49" s="5">
        <f t="shared" si="28"/>
        <v>0</v>
      </c>
      <c r="BQ49" s="5">
        <f t="shared" si="64"/>
        <v>0</v>
      </c>
      <c r="BR49" s="5"/>
      <c r="BS49" s="4">
        <v>1</v>
      </c>
      <c r="BT49" s="4">
        <v>3</v>
      </c>
      <c r="BU49" s="4">
        <f t="shared" si="29"/>
        <v>0</v>
      </c>
      <c r="BV49" s="4">
        <f t="shared" si="6"/>
        <v>3</v>
      </c>
      <c r="BW49" s="4">
        <f t="shared" si="7"/>
        <v>3</v>
      </c>
      <c r="BX49" s="14">
        <f t="shared" si="8"/>
        <v>0.71</v>
      </c>
      <c r="BY49" s="14">
        <f t="shared" si="9"/>
        <v>0.45000000000000007</v>
      </c>
      <c r="BZ49" s="5" t="s">
        <v>129</v>
      </c>
      <c r="CA49" s="8" t="str">
        <f t="shared" si="113"/>
        <v>monster_05</v>
      </c>
      <c r="CB49" s="8" t="str">
        <f t="shared" si="113"/>
        <v>monster_05</v>
      </c>
      <c r="CC49" s="5">
        <v>0</v>
      </c>
      <c r="CD49" s="8">
        <f t="shared" si="30"/>
        <v>3</v>
      </c>
      <c r="CE49" s="5">
        <f t="shared" si="10"/>
        <v>0</v>
      </c>
      <c r="CF49" s="5">
        <f t="shared" si="31"/>
        <v>0</v>
      </c>
      <c r="CG49" s="5" t="s">
        <v>248</v>
      </c>
      <c r="CH49" s="5">
        <f t="shared" si="47"/>
        <v>0</v>
      </c>
      <c r="CI49" s="5">
        <v>103</v>
      </c>
      <c r="CJ49" s="4">
        <v>0</v>
      </c>
      <c r="CK49" s="5">
        <v>0</v>
      </c>
      <c r="CL49" s="5">
        <v>0</v>
      </c>
      <c r="CM49" s="20">
        <v>0</v>
      </c>
      <c r="CN49" s="8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8">
        <f t="shared" ref="CV49:CY49" si="124">CV28</f>
        <v>0.8</v>
      </c>
      <c r="CW49" s="8">
        <f t="shared" si="124"/>
        <v>0.6</v>
      </c>
      <c r="CX49" s="8">
        <f t="shared" si="124"/>
        <v>0.8</v>
      </c>
      <c r="CY49" s="8">
        <f t="shared" si="124"/>
        <v>0.8</v>
      </c>
      <c r="CZ49" s="8">
        <f t="shared" si="34"/>
        <v>1</v>
      </c>
      <c r="DA49" s="6">
        <f t="shared" si="0"/>
        <v>75</v>
      </c>
      <c r="DB49" s="5">
        <f t="shared" si="35"/>
        <v>0</v>
      </c>
      <c r="DC49" s="5">
        <f t="shared" si="11"/>
        <v>0.27500000000000002</v>
      </c>
      <c r="DD49" s="6">
        <f t="shared" si="1"/>
        <v>0.27500000000000002</v>
      </c>
      <c r="DE49" s="6">
        <f t="shared" si="49"/>
        <v>0.5</v>
      </c>
      <c r="DF49" s="5">
        <v>0</v>
      </c>
      <c r="DG49" s="8">
        <f t="shared" si="36"/>
        <v>2.5</v>
      </c>
      <c r="DH49" s="5">
        <v>1.5</v>
      </c>
      <c r="DI49" s="8">
        <f t="shared" si="37"/>
        <v>0.3</v>
      </c>
      <c r="DJ49" s="5">
        <f t="shared" si="2"/>
        <v>3.75</v>
      </c>
      <c r="DK49" s="8">
        <v>0</v>
      </c>
      <c r="DL49" s="5">
        <f t="shared" si="3"/>
        <v>0</v>
      </c>
      <c r="DM49" s="5" t="s">
        <v>248</v>
      </c>
      <c r="DN49" s="8">
        <f t="shared" ref="DN49:DP49" si="125">DN28</f>
        <v>10</v>
      </c>
      <c r="DO49" s="8">
        <f t="shared" si="125"/>
        <v>1</v>
      </c>
      <c r="DP49" s="5">
        <f t="shared" si="125"/>
        <v>0</v>
      </c>
      <c r="DQ49" s="8">
        <f t="shared" si="39"/>
        <v>0</v>
      </c>
      <c r="DR49" s="5">
        <f t="shared" si="13"/>
        <v>4.5</v>
      </c>
      <c r="DS49" s="8">
        <f t="shared" si="40"/>
        <v>5</v>
      </c>
      <c r="DT49" s="8">
        <f t="shared" si="41"/>
        <v>-5</v>
      </c>
      <c r="DU49" s="8">
        <f t="shared" si="41"/>
        <v>5</v>
      </c>
      <c r="DV49" s="8">
        <f t="shared" si="41"/>
        <v>0.5</v>
      </c>
      <c r="DW49" s="5">
        <f t="shared" si="116"/>
        <v>0.5</v>
      </c>
      <c r="DX49" s="8">
        <f t="shared" si="43"/>
        <v>6</v>
      </c>
      <c r="DY49" s="8">
        <f t="shared" si="44"/>
        <v>0</v>
      </c>
      <c r="DZ49" s="8">
        <f t="shared" si="45"/>
        <v>0</v>
      </c>
      <c r="EA49" s="5"/>
    </row>
    <row r="50" spans="1:131" ht="14.25" x14ac:dyDescent="0.15">
      <c r="A50" s="5">
        <v>201048</v>
      </c>
      <c r="B50" s="9" t="s">
        <v>249</v>
      </c>
      <c r="C50" s="9"/>
      <c r="D50" s="9"/>
      <c r="E50" s="9"/>
      <c r="F50" s="5">
        <v>0</v>
      </c>
      <c r="G50" s="45"/>
      <c r="H50" s="5"/>
      <c r="I50" s="5"/>
      <c r="J50" s="5"/>
      <c r="K50" s="5"/>
      <c r="L50" s="10"/>
      <c r="M50" s="5"/>
      <c r="N50" s="10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20"/>
      <c r="AF50" s="5"/>
      <c r="AG50" s="5"/>
      <c r="AH50" s="5"/>
      <c r="AI50" s="5"/>
      <c r="AJ50" s="5"/>
      <c r="AK50" s="5"/>
      <c r="AL50" s="5"/>
      <c r="AM50" s="5"/>
      <c r="AN50" s="8"/>
      <c r="AO50" s="5">
        <v>0</v>
      </c>
      <c r="AP50" s="9" t="s">
        <v>249</v>
      </c>
      <c r="AQ50" s="5">
        <v>0</v>
      </c>
      <c r="AR50" s="8">
        <f t="shared" si="19"/>
        <v>4</v>
      </c>
      <c r="AS50" s="6">
        <f t="shared" si="4"/>
        <v>36</v>
      </c>
      <c r="AT50" s="6">
        <f t="shared" si="5"/>
        <v>45</v>
      </c>
      <c r="AU50" s="5">
        <f t="shared" si="20"/>
        <v>0</v>
      </c>
      <c r="AV50" s="5">
        <f t="shared" si="21"/>
        <v>1</v>
      </c>
      <c r="AW50" s="5">
        <f t="shared" si="22"/>
        <v>1</v>
      </c>
      <c r="AX50" s="5">
        <f t="shared" ref="AX50" si="126">AX29</f>
        <v>1</v>
      </c>
      <c r="AY50" s="5">
        <f t="shared" si="22"/>
        <v>1</v>
      </c>
      <c r="AZ50" s="8">
        <f t="shared" si="24"/>
        <v>31</v>
      </c>
      <c r="BA50" s="5">
        <f t="shared" si="16"/>
        <v>203006</v>
      </c>
      <c r="BB50" s="5">
        <v>0</v>
      </c>
      <c r="BC50" s="5">
        <v>0</v>
      </c>
      <c r="BD50" s="5">
        <f t="shared" si="25"/>
        <v>0</v>
      </c>
      <c r="BE50" s="5">
        <f t="shared" si="26"/>
        <v>304001</v>
      </c>
      <c r="BF50" s="5">
        <f t="shared" si="27"/>
        <v>90</v>
      </c>
      <c r="BG50" s="5">
        <f t="shared" si="27"/>
        <v>30</v>
      </c>
      <c r="BH50" s="5">
        <f t="shared" si="18"/>
        <v>30</v>
      </c>
      <c r="BI50" s="5">
        <f t="shared" si="27"/>
        <v>1</v>
      </c>
      <c r="BJ50" s="5">
        <f t="shared" si="15"/>
        <v>3</v>
      </c>
      <c r="BK50" s="5">
        <v>3</v>
      </c>
      <c r="BL50" s="5">
        <f t="shared" si="63"/>
        <v>1</v>
      </c>
      <c r="BM50" s="5">
        <f t="shared" si="28"/>
        <v>30</v>
      </c>
      <c r="BN50" s="5">
        <f t="shared" si="28"/>
        <v>180</v>
      </c>
      <c r="BO50" s="5">
        <f t="shared" si="28"/>
        <v>108006</v>
      </c>
      <c r="BP50" s="5">
        <f t="shared" si="28"/>
        <v>3</v>
      </c>
      <c r="BQ50" s="5">
        <f t="shared" si="64"/>
        <v>3</v>
      </c>
      <c r="BR50" s="5">
        <f>50*BT50*3-360/BM50*BJ50*BQ50</f>
        <v>342</v>
      </c>
      <c r="BS50" s="4">
        <v>2</v>
      </c>
      <c r="BT50" s="4">
        <v>3</v>
      </c>
      <c r="BU50" s="4">
        <f t="shared" si="29"/>
        <v>0</v>
      </c>
      <c r="BV50" s="4">
        <f t="shared" si="6"/>
        <v>3</v>
      </c>
      <c r="BW50" s="4">
        <f t="shared" si="7"/>
        <v>3</v>
      </c>
      <c r="BX50" s="14">
        <f t="shared" si="8"/>
        <v>0.71</v>
      </c>
      <c r="BY50" s="14">
        <f t="shared" si="9"/>
        <v>0.45000000000000007</v>
      </c>
      <c r="BZ50" s="5" t="s">
        <v>132</v>
      </c>
      <c r="CA50" s="8" t="str">
        <f t="shared" si="113"/>
        <v>monster_06</v>
      </c>
      <c r="CB50" s="8" t="str">
        <f t="shared" si="113"/>
        <v>monster_06</v>
      </c>
      <c r="CC50" s="5">
        <v>0</v>
      </c>
      <c r="CD50" s="8">
        <f t="shared" si="30"/>
        <v>1</v>
      </c>
      <c r="CE50" s="5">
        <f t="shared" si="10"/>
        <v>3</v>
      </c>
      <c r="CF50" s="5">
        <f t="shared" si="31"/>
        <v>1</v>
      </c>
      <c r="CG50" s="9" t="s">
        <v>249</v>
      </c>
      <c r="CH50" s="5">
        <f t="shared" si="47"/>
        <v>3</v>
      </c>
      <c r="CI50" s="5">
        <v>0</v>
      </c>
      <c r="CJ50" s="4">
        <v>0</v>
      </c>
      <c r="CK50" s="5">
        <v>0</v>
      </c>
      <c r="CL50" s="5">
        <v>0</v>
      </c>
      <c r="CM50" s="20">
        <f t="shared" si="32"/>
        <v>110</v>
      </c>
      <c r="CN50" s="8">
        <f t="shared" si="32"/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8">
        <f t="shared" ref="CV50:CY50" si="127">CV29</f>
        <v>0.8</v>
      </c>
      <c r="CW50" s="8">
        <f t="shared" si="127"/>
        <v>0.6</v>
      </c>
      <c r="CX50" s="8">
        <f t="shared" si="127"/>
        <v>1.25</v>
      </c>
      <c r="CY50" s="8">
        <f t="shared" si="127"/>
        <v>1</v>
      </c>
      <c r="CZ50" s="8">
        <f t="shared" si="34"/>
        <v>1</v>
      </c>
      <c r="DA50" s="6">
        <f t="shared" si="0"/>
        <v>75</v>
      </c>
      <c r="DB50" s="5">
        <f t="shared" si="35"/>
        <v>0</v>
      </c>
      <c r="DC50" s="5">
        <f t="shared" si="11"/>
        <v>0.49500000000000005</v>
      </c>
      <c r="DD50" s="6">
        <f t="shared" si="1"/>
        <v>0.49500000000000005</v>
      </c>
      <c r="DE50" s="6">
        <f t="shared" si="49"/>
        <v>0.9</v>
      </c>
      <c r="DF50" s="5">
        <v>0</v>
      </c>
      <c r="DG50" s="8">
        <f t="shared" si="36"/>
        <v>2.5</v>
      </c>
      <c r="DH50" s="5">
        <v>1.5</v>
      </c>
      <c r="DI50" s="8">
        <f t="shared" si="37"/>
        <v>0</v>
      </c>
      <c r="DJ50" s="5">
        <f t="shared" si="2"/>
        <v>0</v>
      </c>
      <c r="DK50" s="8">
        <v>0</v>
      </c>
      <c r="DL50" s="5">
        <f t="shared" si="3"/>
        <v>0</v>
      </c>
      <c r="DM50" s="9" t="s">
        <v>249</v>
      </c>
      <c r="DN50" s="8">
        <f t="shared" ref="DN50:DP50" si="128">DN29</f>
        <v>6</v>
      </c>
      <c r="DO50" s="8">
        <f t="shared" si="128"/>
        <v>0</v>
      </c>
      <c r="DP50" s="5">
        <f t="shared" si="128"/>
        <v>0</v>
      </c>
      <c r="DQ50" s="8">
        <f t="shared" si="39"/>
        <v>0</v>
      </c>
      <c r="DR50" s="5">
        <f t="shared" si="13"/>
        <v>0.9</v>
      </c>
      <c r="DS50" s="8">
        <f t="shared" si="40"/>
        <v>1</v>
      </c>
      <c r="DT50" s="8">
        <f t="shared" si="41"/>
        <v>-0.5</v>
      </c>
      <c r="DU50" s="8">
        <f t="shared" si="41"/>
        <v>0.5</v>
      </c>
      <c r="DV50" s="8">
        <f t="shared" si="41"/>
        <v>0.5</v>
      </c>
      <c r="DW50" s="5">
        <f t="shared" si="116"/>
        <v>0.41666666666666669</v>
      </c>
      <c r="DX50" s="8">
        <f t="shared" si="43"/>
        <v>5</v>
      </c>
      <c r="DY50" s="8">
        <f t="shared" si="44"/>
        <v>1.3333333333333333</v>
      </c>
      <c r="DZ50" s="8">
        <f t="shared" si="45"/>
        <v>16</v>
      </c>
      <c r="EA50" s="5"/>
    </row>
    <row r="51" spans="1:131" x14ac:dyDescent="0.15">
      <c r="A51" s="5">
        <v>201049</v>
      </c>
      <c r="B51" s="5" t="s">
        <v>250</v>
      </c>
      <c r="C51" s="5"/>
      <c r="D51" s="5"/>
      <c r="E51" s="5"/>
      <c r="F51" s="5">
        <v>0</v>
      </c>
      <c r="G51" s="45"/>
      <c r="H51" s="5"/>
      <c r="I51" s="5"/>
      <c r="J51" s="5"/>
      <c r="K51" s="5"/>
      <c r="L51" s="10"/>
      <c r="M51" s="5"/>
      <c r="N51" s="10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20"/>
      <c r="AF51" s="5"/>
      <c r="AG51" s="5"/>
      <c r="AH51" s="5"/>
      <c r="AI51" s="5"/>
      <c r="AJ51" s="5"/>
      <c r="AK51" s="5"/>
      <c r="AL51" s="5"/>
      <c r="AM51" s="5"/>
      <c r="AN51" s="8"/>
      <c r="AO51" s="5">
        <v>0</v>
      </c>
      <c r="AP51" s="5" t="s">
        <v>250</v>
      </c>
      <c r="AQ51" s="5">
        <v>0</v>
      </c>
      <c r="AR51" s="8">
        <f t="shared" si="19"/>
        <v>5</v>
      </c>
      <c r="AS51" s="6">
        <f t="shared" si="4"/>
        <v>45</v>
      </c>
      <c r="AT51" s="6">
        <f t="shared" si="5"/>
        <v>54</v>
      </c>
      <c r="AU51" s="5">
        <f t="shared" si="20"/>
        <v>0</v>
      </c>
      <c r="AV51" s="5">
        <f t="shared" si="21"/>
        <v>1</v>
      </c>
      <c r="AW51" s="5">
        <f t="shared" si="22"/>
        <v>1</v>
      </c>
      <c r="AX51" s="5">
        <f t="shared" ref="AX51" si="129">AX30</f>
        <v>1</v>
      </c>
      <c r="AY51" s="5">
        <f t="shared" si="22"/>
        <v>1</v>
      </c>
      <c r="AZ51" s="8">
        <f>AZ30+1</f>
        <v>10703</v>
      </c>
      <c r="BA51" s="5">
        <f t="shared" si="16"/>
        <v>203007</v>
      </c>
      <c r="BB51" s="5">
        <v>0</v>
      </c>
      <c r="BC51" s="5">
        <v>0</v>
      </c>
      <c r="BD51" s="5">
        <f t="shared" si="25"/>
        <v>0</v>
      </c>
      <c r="BE51" s="5">
        <f t="shared" si="26"/>
        <v>0</v>
      </c>
      <c r="BF51" s="5">
        <f t="shared" si="27"/>
        <v>0</v>
      </c>
      <c r="BG51" s="5">
        <f t="shared" si="27"/>
        <v>0</v>
      </c>
      <c r="BH51" s="5">
        <f t="shared" si="18"/>
        <v>0</v>
      </c>
      <c r="BI51" s="5">
        <f t="shared" si="27"/>
        <v>0</v>
      </c>
      <c r="BJ51" s="5">
        <f t="shared" si="15"/>
        <v>0</v>
      </c>
      <c r="BK51" s="5">
        <v>0</v>
      </c>
      <c r="BL51" s="5">
        <f t="shared" si="63"/>
        <v>0</v>
      </c>
      <c r="BM51" s="5">
        <f t="shared" si="28"/>
        <v>0</v>
      </c>
      <c r="BN51" s="5">
        <f t="shared" si="28"/>
        <v>0</v>
      </c>
      <c r="BO51" s="5">
        <f t="shared" si="28"/>
        <v>0</v>
      </c>
      <c r="BP51" s="5">
        <f t="shared" si="28"/>
        <v>0</v>
      </c>
      <c r="BQ51" s="5">
        <f t="shared" si="64"/>
        <v>0</v>
      </c>
      <c r="BR51" s="5"/>
      <c r="BS51" s="4">
        <v>2</v>
      </c>
      <c r="BT51" s="4">
        <v>3</v>
      </c>
      <c r="BU51" s="4">
        <f t="shared" si="29"/>
        <v>0</v>
      </c>
      <c r="BV51" s="4">
        <f t="shared" si="6"/>
        <v>3</v>
      </c>
      <c r="BW51" s="4">
        <f t="shared" si="7"/>
        <v>3</v>
      </c>
      <c r="BX51" s="14">
        <f t="shared" si="8"/>
        <v>0.71</v>
      </c>
      <c r="BY51" s="14">
        <f t="shared" si="9"/>
        <v>0.45000000000000007</v>
      </c>
      <c r="BZ51" s="5" t="s">
        <v>135</v>
      </c>
      <c r="CA51" s="8" t="str">
        <f t="shared" si="113"/>
        <v>monster_07</v>
      </c>
      <c r="CB51" s="8" t="str">
        <f t="shared" si="113"/>
        <v>monster_07</v>
      </c>
      <c r="CC51" s="5">
        <v>0</v>
      </c>
      <c r="CD51" s="8">
        <f t="shared" si="30"/>
        <v>4</v>
      </c>
      <c r="CE51" s="5">
        <f t="shared" si="10"/>
        <v>3</v>
      </c>
      <c r="CF51" s="5">
        <f t="shared" si="31"/>
        <v>1</v>
      </c>
      <c r="CG51" s="5" t="s">
        <v>250</v>
      </c>
      <c r="CH51" s="5">
        <f t="shared" si="47"/>
        <v>3</v>
      </c>
      <c r="CI51" s="5">
        <v>0</v>
      </c>
      <c r="CJ51" s="4">
        <v>0</v>
      </c>
      <c r="CK51" s="5">
        <v>0</v>
      </c>
      <c r="CL51" s="5">
        <v>0</v>
      </c>
      <c r="CM51" s="20">
        <f t="shared" si="32"/>
        <v>0</v>
      </c>
      <c r="CN51" s="8">
        <f t="shared" si="32"/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8">
        <f t="shared" ref="CV51:CY51" si="130">CV30</f>
        <v>0.8</v>
      </c>
      <c r="CW51" s="8">
        <f t="shared" si="130"/>
        <v>0.6</v>
      </c>
      <c r="CX51" s="8">
        <f t="shared" si="130"/>
        <v>1</v>
      </c>
      <c r="CY51" s="8">
        <f t="shared" si="130"/>
        <v>1</v>
      </c>
      <c r="CZ51" s="8">
        <f t="shared" si="34"/>
        <v>1</v>
      </c>
      <c r="DA51" s="6">
        <f t="shared" si="0"/>
        <v>75</v>
      </c>
      <c r="DB51" s="5">
        <f t="shared" si="35"/>
        <v>0</v>
      </c>
      <c r="DC51" s="5">
        <f t="shared" si="11"/>
        <v>0.27500000000000002</v>
      </c>
      <c r="DD51" s="6">
        <f t="shared" si="1"/>
        <v>0.27500000000000002</v>
      </c>
      <c r="DE51" s="6">
        <f t="shared" si="49"/>
        <v>0.5</v>
      </c>
      <c r="DF51" s="5">
        <v>1</v>
      </c>
      <c r="DG51" s="8">
        <f t="shared" si="36"/>
        <v>2.25</v>
      </c>
      <c r="DH51" s="5">
        <v>1.25</v>
      </c>
      <c r="DI51" s="8">
        <f t="shared" si="37"/>
        <v>3</v>
      </c>
      <c r="DJ51" s="5">
        <f t="shared" si="2"/>
        <v>37.5</v>
      </c>
      <c r="DK51" s="8">
        <v>0</v>
      </c>
      <c r="DL51" s="5">
        <f t="shared" si="3"/>
        <v>0</v>
      </c>
      <c r="DM51" s="5" t="s">
        <v>250</v>
      </c>
      <c r="DN51" s="8">
        <f t="shared" ref="DN51:DP51" si="131">DN30</f>
        <v>6</v>
      </c>
      <c r="DO51" s="8">
        <f t="shared" si="131"/>
        <v>0</v>
      </c>
      <c r="DP51" s="5">
        <f t="shared" si="131"/>
        <v>1</v>
      </c>
      <c r="DQ51" s="8">
        <f t="shared" si="39"/>
        <v>0</v>
      </c>
      <c r="DR51" s="5">
        <f t="shared" si="13"/>
        <v>1.1700000000000002</v>
      </c>
      <c r="DS51" s="8">
        <f t="shared" si="40"/>
        <v>1.3</v>
      </c>
      <c r="DT51" s="8">
        <f t="shared" si="41"/>
        <v>-0.5</v>
      </c>
      <c r="DU51" s="8">
        <f t="shared" si="41"/>
        <v>0.5</v>
      </c>
      <c r="DV51" s="8">
        <f t="shared" si="41"/>
        <v>0.6</v>
      </c>
      <c r="DW51" s="5">
        <f t="shared" si="116"/>
        <v>0.5</v>
      </c>
      <c r="DX51" s="8">
        <f t="shared" si="43"/>
        <v>6</v>
      </c>
      <c r="DY51" s="8">
        <f t="shared" si="44"/>
        <v>0</v>
      </c>
      <c r="DZ51" s="8">
        <f t="shared" si="45"/>
        <v>0</v>
      </c>
      <c r="EA51" s="5"/>
    </row>
    <row r="52" spans="1:131" x14ac:dyDescent="0.15">
      <c r="A52" s="5">
        <v>201050</v>
      </c>
      <c r="B52" s="5" t="s">
        <v>251</v>
      </c>
      <c r="C52" s="5"/>
      <c r="D52" s="5"/>
      <c r="E52" s="5"/>
      <c r="F52" s="5">
        <v>0</v>
      </c>
      <c r="G52" s="45"/>
      <c r="H52" s="5"/>
      <c r="I52" s="5"/>
      <c r="J52" s="5"/>
      <c r="K52" s="5"/>
      <c r="L52" s="10"/>
      <c r="M52" s="5"/>
      <c r="N52" s="1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20"/>
      <c r="AF52" s="5"/>
      <c r="AG52" s="5"/>
      <c r="AH52" s="5"/>
      <c r="AI52" s="5"/>
      <c r="AJ52" s="5"/>
      <c r="AK52" s="5"/>
      <c r="AL52" s="5"/>
      <c r="AM52" s="5"/>
      <c r="AN52" s="8"/>
      <c r="AO52" s="5">
        <v>0</v>
      </c>
      <c r="AP52" s="5" t="s">
        <v>251</v>
      </c>
      <c r="AQ52" s="5">
        <v>0</v>
      </c>
      <c r="AR52" s="8">
        <f t="shared" si="19"/>
        <v>4</v>
      </c>
      <c r="AS52" s="6">
        <f t="shared" si="4"/>
        <v>36</v>
      </c>
      <c r="AT52" s="6">
        <f t="shared" si="5"/>
        <v>45</v>
      </c>
      <c r="AU52" s="5">
        <f t="shared" si="20"/>
        <v>0</v>
      </c>
      <c r="AV52" s="5">
        <f t="shared" si="21"/>
        <v>1</v>
      </c>
      <c r="AW52" s="5">
        <f t="shared" si="22"/>
        <v>0</v>
      </c>
      <c r="AX52" s="5">
        <f t="shared" ref="AX52" si="132">AX31</f>
        <v>0</v>
      </c>
      <c r="AY52" s="5">
        <f t="shared" si="22"/>
        <v>1</v>
      </c>
      <c r="AZ52" s="8">
        <f t="shared" si="24"/>
        <v>33</v>
      </c>
      <c r="BA52" s="5">
        <f t="shared" si="16"/>
        <v>203008</v>
      </c>
      <c r="BB52" s="5">
        <v>0</v>
      </c>
      <c r="BC52" s="5">
        <v>0</v>
      </c>
      <c r="BD52" s="5">
        <f t="shared" si="25"/>
        <v>0</v>
      </c>
      <c r="BE52" s="5">
        <f t="shared" si="26"/>
        <v>0</v>
      </c>
      <c r="BF52" s="5">
        <f t="shared" si="27"/>
        <v>0</v>
      </c>
      <c r="BG52" s="5">
        <f t="shared" si="27"/>
        <v>0</v>
      </c>
      <c r="BH52" s="5">
        <f t="shared" si="18"/>
        <v>0</v>
      </c>
      <c r="BI52" s="5">
        <f t="shared" si="27"/>
        <v>0</v>
      </c>
      <c r="BJ52" s="5">
        <f t="shared" si="15"/>
        <v>0</v>
      </c>
      <c r="BK52" s="5">
        <v>0</v>
      </c>
      <c r="BL52" s="5">
        <f t="shared" si="63"/>
        <v>0</v>
      </c>
      <c r="BM52" s="5">
        <f t="shared" si="28"/>
        <v>0</v>
      </c>
      <c r="BN52" s="5">
        <f t="shared" si="28"/>
        <v>0</v>
      </c>
      <c r="BO52" s="5">
        <f t="shared" si="28"/>
        <v>0</v>
      </c>
      <c r="BP52" s="5">
        <f t="shared" si="28"/>
        <v>0</v>
      </c>
      <c r="BQ52" s="5">
        <f t="shared" si="64"/>
        <v>0</v>
      </c>
      <c r="BR52" s="5"/>
      <c r="BS52" s="4">
        <v>2</v>
      </c>
      <c r="BT52" s="4">
        <v>3</v>
      </c>
      <c r="BU52" s="4">
        <f t="shared" si="29"/>
        <v>1</v>
      </c>
      <c r="BV52" s="4">
        <f t="shared" si="6"/>
        <v>3</v>
      </c>
      <c r="BW52" s="4">
        <f t="shared" si="7"/>
        <v>3</v>
      </c>
      <c r="BX52" s="14">
        <f t="shared" si="8"/>
        <v>0.71</v>
      </c>
      <c r="BY52" s="14">
        <f t="shared" si="9"/>
        <v>0.45000000000000007</v>
      </c>
      <c r="BZ52" s="5" t="s">
        <v>138</v>
      </c>
      <c r="CA52" s="8" t="str">
        <f t="shared" si="113"/>
        <v>monster_08</v>
      </c>
      <c r="CB52" s="8" t="str">
        <f t="shared" si="113"/>
        <v>monster_08</v>
      </c>
      <c r="CC52" s="5">
        <v>0</v>
      </c>
      <c r="CD52" s="8">
        <f t="shared" si="30"/>
        <v>1</v>
      </c>
      <c r="CE52" s="5">
        <f t="shared" si="10"/>
        <v>0</v>
      </c>
      <c r="CF52" s="5">
        <f t="shared" si="31"/>
        <v>0</v>
      </c>
      <c r="CG52" s="5" t="s">
        <v>251</v>
      </c>
      <c r="CH52" s="5">
        <f t="shared" si="47"/>
        <v>3</v>
      </c>
      <c r="CI52" s="5">
        <v>0</v>
      </c>
      <c r="CJ52" s="4">
        <v>0</v>
      </c>
      <c r="CK52" s="5">
        <v>0</v>
      </c>
      <c r="CL52" s="5">
        <v>0</v>
      </c>
      <c r="CM52" s="20">
        <f t="shared" si="32"/>
        <v>112</v>
      </c>
      <c r="CN52" s="8">
        <f t="shared" si="32"/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8">
        <f t="shared" ref="CV52:CY52" si="133">CV31</f>
        <v>0.8</v>
      </c>
      <c r="CW52" s="8">
        <f t="shared" si="133"/>
        <v>0.6</v>
      </c>
      <c r="CX52" s="8">
        <f t="shared" si="133"/>
        <v>1</v>
      </c>
      <c r="CY52" s="8">
        <f t="shared" si="133"/>
        <v>1</v>
      </c>
      <c r="CZ52" s="8">
        <f t="shared" si="34"/>
        <v>0.4</v>
      </c>
      <c r="DA52" s="6">
        <f t="shared" si="0"/>
        <v>30</v>
      </c>
      <c r="DB52" s="5">
        <f t="shared" si="35"/>
        <v>0</v>
      </c>
      <c r="DC52" s="5">
        <f t="shared" si="11"/>
        <v>0.66</v>
      </c>
      <c r="DD52" s="6">
        <f t="shared" si="1"/>
        <v>0.66</v>
      </c>
      <c r="DE52" s="6">
        <f t="shared" si="49"/>
        <v>1.2</v>
      </c>
      <c r="DF52" s="5">
        <v>0</v>
      </c>
      <c r="DG52" s="8">
        <f t="shared" si="36"/>
        <v>2.25</v>
      </c>
      <c r="DH52" s="5">
        <v>1.25</v>
      </c>
      <c r="DI52" s="8">
        <f t="shared" si="37"/>
        <v>0</v>
      </c>
      <c r="DJ52" s="5">
        <f t="shared" si="2"/>
        <v>0</v>
      </c>
      <c r="DK52" s="8">
        <v>0</v>
      </c>
      <c r="DL52" s="5">
        <f t="shared" si="3"/>
        <v>0</v>
      </c>
      <c r="DM52" s="5" t="s">
        <v>251</v>
      </c>
      <c r="DN52" s="8">
        <f t="shared" ref="DN52:DP52" si="134">DN31</f>
        <v>6</v>
      </c>
      <c r="DO52" s="8">
        <f t="shared" si="134"/>
        <v>0</v>
      </c>
      <c r="DP52" s="5">
        <f t="shared" si="134"/>
        <v>0</v>
      </c>
      <c r="DQ52" s="8">
        <f t="shared" si="39"/>
        <v>0</v>
      </c>
      <c r="DR52" s="5">
        <f t="shared" si="13"/>
        <v>0.9</v>
      </c>
      <c r="DS52" s="8">
        <f t="shared" si="40"/>
        <v>1</v>
      </c>
      <c r="DT52" s="8">
        <f t="shared" si="41"/>
        <v>-0.5</v>
      </c>
      <c r="DU52" s="8">
        <f t="shared" si="41"/>
        <v>0.5</v>
      </c>
      <c r="DV52" s="8">
        <f t="shared" si="41"/>
        <v>0.75</v>
      </c>
      <c r="DW52" s="5">
        <f t="shared" si="116"/>
        <v>0.5</v>
      </c>
      <c r="DX52" s="8">
        <f t="shared" si="43"/>
        <v>6</v>
      </c>
      <c r="DY52" s="8">
        <f t="shared" si="44"/>
        <v>0</v>
      </c>
      <c r="DZ52" s="8">
        <f t="shared" si="45"/>
        <v>0</v>
      </c>
      <c r="EA52" s="5"/>
    </row>
    <row r="53" spans="1:131" x14ac:dyDescent="0.15">
      <c r="A53" s="5">
        <v>201051</v>
      </c>
      <c r="B53" s="5" t="s">
        <v>252</v>
      </c>
      <c r="C53" s="5"/>
      <c r="D53" s="5"/>
      <c r="E53" s="5"/>
      <c r="F53" s="5">
        <v>0</v>
      </c>
      <c r="G53" s="45"/>
      <c r="H53" s="5"/>
      <c r="I53" s="5"/>
      <c r="J53" s="5"/>
      <c r="K53" s="5"/>
      <c r="L53" s="10"/>
      <c r="M53" s="5"/>
      <c r="N53" s="1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20"/>
      <c r="AF53" s="5"/>
      <c r="AG53" s="5"/>
      <c r="AH53" s="5"/>
      <c r="AI53" s="5"/>
      <c r="AJ53" s="5"/>
      <c r="AK53" s="5"/>
      <c r="AL53" s="5"/>
      <c r="AM53" s="5"/>
      <c r="AN53" s="8"/>
      <c r="AO53" s="5">
        <v>0</v>
      </c>
      <c r="AP53" s="5" t="s">
        <v>252</v>
      </c>
      <c r="AQ53" s="5">
        <v>0</v>
      </c>
      <c r="AR53" s="8">
        <f t="shared" si="19"/>
        <v>0.65</v>
      </c>
      <c r="AS53" s="6">
        <f t="shared" si="4"/>
        <v>5.8500000000000005</v>
      </c>
      <c r="AT53" s="6">
        <f t="shared" si="5"/>
        <v>14.849999999999998</v>
      </c>
      <c r="AU53" s="5">
        <f t="shared" si="20"/>
        <v>0</v>
      </c>
      <c r="AV53" s="5">
        <f t="shared" si="21"/>
        <v>1</v>
      </c>
      <c r="AW53" s="5">
        <f t="shared" si="22"/>
        <v>0</v>
      </c>
      <c r="AX53" s="5">
        <f t="shared" ref="AX53" si="135">AX32</f>
        <v>0</v>
      </c>
      <c r="AY53" s="5">
        <f t="shared" si="22"/>
        <v>1</v>
      </c>
      <c r="AZ53" s="8">
        <f t="shared" si="24"/>
        <v>33</v>
      </c>
      <c r="BA53" s="5">
        <f t="shared" si="16"/>
        <v>203009</v>
      </c>
      <c r="BB53" s="5">
        <v>0</v>
      </c>
      <c r="BC53" s="5">
        <v>0</v>
      </c>
      <c r="BD53" s="5">
        <f t="shared" si="25"/>
        <v>0</v>
      </c>
      <c r="BE53" s="5">
        <f t="shared" si="26"/>
        <v>0</v>
      </c>
      <c r="BF53" s="5">
        <f t="shared" si="27"/>
        <v>0</v>
      </c>
      <c r="BG53" s="5">
        <f t="shared" si="27"/>
        <v>0</v>
      </c>
      <c r="BH53" s="5">
        <f t="shared" si="18"/>
        <v>0</v>
      </c>
      <c r="BI53" s="5">
        <f t="shared" si="27"/>
        <v>0</v>
      </c>
      <c r="BJ53" s="5">
        <f t="shared" si="15"/>
        <v>0</v>
      </c>
      <c r="BK53" s="5">
        <v>0</v>
      </c>
      <c r="BL53" s="5">
        <f t="shared" si="63"/>
        <v>0</v>
      </c>
      <c r="BM53" s="5">
        <f t="shared" si="28"/>
        <v>0</v>
      </c>
      <c r="BN53" s="5">
        <f t="shared" si="28"/>
        <v>0</v>
      </c>
      <c r="BO53" s="5">
        <f t="shared" si="28"/>
        <v>0</v>
      </c>
      <c r="BP53" s="5">
        <f t="shared" si="28"/>
        <v>0</v>
      </c>
      <c r="BQ53" s="5">
        <f t="shared" si="64"/>
        <v>0</v>
      </c>
      <c r="BR53" s="5"/>
      <c r="BS53" s="4">
        <v>2</v>
      </c>
      <c r="BT53" s="4">
        <v>3</v>
      </c>
      <c r="BU53" s="4">
        <f t="shared" si="29"/>
        <v>0</v>
      </c>
      <c r="BV53" s="4">
        <f t="shared" si="6"/>
        <v>3</v>
      </c>
      <c r="BW53" s="4">
        <f t="shared" si="7"/>
        <v>3</v>
      </c>
      <c r="BX53" s="14">
        <f t="shared" si="8"/>
        <v>0.71</v>
      </c>
      <c r="BY53" s="14">
        <f t="shared" si="9"/>
        <v>0.45000000000000007</v>
      </c>
      <c r="BZ53" s="5" t="s">
        <v>141</v>
      </c>
      <c r="CA53" s="8" t="str">
        <f t="shared" si="113"/>
        <v>monster_09</v>
      </c>
      <c r="CB53" s="8" t="str">
        <f t="shared" si="113"/>
        <v>monster_09</v>
      </c>
      <c r="CC53" s="5">
        <v>0</v>
      </c>
      <c r="CD53" s="8">
        <f t="shared" si="30"/>
        <v>1</v>
      </c>
      <c r="CE53" s="5">
        <f t="shared" si="10"/>
        <v>0</v>
      </c>
      <c r="CF53" s="5">
        <f t="shared" si="31"/>
        <v>0</v>
      </c>
      <c r="CG53" s="5" t="s">
        <v>252</v>
      </c>
      <c r="CH53" s="5">
        <f t="shared" si="47"/>
        <v>3</v>
      </c>
      <c r="CI53" s="5">
        <v>0</v>
      </c>
      <c r="CJ53" s="4">
        <v>0</v>
      </c>
      <c r="CK53" s="5">
        <v>0</v>
      </c>
      <c r="CL53" s="5">
        <v>0</v>
      </c>
      <c r="CM53" s="20">
        <f t="shared" si="32"/>
        <v>0</v>
      </c>
      <c r="CN53" s="8">
        <f t="shared" si="32"/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8">
        <f t="shared" ref="CV53:CY53" si="136">CV32</f>
        <v>0.1</v>
      </c>
      <c r="CW53" s="8">
        <f t="shared" si="136"/>
        <v>0.6</v>
      </c>
      <c r="CX53" s="8">
        <f t="shared" si="136"/>
        <v>1</v>
      </c>
      <c r="CY53" s="8">
        <f t="shared" si="136"/>
        <v>1</v>
      </c>
      <c r="CZ53" s="8">
        <f t="shared" si="34"/>
        <v>0.3</v>
      </c>
      <c r="DA53" s="6">
        <f t="shared" si="0"/>
        <v>22.5</v>
      </c>
      <c r="DB53" s="5">
        <f t="shared" si="35"/>
        <v>1</v>
      </c>
      <c r="DC53" s="5">
        <f t="shared" si="11"/>
        <v>0.44000000000000006</v>
      </c>
      <c r="DD53" s="6">
        <f t="shared" si="1"/>
        <v>0.44000000000000006</v>
      </c>
      <c r="DE53" s="6">
        <f t="shared" si="49"/>
        <v>0.8</v>
      </c>
      <c r="DF53" s="5">
        <v>0</v>
      </c>
      <c r="DG53" s="8">
        <f t="shared" si="36"/>
        <v>3</v>
      </c>
      <c r="DH53" s="5">
        <v>1.5</v>
      </c>
      <c r="DI53" s="8">
        <f t="shared" si="37"/>
        <v>0</v>
      </c>
      <c r="DJ53" s="5">
        <f t="shared" si="2"/>
        <v>0</v>
      </c>
      <c r="DK53" s="8">
        <v>0</v>
      </c>
      <c r="DL53" s="5">
        <f t="shared" si="3"/>
        <v>0</v>
      </c>
      <c r="DM53" s="5" t="s">
        <v>252</v>
      </c>
      <c r="DN53" s="8">
        <f t="shared" ref="DN53:DP53" si="137">DN32</f>
        <v>6</v>
      </c>
      <c r="DO53" s="8">
        <f t="shared" si="137"/>
        <v>0</v>
      </c>
      <c r="DP53" s="5">
        <f t="shared" si="137"/>
        <v>0</v>
      </c>
      <c r="DQ53" s="8">
        <f t="shared" si="39"/>
        <v>0</v>
      </c>
      <c r="DR53" s="5">
        <f t="shared" si="13"/>
        <v>1.8</v>
      </c>
      <c r="DS53" s="8">
        <f t="shared" si="40"/>
        <v>2</v>
      </c>
      <c r="DT53" s="8">
        <f t="shared" si="41"/>
        <v>-2</v>
      </c>
      <c r="DU53" s="8">
        <f t="shared" si="41"/>
        <v>2</v>
      </c>
      <c r="DV53" s="8">
        <f t="shared" si="41"/>
        <v>0.1</v>
      </c>
      <c r="DW53" s="5">
        <f t="shared" si="116"/>
        <v>8.3333333333333329E-2</v>
      </c>
      <c r="DX53" s="8">
        <f t="shared" si="43"/>
        <v>1</v>
      </c>
      <c r="DY53" s="8">
        <f t="shared" si="44"/>
        <v>0</v>
      </c>
      <c r="DZ53" s="8">
        <f t="shared" si="45"/>
        <v>0</v>
      </c>
      <c r="EA53" s="5"/>
    </row>
    <row r="54" spans="1:131" x14ac:dyDescent="0.15">
      <c r="A54" s="5">
        <v>201052</v>
      </c>
      <c r="B54" s="5" t="s">
        <v>253</v>
      </c>
      <c r="C54" s="5"/>
      <c r="D54" s="5"/>
      <c r="E54" s="5"/>
      <c r="F54" s="5">
        <v>0</v>
      </c>
      <c r="G54" s="45"/>
      <c r="H54" s="5"/>
      <c r="I54" s="5"/>
      <c r="J54" s="5"/>
      <c r="K54" s="5"/>
      <c r="L54" s="10"/>
      <c r="M54" s="5"/>
      <c r="N54" s="1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20"/>
      <c r="AF54" s="5"/>
      <c r="AG54" s="5"/>
      <c r="AH54" s="5"/>
      <c r="AI54" s="5"/>
      <c r="AJ54" s="5"/>
      <c r="AK54" s="5"/>
      <c r="AL54" s="5"/>
      <c r="AM54" s="5"/>
      <c r="AN54" s="8"/>
      <c r="AO54" s="5">
        <v>0</v>
      </c>
      <c r="AP54" s="5" t="s">
        <v>253</v>
      </c>
      <c r="AQ54" s="5">
        <v>0</v>
      </c>
      <c r="AR54" s="8">
        <f t="shared" si="19"/>
        <v>1</v>
      </c>
      <c r="AS54" s="6">
        <f t="shared" si="4"/>
        <v>9</v>
      </c>
      <c r="AT54" s="6">
        <f t="shared" si="5"/>
        <v>18</v>
      </c>
      <c r="AU54" s="5">
        <f t="shared" si="20"/>
        <v>0</v>
      </c>
      <c r="AV54" s="5">
        <f t="shared" si="21"/>
        <v>1</v>
      </c>
      <c r="AW54" s="5">
        <f t="shared" si="22"/>
        <v>1</v>
      </c>
      <c r="AX54" s="5">
        <f t="shared" ref="AX54" si="138">AX33</f>
        <v>1</v>
      </c>
      <c r="AY54" s="5">
        <f t="shared" si="22"/>
        <v>1</v>
      </c>
      <c r="AZ54" s="8">
        <v>201052</v>
      </c>
      <c r="BA54" s="5">
        <f t="shared" si="16"/>
        <v>203010</v>
      </c>
      <c r="BB54" s="5">
        <v>0</v>
      </c>
      <c r="BC54" s="5">
        <v>0</v>
      </c>
      <c r="BD54" s="5">
        <f t="shared" si="25"/>
        <v>0</v>
      </c>
      <c r="BE54" s="5">
        <f t="shared" si="26"/>
        <v>305003</v>
      </c>
      <c r="BF54" s="5">
        <f t="shared" si="27"/>
        <v>180</v>
      </c>
      <c r="BG54" s="5">
        <f t="shared" si="27"/>
        <v>0</v>
      </c>
      <c r="BH54" s="5">
        <f t="shared" si="18"/>
        <v>0</v>
      </c>
      <c r="BI54" s="5">
        <f t="shared" si="27"/>
        <v>0</v>
      </c>
      <c r="BJ54" s="5">
        <f t="shared" si="15"/>
        <v>3</v>
      </c>
      <c r="BK54" s="5">
        <v>3</v>
      </c>
      <c r="BL54" s="5">
        <f t="shared" si="63"/>
        <v>1</v>
      </c>
      <c r="BM54" s="5">
        <f t="shared" si="28"/>
        <v>30</v>
      </c>
      <c r="BN54" s="5">
        <f t="shared" si="28"/>
        <v>180</v>
      </c>
      <c r="BO54" s="5">
        <f t="shared" si="28"/>
        <v>108006</v>
      </c>
      <c r="BP54" s="5">
        <f t="shared" si="28"/>
        <v>2</v>
      </c>
      <c r="BQ54" s="5">
        <f t="shared" si="64"/>
        <v>2</v>
      </c>
      <c r="BR54" s="5">
        <f>50*BT54*3-360/BM54*BJ54*BQ54</f>
        <v>378</v>
      </c>
      <c r="BS54" s="4">
        <v>2</v>
      </c>
      <c r="BT54" s="4">
        <v>3</v>
      </c>
      <c r="BU54" s="4">
        <f t="shared" si="29"/>
        <v>0</v>
      </c>
      <c r="BV54" s="4">
        <f t="shared" si="6"/>
        <v>3</v>
      </c>
      <c r="BW54" s="4">
        <f t="shared" si="7"/>
        <v>3</v>
      </c>
      <c r="BX54" s="14">
        <f t="shared" si="8"/>
        <v>0.71</v>
      </c>
      <c r="BY54" s="14">
        <f t="shared" si="9"/>
        <v>0.45000000000000007</v>
      </c>
      <c r="BZ54" s="5" t="s">
        <v>143</v>
      </c>
      <c r="CA54" s="8" t="str">
        <f t="shared" si="113"/>
        <v>monster_10</v>
      </c>
      <c r="CB54" s="8" t="str">
        <f t="shared" si="113"/>
        <v>monster_10</v>
      </c>
      <c r="CC54" s="5">
        <v>0</v>
      </c>
      <c r="CD54" s="8">
        <f t="shared" si="30"/>
        <v>1</v>
      </c>
      <c r="CE54" s="5">
        <f t="shared" si="10"/>
        <v>0</v>
      </c>
      <c r="CF54" s="5">
        <f t="shared" si="31"/>
        <v>0</v>
      </c>
      <c r="CG54" s="5" t="s">
        <v>253</v>
      </c>
      <c r="CH54" s="5">
        <f t="shared" si="47"/>
        <v>3</v>
      </c>
      <c r="CI54" s="5">
        <v>0</v>
      </c>
      <c r="CJ54" s="4">
        <v>0</v>
      </c>
      <c r="CK54" s="5">
        <v>0</v>
      </c>
      <c r="CL54" s="5">
        <v>0</v>
      </c>
      <c r="CM54" s="20">
        <f t="shared" si="32"/>
        <v>0</v>
      </c>
      <c r="CN54" s="8">
        <f t="shared" si="32"/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8">
        <f t="shared" ref="CV54:CY54" si="139">CV33</f>
        <v>0.8</v>
      </c>
      <c r="CW54" s="8">
        <f t="shared" si="139"/>
        <v>0.6</v>
      </c>
      <c r="CX54" s="8">
        <f t="shared" si="139"/>
        <v>1</v>
      </c>
      <c r="CY54" s="8">
        <f t="shared" si="139"/>
        <v>1</v>
      </c>
      <c r="CZ54" s="8">
        <f t="shared" si="34"/>
        <v>1</v>
      </c>
      <c r="DA54" s="6">
        <f t="shared" si="0"/>
        <v>75</v>
      </c>
      <c r="DB54" s="5">
        <f t="shared" si="35"/>
        <v>0</v>
      </c>
      <c r="DC54" s="5">
        <f t="shared" si="11"/>
        <v>0.13750000000000001</v>
      </c>
      <c r="DD54" s="6">
        <f t="shared" si="1"/>
        <v>0.13750000000000001</v>
      </c>
      <c r="DE54" s="6">
        <f t="shared" si="49"/>
        <v>0.25</v>
      </c>
      <c r="DF54" s="5">
        <v>0</v>
      </c>
      <c r="DG54" s="8">
        <f t="shared" si="36"/>
        <v>2.5</v>
      </c>
      <c r="DH54" s="5">
        <v>1.5</v>
      </c>
      <c r="DI54" s="8">
        <f t="shared" si="37"/>
        <v>0</v>
      </c>
      <c r="DJ54" s="5">
        <f t="shared" si="2"/>
        <v>0</v>
      </c>
      <c r="DK54" s="8">
        <v>0</v>
      </c>
      <c r="DL54" s="5">
        <f t="shared" si="3"/>
        <v>0</v>
      </c>
      <c r="DM54" s="5" t="s">
        <v>254</v>
      </c>
      <c r="DN54" s="8">
        <f t="shared" ref="DN54:DP54" si="140">DN33</f>
        <v>6</v>
      </c>
      <c r="DO54" s="8">
        <f t="shared" si="140"/>
        <v>0</v>
      </c>
      <c r="DP54" s="5">
        <f t="shared" si="140"/>
        <v>0</v>
      </c>
      <c r="DQ54" s="8">
        <f t="shared" si="39"/>
        <v>0</v>
      </c>
      <c r="DR54" s="5">
        <f t="shared" si="13"/>
        <v>0.9</v>
      </c>
      <c r="DS54" s="8">
        <f t="shared" si="40"/>
        <v>1</v>
      </c>
      <c r="DT54" s="8">
        <f t="shared" si="41"/>
        <v>-0.5</v>
      </c>
      <c r="DU54" s="8">
        <f t="shared" si="41"/>
        <v>0.5</v>
      </c>
      <c r="DV54" s="8">
        <f t="shared" si="41"/>
        <v>0.5</v>
      </c>
      <c r="DW54" s="5">
        <f t="shared" si="116"/>
        <v>0.75</v>
      </c>
      <c r="DX54" s="8">
        <f t="shared" si="43"/>
        <v>9</v>
      </c>
      <c r="DY54" s="8">
        <f t="shared" si="44"/>
        <v>0</v>
      </c>
      <c r="DZ54" s="8">
        <f t="shared" si="45"/>
        <v>0</v>
      </c>
      <c r="EA54" s="5"/>
    </row>
    <row r="55" spans="1:131" x14ac:dyDescent="0.15">
      <c r="A55" s="5">
        <v>201053</v>
      </c>
      <c r="B55" s="5" t="s">
        <v>255</v>
      </c>
      <c r="C55" s="5"/>
      <c r="D55" s="5"/>
      <c r="E55" s="5"/>
      <c r="F55" s="5">
        <v>0</v>
      </c>
      <c r="G55" s="45"/>
      <c r="H55" s="5"/>
      <c r="I55" s="5"/>
      <c r="J55" s="5"/>
      <c r="K55" s="5"/>
      <c r="L55" s="10"/>
      <c r="M55" s="5"/>
      <c r="N55" s="1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20"/>
      <c r="AF55" s="5"/>
      <c r="AG55" s="5"/>
      <c r="AH55" s="5"/>
      <c r="AI55" s="5"/>
      <c r="AJ55" s="5"/>
      <c r="AK55" s="5"/>
      <c r="AL55" s="5"/>
      <c r="AM55" s="5"/>
      <c r="AN55" s="8"/>
      <c r="AO55" s="5">
        <v>0</v>
      </c>
      <c r="AP55" s="5" t="s">
        <v>255</v>
      </c>
      <c r="AQ55" s="5">
        <v>0</v>
      </c>
      <c r="AR55" s="8">
        <f t="shared" si="19"/>
        <v>2</v>
      </c>
      <c r="AS55" s="6">
        <f t="shared" si="4"/>
        <v>18</v>
      </c>
      <c r="AT55" s="6">
        <f t="shared" si="5"/>
        <v>27</v>
      </c>
      <c r="AU55" s="5">
        <f t="shared" si="20"/>
        <v>0</v>
      </c>
      <c r="AV55" s="5">
        <f t="shared" si="21"/>
        <v>1</v>
      </c>
      <c r="AW55" s="5">
        <f t="shared" si="22"/>
        <v>1</v>
      </c>
      <c r="AX55" s="5">
        <f t="shared" ref="AX55" si="141">AX34</f>
        <v>1</v>
      </c>
      <c r="AY55" s="5">
        <f t="shared" si="22"/>
        <v>1</v>
      </c>
      <c r="AZ55" s="8">
        <f t="shared" si="24"/>
        <v>33</v>
      </c>
      <c r="BA55" s="5">
        <f t="shared" si="16"/>
        <v>203011</v>
      </c>
      <c r="BB55" s="5">
        <v>0</v>
      </c>
      <c r="BC55" s="5">
        <v>0</v>
      </c>
      <c r="BD55" s="5">
        <f t="shared" si="25"/>
        <v>0</v>
      </c>
      <c r="BE55" s="5">
        <f t="shared" si="26"/>
        <v>304002</v>
      </c>
      <c r="BF55" s="5">
        <f t="shared" si="27"/>
        <v>180</v>
      </c>
      <c r="BG55" s="5">
        <f t="shared" si="27"/>
        <v>30</v>
      </c>
      <c r="BH55" s="5">
        <f t="shared" si="18"/>
        <v>30</v>
      </c>
      <c r="BI55" s="5">
        <f t="shared" si="27"/>
        <v>1</v>
      </c>
      <c r="BJ55" s="5">
        <f t="shared" si="15"/>
        <v>3</v>
      </c>
      <c r="BK55" s="5">
        <v>3</v>
      </c>
      <c r="BL55" s="5">
        <f t="shared" si="63"/>
        <v>1</v>
      </c>
      <c r="BM55" s="5">
        <f t="shared" si="28"/>
        <v>30</v>
      </c>
      <c r="BN55" s="5">
        <f t="shared" si="28"/>
        <v>180</v>
      </c>
      <c r="BO55" s="5">
        <f t="shared" si="28"/>
        <v>108006</v>
      </c>
      <c r="BP55" s="5">
        <f t="shared" si="28"/>
        <v>3</v>
      </c>
      <c r="BQ55" s="5">
        <f t="shared" si="64"/>
        <v>2</v>
      </c>
      <c r="BR55" s="5">
        <f>50*BT55*3-360/BM55*BJ55*BQ55</f>
        <v>378</v>
      </c>
      <c r="BS55" s="4">
        <v>3</v>
      </c>
      <c r="BT55" s="4">
        <v>3</v>
      </c>
      <c r="BU55" s="4">
        <f t="shared" si="29"/>
        <v>0</v>
      </c>
      <c r="BV55" s="4">
        <f t="shared" si="6"/>
        <v>3</v>
      </c>
      <c r="BW55" s="4">
        <f t="shared" si="7"/>
        <v>3</v>
      </c>
      <c r="BX55" s="14">
        <f t="shared" si="8"/>
        <v>0.71</v>
      </c>
      <c r="BY55" s="14">
        <f t="shared" si="9"/>
        <v>0.45000000000000007</v>
      </c>
      <c r="BZ55" s="5" t="s">
        <v>146</v>
      </c>
      <c r="CA55" s="8" t="str">
        <f t="shared" si="113"/>
        <v>monster_11</v>
      </c>
      <c r="CB55" s="8" t="str">
        <f t="shared" si="113"/>
        <v>monster_11</v>
      </c>
      <c r="CC55" s="5">
        <v>0</v>
      </c>
      <c r="CD55" s="8">
        <f t="shared" si="30"/>
        <v>1</v>
      </c>
      <c r="CE55" s="5">
        <f t="shared" si="10"/>
        <v>0</v>
      </c>
      <c r="CF55" s="5">
        <f t="shared" si="31"/>
        <v>0</v>
      </c>
      <c r="CG55" s="5" t="s">
        <v>255</v>
      </c>
      <c r="CH55" s="5">
        <f>CH33</f>
        <v>3</v>
      </c>
      <c r="CI55" s="5">
        <v>0</v>
      </c>
      <c r="CJ55" s="4">
        <v>0</v>
      </c>
      <c r="CK55" s="5">
        <v>0</v>
      </c>
      <c r="CL55" s="5">
        <v>0</v>
      </c>
      <c r="CM55" s="20">
        <f t="shared" si="32"/>
        <v>0</v>
      </c>
      <c r="CN55" s="8">
        <f t="shared" si="32"/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8">
        <f t="shared" ref="CV55:CY55" si="142">CV34</f>
        <v>0.8</v>
      </c>
      <c r="CW55" s="8">
        <f t="shared" si="142"/>
        <v>0.6</v>
      </c>
      <c r="CX55" s="8">
        <f t="shared" si="142"/>
        <v>1</v>
      </c>
      <c r="CY55" s="8">
        <f t="shared" si="142"/>
        <v>1</v>
      </c>
      <c r="CZ55" s="8">
        <f t="shared" si="34"/>
        <v>2</v>
      </c>
      <c r="DA55" s="6">
        <f t="shared" si="0"/>
        <v>150</v>
      </c>
      <c r="DB55" s="5">
        <f t="shared" si="35"/>
        <v>0</v>
      </c>
      <c r="DC55" s="5">
        <f t="shared" si="11"/>
        <v>0.27500000000000002</v>
      </c>
      <c r="DD55" s="6">
        <f t="shared" si="1"/>
        <v>0.27500000000000002</v>
      </c>
      <c r="DE55" s="6">
        <f t="shared" si="49"/>
        <v>0.5</v>
      </c>
      <c r="DF55" s="5">
        <v>0</v>
      </c>
      <c r="DG55" s="8">
        <f t="shared" si="36"/>
        <v>3</v>
      </c>
      <c r="DH55" s="5">
        <v>2</v>
      </c>
      <c r="DI55" s="8">
        <f t="shared" si="37"/>
        <v>0</v>
      </c>
      <c r="DJ55" s="5">
        <f t="shared" si="2"/>
        <v>0</v>
      </c>
      <c r="DK55" s="8">
        <v>0</v>
      </c>
      <c r="DL55" s="5">
        <f t="shared" si="3"/>
        <v>0</v>
      </c>
      <c r="DM55" s="5" t="s">
        <v>255</v>
      </c>
      <c r="DN55" s="8">
        <f t="shared" ref="DN55:DP55" si="143">DN34</f>
        <v>6</v>
      </c>
      <c r="DO55" s="8">
        <f t="shared" si="143"/>
        <v>0</v>
      </c>
      <c r="DP55" s="5">
        <f t="shared" si="143"/>
        <v>1</v>
      </c>
      <c r="DQ55" s="8">
        <f t="shared" si="39"/>
        <v>1</v>
      </c>
      <c r="DR55" s="5">
        <f t="shared" si="13"/>
        <v>1.1700000000000002</v>
      </c>
      <c r="DS55" s="8">
        <f t="shared" si="40"/>
        <v>1.3</v>
      </c>
      <c r="DT55" s="8">
        <f t="shared" si="41"/>
        <v>-0.5</v>
      </c>
      <c r="DU55" s="8">
        <f t="shared" si="41"/>
        <v>0.5</v>
      </c>
      <c r="DV55" s="8">
        <f t="shared" si="41"/>
        <v>0.2</v>
      </c>
      <c r="DW55" s="5">
        <f t="shared" si="116"/>
        <v>0.41666666666666669</v>
      </c>
      <c r="DX55" s="8">
        <f t="shared" si="43"/>
        <v>5</v>
      </c>
      <c r="DY55" s="8">
        <f t="shared" si="44"/>
        <v>0</v>
      </c>
      <c r="DZ55" s="8">
        <f t="shared" si="45"/>
        <v>0</v>
      </c>
      <c r="EA55" s="5"/>
    </row>
    <row r="56" spans="1:131" x14ac:dyDescent="0.15">
      <c r="A56" s="5">
        <v>201054</v>
      </c>
      <c r="B56" s="5" t="s">
        <v>256</v>
      </c>
      <c r="C56" s="5"/>
      <c r="D56" s="5"/>
      <c r="E56" s="5"/>
      <c r="F56" s="5">
        <v>0</v>
      </c>
      <c r="G56" s="45"/>
      <c r="H56" s="5"/>
      <c r="I56" s="5"/>
      <c r="J56" s="5"/>
      <c r="K56" s="5"/>
      <c r="L56" s="10"/>
      <c r="M56" s="5"/>
      <c r="N56" s="1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20"/>
      <c r="AF56" s="5"/>
      <c r="AG56" s="5"/>
      <c r="AH56" s="5"/>
      <c r="AI56" s="5"/>
      <c r="AJ56" s="5"/>
      <c r="AK56" s="5"/>
      <c r="AL56" s="5"/>
      <c r="AM56" s="5"/>
      <c r="AN56" s="8"/>
      <c r="AO56" s="5">
        <v>0</v>
      </c>
      <c r="AP56" s="5" t="s">
        <v>256</v>
      </c>
      <c r="AQ56" s="5">
        <v>0</v>
      </c>
      <c r="AR56" s="8">
        <f t="shared" si="19"/>
        <v>5</v>
      </c>
      <c r="AS56" s="6">
        <f t="shared" si="4"/>
        <v>45</v>
      </c>
      <c r="AT56" s="6">
        <f t="shared" si="5"/>
        <v>54</v>
      </c>
      <c r="AU56" s="5">
        <f t="shared" si="20"/>
        <v>0</v>
      </c>
      <c r="AV56" s="5">
        <f t="shared" si="21"/>
        <v>1</v>
      </c>
      <c r="AW56" s="5">
        <f t="shared" si="22"/>
        <v>0</v>
      </c>
      <c r="AX56" s="5">
        <f t="shared" ref="AX56" si="144">AX35</f>
        <v>0</v>
      </c>
      <c r="AY56" s="5">
        <f t="shared" si="22"/>
        <v>1</v>
      </c>
      <c r="AZ56" s="8">
        <f t="shared" si="24"/>
        <v>33</v>
      </c>
      <c r="BA56" s="5">
        <f t="shared" si="16"/>
        <v>203012</v>
      </c>
      <c r="BB56" s="5">
        <v>0</v>
      </c>
      <c r="BC56" s="5">
        <v>0</v>
      </c>
      <c r="BD56" s="5">
        <f t="shared" si="25"/>
        <v>0</v>
      </c>
      <c r="BE56" s="5">
        <f t="shared" si="26"/>
        <v>0</v>
      </c>
      <c r="BF56" s="5">
        <f t="shared" si="27"/>
        <v>0</v>
      </c>
      <c r="BG56" s="5">
        <f t="shared" si="27"/>
        <v>0</v>
      </c>
      <c r="BH56" s="5">
        <f t="shared" si="18"/>
        <v>0</v>
      </c>
      <c r="BI56" s="5">
        <f t="shared" si="27"/>
        <v>0</v>
      </c>
      <c r="BJ56" s="5">
        <f t="shared" si="15"/>
        <v>0</v>
      </c>
      <c r="BK56" s="5">
        <v>0</v>
      </c>
      <c r="BL56" s="5">
        <f t="shared" si="63"/>
        <v>0</v>
      </c>
      <c r="BM56" s="5">
        <f t="shared" si="28"/>
        <v>0</v>
      </c>
      <c r="BN56" s="5">
        <f t="shared" si="28"/>
        <v>0</v>
      </c>
      <c r="BO56" s="5">
        <f t="shared" si="28"/>
        <v>0</v>
      </c>
      <c r="BP56" s="5">
        <f t="shared" si="28"/>
        <v>0</v>
      </c>
      <c r="BQ56" s="5">
        <f t="shared" si="64"/>
        <v>0</v>
      </c>
      <c r="BR56" s="5"/>
      <c r="BS56" s="4">
        <v>3</v>
      </c>
      <c r="BT56" s="4">
        <v>3</v>
      </c>
      <c r="BU56" s="4">
        <f t="shared" si="29"/>
        <v>0</v>
      </c>
      <c r="BV56" s="4">
        <f t="shared" si="6"/>
        <v>3</v>
      </c>
      <c r="BW56" s="4">
        <f t="shared" si="7"/>
        <v>3</v>
      </c>
      <c r="BX56" s="14">
        <f t="shared" si="8"/>
        <v>0.71</v>
      </c>
      <c r="BY56" s="14">
        <f t="shared" si="9"/>
        <v>0.45000000000000007</v>
      </c>
      <c r="BZ56" s="5" t="s">
        <v>149</v>
      </c>
      <c r="CA56" s="8" t="str">
        <f t="shared" si="113"/>
        <v>monster_12</v>
      </c>
      <c r="CB56" s="8" t="str">
        <f t="shared" si="113"/>
        <v>monster_12</v>
      </c>
      <c r="CC56" s="5">
        <v>0</v>
      </c>
      <c r="CD56" s="8">
        <f t="shared" si="30"/>
        <v>1</v>
      </c>
      <c r="CE56" s="5">
        <f t="shared" si="10"/>
        <v>0</v>
      </c>
      <c r="CF56" s="5">
        <f t="shared" si="31"/>
        <v>0</v>
      </c>
      <c r="CG56" s="5" t="s">
        <v>256</v>
      </c>
      <c r="CH56" s="5">
        <f t="shared" si="47"/>
        <v>0</v>
      </c>
      <c r="CI56" s="5">
        <v>0</v>
      </c>
      <c r="CJ56" s="4">
        <v>0</v>
      </c>
      <c r="CK56" s="5">
        <v>0</v>
      </c>
      <c r="CL56" s="5">
        <v>0</v>
      </c>
      <c r="CM56" s="20">
        <f t="shared" si="32"/>
        <v>0</v>
      </c>
      <c r="CN56" s="8">
        <f t="shared" si="32"/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8">
        <f t="shared" ref="CV56:CY56" si="145">CV35</f>
        <v>0.8</v>
      </c>
      <c r="CW56" s="8">
        <f t="shared" si="145"/>
        <v>0.6</v>
      </c>
      <c r="CX56" s="8">
        <f t="shared" si="145"/>
        <v>1</v>
      </c>
      <c r="CY56" s="8">
        <f t="shared" si="145"/>
        <v>1</v>
      </c>
      <c r="CZ56" s="8">
        <f t="shared" si="34"/>
        <v>0.8</v>
      </c>
      <c r="DA56" s="6">
        <f t="shared" si="0"/>
        <v>60</v>
      </c>
      <c r="DB56" s="5">
        <f t="shared" si="35"/>
        <v>1</v>
      </c>
      <c r="DC56" s="5">
        <f t="shared" si="11"/>
        <v>0.44000000000000006</v>
      </c>
      <c r="DD56" s="6">
        <f t="shared" si="1"/>
        <v>0.44000000000000006</v>
      </c>
      <c r="DE56" s="6">
        <f t="shared" si="49"/>
        <v>0.8</v>
      </c>
      <c r="DF56" s="5">
        <v>0</v>
      </c>
      <c r="DG56" s="8">
        <f t="shared" si="36"/>
        <v>3.5</v>
      </c>
      <c r="DH56" s="5">
        <v>2</v>
      </c>
      <c r="DI56" s="8">
        <f t="shared" si="37"/>
        <v>0</v>
      </c>
      <c r="DJ56" s="5">
        <f t="shared" si="2"/>
        <v>0</v>
      </c>
      <c r="DK56" s="8">
        <v>0</v>
      </c>
      <c r="DL56" s="5">
        <f t="shared" si="3"/>
        <v>0</v>
      </c>
      <c r="DM56" s="5" t="s">
        <v>256</v>
      </c>
      <c r="DN56" s="8">
        <f t="shared" ref="DN56:DP56" si="146">DN35</f>
        <v>4</v>
      </c>
      <c r="DO56" s="8">
        <f t="shared" si="146"/>
        <v>0</v>
      </c>
      <c r="DP56" s="5">
        <f t="shared" si="146"/>
        <v>0</v>
      </c>
      <c r="DQ56" s="8">
        <f t="shared" si="39"/>
        <v>0</v>
      </c>
      <c r="DR56" s="5">
        <f t="shared" si="13"/>
        <v>0.9</v>
      </c>
      <c r="DS56" s="8">
        <f t="shared" si="40"/>
        <v>1</v>
      </c>
      <c r="DT56" s="8">
        <f t="shared" si="41"/>
        <v>-0.5</v>
      </c>
      <c r="DU56" s="8">
        <f t="shared" si="41"/>
        <v>0.5</v>
      </c>
      <c r="DV56" s="8">
        <f t="shared" si="41"/>
        <v>0.2</v>
      </c>
      <c r="DW56" s="5">
        <f t="shared" si="116"/>
        <v>0.33333333333333331</v>
      </c>
      <c r="DX56" s="8">
        <f t="shared" si="43"/>
        <v>4</v>
      </c>
      <c r="DY56" s="8">
        <f t="shared" si="44"/>
        <v>0</v>
      </c>
      <c r="DZ56" s="8">
        <f t="shared" si="45"/>
        <v>0</v>
      </c>
      <c r="EA56" s="5"/>
    </row>
    <row r="57" spans="1:131" x14ac:dyDescent="0.15">
      <c r="A57" s="5">
        <v>201055</v>
      </c>
      <c r="B57" s="5" t="s">
        <v>257</v>
      </c>
      <c r="C57" s="5"/>
      <c r="D57" s="5"/>
      <c r="E57" s="5"/>
      <c r="F57" s="5">
        <v>0</v>
      </c>
      <c r="G57" s="45"/>
      <c r="H57" s="5"/>
      <c r="I57" s="5"/>
      <c r="J57" s="5"/>
      <c r="K57" s="5"/>
      <c r="L57" s="10"/>
      <c r="M57" s="5"/>
      <c r="N57" s="1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20"/>
      <c r="AF57" s="5"/>
      <c r="AG57" s="5"/>
      <c r="AH57" s="5"/>
      <c r="AI57" s="5"/>
      <c r="AJ57" s="5"/>
      <c r="AK57" s="5"/>
      <c r="AL57" s="5"/>
      <c r="AM57" s="5"/>
      <c r="AN57" s="8"/>
      <c r="AO57" s="5">
        <v>0</v>
      </c>
      <c r="AP57" s="5" t="s">
        <v>257</v>
      </c>
      <c r="AQ57" s="5">
        <v>0</v>
      </c>
      <c r="AR57" s="8">
        <f t="shared" si="19"/>
        <v>2</v>
      </c>
      <c r="AS57" s="6">
        <f t="shared" si="4"/>
        <v>18</v>
      </c>
      <c r="AT57" s="6">
        <f t="shared" si="5"/>
        <v>27</v>
      </c>
      <c r="AU57" s="5">
        <f t="shared" si="20"/>
        <v>0</v>
      </c>
      <c r="AV57" s="5">
        <f t="shared" si="21"/>
        <v>1</v>
      </c>
      <c r="AW57" s="5">
        <f t="shared" si="22"/>
        <v>1</v>
      </c>
      <c r="AX57" s="5">
        <f t="shared" ref="AX57" si="147">AX36</f>
        <v>1</v>
      </c>
      <c r="AY57" s="5">
        <f t="shared" si="22"/>
        <v>1</v>
      </c>
      <c r="AZ57" s="8">
        <f t="shared" si="24"/>
        <v>33</v>
      </c>
      <c r="BA57" s="5">
        <f t="shared" si="16"/>
        <v>203013</v>
      </c>
      <c r="BB57" s="5">
        <v>0</v>
      </c>
      <c r="BC57" s="5">
        <v>0</v>
      </c>
      <c r="BD57" s="5">
        <f t="shared" si="25"/>
        <v>0</v>
      </c>
      <c r="BE57" s="5">
        <f t="shared" si="26"/>
        <v>0</v>
      </c>
      <c r="BF57" s="5">
        <f t="shared" si="27"/>
        <v>0</v>
      </c>
      <c r="BG57" s="5">
        <f t="shared" si="27"/>
        <v>0</v>
      </c>
      <c r="BH57" s="5">
        <f t="shared" si="18"/>
        <v>0</v>
      </c>
      <c r="BI57" s="5">
        <f t="shared" si="27"/>
        <v>0</v>
      </c>
      <c r="BJ57" s="5">
        <f t="shared" si="15"/>
        <v>0</v>
      </c>
      <c r="BK57" s="5">
        <v>0</v>
      </c>
      <c r="BL57" s="5">
        <f t="shared" si="63"/>
        <v>0</v>
      </c>
      <c r="BM57" s="5">
        <f t="shared" si="28"/>
        <v>0</v>
      </c>
      <c r="BN57" s="5">
        <f t="shared" si="28"/>
        <v>0</v>
      </c>
      <c r="BO57" s="5">
        <f t="shared" si="28"/>
        <v>0</v>
      </c>
      <c r="BP57" s="5">
        <f t="shared" si="28"/>
        <v>0</v>
      </c>
      <c r="BQ57" s="5">
        <f t="shared" si="64"/>
        <v>0</v>
      </c>
      <c r="BR57" s="5"/>
      <c r="BS57" s="4">
        <v>3</v>
      </c>
      <c r="BT57" s="4">
        <v>3</v>
      </c>
      <c r="BU57" s="4">
        <f t="shared" si="29"/>
        <v>0</v>
      </c>
      <c r="BV57" s="4">
        <f t="shared" si="6"/>
        <v>3</v>
      </c>
      <c r="BW57" s="4">
        <f t="shared" si="7"/>
        <v>3</v>
      </c>
      <c r="BX57" s="14">
        <f t="shared" si="8"/>
        <v>0.71</v>
      </c>
      <c r="BY57" s="14">
        <f t="shared" si="9"/>
        <v>0.45000000000000007</v>
      </c>
      <c r="BZ57" s="5" t="s">
        <v>152</v>
      </c>
      <c r="CA57" s="8" t="str">
        <f t="shared" si="113"/>
        <v>monster_13</v>
      </c>
      <c r="CB57" s="8" t="str">
        <f t="shared" si="113"/>
        <v>monster_13</v>
      </c>
      <c r="CC57" s="5">
        <v>0</v>
      </c>
      <c r="CD57" s="8">
        <f t="shared" si="30"/>
        <v>1</v>
      </c>
      <c r="CE57" s="5">
        <f t="shared" si="10"/>
        <v>0</v>
      </c>
      <c r="CF57" s="5">
        <f t="shared" si="31"/>
        <v>0</v>
      </c>
      <c r="CG57" s="5" t="s">
        <v>257</v>
      </c>
      <c r="CH57" s="5">
        <f t="shared" si="47"/>
        <v>3</v>
      </c>
      <c r="CI57" s="5">
        <v>0</v>
      </c>
      <c r="CJ57" s="4">
        <v>0</v>
      </c>
      <c r="CK57" s="5">
        <v>0</v>
      </c>
      <c r="CL57" s="5">
        <v>0</v>
      </c>
      <c r="CM57" s="20">
        <f t="shared" si="32"/>
        <v>0</v>
      </c>
      <c r="CN57" s="8">
        <f t="shared" si="32"/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8">
        <f t="shared" ref="CV57:CY57" si="148">CV36</f>
        <v>0.8</v>
      </c>
      <c r="CW57" s="8">
        <f t="shared" si="148"/>
        <v>0.6</v>
      </c>
      <c r="CX57" s="8">
        <f t="shared" si="148"/>
        <v>1</v>
      </c>
      <c r="CY57" s="8">
        <f t="shared" si="148"/>
        <v>1</v>
      </c>
      <c r="CZ57" s="8">
        <f t="shared" si="34"/>
        <v>1</v>
      </c>
      <c r="DA57" s="6">
        <f t="shared" si="0"/>
        <v>75</v>
      </c>
      <c r="DB57" s="5">
        <f t="shared" si="35"/>
        <v>0</v>
      </c>
      <c r="DC57" s="5">
        <f t="shared" si="11"/>
        <v>0.49500000000000005</v>
      </c>
      <c r="DD57" s="6">
        <f t="shared" si="1"/>
        <v>0.49500000000000005</v>
      </c>
      <c r="DE57" s="6">
        <f t="shared" si="49"/>
        <v>0.9</v>
      </c>
      <c r="DF57" s="5">
        <v>0</v>
      </c>
      <c r="DG57" s="8">
        <f t="shared" si="36"/>
        <v>2.75</v>
      </c>
      <c r="DH57" s="5">
        <v>1.75</v>
      </c>
      <c r="DI57" s="8">
        <f t="shared" si="37"/>
        <v>0</v>
      </c>
      <c r="DJ57" s="5">
        <f t="shared" si="2"/>
        <v>0</v>
      </c>
      <c r="DK57" s="8">
        <v>0</v>
      </c>
      <c r="DL57" s="5">
        <f t="shared" si="3"/>
        <v>0</v>
      </c>
      <c r="DM57" s="5" t="s">
        <v>257</v>
      </c>
      <c r="DN57" s="8">
        <f t="shared" ref="DN57:DP57" si="149">DN36</f>
        <v>6</v>
      </c>
      <c r="DO57" s="8">
        <f t="shared" si="149"/>
        <v>0</v>
      </c>
      <c r="DP57" s="5">
        <f t="shared" si="149"/>
        <v>0</v>
      </c>
      <c r="DQ57" s="8">
        <f t="shared" ref="DQ57:DQ88" si="150">DQ36</f>
        <v>0</v>
      </c>
      <c r="DR57" s="5">
        <f t="shared" si="13"/>
        <v>0.9</v>
      </c>
      <c r="DS57" s="8">
        <f t="shared" si="40"/>
        <v>1</v>
      </c>
      <c r="DT57" s="8">
        <f t="shared" si="41"/>
        <v>-0.5</v>
      </c>
      <c r="DU57" s="8">
        <f t="shared" si="41"/>
        <v>0.5</v>
      </c>
      <c r="DV57" s="8">
        <f t="shared" si="41"/>
        <v>0.25</v>
      </c>
      <c r="DW57" s="5">
        <f t="shared" si="116"/>
        <v>0.66666666666666663</v>
      </c>
      <c r="DX57" s="8">
        <f t="shared" si="43"/>
        <v>8</v>
      </c>
      <c r="DY57" s="8">
        <f t="shared" si="44"/>
        <v>0</v>
      </c>
      <c r="DZ57" s="8">
        <f t="shared" si="45"/>
        <v>0</v>
      </c>
      <c r="EA57" s="5"/>
    </row>
    <row r="58" spans="1:131" x14ac:dyDescent="0.15">
      <c r="A58" s="5">
        <v>201056</v>
      </c>
      <c r="B58" s="5" t="s">
        <v>258</v>
      </c>
      <c r="C58" s="5"/>
      <c r="D58" s="5"/>
      <c r="E58" s="5"/>
      <c r="F58" s="5">
        <v>0</v>
      </c>
      <c r="G58" s="45"/>
      <c r="H58" s="5"/>
      <c r="I58" s="5"/>
      <c r="J58" s="5"/>
      <c r="K58" s="5"/>
      <c r="L58" s="10"/>
      <c r="M58" s="5"/>
      <c r="N58" s="10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20"/>
      <c r="AF58" s="5"/>
      <c r="AG58" s="5"/>
      <c r="AH58" s="5"/>
      <c r="AI58" s="5"/>
      <c r="AJ58" s="5"/>
      <c r="AK58" s="5"/>
      <c r="AL58" s="5"/>
      <c r="AM58" s="5"/>
      <c r="AN58" s="8"/>
      <c r="AO58" s="5">
        <v>0</v>
      </c>
      <c r="AP58" s="5" t="s">
        <v>258</v>
      </c>
      <c r="AQ58" s="5">
        <v>0</v>
      </c>
      <c r="AR58" s="8">
        <f t="shared" si="19"/>
        <v>5</v>
      </c>
      <c r="AS58" s="6">
        <f t="shared" si="4"/>
        <v>45</v>
      </c>
      <c r="AT58" s="6">
        <f t="shared" si="5"/>
        <v>54</v>
      </c>
      <c r="AU58" s="5">
        <f t="shared" si="20"/>
        <v>0</v>
      </c>
      <c r="AV58" s="5">
        <f t="shared" si="21"/>
        <v>1</v>
      </c>
      <c r="AW58" s="5">
        <f t="shared" si="22"/>
        <v>0</v>
      </c>
      <c r="AX58" s="5">
        <f t="shared" ref="AX58" si="151">AX37</f>
        <v>0</v>
      </c>
      <c r="AY58" s="5">
        <f t="shared" si="22"/>
        <v>0</v>
      </c>
      <c r="AZ58" s="8">
        <f t="shared" si="24"/>
        <v>33</v>
      </c>
      <c r="BA58" s="5">
        <f t="shared" si="16"/>
        <v>203014</v>
      </c>
      <c r="BB58" s="5">
        <v>0</v>
      </c>
      <c r="BC58" s="5">
        <v>0</v>
      </c>
      <c r="BD58" s="5">
        <f t="shared" si="25"/>
        <v>0</v>
      </c>
      <c r="BE58" s="5">
        <f t="shared" si="26"/>
        <v>0</v>
      </c>
      <c r="BF58" s="5">
        <f t="shared" si="27"/>
        <v>0</v>
      </c>
      <c r="BG58" s="5">
        <f t="shared" si="27"/>
        <v>0</v>
      </c>
      <c r="BH58" s="5">
        <f t="shared" si="18"/>
        <v>0</v>
      </c>
      <c r="BI58" s="5">
        <f t="shared" si="27"/>
        <v>0</v>
      </c>
      <c r="BJ58" s="5">
        <f t="shared" si="15"/>
        <v>0</v>
      </c>
      <c r="BK58" s="5">
        <v>0</v>
      </c>
      <c r="BL58" s="5">
        <f t="shared" si="63"/>
        <v>0</v>
      </c>
      <c r="BM58" s="5">
        <f t="shared" si="28"/>
        <v>0</v>
      </c>
      <c r="BN58" s="5">
        <f t="shared" si="28"/>
        <v>0</v>
      </c>
      <c r="BO58" s="5">
        <f t="shared" si="28"/>
        <v>0</v>
      </c>
      <c r="BP58" s="5">
        <f t="shared" si="28"/>
        <v>0</v>
      </c>
      <c r="BQ58" s="5">
        <f t="shared" si="64"/>
        <v>0</v>
      </c>
      <c r="BR58" s="5"/>
      <c r="BS58" s="4">
        <v>3</v>
      </c>
      <c r="BT58" s="4">
        <v>3</v>
      </c>
      <c r="BU58" s="4">
        <f t="shared" si="29"/>
        <v>0</v>
      </c>
      <c r="BV58" s="4">
        <f t="shared" si="6"/>
        <v>3</v>
      </c>
      <c r="BW58" s="4">
        <f t="shared" si="7"/>
        <v>3</v>
      </c>
      <c r="BX58" s="14">
        <f t="shared" si="8"/>
        <v>0.71</v>
      </c>
      <c r="BY58" s="14">
        <f t="shared" si="9"/>
        <v>0.45000000000000007</v>
      </c>
      <c r="BZ58" s="5" t="s">
        <v>155</v>
      </c>
      <c r="CA58" s="8" t="str">
        <f t="shared" si="113"/>
        <v>monster_14</v>
      </c>
      <c r="CB58" s="8" t="str">
        <f t="shared" si="113"/>
        <v>monster_14</v>
      </c>
      <c r="CC58" s="5">
        <v>0</v>
      </c>
      <c r="CD58" s="8">
        <f t="shared" si="30"/>
        <v>1</v>
      </c>
      <c r="CE58" s="5">
        <f t="shared" si="10"/>
        <v>6</v>
      </c>
      <c r="CF58" s="5">
        <f t="shared" si="31"/>
        <v>2</v>
      </c>
      <c r="CG58" s="5" t="s">
        <v>258</v>
      </c>
      <c r="CH58" s="5">
        <f t="shared" si="47"/>
        <v>0</v>
      </c>
      <c r="CI58" s="5">
        <v>0</v>
      </c>
      <c r="CJ58" s="4">
        <v>0</v>
      </c>
      <c r="CK58" s="5">
        <v>0</v>
      </c>
      <c r="CL58" s="5">
        <v>0</v>
      </c>
      <c r="CM58" s="20">
        <f t="shared" si="32"/>
        <v>113</v>
      </c>
      <c r="CN58" s="8">
        <f t="shared" si="32"/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8">
        <f t="shared" ref="CV58:CY58" si="152">CV37</f>
        <v>0.8</v>
      </c>
      <c r="CW58" s="8">
        <f t="shared" si="152"/>
        <v>0.6</v>
      </c>
      <c r="CX58" s="8">
        <f t="shared" si="152"/>
        <v>1</v>
      </c>
      <c r="CY58" s="8">
        <f t="shared" si="152"/>
        <v>1</v>
      </c>
      <c r="CZ58" s="8">
        <f t="shared" si="34"/>
        <v>1</v>
      </c>
      <c r="DA58" s="6">
        <f t="shared" si="0"/>
        <v>75</v>
      </c>
      <c r="DB58" s="5">
        <f t="shared" si="35"/>
        <v>1</v>
      </c>
      <c r="DC58" s="5">
        <f t="shared" si="11"/>
        <v>0.82500000000000007</v>
      </c>
      <c r="DD58" s="6">
        <f t="shared" si="1"/>
        <v>0.82500000000000007</v>
      </c>
      <c r="DE58" s="6">
        <f t="shared" si="49"/>
        <v>1.5</v>
      </c>
      <c r="DF58" s="5">
        <v>0</v>
      </c>
      <c r="DG58" s="8">
        <f t="shared" si="36"/>
        <v>2.75</v>
      </c>
      <c r="DH58" s="5">
        <v>1.75</v>
      </c>
      <c r="DI58" s="8">
        <f t="shared" si="37"/>
        <v>0</v>
      </c>
      <c r="DJ58" s="5">
        <f t="shared" si="2"/>
        <v>0</v>
      </c>
      <c r="DK58" s="8">
        <v>0</v>
      </c>
      <c r="DL58" s="5">
        <f t="shared" si="3"/>
        <v>0</v>
      </c>
      <c r="DM58" s="5" t="s">
        <v>258</v>
      </c>
      <c r="DN58" s="8">
        <f t="shared" ref="DN58:DP58" si="153">DN37</f>
        <v>6</v>
      </c>
      <c r="DO58" s="8">
        <f t="shared" si="153"/>
        <v>0</v>
      </c>
      <c r="DP58" s="5">
        <f t="shared" si="153"/>
        <v>1</v>
      </c>
      <c r="DQ58" s="8">
        <f t="shared" si="150"/>
        <v>0</v>
      </c>
      <c r="DR58" s="5">
        <f t="shared" si="13"/>
        <v>0.9</v>
      </c>
      <c r="DS58" s="8">
        <f t="shared" si="40"/>
        <v>1</v>
      </c>
      <c r="DT58" s="8">
        <f t="shared" si="41"/>
        <v>-0.5</v>
      </c>
      <c r="DU58" s="8">
        <f t="shared" si="41"/>
        <v>0.5</v>
      </c>
      <c r="DV58" s="8">
        <f t="shared" si="41"/>
        <v>0.25</v>
      </c>
      <c r="DW58" s="5">
        <f t="shared" si="116"/>
        <v>0.33333333333333331</v>
      </c>
      <c r="DX58" s="8">
        <f t="shared" si="43"/>
        <v>4</v>
      </c>
      <c r="DY58" s="8">
        <f t="shared" si="44"/>
        <v>0</v>
      </c>
      <c r="DZ58" s="8">
        <f t="shared" si="45"/>
        <v>0</v>
      </c>
      <c r="EA58" s="5"/>
    </row>
    <row r="59" spans="1:131" x14ac:dyDescent="0.15">
      <c r="A59" s="5">
        <v>201057</v>
      </c>
      <c r="B59" s="5" t="s">
        <v>259</v>
      </c>
      <c r="C59" s="5"/>
      <c r="D59" s="5"/>
      <c r="E59" s="5"/>
      <c r="F59" s="5">
        <v>0</v>
      </c>
      <c r="G59" s="45"/>
      <c r="H59" s="5"/>
      <c r="I59" s="5"/>
      <c r="J59" s="5"/>
      <c r="K59" s="5"/>
      <c r="L59" s="10"/>
      <c r="M59" s="5"/>
      <c r="N59" s="10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20"/>
      <c r="AF59" s="5"/>
      <c r="AG59" s="5"/>
      <c r="AH59" s="5"/>
      <c r="AI59" s="5"/>
      <c r="AJ59" s="5"/>
      <c r="AK59" s="5"/>
      <c r="AL59" s="5"/>
      <c r="AM59" s="5"/>
      <c r="AN59" s="8"/>
      <c r="AO59" s="5">
        <v>0</v>
      </c>
      <c r="AP59" s="5" t="s">
        <v>259</v>
      </c>
      <c r="AQ59" s="5">
        <v>0</v>
      </c>
      <c r="AR59" s="8">
        <f t="shared" si="19"/>
        <v>2</v>
      </c>
      <c r="AS59" s="6">
        <f t="shared" si="4"/>
        <v>18</v>
      </c>
      <c r="AT59" s="6">
        <f t="shared" si="5"/>
        <v>27</v>
      </c>
      <c r="AU59" s="5">
        <f t="shared" si="20"/>
        <v>0</v>
      </c>
      <c r="AV59" s="5">
        <f t="shared" si="21"/>
        <v>0</v>
      </c>
      <c r="AW59" s="5">
        <f t="shared" si="22"/>
        <v>1</v>
      </c>
      <c r="AX59" s="5">
        <f t="shared" ref="AX59" si="154">AX38</f>
        <v>1</v>
      </c>
      <c r="AY59" s="5">
        <f t="shared" si="22"/>
        <v>0</v>
      </c>
      <c r="AZ59" s="8">
        <f t="shared" si="24"/>
        <v>32</v>
      </c>
      <c r="BA59" s="5">
        <f t="shared" si="16"/>
        <v>203015</v>
      </c>
      <c r="BB59" s="5">
        <v>0</v>
      </c>
      <c r="BC59" s="5">
        <v>0</v>
      </c>
      <c r="BD59" s="5">
        <f t="shared" si="25"/>
        <v>0</v>
      </c>
      <c r="BE59" s="5">
        <f t="shared" si="26"/>
        <v>0</v>
      </c>
      <c r="BF59" s="5">
        <f t="shared" si="27"/>
        <v>0</v>
      </c>
      <c r="BG59" s="5">
        <f t="shared" si="27"/>
        <v>0</v>
      </c>
      <c r="BH59" s="5">
        <f t="shared" si="18"/>
        <v>0</v>
      </c>
      <c r="BI59" s="5">
        <f t="shared" si="27"/>
        <v>0</v>
      </c>
      <c r="BJ59" s="5">
        <f t="shared" si="15"/>
        <v>0</v>
      </c>
      <c r="BK59" s="5">
        <v>0</v>
      </c>
      <c r="BL59" s="5">
        <f t="shared" si="63"/>
        <v>0</v>
      </c>
      <c r="BM59" s="5">
        <f t="shared" si="28"/>
        <v>0</v>
      </c>
      <c r="BN59" s="5">
        <f t="shared" si="28"/>
        <v>0</v>
      </c>
      <c r="BO59" s="5">
        <f t="shared" si="28"/>
        <v>0</v>
      </c>
      <c r="BP59" s="5">
        <f t="shared" si="28"/>
        <v>0</v>
      </c>
      <c r="BQ59" s="5">
        <f t="shared" si="64"/>
        <v>0</v>
      </c>
      <c r="BR59" s="5"/>
      <c r="BS59" s="4">
        <v>3</v>
      </c>
      <c r="BT59" s="4">
        <v>3</v>
      </c>
      <c r="BU59" s="4">
        <f t="shared" si="29"/>
        <v>0</v>
      </c>
      <c r="BV59" s="4">
        <f t="shared" si="6"/>
        <v>3</v>
      </c>
      <c r="BW59" s="4">
        <f t="shared" si="7"/>
        <v>3</v>
      </c>
      <c r="BX59" s="14">
        <f t="shared" si="8"/>
        <v>0.71</v>
      </c>
      <c r="BY59" s="14">
        <f t="shared" si="9"/>
        <v>0.45000000000000007</v>
      </c>
      <c r="BZ59" s="5" t="s">
        <v>158</v>
      </c>
      <c r="CA59" s="8" t="str">
        <f t="shared" si="113"/>
        <v>monster_15</v>
      </c>
      <c r="CB59" s="8" t="str">
        <f t="shared" si="113"/>
        <v>monster_15</v>
      </c>
      <c r="CC59" s="5">
        <v>0</v>
      </c>
      <c r="CD59" s="8">
        <f t="shared" si="30"/>
        <v>1</v>
      </c>
      <c r="CE59" s="5">
        <f t="shared" si="10"/>
        <v>0</v>
      </c>
      <c r="CF59" s="5">
        <f t="shared" si="31"/>
        <v>0</v>
      </c>
      <c r="CG59" s="5" t="s">
        <v>259</v>
      </c>
      <c r="CH59" s="5">
        <f t="shared" si="47"/>
        <v>0</v>
      </c>
      <c r="CI59" s="5">
        <v>0</v>
      </c>
      <c r="CJ59" s="4">
        <v>0</v>
      </c>
      <c r="CK59" s="5">
        <v>0</v>
      </c>
      <c r="CL59" s="5">
        <v>0</v>
      </c>
      <c r="CM59" s="20">
        <f t="shared" si="32"/>
        <v>0</v>
      </c>
      <c r="CN59" s="8">
        <f t="shared" si="32"/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8">
        <f t="shared" ref="CV59:CY59" si="155">CV38</f>
        <v>0.8</v>
      </c>
      <c r="CW59" s="8">
        <f t="shared" si="155"/>
        <v>0.6</v>
      </c>
      <c r="CX59" s="8">
        <f t="shared" si="155"/>
        <v>1</v>
      </c>
      <c r="CY59" s="8">
        <f t="shared" si="155"/>
        <v>1</v>
      </c>
      <c r="CZ59" s="8">
        <f t="shared" si="34"/>
        <v>2</v>
      </c>
      <c r="DA59" s="6">
        <f t="shared" si="0"/>
        <v>150</v>
      </c>
      <c r="DB59" s="5">
        <f t="shared" si="35"/>
        <v>0</v>
      </c>
      <c r="DC59" s="5">
        <f t="shared" si="11"/>
        <v>0.16500000000000001</v>
      </c>
      <c r="DD59" s="6">
        <f t="shared" si="1"/>
        <v>0.16500000000000001</v>
      </c>
      <c r="DE59" s="6">
        <f t="shared" si="49"/>
        <v>0.3</v>
      </c>
      <c r="DF59" s="5">
        <v>0</v>
      </c>
      <c r="DG59" s="8">
        <f t="shared" si="36"/>
        <v>3</v>
      </c>
      <c r="DH59" s="5">
        <v>2</v>
      </c>
      <c r="DI59" s="8">
        <f t="shared" si="37"/>
        <v>0</v>
      </c>
      <c r="DJ59" s="5">
        <f t="shared" si="2"/>
        <v>0</v>
      </c>
      <c r="DK59" s="8">
        <v>0</v>
      </c>
      <c r="DL59" s="5">
        <f t="shared" si="3"/>
        <v>0</v>
      </c>
      <c r="DM59" s="5" t="s">
        <v>259</v>
      </c>
      <c r="DN59" s="8">
        <f t="shared" ref="DN59:DP59" si="156">DN38</f>
        <v>6</v>
      </c>
      <c r="DO59" s="8">
        <f t="shared" si="156"/>
        <v>0</v>
      </c>
      <c r="DP59" s="5">
        <f t="shared" si="156"/>
        <v>0</v>
      </c>
      <c r="DQ59" s="8">
        <f t="shared" si="150"/>
        <v>0</v>
      </c>
      <c r="DR59" s="5">
        <f t="shared" si="13"/>
        <v>0.9</v>
      </c>
      <c r="DS59" s="8">
        <f t="shared" si="40"/>
        <v>1</v>
      </c>
      <c r="DT59" s="8">
        <f t="shared" si="41"/>
        <v>-0.5</v>
      </c>
      <c r="DU59" s="8">
        <f t="shared" si="41"/>
        <v>0.5</v>
      </c>
      <c r="DV59" s="8">
        <f t="shared" si="41"/>
        <v>0.2</v>
      </c>
      <c r="DW59" s="5">
        <f t="shared" si="116"/>
        <v>0.58333333333333337</v>
      </c>
      <c r="DX59" s="8">
        <f t="shared" si="43"/>
        <v>7</v>
      </c>
      <c r="DY59" s="8">
        <f t="shared" si="44"/>
        <v>0</v>
      </c>
      <c r="DZ59" s="8">
        <f t="shared" si="45"/>
        <v>0</v>
      </c>
      <c r="EA59" s="5"/>
    </row>
    <row r="60" spans="1:131" x14ac:dyDescent="0.15">
      <c r="A60" s="5">
        <v>201058</v>
      </c>
      <c r="B60" s="5" t="s">
        <v>260</v>
      </c>
      <c r="C60" s="5"/>
      <c r="D60" s="5"/>
      <c r="E60" s="5"/>
      <c r="F60" s="5">
        <v>0</v>
      </c>
      <c r="G60" s="45"/>
      <c r="H60" s="5"/>
      <c r="I60" s="5"/>
      <c r="J60" s="5"/>
      <c r="K60" s="5"/>
      <c r="L60" s="10"/>
      <c r="M60" s="5"/>
      <c r="N60" s="1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20"/>
      <c r="AF60" s="5"/>
      <c r="AG60" s="5"/>
      <c r="AH60" s="5"/>
      <c r="AI60" s="5"/>
      <c r="AJ60" s="5"/>
      <c r="AK60" s="5"/>
      <c r="AL60" s="5"/>
      <c r="AM60" s="5"/>
      <c r="AN60" s="8"/>
      <c r="AO60" s="5">
        <v>0</v>
      </c>
      <c r="AP60" s="5" t="s">
        <v>260</v>
      </c>
      <c r="AQ60" s="5">
        <v>0</v>
      </c>
      <c r="AR60" s="8">
        <f t="shared" si="19"/>
        <v>2</v>
      </c>
      <c r="AS60" s="6">
        <f t="shared" si="4"/>
        <v>18</v>
      </c>
      <c r="AT60" s="6">
        <f t="shared" si="5"/>
        <v>27</v>
      </c>
      <c r="AU60" s="5">
        <f t="shared" si="20"/>
        <v>0.2</v>
      </c>
      <c r="AV60" s="5">
        <f t="shared" si="21"/>
        <v>1</v>
      </c>
      <c r="AW60" s="5">
        <f t="shared" si="22"/>
        <v>0</v>
      </c>
      <c r="AX60" s="5">
        <f t="shared" ref="AX60" si="157">AX39</f>
        <v>0</v>
      </c>
      <c r="AY60" s="5">
        <f t="shared" si="22"/>
        <v>1</v>
      </c>
      <c r="AZ60" s="8">
        <f t="shared" si="24"/>
        <v>33</v>
      </c>
      <c r="BA60" s="5">
        <f t="shared" si="16"/>
        <v>203016</v>
      </c>
      <c r="BB60" s="5">
        <v>0</v>
      </c>
      <c r="BC60" s="5">
        <v>0</v>
      </c>
      <c r="BD60" s="5">
        <f t="shared" si="25"/>
        <v>0</v>
      </c>
      <c r="BE60" s="5">
        <f t="shared" si="26"/>
        <v>306001</v>
      </c>
      <c r="BF60" s="5">
        <f t="shared" si="27"/>
        <v>0</v>
      </c>
      <c r="BG60" s="5">
        <f t="shared" si="27"/>
        <v>0</v>
      </c>
      <c r="BH60" s="5">
        <f t="shared" si="18"/>
        <v>0</v>
      </c>
      <c r="BI60" s="5">
        <f t="shared" si="27"/>
        <v>0</v>
      </c>
      <c r="BJ60" s="5">
        <f t="shared" si="15"/>
        <v>3</v>
      </c>
      <c r="BK60" s="5">
        <f>BJ60*360/BM60</f>
        <v>6</v>
      </c>
      <c r="BL60" s="5">
        <f t="shared" si="63"/>
        <v>1</v>
      </c>
      <c r="BM60" s="5">
        <f t="shared" si="28"/>
        <v>180</v>
      </c>
      <c r="BN60" s="5">
        <f t="shared" si="28"/>
        <v>180</v>
      </c>
      <c r="BO60" s="5">
        <f t="shared" si="28"/>
        <v>203017</v>
      </c>
      <c r="BP60" s="5">
        <f t="shared" si="28"/>
        <v>3</v>
      </c>
      <c r="BQ60" s="5">
        <f t="shared" si="64"/>
        <v>4</v>
      </c>
      <c r="BR60" s="5">
        <f>50*BT60*3-360/BM60*BJ60*BQ60</f>
        <v>426</v>
      </c>
      <c r="BS60" s="4">
        <v>4</v>
      </c>
      <c r="BT60" s="4">
        <v>3</v>
      </c>
      <c r="BU60" s="4">
        <f t="shared" si="29"/>
        <v>0</v>
      </c>
      <c r="BV60" s="4">
        <f t="shared" si="6"/>
        <v>3</v>
      </c>
      <c r="BW60" s="4">
        <f t="shared" si="7"/>
        <v>3</v>
      </c>
      <c r="BX60" s="14">
        <f t="shared" si="8"/>
        <v>0.71</v>
      </c>
      <c r="BY60" s="14">
        <f t="shared" si="9"/>
        <v>0.45000000000000007</v>
      </c>
      <c r="BZ60" s="5" t="s">
        <v>161</v>
      </c>
      <c r="CA60" s="8" t="str">
        <f t="shared" si="113"/>
        <v>monster_16</v>
      </c>
      <c r="CB60" s="8" t="str">
        <f t="shared" si="113"/>
        <v>monster_16</v>
      </c>
      <c r="CC60" s="5">
        <v>0</v>
      </c>
      <c r="CD60" s="8">
        <f t="shared" si="30"/>
        <v>2</v>
      </c>
      <c r="CE60" s="5">
        <f t="shared" si="10"/>
        <v>0</v>
      </c>
      <c r="CF60" s="5">
        <f t="shared" si="31"/>
        <v>0</v>
      </c>
      <c r="CG60" s="5" t="s">
        <v>260</v>
      </c>
      <c r="CH60" s="5">
        <f t="shared" si="47"/>
        <v>3</v>
      </c>
      <c r="CI60" s="5">
        <v>104</v>
      </c>
      <c r="CJ60" s="4">
        <v>0</v>
      </c>
      <c r="CK60" s="5">
        <v>0</v>
      </c>
      <c r="CL60" s="5">
        <v>0</v>
      </c>
      <c r="CM60" s="20">
        <f t="shared" si="32"/>
        <v>0</v>
      </c>
      <c r="CN60" s="8">
        <f t="shared" si="32"/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8">
        <f t="shared" ref="CV60:CY60" si="158">CV39</f>
        <v>0.8</v>
      </c>
      <c r="CW60" s="8">
        <f t="shared" si="158"/>
        <v>0.6</v>
      </c>
      <c r="CX60" s="8">
        <f t="shared" si="158"/>
        <v>1</v>
      </c>
      <c r="CY60" s="8">
        <f t="shared" si="158"/>
        <v>1</v>
      </c>
      <c r="CZ60" s="8">
        <f t="shared" si="34"/>
        <v>0.8</v>
      </c>
      <c r="DA60" s="6">
        <f t="shared" si="0"/>
        <v>60</v>
      </c>
      <c r="DB60" s="5">
        <f t="shared" si="35"/>
        <v>1</v>
      </c>
      <c r="DC60" s="5">
        <f t="shared" si="11"/>
        <v>0.28600000000000003</v>
      </c>
      <c r="DD60" s="6">
        <f t="shared" si="1"/>
        <v>0.28600000000000003</v>
      </c>
      <c r="DE60" s="6">
        <f t="shared" si="49"/>
        <v>0.52</v>
      </c>
      <c r="DF60" s="5">
        <v>0</v>
      </c>
      <c r="DG60" s="8">
        <f t="shared" si="36"/>
        <v>3</v>
      </c>
      <c r="DH60" s="5">
        <v>2</v>
      </c>
      <c r="DI60" s="8">
        <f t="shared" si="37"/>
        <v>2</v>
      </c>
      <c r="DJ60" s="5">
        <f t="shared" si="2"/>
        <v>25</v>
      </c>
      <c r="DK60" s="8">
        <v>0</v>
      </c>
      <c r="DL60" s="5">
        <f t="shared" si="3"/>
        <v>0</v>
      </c>
      <c r="DM60" s="5" t="s">
        <v>260</v>
      </c>
      <c r="DN60" s="8">
        <f t="shared" ref="DN60:DP60" si="159">DN39</f>
        <v>6</v>
      </c>
      <c r="DO60" s="8">
        <f t="shared" si="159"/>
        <v>0</v>
      </c>
      <c r="DP60" s="5">
        <f t="shared" si="159"/>
        <v>0</v>
      </c>
      <c r="DQ60" s="8">
        <f t="shared" si="150"/>
        <v>0</v>
      </c>
      <c r="DR60" s="5">
        <f t="shared" si="13"/>
        <v>4.5</v>
      </c>
      <c r="DS60" s="8">
        <f t="shared" si="40"/>
        <v>5</v>
      </c>
      <c r="DT60" s="8">
        <f t="shared" si="41"/>
        <v>-5</v>
      </c>
      <c r="DU60" s="8">
        <f t="shared" si="41"/>
        <v>0</v>
      </c>
      <c r="DV60" s="8">
        <f t="shared" si="41"/>
        <v>0.2</v>
      </c>
      <c r="DW60" s="5">
        <f t="shared" si="116"/>
        <v>0.5</v>
      </c>
      <c r="DX60" s="8">
        <f t="shared" si="43"/>
        <v>6</v>
      </c>
      <c r="DY60" s="8">
        <f t="shared" si="44"/>
        <v>0</v>
      </c>
      <c r="DZ60" s="8">
        <f t="shared" si="45"/>
        <v>0</v>
      </c>
      <c r="EA60" s="5"/>
    </row>
    <row r="61" spans="1:131" x14ac:dyDescent="0.15">
      <c r="A61" s="5">
        <v>201059</v>
      </c>
      <c r="B61" s="5" t="s">
        <v>261</v>
      </c>
      <c r="C61" s="5"/>
      <c r="D61" s="5"/>
      <c r="E61" s="5"/>
      <c r="F61" s="5">
        <v>0</v>
      </c>
      <c r="G61" s="45"/>
      <c r="H61" s="5"/>
      <c r="I61" s="5"/>
      <c r="J61" s="5"/>
      <c r="K61" s="5"/>
      <c r="L61" s="10"/>
      <c r="M61" s="5"/>
      <c r="N61" s="1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20"/>
      <c r="AF61" s="5"/>
      <c r="AG61" s="5"/>
      <c r="AH61" s="5"/>
      <c r="AI61" s="5"/>
      <c r="AJ61" s="5"/>
      <c r="AK61" s="5"/>
      <c r="AL61" s="5"/>
      <c r="AM61" s="5"/>
      <c r="AN61" s="8"/>
      <c r="AO61" s="5">
        <v>0</v>
      </c>
      <c r="AP61" s="5" t="s">
        <v>261</v>
      </c>
      <c r="AQ61" s="5">
        <v>0</v>
      </c>
      <c r="AR61" s="8">
        <f t="shared" si="19"/>
        <v>1.5</v>
      </c>
      <c r="AS61" s="6">
        <f t="shared" si="4"/>
        <v>13.5</v>
      </c>
      <c r="AT61" s="6">
        <f t="shared" si="5"/>
        <v>22.5</v>
      </c>
      <c r="AU61" s="5">
        <f t="shared" si="20"/>
        <v>0</v>
      </c>
      <c r="AV61" s="5">
        <f t="shared" si="21"/>
        <v>1</v>
      </c>
      <c r="AW61" s="5">
        <f t="shared" si="22"/>
        <v>0</v>
      </c>
      <c r="AX61" s="5">
        <f t="shared" ref="AX61" si="160">AX40</f>
        <v>0</v>
      </c>
      <c r="AY61" s="5">
        <f t="shared" si="22"/>
        <v>1</v>
      </c>
      <c r="AZ61" s="8">
        <f t="shared" si="24"/>
        <v>33</v>
      </c>
      <c r="BA61" s="5">
        <f t="shared" si="16"/>
        <v>203017</v>
      </c>
      <c r="BB61" s="5">
        <v>0</v>
      </c>
      <c r="BC61" s="5">
        <v>0</v>
      </c>
      <c r="BD61" s="5">
        <f t="shared" si="25"/>
        <v>0</v>
      </c>
      <c r="BE61" s="5">
        <f t="shared" si="26"/>
        <v>0</v>
      </c>
      <c r="BF61" s="5">
        <f t="shared" si="27"/>
        <v>0</v>
      </c>
      <c r="BG61" s="5">
        <f t="shared" si="27"/>
        <v>15</v>
      </c>
      <c r="BH61" s="5">
        <f t="shared" si="18"/>
        <v>270</v>
      </c>
      <c r="BI61" s="5">
        <f t="shared" si="27"/>
        <v>0</v>
      </c>
      <c r="BJ61" s="5">
        <f t="shared" si="15"/>
        <v>0</v>
      </c>
      <c r="BK61" s="5">
        <v>0</v>
      </c>
      <c r="BL61" s="5">
        <f t="shared" si="63"/>
        <v>0</v>
      </c>
      <c r="BM61" s="5">
        <f t="shared" si="28"/>
        <v>0</v>
      </c>
      <c r="BN61" s="5">
        <f t="shared" si="28"/>
        <v>0</v>
      </c>
      <c r="BO61" s="5">
        <f t="shared" si="28"/>
        <v>0</v>
      </c>
      <c r="BP61" s="5">
        <f t="shared" si="28"/>
        <v>0</v>
      </c>
      <c r="BQ61" s="5">
        <f t="shared" si="64"/>
        <v>0</v>
      </c>
      <c r="BR61" s="5"/>
      <c r="BS61" s="4">
        <v>4</v>
      </c>
      <c r="BT61" s="4">
        <v>3</v>
      </c>
      <c r="BU61" s="4">
        <f t="shared" si="29"/>
        <v>0</v>
      </c>
      <c r="BV61" s="4">
        <f t="shared" si="6"/>
        <v>3</v>
      </c>
      <c r="BW61" s="4">
        <f t="shared" si="7"/>
        <v>3</v>
      </c>
      <c r="BX61" s="14">
        <f t="shared" si="8"/>
        <v>0.71</v>
      </c>
      <c r="BY61" s="14">
        <f t="shared" si="9"/>
        <v>0.45000000000000007</v>
      </c>
      <c r="BZ61" s="5" t="s">
        <v>164</v>
      </c>
      <c r="CA61" s="8" t="str">
        <f t="shared" si="113"/>
        <v>monster_17</v>
      </c>
      <c r="CB61" s="8" t="str">
        <f t="shared" si="113"/>
        <v>monster_17</v>
      </c>
      <c r="CC61" s="5">
        <v>0</v>
      </c>
      <c r="CD61" s="8">
        <f t="shared" si="30"/>
        <v>2</v>
      </c>
      <c r="CE61" s="5">
        <f t="shared" si="10"/>
        <v>0</v>
      </c>
      <c r="CF61" s="5">
        <f t="shared" si="31"/>
        <v>0</v>
      </c>
      <c r="CG61" s="5" t="s">
        <v>261</v>
      </c>
      <c r="CH61" s="5">
        <f>CH30</f>
        <v>3</v>
      </c>
      <c r="CI61" s="5">
        <v>0</v>
      </c>
      <c r="CJ61" s="4">
        <v>0</v>
      </c>
      <c r="CK61" s="5">
        <v>0</v>
      </c>
      <c r="CL61" s="5">
        <v>0</v>
      </c>
      <c r="CM61" s="20">
        <f t="shared" si="32"/>
        <v>0</v>
      </c>
      <c r="CN61" s="8">
        <f t="shared" si="32"/>
        <v>0</v>
      </c>
      <c r="CO61" s="5">
        <v>0</v>
      </c>
      <c r="CP61" s="5">
        <v>0</v>
      </c>
      <c r="CQ61" s="5">
        <v>0</v>
      </c>
      <c r="CR61" s="5">
        <v>0</v>
      </c>
      <c r="CS61" s="5">
        <v>201058</v>
      </c>
      <c r="CT61" s="5">
        <v>0</v>
      </c>
      <c r="CU61" s="5">
        <v>0</v>
      </c>
      <c r="CV61" s="8">
        <f t="shared" ref="CV61:CY61" si="161">CV40</f>
        <v>0.8</v>
      </c>
      <c r="CW61" s="8">
        <f t="shared" si="161"/>
        <v>0.6</v>
      </c>
      <c r="CX61" s="8">
        <f t="shared" si="161"/>
        <v>1</v>
      </c>
      <c r="CY61" s="8">
        <f t="shared" si="161"/>
        <v>1</v>
      </c>
      <c r="CZ61" s="8">
        <f t="shared" si="34"/>
        <v>1</v>
      </c>
      <c r="DA61" s="6">
        <f t="shared" si="0"/>
        <v>75</v>
      </c>
      <c r="DB61" s="5">
        <f t="shared" si="35"/>
        <v>1</v>
      </c>
      <c r="DC61" s="5">
        <f t="shared" si="11"/>
        <v>0.13750000000000001</v>
      </c>
      <c r="DD61" s="6">
        <f t="shared" si="1"/>
        <v>0.13750000000000001</v>
      </c>
      <c r="DE61" s="6">
        <f t="shared" si="49"/>
        <v>0.25</v>
      </c>
      <c r="DF61" s="5">
        <v>0</v>
      </c>
      <c r="DG61" s="8">
        <f t="shared" si="36"/>
        <v>3</v>
      </c>
      <c r="DH61" s="5">
        <v>2</v>
      </c>
      <c r="DI61" s="8">
        <f t="shared" si="37"/>
        <v>0</v>
      </c>
      <c r="DJ61" s="5">
        <f t="shared" si="2"/>
        <v>0</v>
      </c>
      <c r="DK61" s="8">
        <v>0</v>
      </c>
      <c r="DL61" s="5">
        <f t="shared" si="3"/>
        <v>0</v>
      </c>
      <c r="DM61" s="5" t="s">
        <v>261</v>
      </c>
      <c r="DN61" s="8">
        <f t="shared" ref="DN61:DP61" si="162">DN40</f>
        <v>0</v>
      </c>
      <c r="DO61" s="8">
        <f t="shared" si="162"/>
        <v>0</v>
      </c>
      <c r="DP61" s="5">
        <f t="shared" si="162"/>
        <v>0</v>
      </c>
      <c r="DQ61" s="8">
        <f t="shared" si="150"/>
        <v>0</v>
      </c>
      <c r="DR61" s="5">
        <f t="shared" si="13"/>
        <v>3.15</v>
      </c>
      <c r="DS61" s="8">
        <f t="shared" si="40"/>
        <v>3.5</v>
      </c>
      <c r="DT61" s="8">
        <f t="shared" si="41"/>
        <v>-0.5</v>
      </c>
      <c r="DU61" s="8">
        <f t="shared" si="41"/>
        <v>0.5</v>
      </c>
      <c r="DV61" s="8">
        <f t="shared" si="41"/>
        <v>0.2</v>
      </c>
      <c r="DW61" s="5">
        <f t="shared" si="116"/>
        <v>0</v>
      </c>
      <c r="DX61" s="8">
        <f t="shared" si="43"/>
        <v>0</v>
      </c>
      <c r="DY61" s="8">
        <f t="shared" si="44"/>
        <v>0</v>
      </c>
      <c r="DZ61" s="8">
        <f t="shared" si="45"/>
        <v>0</v>
      </c>
      <c r="EA61" s="5"/>
    </row>
    <row r="62" spans="1:131" x14ac:dyDescent="0.15">
      <c r="A62" s="5">
        <v>201060</v>
      </c>
      <c r="B62" s="5" t="s">
        <v>262</v>
      </c>
      <c r="C62" s="5"/>
      <c r="D62" s="5"/>
      <c r="E62" s="5"/>
      <c r="F62" s="5">
        <v>0</v>
      </c>
      <c r="G62" s="45"/>
      <c r="H62" s="5"/>
      <c r="I62" s="5"/>
      <c r="J62" s="5"/>
      <c r="K62" s="5"/>
      <c r="L62" s="10"/>
      <c r="M62" s="5"/>
      <c r="N62" s="10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20"/>
      <c r="AF62" s="5"/>
      <c r="AG62" s="5"/>
      <c r="AH62" s="5"/>
      <c r="AI62" s="5"/>
      <c r="AJ62" s="5"/>
      <c r="AK62" s="5"/>
      <c r="AL62" s="5"/>
      <c r="AM62" s="5"/>
      <c r="AN62" s="8"/>
      <c r="AO62" s="5">
        <v>0</v>
      </c>
      <c r="AP62" s="5" t="s">
        <v>262</v>
      </c>
      <c r="AQ62" s="5">
        <v>0</v>
      </c>
      <c r="AR62" s="8">
        <f t="shared" si="19"/>
        <v>2</v>
      </c>
      <c r="AS62" s="6">
        <f t="shared" si="4"/>
        <v>18</v>
      </c>
      <c r="AT62" s="6">
        <f t="shared" si="5"/>
        <v>27</v>
      </c>
      <c r="AU62" s="5">
        <f t="shared" si="20"/>
        <v>0</v>
      </c>
      <c r="AV62" s="5">
        <f t="shared" si="21"/>
        <v>1</v>
      </c>
      <c r="AW62" s="5">
        <f t="shared" si="22"/>
        <v>1</v>
      </c>
      <c r="AX62" s="5">
        <f t="shared" ref="AX62" si="163">AX41</f>
        <v>1</v>
      </c>
      <c r="AY62" s="5">
        <f t="shared" si="22"/>
        <v>1</v>
      </c>
      <c r="AZ62" s="8">
        <f t="shared" si="24"/>
        <v>32</v>
      </c>
      <c r="BA62" s="5">
        <f t="shared" si="16"/>
        <v>203018</v>
      </c>
      <c r="BB62" s="5">
        <v>0</v>
      </c>
      <c r="BC62" s="5">
        <v>0</v>
      </c>
      <c r="BD62" s="5">
        <f t="shared" si="25"/>
        <v>0</v>
      </c>
      <c r="BE62" s="5">
        <f t="shared" si="26"/>
        <v>604001</v>
      </c>
      <c r="BF62" s="5">
        <f t="shared" si="27"/>
        <v>0</v>
      </c>
      <c r="BG62" s="5">
        <f t="shared" si="27"/>
        <v>0</v>
      </c>
      <c r="BH62" s="5">
        <f t="shared" si="18"/>
        <v>0</v>
      </c>
      <c r="BI62" s="5">
        <f t="shared" si="27"/>
        <v>0</v>
      </c>
      <c r="BJ62" s="5">
        <v>12</v>
      </c>
      <c r="BK62" s="5">
        <f>BJ62*360/BM62</f>
        <v>48</v>
      </c>
      <c r="BL62" s="5">
        <f t="shared" si="63"/>
        <v>2</v>
      </c>
      <c r="BM62" s="5">
        <f t="shared" si="28"/>
        <v>90</v>
      </c>
      <c r="BN62" s="5">
        <f t="shared" si="28"/>
        <v>180</v>
      </c>
      <c r="BO62" s="5">
        <f t="shared" si="28"/>
        <v>203019</v>
      </c>
      <c r="BP62" s="5">
        <f t="shared" si="28"/>
        <v>3</v>
      </c>
      <c r="BQ62" s="5">
        <f t="shared" si="64"/>
        <v>2</v>
      </c>
      <c r="BR62" s="5">
        <f>50*BT62*3-360/BM62*BJ62*BQ62</f>
        <v>354</v>
      </c>
      <c r="BS62" s="4">
        <v>4</v>
      </c>
      <c r="BT62" s="4">
        <v>3</v>
      </c>
      <c r="BU62" s="4">
        <f t="shared" si="29"/>
        <v>0</v>
      </c>
      <c r="BV62" s="4">
        <f t="shared" si="6"/>
        <v>3</v>
      </c>
      <c r="BW62" s="4">
        <f t="shared" si="7"/>
        <v>3</v>
      </c>
      <c r="BX62" s="14">
        <f t="shared" si="8"/>
        <v>0.71</v>
      </c>
      <c r="BY62" s="14">
        <f t="shared" si="9"/>
        <v>0.45000000000000007</v>
      </c>
      <c r="BZ62" s="5" t="s">
        <v>167</v>
      </c>
      <c r="CA62" s="8" t="str">
        <f t="shared" si="113"/>
        <v>monster_18</v>
      </c>
      <c r="CB62" s="8" t="str">
        <f t="shared" si="113"/>
        <v>monster_18</v>
      </c>
      <c r="CC62" s="5">
        <v>0</v>
      </c>
      <c r="CD62" s="8">
        <f t="shared" si="30"/>
        <v>2</v>
      </c>
      <c r="CE62" s="5">
        <f t="shared" si="10"/>
        <v>3</v>
      </c>
      <c r="CF62" s="5">
        <f t="shared" si="31"/>
        <v>1</v>
      </c>
      <c r="CG62" s="5" t="s">
        <v>262</v>
      </c>
      <c r="CH62" s="5">
        <f>CH31</f>
        <v>3</v>
      </c>
      <c r="CI62" s="5">
        <v>105</v>
      </c>
      <c r="CJ62" s="4">
        <v>0</v>
      </c>
      <c r="CK62" s="5">
        <v>0</v>
      </c>
      <c r="CL62" s="5">
        <v>0</v>
      </c>
      <c r="CM62" s="20">
        <f t="shared" si="32"/>
        <v>0</v>
      </c>
      <c r="CN62" s="8">
        <f t="shared" si="32"/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8">
        <f t="shared" ref="CV62:CY62" si="164">CV41</f>
        <v>0.8</v>
      </c>
      <c r="CW62" s="8">
        <f t="shared" si="164"/>
        <v>0.6</v>
      </c>
      <c r="CX62" s="8">
        <f t="shared" si="164"/>
        <v>1</v>
      </c>
      <c r="CY62" s="8">
        <f t="shared" si="164"/>
        <v>1</v>
      </c>
      <c r="CZ62" s="8">
        <f t="shared" si="34"/>
        <v>1</v>
      </c>
      <c r="DA62" s="6">
        <f t="shared" si="0"/>
        <v>75</v>
      </c>
      <c r="DB62" s="5">
        <f t="shared" si="35"/>
        <v>0</v>
      </c>
      <c r="DC62" s="5">
        <f t="shared" si="11"/>
        <v>0.13750000000000001</v>
      </c>
      <c r="DD62" s="6">
        <f t="shared" si="1"/>
        <v>0.13750000000000001</v>
      </c>
      <c r="DE62" s="6">
        <f t="shared" si="49"/>
        <v>0.25</v>
      </c>
      <c r="DF62" s="5">
        <v>0</v>
      </c>
      <c r="DG62" s="8">
        <f t="shared" si="36"/>
        <v>2.25</v>
      </c>
      <c r="DH62" s="5">
        <v>1.25</v>
      </c>
      <c r="DI62" s="8">
        <f t="shared" si="37"/>
        <v>4</v>
      </c>
      <c r="DJ62" s="5">
        <f t="shared" si="2"/>
        <v>50</v>
      </c>
      <c r="DK62" s="8">
        <v>0</v>
      </c>
      <c r="DL62" s="5">
        <f t="shared" si="3"/>
        <v>0</v>
      </c>
      <c r="DM62" s="5" t="s">
        <v>263</v>
      </c>
      <c r="DN62" s="8">
        <f t="shared" ref="DN62:DP62" si="165">DN41</f>
        <v>6</v>
      </c>
      <c r="DO62" s="8">
        <f t="shared" si="165"/>
        <v>0</v>
      </c>
      <c r="DP62" s="5">
        <f t="shared" si="165"/>
        <v>0</v>
      </c>
      <c r="DQ62" s="8">
        <f t="shared" si="150"/>
        <v>0</v>
      </c>
      <c r="DR62" s="5">
        <f t="shared" si="13"/>
        <v>1.35</v>
      </c>
      <c r="DS62" s="8">
        <f t="shared" si="40"/>
        <v>1.5</v>
      </c>
      <c r="DT62" s="8">
        <f t="shared" si="41"/>
        <v>-0.5</v>
      </c>
      <c r="DU62" s="8">
        <f t="shared" si="41"/>
        <v>0.5</v>
      </c>
      <c r="DV62" s="8">
        <f t="shared" si="41"/>
        <v>0.35</v>
      </c>
      <c r="DW62" s="5">
        <f t="shared" si="116"/>
        <v>0.33333333333333331</v>
      </c>
      <c r="DX62" s="8">
        <f t="shared" si="43"/>
        <v>4</v>
      </c>
      <c r="DY62" s="8">
        <f t="shared" si="44"/>
        <v>0</v>
      </c>
      <c r="DZ62" s="8">
        <f t="shared" si="45"/>
        <v>0</v>
      </c>
      <c r="EA62" s="5"/>
    </row>
    <row r="63" spans="1:131" x14ac:dyDescent="0.15">
      <c r="A63" s="5">
        <v>201061</v>
      </c>
      <c r="B63" s="5" t="s">
        <v>264</v>
      </c>
      <c r="C63" s="5"/>
      <c r="D63" s="5"/>
      <c r="E63" s="5"/>
      <c r="F63" s="5">
        <v>0</v>
      </c>
      <c r="G63" s="45"/>
      <c r="H63" s="5"/>
      <c r="I63" s="5"/>
      <c r="J63" s="5"/>
      <c r="K63" s="5"/>
      <c r="L63" s="10"/>
      <c r="M63" s="5"/>
      <c r="N63" s="10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20"/>
      <c r="AF63" s="5"/>
      <c r="AG63" s="5"/>
      <c r="AH63" s="5"/>
      <c r="AI63" s="5"/>
      <c r="AJ63" s="5"/>
      <c r="AK63" s="5"/>
      <c r="AL63" s="5"/>
      <c r="AM63" s="5"/>
      <c r="AN63" s="8"/>
      <c r="AO63" s="5">
        <v>0</v>
      </c>
      <c r="AP63" s="5" t="s">
        <v>264</v>
      </c>
      <c r="AQ63" s="5">
        <v>0</v>
      </c>
      <c r="AR63" s="8">
        <f t="shared" si="19"/>
        <v>1.5</v>
      </c>
      <c r="AS63" s="6">
        <f t="shared" si="4"/>
        <v>13.5</v>
      </c>
      <c r="AT63" s="6">
        <f t="shared" si="5"/>
        <v>22.5</v>
      </c>
      <c r="AU63" s="5">
        <f t="shared" si="20"/>
        <v>0</v>
      </c>
      <c r="AV63" s="5">
        <f t="shared" si="21"/>
        <v>1</v>
      </c>
      <c r="AW63" s="5">
        <f t="shared" si="22"/>
        <v>1</v>
      </c>
      <c r="AX63" s="5">
        <f t="shared" ref="AX63" si="166">AX42</f>
        <v>1</v>
      </c>
      <c r="AY63" s="5">
        <f t="shared" si="22"/>
        <v>1</v>
      </c>
      <c r="AZ63" s="8">
        <f t="shared" si="24"/>
        <v>32</v>
      </c>
      <c r="BA63" s="5">
        <f t="shared" si="16"/>
        <v>203019</v>
      </c>
      <c r="BB63" s="5">
        <v>0</v>
      </c>
      <c r="BC63" s="5">
        <v>0</v>
      </c>
      <c r="BD63" s="5">
        <f t="shared" si="25"/>
        <v>0</v>
      </c>
      <c r="BE63" s="5">
        <f t="shared" si="26"/>
        <v>0</v>
      </c>
      <c r="BF63" s="5">
        <f t="shared" si="27"/>
        <v>0</v>
      </c>
      <c r="BG63" s="5">
        <f t="shared" si="27"/>
        <v>15</v>
      </c>
      <c r="BH63" s="5">
        <f t="shared" si="18"/>
        <v>270</v>
      </c>
      <c r="BI63" s="5">
        <f t="shared" si="27"/>
        <v>0</v>
      </c>
      <c r="BJ63" s="5">
        <f t="shared" si="15"/>
        <v>0</v>
      </c>
      <c r="BK63" s="5">
        <v>0</v>
      </c>
      <c r="BL63" s="5">
        <f t="shared" si="63"/>
        <v>0</v>
      </c>
      <c r="BM63" s="5">
        <f t="shared" si="28"/>
        <v>0</v>
      </c>
      <c r="BN63" s="5">
        <f t="shared" si="28"/>
        <v>0</v>
      </c>
      <c r="BO63" s="5">
        <f t="shared" si="28"/>
        <v>0</v>
      </c>
      <c r="BP63" s="5">
        <f t="shared" si="28"/>
        <v>0</v>
      </c>
      <c r="BQ63" s="5">
        <f t="shared" si="64"/>
        <v>0</v>
      </c>
      <c r="BR63" s="5"/>
      <c r="BS63" s="4">
        <v>4</v>
      </c>
      <c r="BT63" s="4">
        <v>3</v>
      </c>
      <c r="BU63" s="4">
        <f t="shared" si="29"/>
        <v>0</v>
      </c>
      <c r="BV63" s="4">
        <f t="shared" si="6"/>
        <v>3</v>
      </c>
      <c r="BW63" s="4">
        <f t="shared" si="7"/>
        <v>3</v>
      </c>
      <c r="BX63" s="14">
        <f t="shared" si="8"/>
        <v>0.71</v>
      </c>
      <c r="BY63" s="14">
        <f t="shared" si="9"/>
        <v>0.45000000000000007</v>
      </c>
      <c r="BZ63" s="5" t="s">
        <v>170</v>
      </c>
      <c r="CA63" s="8" t="str">
        <f t="shared" si="113"/>
        <v>monster_19</v>
      </c>
      <c r="CB63" s="8" t="str">
        <f t="shared" si="113"/>
        <v>monster_19</v>
      </c>
      <c r="CC63" s="5">
        <v>0</v>
      </c>
      <c r="CD63" s="8">
        <f t="shared" si="30"/>
        <v>2</v>
      </c>
      <c r="CE63" s="5">
        <f t="shared" si="10"/>
        <v>0</v>
      </c>
      <c r="CF63" s="5">
        <f t="shared" si="31"/>
        <v>0</v>
      </c>
      <c r="CG63" s="5" t="s">
        <v>264</v>
      </c>
      <c r="CH63" s="5">
        <f>CH32</f>
        <v>3</v>
      </c>
      <c r="CI63" s="5">
        <v>0</v>
      </c>
      <c r="CJ63" s="4">
        <v>0</v>
      </c>
      <c r="CK63" s="5">
        <v>0</v>
      </c>
      <c r="CL63" s="5">
        <v>0</v>
      </c>
      <c r="CM63" s="20">
        <f t="shared" si="32"/>
        <v>0</v>
      </c>
      <c r="CN63" s="8">
        <f t="shared" si="32"/>
        <v>0</v>
      </c>
      <c r="CO63" s="5">
        <v>0</v>
      </c>
      <c r="CP63" s="5">
        <v>0</v>
      </c>
      <c r="CQ63" s="5">
        <v>0</v>
      </c>
      <c r="CR63" s="5">
        <v>0</v>
      </c>
      <c r="CS63" s="5">
        <v>201060</v>
      </c>
      <c r="CT63" s="5">
        <v>0</v>
      </c>
      <c r="CU63" s="5">
        <v>0</v>
      </c>
      <c r="CV63" s="8">
        <f t="shared" ref="CV63:CY63" si="167">CV42</f>
        <v>0.8</v>
      </c>
      <c r="CW63" s="8">
        <f t="shared" si="167"/>
        <v>0.6</v>
      </c>
      <c r="CX63" s="8">
        <f t="shared" si="167"/>
        <v>1</v>
      </c>
      <c r="CY63" s="8">
        <f t="shared" si="167"/>
        <v>1</v>
      </c>
      <c r="CZ63" s="8">
        <f t="shared" si="34"/>
        <v>1</v>
      </c>
      <c r="DA63" s="6">
        <f t="shared" si="0"/>
        <v>75</v>
      </c>
      <c r="DB63" s="5">
        <f t="shared" si="35"/>
        <v>0</v>
      </c>
      <c r="DC63" s="5">
        <f t="shared" si="11"/>
        <v>0.13750000000000001</v>
      </c>
      <c r="DD63" s="6">
        <f t="shared" si="1"/>
        <v>0.13750000000000001</v>
      </c>
      <c r="DE63" s="6">
        <f t="shared" si="49"/>
        <v>0.25</v>
      </c>
      <c r="DF63" s="5">
        <v>0</v>
      </c>
      <c r="DG63" s="8">
        <f t="shared" si="36"/>
        <v>2.25</v>
      </c>
      <c r="DH63" s="5">
        <v>1.25</v>
      </c>
      <c r="DI63" s="8">
        <f t="shared" si="37"/>
        <v>0</v>
      </c>
      <c r="DJ63" s="5">
        <f t="shared" si="2"/>
        <v>0</v>
      </c>
      <c r="DK63" s="8">
        <v>0</v>
      </c>
      <c r="DL63" s="5">
        <f t="shared" si="3"/>
        <v>0</v>
      </c>
      <c r="DM63" s="5" t="s">
        <v>265</v>
      </c>
      <c r="DN63" s="8">
        <f t="shared" ref="DN63:DP63" si="168">DN42</f>
        <v>0</v>
      </c>
      <c r="DO63" s="8">
        <f t="shared" si="168"/>
        <v>0</v>
      </c>
      <c r="DP63" s="5">
        <f t="shared" si="168"/>
        <v>0</v>
      </c>
      <c r="DQ63" s="8">
        <f t="shared" si="150"/>
        <v>0</v>
      </c>
      <c r="DR63" s="5">
        <f t="shared" si="13"/>
        <v>1.35</v>
      </c>
      <c r="DS63" s="8">
        <f t="shared" si="40"/>
        <v>1.5</v>
      </c>
      <c r="DT63" s="8">
        <f t="shared" si="41"/>
        <v>-0.5</v>
      </c>
      <c r="DU63" s="8">
        <f t="shared" si="41"/>
        <v>0.5</v>
      </c>
      <c r="DV63" s="8">
        <f t="shared" si="41"/>
        <v>0.35</v>
      </c>
      <c r="DW63" s="5">
        <f t="shared" si="116"/>
        <v>0</v>
      </c>
      <c r="DX63" s="8">
        <f t="shared" si="43"/>
        <v>0</v>
      </c>
      <c r="DY63" s="8">
        <f t="shared" si="44"/>
        <v>0</v>
      </c>
      <c r="DZ63" s="8">
        <f t="shared" si="45"/>
        <v>0</v>
      </c>
      <c r="EA63" s="5"/>
    </row>
    <row r="64" spans="1:131" x14ac:dyDescent="0.15">
      <c r="A64" s="5">
        <v>201062</v>
      </c>
      <c r="B64" s="5" t="s">
        <v>266</v>
      </c>
      <c r="C64" s="5"/>
      <c r="D64" s="5"/>
      <c r="E64" s="5"/>
      <c r="F64" s="5">
        <v>0</v>
      </c>
      <c r="G64" s="45"/>
      <c r="H64" s="5"/>
      <c r="I64" s="5"/>
      <c r="J64" s="5"/>
      <c r="K64" s="5"/>
      <c r="L64" s="10"/>
      <c r="M64" s="5"/>
      <c r="N64" s="10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20"/>
      <c r="AF64" s="5"/>
      <c r="AG64" s="5"/>
      <c r="AH64" s="5"/>
      <c r="AI64" s="5"/>
      <c r="AJ64" s="5"/>
      <c r="AK64" s="5"/>
      <c r="AL64" s="5"/>
      <c r="AM64" s="5"/>
      <c r="AN64" s="8"/>
      <c r="AO64" s="5">
        <v>0</v>
      </c>
      <c r="AP64" s="5" t="s">
        <v>266</v>
      </c>
      <c r="AQ64" s="5">
        <v>0</v>
      </c>
      <c r="AR64" s="8">
        <f t="shared" si="19"/>
        <v>3</v>
      </c>
      <c r="AS64" s="6">
        <f t="shared" si="4"/>
        <v>27</v>
      </c>
      <c r="AT64" s="6">
        <f t="shared" si="5"/>
        <v>36</v>
      </c>
      <c r="AU64" s="5">
        <f t="shared" si="20"/>
        <v>0</v>
      </c>
      <c r="AV64" s="5">
        <f t="shared" si="21"/>
        <v>1</v>
      </c>
      <c r="AW64" s="5">
        <f t="shared" si="22"/>
        <v>0</v>
      </c>
      <c r="AX64" s="5">
        <f t="shared" ref="AX64" si="169">AX43</f>
        <v>0</v>
      </c>
      <c r="AY64" s="5">
        <f t="shared" si="22"/>
        <v>0</v>
      </c>
      <c r="AZ64" s="8">
        <f t="shared" si="24"/>
        <v>31</v>
      </c>
      <c r="BA64" s="5">
        <f t="shared" si="16"/>
        <v>203020</v>
      </c>
      <c r="BB64" s="5">
        <v>0</v>
      </c>
      <c r="BC64" s="5">
        <v>0</v>
      </c>
      <c r="BD64" s="5">
        <f t="shared" si="25"/>
        <v>0</v>
      </c>
      <c r="BE64" s="5">
        <f t="shared" si="26"/>
        <v>0</v>
      </c>
      <c r="BF64" s="5">
        <f t="shared" si="27"/>
        <v>0</v>
      </c>
      <c r="BG64" s="5">
        <f t="shared" si="27"/>
        <v>0</v>
      </c>
      <c r="BH64" s="5">
        <f t="shared" si="18"/>
        <v>0</v>
      </c>
      <c r="BI64" s="5">
        <f t="shared" si="27"/>
        <v>0</v>
      </c>
      <c r="BJ64" s="5">
        <f t="shared" si="15"/>
        <v>0</v>
      </c>
      <c r="BK64" s="5">
        <v>0</v>
      </c>
      <c r="BL64" s="5">
        <f t="shared" si="63"/>
        <v>0</v>
      </c>
      <c r="BM64" s="5">
        <f t="shared" si="28"/>
        <v>0</v>
      </c>
      <c r="BN64" s="5">
        <f t="shared" si="28"/>
        <v>0</v>
      </c>
      <c r="BO64" s="5">
        <f t="shared" si="28"/>
        <v>0</v>
      </c>
      <c r="BP64" s="5">
        <f t="shared" si="28"/>
        <v>0</v>
      </c>
      <c r="BQ64" s="5">
        <f t="shared" si="64"/>
        <v>0</v>
      </c>
      <c r="BR64" s="5"/>
      <c r="BS64" s="4">
        <v>4</v>
      </c>
      <c r="BT64" s="4">
        <v>3</v>
      </c>
      <c r="BU64" s="4">
        <f t="shared" si="29"/>
        <v>0</v>
      </c>
      <c r="BV64" s="4">
        <f t="shared" si="6"/>
        <v>3</v>
      </c>
      <c r="BW64" s="4">
        <f t="shared" si="7"/>
        <v>3</v>
      </c>
      <c r="BX64" s="14">
        <f t="shared" si="8"/>
        <v>0.71</v>
      </c>
      <c r="BY64" s="14">
        <f t="shared" si="9"/>
        <v>0.45000000000000007</v>
      </c>
      <c r="BZ64" s="5" t="s">
        <v>173</v>
      </c>
      <c r="CA64" s="8" t="str">
        <f t="shared" si="113"/>
        <v>monster_20</v>
      </c>
      <c r="CB64" s="8" t="str">
        <f t="shared" si="113"/>
        <v>monster_20</v>
      </c>
      <c r="CC64" s="5">
        <v>0</v>
      </c>
      <c r="CD64" s="8">
        <f t="shared" si="30"/>
        <v>1</v>
      </c>
      <c r="CE64" s="5">
        <f t="shared" si="10"/>
        <v>0</v>
      </c>
      <c r="CF64" s="5">
        <f t="shared" si="31"/>
        <v>0</v>
      </c>
      <c r="CG64" s="5" t="s">
        <v>266</v>
      </c>
      <c r="CH64" s="5">
        <f>CH33</f>
        <v>3</v>
      </c>
      <c r="CI64" s="5">
        <v>0</v>
      </c>
      <c r="CJ64" s="4">
        <v>0</v>
      </c>
      <c r="CK64" s="5">
        <v>0</v>
      </c>
      <c r="CL64" s="5">
        <v>0</v>
      </c>
      <c r="CM64" s="20">
        <f t="shared" si="32"/>
        <v>0</v>
      </c>
      <c r="CN64" s="8">
        <f t="shared" si="32"/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8">
        <f t="shared" ref="CV64:CY64" si="170">CV43</f>
        <v>0.8</v>
      </c>
      <c r="CW64" s="8">
        <f t="shared" si="170"/>
        <v>0.6</v>
      </c>
      <c r="CX64" s="8">
        <f t="shared" si="170"/>
        <v>1</v>
      </c>
      <c r="CY64" s="8">
        <f t="shared" si="170"/>
        <v>1</v>
      </c>
      <c r="CZ64" s="8">
        <f t="shared" si="34"/>
        <v>1</v>
      </c>
      <c r="DA64" s="6">
        <f t="shared" si="0"/>
        <v>75</v>
      </c>
      <c r="DB64" s="5">
        <f t="shared" si="35"/>
        <v>0</v>
      </c>
      <c r="DC64" s="5">
        <f t="shared" si="11"/>
        <v>7.1500000000000008E-2</v>
      </c>
      <c r="DD64" s="6">
        <f t="shared" si="1"/>
        <v>7.1500000000000008E-2</v>
      </c>
      <c r="DE64" s="6">
        <f t="shared" si="49"/>
        <v>0.13</v>
      </c>
      <c r="DF64" s="5">
        <v>0</v>
      </c>
      <c r="DG64" s="8">
        <f t="shared" si="36"/>
        <v>2.25</v>
      </c>
      <c r="DH64" s="5">
        <v>1.25</v>
      </c>
      <c r="DI64" s="8">
        <f t="shared" si="37"/>
        <v>0</v>
      </c>
      <c r="DJ64" s="5">
        <f t="shared" si="2"/>
        <v>0</v>
      </c>
      <c r="DK64" s="8">
        <v>0</v>
      </c>
      <c r="DL64" s="5">
        <f t="shared" si="3"/>
        <v>0</v>
      </c>
      <c r="DM64" s="5" t="s">
        <v>266</v>
      </c>
      <c r="DN64" s="8">
        <f t="shared" ref="DN64:DP64" si="171">DN43</f>
        <v>6</v>
      </c>
      <c r="DO64" s="8">
        <f t="shared" si="171"/>
        <v>0</v>
      </c>
      <c r="DP64" s="5">
        <f t="shared" si="171"/>
        <v>0</v>
      </c>
      <c r="DQ64" s="8">
        <f t="shared" si="150"/>
        <v>0</v>
      </c>
      <c r="DR64" s="5">
        <f t="shared" si="13"/>
        <v>0.9</v>
      </c>
      <c r="DS64" s="8">
        <f t="shared" si="40"/>
        <v>1</v>
      </c>
      <c r="DT64" s="8">
        <f t="shared" si="41"/>
        <v>-0.5</v>
      </c>
      <c r="DU64" s="8">
        <f t="shared" si="41"/>
        <v>0.5</v>
      </c>
      <c r="DV64" s="8">
        <f t="shared" si="41"/>
        <v>0.35</v>
      </c>
      <c r="DW64" s="5">
        <f t="shared" si="116"/>
        <v>0.41666666666666669</v>
      </c>
      <c r="DX64" s="8">
        <f t="shared" si="43"/>
        <v>5</v>
      </c>
      <c r="DY64" s="8">
        <f t="shared" si="44"/>
        <v>0</v>
      </c>
      <c r="DZ64" s="8">
        <f t="shared" si="45"/>
        <v>0</v>
      </c>
      <c r="EA64" s="5"/>
    </row>
    <row r="65" spans="1:131" x14ac:dyDescent="0.15">
      <c r="A65" s="5">
        <v>201063</v>
      </c>
      <c r="B65" s="5" t="s">
        <v>267</v>
      </c>
      <c r="C65" s="5"/>
      <c r="D65" s="5"/>
      <c r="E65" s="5"/>
      <c r="F65" s="5">
        <v>0</v>
      </c>
      <c r="G65" s="45"/>
      <c r="H65" s="5"/>
      <c r="I65" s="5"/>
      <c r="J65" s="5"/>
      <c r="K65" s="5"/>
      <c r="L65" s="10"/>
      <c r="M65" s="5"/>
      <c r="N65" s="10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20"/>
      <c r="AF65" s="5"/>
      <c r="AG65" s="5"/>
      <c r="AH65" s="5"/>
      <c r="AI65" s="5"/>
      <c r="AJ65" s="5"/>
      <c r="AK65" s="5"/>
      <c r="AL65" s="5"/>
      <c r="AM65" s="5"/>
      <c r="AN65" s="8"/>
      <c r="AO65" s="5">
        <v>0</v>
      </c>
      <c r="AP65" s="5" t="s">
        <v>267</v>
      </c>
      <c r="AQ65" s="5">
        <v>0</v>
      </c>
      <c r="AR65" s="8">
        <f t="shared" si="19"/>
        <v>2</v>
      </c>
      <c r="AS65" s="6">
        <f t="shared" si="4"/>
        <v>18</v>
      </c>
      <c r="AT65" s="6">
        <f t="shared" si="5"/>
        <v>27</v>
      </c>
      <c r="AU65" s="5">
        <f t="shared" si="20"/>
        <v>0</v>
      </c>
      <c r="AV65" s="5">
        <f t="shared" si="21"/>
        <v>1</v>
      </c>
      <c r="AW65" s="5">
        <f t="shared" si="22"/>
        <v>1</v>
      </c>
      <c r="AX65" s="5">
        <f t="shared" ref="AX65" si="172">AX44</f>
        <v>1</v>
      </c>
      <c r="AY65" s="5">
        <f t="shared" si="22"/>
        <v>1</v>
      </c>
      <c r="AZ65" s="8">
        <f t="shared" si="24"/>
        <v>33</v>
      </c>
      <c r="BA65" s="5">
        <f t="shared" si="16"/>
        <v>203021</v>
      </c>
      <c r="BB65" s="5">
        <v>0</v>
      </c>
      <c r="BC65" s="5">
        <v>0</v>
      </c>
      <c r="BD65" s="5">
        <f t="shared" si="25"/>
        <v>0</v>
      </c>
      <c r="BE65" s="5">
        <f t="shared" si="26"/>
        <v>0</v>
      </c>
      <c r="BF65" s="5">
        <f t="shared" si="27"/>
        <v>0</v>
      </c>
      <c r="BG65" s="5">
        <f t="shared" si="27"/>
        <v>0</v>
      </c>
      <c r="BH65" s="5">
        <f t="shared" si="18"/>
        <v>0</v>
      </c>
      <c r="BI65" s="5">
        <f t="shared" si="27"/>
        <v>0</v>
      </c>
      <c r="BJ65" s="5">
        <f t="shared" si="15"/>
        <v>0</v>
      </c>
      <c r="BK65" s="5">
        <v>0</v>
      </c>
      <c r="BL65" s="5">
        <f t="shared" si="63"/>
        <v>0</v>
      </c>
      <c r="BM65" s="5">
        <f t="shared" si="28"/>
        <v>0</v>
      </c>
      <c r="BN65" s="5">
        <f t="shared" si="28"/>
        <v>0</v>
      </c>
      <c r="BO65" s="5">
        <f t="shared" si="28"/>
        <v>0</v>
      </c>
      <c r="BP65" s="5">
        <f t="shared" si="28"/>
        <v>0</v>
      </c>
      <c r="BQ65" s="5">
        <f t="shared" si="64"/>
        <v>0</v>
      </c>
      <c r="BR65" s="5"/>
      <c r="BS65" s="4">
        <v>4</v>
      </c>
      <c r="BT65" s="4">
        <v>3</v>
      </c>
      <c r="BU65" s="4">
        <f t="shared" si="29"/>
        <v>0</v>
      </c>
      <c r="BV65" s="4">
        <f t="shared" si="6"/>
        <v>3</v>
      </c>
      <c r="BW65" s="4">
        <f t="shared" si="7"/>
        <v>3</v>
      </c>
      <c r="BX65" s="14">
        <f t="shared" si="8"/>
        <v>0.71</v>
      </c>
      <c r="BY65" s="14">
        <f t="shared" si="9"/>
        <v>0.45000000000000007</v>
      </c>
      <c r="BZ65" s="5" t="s">
        <v>176</v>
      </c>
      <c r="CA65" s="8" t="str">
        <f t="shared" si="113"/>
        <v>monster_05_brood</v>
      </c>
      <c r="CB65" s="8" t="str">
        <f t="shared" si="113"/>
        <v>monster_05_brood</v>
      </c>
      <c r="CC65" s="5">
        <v>0</v>
      </c>
      <c r="CD65" s="8">
        <f t="shared" si="30"/>
        <v>1</v>
      </c>
      <c r="CE65" s="5">
        <f t="shared" si="10"/>
        <v>0</v>
      </c>
      <c r="CF65" s="5">
        <f t="shared" si="31"/>
        <v>0</v>
      </c>
      <c r="CG65" s="5" t="s">
        <v>267</v>
      </c>
      <c r="CH65" s="5">
        <f>CH33</f>
        <v>3</v>
      </c>
      <c r="CI65" s="5">
        <v>0</v>
      </c>
      <c r="CJ65" s="4">
        <v>0</v>
      </c>
      <c r="CK65" s="5">
        <v>0</v>
      </c>
      <c r="CL65" s="5">
        <v>0</v>
      </c>
      <c r="CM65" s="20">
        <f t="shared" si="32"/>
        <v>0</v>
      </c>
      <c r="CN65" s="8">
        <f t="shared" si="32"/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8">
        <f t="shared" ref="CV65:CY65" si="173">CV44</f>
        <v>0.8</v>
      </c>
      <c r="CW65" s="8">
        <f t="shared" si="173"/>
        <v>0.6</v>
      </c>
      <c r="CX65" s="8">
        <f t="shared" si="173"/>
        <v>1</v>
      </c>
      <c r="CY65" s="8">
        <f t="shared" si="173"/>
        <v>1</v>
      </c>
      <c r="CZ65" s="8">
        <f t="shared" si="34"/>
        <v>1</v>
      </c>
      <c r="DA65" s="6">
        <f t="shared" si="0"/>
        <v>75</v>
      </c>
      <c r="DB65" s="5">
        <f t="shared" si="35"/>
        <v>0</v>
      </c>
      <c r="DC65" s="5">
        <f t="shared" si="11"/>
        <v>0.33</v>
      </c>
      <c r="DD65" s="6">
        <f t="shared" si="1"/>
        <v>0.33</v>
      </c>
      <c r="DE65" s="6">
        <f t="shared" si="49"/>
        <v>0.6</v>
      </c>
      <c r="DF65" s="5">
        <v>1</v>
      </c>
      <c r="DG65" s="8">
        <f t="shared" si="36"/>
        <v>2.5</v>
      </c>
      <c r="DH65" s="5">
        <v>1.5</v>
      </c>
      <c r="DI65" s="8">
        <f t="shared" si="37"/>
        <v>0</v>
      </c>
      <c r="DJ65" s="5">
        <f t="shared" si="2"/>
        <v>0</v>
      </c>
      <c r="DK65" s="8">
        <v>0</v>
      </c>
      <c r="DL65" s="5">
        <f t="shared" si="3"/>
        <v>0</v>
      </c>
      <c r="DM65" s="5" t="s">
        <v>267</v>
      </c>
      <c r="DN65" s="8">
        <f t="shared" ref="DN65:DP65" si="174">DN44</f>
        <v>8</v>
      </c>
      <c r="DO65" s="8">
        <f t="shared" si="174"/>
        <v>0</v>
      </c>
      <c r="DP65" s="5">
        <f t="shared" si="174"/>
        <v>0</v>
      </c>
      <c r="DQ65" s="8">
        <f t="shared" si="150"/>
        <v>0</v>
      </c>
      <c r="DR65" s="5">
        <f t="shared" si="13"/>
        <v>0.9</v>
      </c>
      <c r="DS65" s="8">
        <f t="shared" si="40"/>
        <v>1</v>
      </c>
      <c r="DT65" s="8">
        <f t="shared" si="41"/>
        <v>-0.5</v>
      </c>
      <c r="DU65" s="8">
        <f t="shared" si="41"/>
        <v>0.5</v>
      </c>
      <c r="DV65" s="8">
        <f t="shared" si="41"/>
        <v>0.5</v>
      </c>
      <c r="DW65" s="5">
        <f t="shared" si="116"/>
        <v>0.5</v>
      </c>
      <c r="DX65" s="8">
        <f t="shared" si="43"/>
        <v>6</v>
      </c>
      <c r="DY65" s="8">
        <f t="shared" si="44"/>
        <v>0</v>
      </c>
      <c r="DZ65" s="8">
        <f t="shared" si="45"/>
        <v>0</v>
      </c>
      <c r="EA65" s="5"/>
    </row>
    <row r="66" spans="1:131" x14ac:dyDescent="0.15">
      <c r="A66" s="10">
        <v>201064</v>
      </c>
      <c r="B66" s="10" t="s">
        <v>268</v>
      </c>
      <c r="C66" s="5"/>
      <c r="D66" s="5"/>
      <c r="E66" s="5"/>
      <c r="F66" s="5">
        <v>0</v>
      </c>
      <c r="G66" s="45"/>
      <c r="H66" s="5"/>
      <c r="I66" s="5"/>
      <c r="J66" s="5"/>
      <c r="K66" s="5"/>
      <c r="L66" s="10"/>
      <c r="M66" s="5"/>
      <c r="N66" s="10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20"/>
      <c r="AF66" s="5"/>
      <c r="AG66" s="5"/>
      <c r="AH66" s="5"/>
      <c r="AI66" s="5"/>
      <c r="AJ66" s="5"/>
      <c r="AK66" s="5"/>
      <c r="AL66" s="5"/>
      <c r="AM66" s="5"/>
      <c r="AN66" s="8"/>
      <c r="AO66" s="5">
        <v>0</v>
      </c>
      <c r="AP66" s="10" t="s">
        <v>268</v>
      </c>
      <c r="AQ66" s="5">
        <v>0</v>
      </c>
      <c r="AR66" s="8">
        <f t="shared" si="19"/>
        <v>3</v>
      </c>
      <c r="AS66" s="6">
        <f t="shared" si="4"/>
        <v>36</v>
      </c>
      <c r="AT66" s="6">
        <f t="shared" si="5"/>
        <v>48</v>
      </c>
      <c r="AU66" s="5">
        <f t="shared" si="20"/>
        <v>0</v>
      </c>
      <c r="AV66" s="5">
        <f t="shared" si="21"/>
        <v>1</v>
      </c>
      <c r="AW66" s="5">
        <f t="shared" si="22"/>
        <v>1</v>
      </c>
      <c r="AX66" s="5">
        <f t="shared" ref="AX66" si="175">AX45</f>
        <v>1</v>
      </c>
      <c r="AY66" s="5">
        <f t="shared" si="22"/>
        <v>1</v>
      </c>
      <c r="AZ66" s="8">
        <f t="shared" si="24"/>
        <v>43</v>
      </c>
      <c r="BA66" s="5">
        <f t="shared" si="16"/>
        <v>203001</v>
      </c>
      <c r="BB66" s="5">
        <v>0</v>
      </c>
      <c r="BC66" s="5">
        <v>0</v>
      </c>
      <c r="BD66" s="5">
        <f t="shared" si="25"/>
        <v>0</v>
      </c>
      <c r="BE66" s="5">
        <f t="shared" si="26"/>
        <v>0</v>
      </c>
      <c r="BF66" s="5">
        <f t="shared" si="27"/>
        <v>0</v>
      </c>
      <c r="BG66" s="5">
        <f t="shared" si="27"/>
        <v>0</v>
      </c>
      <c r="BH66" s="5">
        <f t="shared" si="18"/>
        <v>0</v>
      </c>
      <c r="BI66" s="5">
        <f t="shared" si="27"/>
        <v>0</v>
      </c>
      <c r="BJ66" s="5">
        <f t="shared" si="15"/>
        <v>0</v>
      </c>
      <c r="BK66" s="5">
        <v>0</v>
      </c>
      <c r="BL66" s="5">
        <f t="shared" si="63"/>
        <v>0</v>
      </c>
      <c r="BM66" s="5">
        <f t="shared" si="28"/>
        <v>0</v>
      </c>
      <c r="BN66" s="5">
        <f t="shared" si="28"/>
        <v>0</v>
      </c>
      <c r="BO66" s="5">
        <f t="shared" si="28"/>
        <v>0</v>
      </c>
      <c r="BP66" s="5">
        <f t="shared" si="28"/>
        <v>0</v>
      </c>
      <c r="BQ66" s="5">
        <f t="shared" si="64"/>
        <v>0</v>
      </c>
      <c r="BR66" s="5"/>
      <c r="BS66" s="4">
        <v>1</v>
      </c>
      <c r="BT66" s="4">
        <v>4</v>
      </c>
      <c r="BU66" s="4">
        <f t="shared" si="29"/>
        <v>0</v>
      </c>
      <c r="BV66" s="4">
        <f t="shared" si="6"/>
        <v>4</v>
      </c>
      <c r="BW66" s="4">
        <f t="shared" si="7"/>
        <v>4</v>
      </c>
      <c r="BX66" s="14">
        <f t="shared" si="8"/>
        <v>0.6399999999999999</v>
      </c>
      <c r="BY66" s="14">
        <f t="shared" si="9"/>
        <v>0.4</v>
      </c>
      <c r="BZ66" s="5" t="s">
        <v>179</v>
      </c>
      <c r="CA66" s="8" t="str">
        <f t="shared" si="113"/>
        <v>elite_monster_01</v>
      </c>
      <c r="CB66" s="8" t="str">
        <f t="shared" si="113"/>
        <v>elite_monster_01</v>
      </c>
      <c r="CC66" s="5">
        <v>0</v>
      </c>
      <c r="CD66" s="8">
        <f t="shared" si="30"/>
        <v>2</v>
      </c>
      <c r="CE66" s="5">
        <f t="shared" si="10"/>
        <v>0</v>
      </c>
      <c r="CF66" s="5">
        <f t="shared" si="31"/>
        <v>0</v>
      </c>
      <c r="CG66" s="10" t="s">
        <v>268</v>
      </c>
      <c r="CH66" s="5">
        <f>CH35</f>
        <v>0</v>
      </c>
      <c r="CI66" s="5">
        <v>111</v>
      </c>
      <c r="CJ66" s="4">
        <v>1</v>
      </c>
      <c r="CK66" s="5">
        <v>0</v>
      </c>
      <c r="CL66" s="5">
        <v>0</v>
      </c>
      <c r="CM66" s="20">
        <f t="shared" si="32"/>
        <v>0</v>
      </c>
      <c r="CN66" s="8">
        <f t="shared" si="32"/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8">
        <f t="shared" ref="CV66:CY66" si="176">CV45</f>
        <v>1</v>
      </c>
      <c r="CW66" s="8">
        <f t="shared" si="176"/>
        <v>0.6</v>
      </c>
      <c r="CX66" s="8">
        <f t="shared" si="176"/>
        <v>1.25</v>
      </c>
      <c r="CY66" s="8">
        <f t="shared" si="176"/>
        <v>1.06</v>
      </c>
      <c r="CZ66" s="8">
        <f t="shared" si="34"/>
        <v>1</v>
      </c>
      <c r="DA66" s="6">
        <f t="shared" si="0"/>
        <v>100</v>
      </c>
      <c r="DB66" s="5">
        <f t="shared" si="35"/>
        <v>0</v>
      </c>
      <c r="DC66" s="5">
        <f t="shared" si="11"/>
        <v>0.28749999999999998</v>
      </c>
      <c r="DD66" s="6">
        <f t="shared" si="1"/>
        <v>0.28749999999999998</v>
      </c>
      <c r="DE66" s="6">
        <f t="shared" si="49"/>
        <v>0.5</v>
      </c>
      <c r="DF66" s="5">
        <v>0</v>
      </c>
      <c r="DG66" s="8">
        <f t="shared" si="36"/>
        <v>2.25</v>
      </c>
      <c r="DH66" s="5">
        <v>1.25</v>
      </c>
      <c r="DI66" s="8">
        <f t="shared" si="37"/>
        <v>1.25</v>
      </c>
      <c r="DJ66" s="5">
        <f t="shared" si="2"/>
        <v>18.75</v>
      </c>
      <c r="DK66" s="8">
        <v>0</v>
      </c>
      <c r="DL66" s="5">
        <f t="shared" si="3"/>
        <v>0</v>
      </c>
      <c r="DM66" s="5" t="s">
        <v>268</v>
      </c>
      <c r="DN66" s="8">
        <f t="shared" ref="DN66:DP66" si="177">DN45</f>
        <v>6</v>
      </c>
      <c r="DO66" s="8">
        <f t="shared" si="177"/>
        <v>0</v>
      </c>
      <c r="DP66" s="5">
        <f t="shared" si="177"/>
        <v>0</v>
      </c>
      <c r="DQ66" s="8">
        <f t="shared" si="150"/>
        <v>0</v>
      </c>
      <c r="DR66" s="5">
        <f t="shared" si="13"/>
        <v>2.7</v>
      </c>
      <c r="DS66" s="8">
        <f t="shared" si="40"/>
        <v>3</v>
      </c>
      <c r="DT66" s="8">
        <f t="shared" si="41"/>
        <v>-0.3</v>
      </c>
      <c r="DU66" s="8">
        <f t="shared" si="41"/>
        <v>3</v>
      </c>
      <c r="DV66" s="8">
        <f t="shared" si="41"/>
        <v>0.35</v>
      </c>
      <c r="DW66" s="5">
        <f t="shared" si="116"/>
        <v>0.58333333333333337</v>
      </c>
      <c r="DX66" s="8">
        <f t="shared" si="43"/>
        <v>7</v>
      </c>
      <c r="DY66" s="8">
        <f t="shared" si="44"/>
        <v>0</v>
      </c>
      <c r="DZ66" s="8">
        <f t="shared" si="45"/>
        <v>0</v>
      </c>
      <c r="EA66" s="5"/>
    </row>
    <row r="67" spans="1:131" x14ac:dyDescent="0.15">
      <c r="A67" s="10">
        <v>201065</v>
      </c>
      <c r="B67" s="10" t="s">
        <v>269</v>
      </c>
      <c r="C67" s="5"/>
      <c r="D67" s="5"/>
      <c r="E67" s="5"/>
      <c r="F67" s="5">
        <v>0</v>
      </c>
      <c r="G67" s="45"/>
      <c r="H67" s="5"/>
      <c r="I67" s="5"/>
      <c r="J67" s="5"/>
      <c r="K67" s="5"/>
      <c r="L67" s="10"/>
      <c r="M67" s="5"/>
      <c r="N67" s="1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20"/>
      <c r="AF67" s="5"/>
      <c r="AG67" s="5"/>
      <c r="AH67" s="5"/>
      <c r="AI67" s="5"/>
      <c r="AJ67" s="5"/>
      <c r="AK67" s="5"/>
      <c r="AL67" s="5"/>
      <c r="AM67" s="5"/>
      <c r="AN67" s="8"/>
      <c r="AO67" s="5">
        <v>0</v>
      </c>
      <c r="AP67" s="10" t="s">
        <v>269</v>
      </c>
      <c r="AQ67" s="5">
        <v>0</v>
      </c>
      <c r="AR67" s="8">
        <f t="shared" si="19"/>
        <v>3</v>
      </c>
      <c r="AS67" s="6">
        <f t="shared" si="4"/>
        <v>36</v>
      </c>
      <c r="AT67" s="6">
        <f t="shared" si="5"/>
        <v>48</v>
      </c>
      <c r="AU67" s="5">
        <f t="shared" si="20"/>
        <v>0.8</v>
      </c>
      <c r="AV67" s="5">
        <f t="shared" si="21"/>
        <v>1</v>
      </c>
      <c r="AW67" s="5">
        <f t="shared" si="22"/>
        <v>0</v>
      </c>
      <c r="AX67" s="5">
        <f t="shared" ref="AX67" si="178">AX46</f>
        <v>0</v>
      </c>
      <c r="AY67" s="5">
        <f t="shared" si="22"/>
        <v>0</v>
      </c>
      <c r="AZ67" s="8">
        <f t="shared" si="24"/>
        <v>43</v>
      </c>
      <c r="BA67" s="5">
        <f t="shared" si="16"/>
        <v>203002</v>
      </c>
      <c r="BB67" s="5">
        <v>0</v>
      </c>
      <c r="BC67" s="5">
        <v>0</v>
      </c>
      <c r="BD67" s="5">
        <f t="shared" si="25"/>
        <v>0</v>
      </c>
      <c r="BE67" s="5">
        <f t="shared" si="26"/>
        <v>0</v>
      </c>
      <c r="BF67" s="5">
        <f t="shared" si="27"/>
        <v>0</v>
      </c>
      <c r="BG67" s="5">
        <f t="shared" si="27"/>
        <v>0</v>
      </c>
      <c r="BH67" s="5">
        <f t="shared" si="18"/>
        <v>0</v>
      </c>
      <c r="BI67" s="5">
        <f t="shared" si="27"/>
        <v>0</v>
      </c>
      <c r="BJ67" s="5">
        <f t="shared" si="15"/>
        <v>0</v>
      </c>
      <c r="BK67" s="5">
        <v>0</v>
      </c>
      <c r="BL67" s="5">
        <f t="shared" si="63"/>
        <v>0</v>
      </c>
      <c r="BM67" s="5">
        <f t="shared" si="28"/>
        <v>0</v>
      </c>
      <c r="BN67" s="5">
        <f t="shared" si="28"/>
        <v>0</v>
      </c>
      <c r="BO67" s="5">
        <f t="shared" si="28"/>
        <v>0</v>
      </c>
      <c r="BP67" s="5">
        <f t="shared" si="28"/>
        <v>0</v>
      </c>
      <c r="BQ67" s="5">
        <f t="shared" si="64"/>
        <v>0</v>
      </c>
      <c r="BR67" s="5"/>
      <c r="BS67" s="4">
        <v>1</v>
      </c>
      <c r="BT67" s="4">
        <v>4</v>
      </c>
      <c r="BU67" s="4">
        <f t="shared" si="29"/>
        <v>0</v>
      </c>
      <c r="BV67" s="4">
        <f t="shared" si="6"/>
        <v>4</v>
      </c>
      <c r="BW67" s="4">
        <f t="shared" si="7"/>
        <v>4</v>
      </c>
      <c r="BX67" s="14">
        <f t="shared" si="8"/>
        <v>0.6399999999999999</v>
      </c>
      <c r="BY67" s="14">
        <f t="shared" si="9"/>
        <v>0.4</v>
      </c>
      <c r="BZ67" s="5" t="s">
        <v>182</v>
      </c>
      <c r="CA67" s="8" t="str">
        <f t="shared" si="113"/>
        <v>elite_monster_02</v>
      </c>
      <c r="CB67" s="8" t="str">
        <f t="shared" si="113"/>
        <v>elite_monster_02</v>
      </c>
      <c r="CC67" s="5">
        <v>0</v>
      </c>
      <c r="CD67" s="8">
        <f t="shared" si="30"/>
        <v>1</v>
      </c>
      <c r="CE67" s="5">
        <f t="shared" si="10"/>
        <v>0</v>
      </c>
      <c r="CF67" s="5">
        <f t="shared" si="31"/>
        <v>0</v>
      </c>
      <c r="CG67" s="10" t="s">
        <v>269</v>
      </c>
      <c r="CH67" s="5">
        <f>CH36</f>
        <v>3</v>
      </c>
      <c r="CI67" s="5">
        <v>0</v>
      </c>
      <c r="CJ67" s="4">
        <v>1</v>
      </c>
      <c r="CK67" s="5">
        <v>903905</v>
      </c>
      <c r="CL67" s="5">
        <v>1</v>
      </c>
      <c r="CM67" s="20">
        <f t="shared" si="32"/>
        <v>0</v>
      </c>
      <c r="CN67" s="8">
        <f t="shared" si="32"/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8">
        <f t="shared" ref="CV67:CY67" si="179">CV46</f>
        <v>0.8</v>
      </c>
      <c r="CW67" s="8">
        <f t="shared" si="179"/>
        <v>0.6</v>
      </c>
      <c r="CX67" s="8">
        <f t="shared" si="179"/>
        <v>1.34</v>
      </c>
      <c r="CY67" s="8">
        <f t="shared" si="179"/>
        <v>1.35</v>
      </c>
      <c r="CZ67" s="8">
        <f t="shared" si="34"/>
        <v>1</v>
      </c>
      <c r="DA67" s="6">
        <f t="shared" ref="DA67:DA130" si="180">CZ67*25*BV67</f>
        <v>100</v>
      </c>
      <c r="DB67" s="5">
        <f t="shared" si="35"/>
        <v>0</v>
      </c>
      <c r="DC67" s="5">
        <f t="shared" si="11"/>
        <v>0.57499999999999996</v>
      </c>
      <c r="DD67" s="6">
        <f t="shared" ref="DD67:DD130" si="181">(1+(BT67-1)*0.05)*DE67*0.5</f>
        <v>0.57499999999999996</v>
      </c>
      <c r="DE67" s="6">
        <f t="shared" si="49"/>
        <v>1</v>
      </c>
      <c r="DF67" s="5">
        <v>0</v>
      </c>
      <c r="DG67" s="8">
        <f t="shared" si="36"/>
        <v>2.25</v>
      </c>
      <c r="DH67" s="5">
        <v>1.25</v>
      </c>
      <c r="DI67" s="8">
        <f t="shared" si="37"/>
        <v>0</v>
      </c>
      <c r="DJ67" s="5">
        <f t="shared" ref="DJ67:DJ130" si="182">DI67*5*(1+BV67/2)</f>
        <v>0</v>
      </c>
      <c r="DK67" s="8">
        <v>0</v>
      </c>
      <c r="DL67" s="5">
        <f t="shared" ref="DL67:DL130" si="183">DK67*5*(1+BV67/2)</f>
        <v>0</v>
      </c>
      <c r="DM67" s="5" t="s">
        <v>269</v>
      </c>
      <c r="DN67" s="8">
        <f t="shared" ref="DN67:DP67" si="184">DN46</f>
        <v>8</v>
      </c>
      <c r="DO67" s="8">
        <f t="shared" si="184"/>
        <v>0</v>
      </c>
      <c r="DP67" s="5">
        <f t="shared" si="184"/>
        <v>0</v>
      </c>
      <c r="DQ67" s="8">
        <f t="shared" si="150"/>
        <v>0</v>
      </c>
      <c r="DR67" s="5">
        <f t="shared" si="13"/>
        <v>0.9</v>
      </c>
      <c r="DS67" s="8">
        <f t="shared" si="40"/>
        <v>1</v>
      </c>
      <c r="DT67" s="8">
        <f t="shared" si="41"/>
        <v>-0.5</v>
      </c>
      <c r="DU67" s="8">
        <f t="shared" si="41"/>
        <v>0.5</v>
      </c>
      <c r="DV67" s="8">
        <f t="shared" si="41"/>
        <v>0.35</v>
      </c>
      <c r="DW67" s="5">
        <f t="shared" ref="DW67:DW87" si="185">DX67/12</f>
        <v>0.58333333333333337</v>
      </c>
      <c r="DX67" s="8">
        <f t="shared" si="43"/>
        <v>7</v>
      </c>
      <c r="DY67" s="8">
        <f t="shared" si="44"/>
        <v>0</v>
      </c>
      <c r="DZ67" s="8">
        <f t="shared" si="45"/>
        <v>0</v>
      </c>
      <c r="EA67" s="5"/>
    </row>
    <row r="68" spans="1:131" x14ac:dyDescent="0.15">
      <c r="A68" s="10">
        <v>201066</v>
      </c>
      <c r="B68" s="10" t="s">
        <v>270</v>
      </c>
      <c r="C68" s="5"/>
      <c r="D68" s="5"/>
      <c r="E68" s="5"/>
      <c r="F68" s="5">
        <v>0</v>
      </c>
      <c r="G68" s="45"/>
      <c r="H68" s="5"/>
      <c r="I68" s="5"/>
      <c r="J68" s="5"/>
      <c r="K68" s="5"/>
      <c r="L68" s="10"/>
      <c r="M68" s="5"/>
      <c r="N68" s="1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20"/>
      <c r="AF68" s="5"/>
      <c r="AG68" s="5"/>
      <c r="AH68" s="5"/>
      <c r="AI68" s="5"/>
      <c r="AJ68" s="5"/>
      <c r="AK68" s="5"/>
      <c r="AL68" s="5"/>
      <c r="AM68" s="5"/>
      <c r="AN68" s="8"/>
      <c r="AO68" s="5">
        <v>0</v>
      </c>
      <c r="AP68" s="10" t="s">
        <v>270</v>
      </c>
      <c r="AQ68" s="5">
        <v>0</v>
      </c>
      <c r="AR68" s="8">
        <f t="shared" si="19"/>
        <v>3</v>
      </c>
      <c r="AS68" s="6">
        <f t="shared" ref="AS68:AS131" si="186">AR68*3*BV68</f>
        <v>36</v>
      </c>
      <c r="AT68" s="6">
        <f t="shared" ref="AT68:AT131" si="187">(AR68+1)*3*BV68</f>
        <v>48</v>
      </c>
      <c r="AU68" s="5">
        <f t="shared" si="20"/>
        <v>0</v>
      </c>
      <c r="AV68" s="5">
        <f t="shared" si="21"/>
        <v>1</v>
      </c>
      <c r="AW68" s="5">
        <f t="shared" si="22"/>
        <v>1</v>
      </c>
      <c r="AX68" s="5">
        <f t="shared" ref="AX68" si="188">AX47</f>
        <v>1</v>
      </c>
      <c r="AY68" s="5">
        <f t="shared" si="22"/>
        <v>0</v>
      </c>
      <c r="AZ68" s="8">
        <f t="shared" si="24"/>
        <v>42</v>
      </c>
      <c r="BA68" s="5">
        <f t="shared" si="16"/>
        <v>203003</v>
      </c>
      <c r="BB68" s="5">
        <v>0</v>
      </c>
      <c r="BC68" s="5">
        <v>0</v>
      </c>
      <c r="BD68" s="5">
        <f t="shared" si="25"/>
        <v>1</v>
      </c>
      <c r="BE68" s="5">
        <f t="shared" si="26"/>
        <v>0</v>
      </c>
      <c r="BF68" s="5">
        <f t="shared" si="27"/>
        <v>0</v>
      </c>
      <c r="BG68" s="5">
        <f t="shared" si="27"/>
        <v>0</v>
      </c>
      <c r="BH68" s="5">
        <f t="shared" si="18"/>
        <v>0</v>
      </c>
      <c r="BI68" s="5">
        <f t="shared" si="27"/>
        <v>0</v>
      </c>
      <c r="BJ68" s="5">
        <f t="shared" si="15"/>
        <v>0</v>
      </c>
      <c r="BK68" s="5">
        <v>0</v>
      </c>
      <c r="BL68" s="5">
        <f t="shared" si="63"/>
        <v>0</v>
      </c>
      <c r="BM68" s="5">
        <f t="shared" si="28"/>
        <v>0</v>
      </c>
      <c r="BN68" s="5">
        <f t="shared" si="28"/>
        <v>0</v>
      </c>
      <c r="BO68" s="5">
        <f t="shared" si="28"/>
        <v>0</v>
      </c>
      <c r="BP68" s="5">
        <f t="shared" si="28"/>
        <v>0</v>
      </c>
      <c r="BQ68" s="5">
        <f t="shared" si="64"/>
        <v>0</v>
      </c>
      <c r="BR68" s="5"/>
      <c r="BS68" s="4">
        <v>1</v>
      </c>
      <c r="BT68" s="4">
        <v>4</v>
      </c>
      <c r="BU68" s="4">
        <f t="shared" si="29"/>
        <v>0</v>
      </c>
      <c r="BV68" s="4">
        <f t="shared" ref="BV68:BV131" si="189">BT68</f>
        <v>4</v>
      </c>
      <c r="BW68" s="4">
        <f t="shared" ref="BW68:BW131" si="190">BT68</f>
        <v>4</v>
      </c>
      <c r="BX68" s="14">
        <f t="shared" ref="BX68:BX131" si="191">0.85-(BT68-1)*0.07</f>
        <v>0.6399999999999999</v>
      </c>
      <c r="BY68" s="14">
        <f t="shared" ref="BY68:BY131" si="192">0.55-(BT68-1)*0.05</f>
        <v>0.4</v>
      </c>
      <c r="BZ68" s="5" t="s">
        <v>185</v>
      </c>
      <c r="CA68" s="8" t="str">
        <f t="shared" si="113"/>
        <v>elite_monster_03</v>
      </c>
      <c r="CB68" s="8" t="str">
        <f t="shared" si="113"/>
        <v>elite_monster_03</v>
      </c>
      <c r="CC68" s="5">
        <v>0</v>
      </c>
      <c r="CD68" s="8">
        <f t="shared" si="30"/>
        <v>3</v>
      </c>
      <c r="CE68" s="5">
        <f t="shared" ref="CE68:CE131" si="193">BT68*CF68</f>
        <v>4</v>
      </c>
      <c r="CF68" s="5">
        <f t="shared" si="31"/>
        <v>1</v>
      </c>
      <c r="CG68" s="10" t="s">
        <v>270</v>
      </c>
      <c r="CH68" s="5">
        <f>CH37</f>
        <v>0</v>
      </c>
      <c r="CI68" s="5">
        <v>112</v>
      </c>
      <c r="CJ68" s="4">
        <v>1</v>
      </c>
      <c r="CK68" s="5">
        <v>903906</v>
      </c>
      <c r="CL68" s="5">
        <v>0</v>
      </c>
      <c r="CM68" s="20">
        <f t="shared" si="32"/>
        <v>0</v>
      </c>
      <c r="CN68" s="8">
        <f t="shared" si="32"/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8">
        <f t="shared" ref="CV68:CY68" si="194">CV47</f>
        <v>0.8</v>
      </c>
      <c r="CW68" s="8">
        <f t="shared" si="194"/>
        <v>0.6</v>
      </c>
      <c r="CX68" s="8">
        <f t="shared" si="194"/>
        <v>1</v>
      </c>
      <c r="CY68" s="8">
        <f t="shared" si="194"/>
        <v>1</v>
      </c>
      <c r="CZ68" s="8">
        <f t="shared" si="34"/>
        <v>1</v>
      </c>
      <c r="DA68" s="6">
        <f t="shared" si="180"/>
        <v>100</v>
      </c>
      <c r="DB68" s="5">
        <f t="shared" si="35"/>
        <v>0</v>
      </c>
      <c r="DC68" s="5">
        <f t="shared" ref="DC68:DC131" si="195">DD68</f>
        <v>0.34499999999999997</v>
      </c>
      <c r="DD68" s="6">
        <f t="shared" si="181"/>
        <v>0.34499999999999997</v>
      </c>
      <c r="DE68" s="6">
        <f t="shared" si="49"/>
        <v>0.6</v>
      </c>
      <c r="DF68" s="5">
        <v>0</v>
      </c>
      <c r="DG68" s="8">
        <f t="shared" si="36"/>
        <v>2</v>
      </c>
      <c r="DH68" s="5">
        <v>1</v>
      </c>
      <c r="DI68" s="8">
        <f t="shared" si="37"/>
        <v>2</v>
      </c>
      <c r="DJ68" s="5">
        <f t="shared" si="182"/>
        <v>30</v>
      </c>
      <c r="DK68" s="8">
        <v>0</v>
      </c>
      <c r="DL68" s="5">
        <f t="shared" si="183"/>
        <v>0</v>
      </c>
      <c r="DM68" s="5" t="s">
        <v>270</v>
      </c>
      <c r="DN68" s="8">
        <f t="shared" ref="DN68:DP68" si="196">DN47</f>
        <v>6</v>
      </c>
      <c r="DO68" s="8">
        <f t="shared" si="196"/>
        <v>0</v>
      </c>
      <c r="DP68" s="5">
        <f t="shared" si="196"/>
        <v>0</v>
      </c>
      <c r="DQ68" s="8">
        <f t="shared" si="150"/>
        <v>0</v>
      </c>
      <c r="DR68" s="5">
        <f t="shared" ref="DR68:DR131" si="197">DS68*0.9</f>
        <v>0.9</v>
      </c>
      <c r="DS68" s="8">
        <f t="shared" si="40"/>
        <v>1</v>
      </c>
      <c r="DT68" s="8">
        <f t="shared" si="41"/>
        <v>-0.5</v>
      </c>
      <c r="DU68" s="8">
        <f t="shared" si="41"/>
        <v>0.5</v>
      </c>
      <c r="DV68" s="8">
        <f t="shared" si="41"/>
        <v>0.3</v>
      </c>
      <c r="DW68" s="5">
        <f t="shared" si="185"/>
        <v>0.5</v>
      </c>
      <c r="DX68" s="8">
        <f t="shared" si="43"/>
        <v>6</v>
      </c>
      <c r="DY68" s="8">
        <f t="shared" si="44"/>
        <v>0</v>
      </c>
      <c r="DZ68" s="8">
        <f t="shared" si="45"/>
        <v>0</v>
      </c>
      <c r="EA68" s="5"/>
    </row>
    <row r="69" spans="1:131" x14ac:dyDescent="0.15">
      <c r="A69" s="10">
        <v>201067</v>
      </c>
      <c r="B69" s="10" t="s">
        <v>271</v>
      </c>
      <c r="C69" s="5"/>
      <c r="D69" s="5"/>
      <c r="E69" s="5"/>
      <c r="F69" s="5">
        <v>0</v>
      </c>
      <c r="G69" s="45"/>
      <c r="H69" s="5"/>
      <c r="I69" s="5"/>
      <c r="J69" s="5"/>
      <c r="K69" s="5"/>
      <c r="L69" s="10"/>
      <c r="M69" s="5"/>
      <c r="N69" s="1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20"/>
      <c r="AF69" s="5"/>
      <c r="AG69" s="5"/>
      <c r="AH69" s="5"/>
      <c r="AI69" s="5"/>
      <c r="AJ69" s="5"/>
      <c r="AK69" s="5"/>
      <c r="AL69" s="5"/>
      <c r="AM69" s="5"/>
      <c r="AN69" s="8"/>
      <c r="AO69" s="5">
        <v>0</v>
      </c>
      <c r="AP69" s="10" t="s">
        <v>271</v>
      </c>
      <c r="AQ69" s="5">
        <v>0</v>
      </c>
      <c r="AR69" s="8">
        <f t="shared" si="19"/>
        <v>4</v>
      </c>
      <c r="AS69" s="6">
        <f t="shared" si="186"/>
        <v>48</v>
      </c>
      <c r="AT69" s="6">
        <f t="shared" si="187"/>
        <v>60</v>
      </c>
      <c r="AU69" s="5">
        <f t="shared" si="20"/>
        <v>0</v>
      </c>
      <c r="AV69" s="5">
        <f t="shared" si="21"/>
        <v>1</v>
      </c>
      <c r="AW69" s="5">
        <f t="shared" si="22"/>
        <v>1</v>
      </c>
      <c r="AX69" s="5">
        <f t="shared" ref="AX69" si="198">AX48</f>
        <v>1</v>
      </c>
      <c r="AY69" s="5">
        <f t="shared" si="22"/>
        <v>1</v>
      </c>
      <c r="AZ69" s="8">
        <f t="shared" si="24"/>
        <v>42</v>
      </c>
      <c r="BA69" s="5">
        <f t="shared" si="16"/>
        <v>203004</v>
      </c>
      <c r="BB69" s="5">
        <v>0</v>
      </c>
      <c r="BC69" s="5">
        <v>0</v>
      </c>
      <c r="BD69" s="5">
        <f t="shared" si="25"/>
        <v>0</v>
      </c>
      <c r="BE69" s="5">
        <f t="shared" si="26"/>
        <v>0</v>
      </c>
      <c r="BF69" s="5">
        <f t="shared" si="27"/>
        <v>0</v>
      </c>
      <c r="BG69" s="5">
        <f t="shared" si="27"/>
        <v>0</v>
      </c>
      <c r="BH69" s="5">
        <f t="shared" si="18"/>
        <v>0</v>
      </c>
      <c r="BI69" s="5">
        <f t="shared" si="27"/>
        <v>0</v>
      </c>
      <c r="BJ69" s="5">
        <f t="shared" si="15"/>
        <v>0</v>
      </c>
      <c r="BK69" s="5">
        <v>0</v>
      </c>
      <c r="BL69" s="5">
        <f t="shared" si="63"/>
        <v>0</v>
      </c>
      <c r="BM69" s="5">
        <f t="shared" si="28"/>
        <v>0</v>
      </c>
      <c r="BN69" s="5">
        <f t="shared" si="28"/>
        <v>0</v>
      </c>
      <c r="BO69" s="5">
        <f t="shared" si="28"/>
        <v>0</v>
      </c>
      <c r="BP69" s="5">
        <f t="shared" si="28"/>
        <v>0</v>
      </c>
      <c r="BQ69" s="5">
        <f t="shared" si="64"/>
        <v>0</v>
      </c>
      <c r="BR69" s="5"/>
      <c r="BS69" s="4">
        <v>1</v>
      </c>
      <c r="BT69" s="4">
        <v>4</v>
      </c>
      <c r="BU69" s="4">
        <f t="shared" si="29"/>
        <v>0</v>
      </c>
      <c r="BV69" s="4">
        <f t="shared" si="189"/>
        <v>4</v>
      </c>
      <c r="BW69" s="4">
        <f t="shared" si="190"/>
        <v>4</v>
      </c>
      <c r="BX69" s="14">
        <f t="shared" si="191"/>
        <v>0.6399999999999999</v>
      </c>
      <c r="BY69" s="14">
        <f t="shared" si="192"/>
        <v>0.4</v>
      </c>
      <c r="BZ69" s="5" t="s">
        <v>188</v>
      </c>
      <c r="CA69" s="8" t="str">
        <f t="shared" si="113"/>
        <v>elite_monster_04</v>
      </c>
      <c r="CB69" s="8" t="str">
        <f t="shared" si="113"/>
        <v>elite_monster_04</v>
      </c>
      <c r="CC69" s="5">
        <v>0</v>
      </c>
      <c r="CD69" s="8">
        <f t="shared" si="30"/>
        <v>1</v>
      </c>
      <c r="CE69" s="5">
        <f t="shared" si="193"/>
        <v>0</v>
      </c>
      <c r="CF69" s="5">
        <f t="shared" si="31"/>
        <v>0</v>
      </c>
      <c r="CG69" s="10" t="s">
        <v>271</v>
      </c>
      <c r="CH69" s="5">
        <f>CH38</f>
        <v>0</v>
      </c>
      <c r="CI69" s="5">
        <v>0</v>
      </c>
      <c r="CJ69" s="4">
        <v>1</v>
      </c>
      <c r="CK69" s="5">
        <v>0</v>
      </c>
      <c r="CL69" s="5">
        <v>0</v>
      </c>
      <c r="CM69" s="20">
        <f t="shared" si="32"/>
        <v>109</v>
      </c>
      <c r="CN69" s="8">
        <f t="shared" si="32"/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8">
        <f t="shared" ref="CV69:CY69" si="199">CV48</f>
        <v>0.8</v>
      </c>
      <c r="CW69" s="8">
        <f t="shared" si="199"/>
        <v>0.6</v>
      </c>
      <c r="CX69" s="8">
        <f t="shared" si="199"/>
        <v>1.25</v>
      </c>
      <c r="CY69" s="8">
        <f t="shared" si="199"/>
        <v>1</v>
      </c>
      <c r="CZ69" s="8">
        <f t="shared" si="34"/>
        <v>2</v>
      </c>
      <c r="DA69" s="6">
        <f t="shared" si="180"/>
        <v>200</v>
      </c>
      <c r="DB69" s="5">
        <f t="shared" si="35"/>
        <v>0</v>
      </c>
      <c r="DC69" s="5">
        <f t="shared" si="195"/>
        <v>0.22999999999999998</v>
      </c>
      <c r="DD69" s="6">
        <f t="shared" si="181"/>
        <v>0.22999999999999998</v>
      </c>
      <c r="DE69" s="6">
        <f t="shared" si="49"/>
        <v>0.4</v>
      </c>
      <c r="DF69" s="5">
        <v>0</v>
      </c>
      <c r="DG69" s="8">
        <f t="shared" si="36"/>
        <v>2</v>
      </c>
      <c r="DH69" s="5">
        <v>1</v>
      </c>
      <c r="DI69" s="8">
        <f t="shared" si="37"/>
        <v>0</v>
      </c>
      <c r="DJ69" s="5">
        <f t="shared" si="182"/>
        <v>0</v>
      </c>
      <c r="DK69" s="8">
        <v>0</v>
      </c>
      <c r="DL69" s="5">
        <f t="shared" si="183"/>
        <v>0</v>
      </c>
      <c r="DM69" s="5" t="s">
        <v>271</v>
      </c>
      <c r="DN69" s="8">
        <f t="shared" ref="DN69:DP69" si="200">DN48</f>
        <v>6</v>
      </c>
      <c r="DO69" s="8">
        <f t="shared" si="200"/>
        <v>0</v>
      </c>
      <c r="DP69" s="5">
        <f t="shared" si="200"/>
        <v>0</v>
      </c>
      <c r="DQ69" s="8">
        <f t="shared" si="150"/>
        <v>0</v>
      </c>
      <c r="DR69" s="5">
        <f t="shared" si="197"/>
        <v>0.9</v>
      </c>
      <c r="DS69" s="8">
        <f t="shared" si="40"/>
        <v>1</v>
      </c>
      <c r="DT69" s="8">
        <f t="shared" si="41"/>
        <v>-0.5</v>
      </c>
      <c r="DU69" s="8">
        <f t="shared" si="41"/>
        <v>0.5</v>
      </c>
      <c r="DV69" s="8">
        <f t="shared" si="41"/>
        <v>0.3</v>
      </c>
      <c r="DW69" s="5">
        <f t="shared" si="185"/>
        <v>0.5</v>
      </c>
      <c r="DX69" s="8">
        <f t="shared" si="43"/>
        <v>6</v>
      </c>
      <c r="DY69" s="8">
        <f t="shared" si="44"/>
        <v>0</v>
      </c>
      <c r="DZ69" s="8">
        <f t="shared" si="45"/>
        <v>0</v>
      </c>
      <c r="EA69" s="5"/>
    </row>
    <row r="70" spans="1:131" x14ac:dyDescent="0.15">
      <c r="A70" s="10">
        <v>201068</v>
      </c>
      <c r="B70" s="10" t="s">
        <v>272</v>
      </c>
      <c r="C70" s="5"/>
      <c r="D70" s="5"/>
      <c r="E70" s="5"/>
      <c r="F70" s="5">
        <v>0</v>
      </c>
      <c r="G70" s="45"/>
      <c r="H70" s="5"/>
      <c r="I70" s="5"/>
      <c r="J70" s="5"/>
      <c r="K70" s="5"/>
      <c r="L70" s="10"/>
      <c r="M70" s="5"/>
      <c r="N70" s="1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20"/>
      <c r="AF70" s="5"/>
      <c r="AG70" s="5"/>
      <c r="AH70" s="5"/>
      <c r="AI70" s="5"/>
      <c r="AJ70" s="5"/>
      <c r="AK70" s="5"/>
      <c r="AL70" s="5"/>
      <c r="AM70" s="5"/>
      <c r="AN70" s="8"/>
      <c r="AO70" s="5">
        <v>0</v>
      </c>
      <c r="AP70" s="10" t="s">
        <v>272</v>
      </c>
      <c r="AQ70" s="5">
        <v>0</v>
      </c>
      <c r="AR70" s="8">
        <f t="shared" si="19"/>
        <v>3</v>
      </c>
      <c r="AS70" s="6">
        <f t="shared" si="186"/>
        <v>36</v>
      </c>
      <c r="AT70" s="6">
        <f t="shared" si="187"/>
        <v>48</v>
      </c>
      <c r="AU70" s="5">
        <f t="shared" si="20"/>
        <v>0</v>
      </c>
      <c r="AV70" s="5">
        <f t="shared" si="21"/>
        <v>1</v>
      </c>
      <c r="AW70" s="5">
        <f t="shared" si="22"/>
        <v>1</v>
      </c>
      <c r="AX70" s="5">
        <f t="shared" ref="AX70" si="201">AX49</f>
        <v>1</v>
      </c>
      <c r="AY70" s="5">
        <f t="shared" si="22"/>
        <v>1</v>
      </c>
      <c r="AZ70" s="8">
        <f t="shared" si="24"/>
        <v>42</v>
      </c>
      <c r="BA70" s="5">
        <f t="shared" si="16"/>
        <v>203005</v>
      </c>
      <c r="BB70" s="5">
        <v>0</v>
      </c>
      <c r="BC70" s="5">
        <v>0</v>
      </c>
      <c r="BD70" s="5">
        <f t="shared" si="25"/>
        <v>0</v>
      </c>
      <c r="BE70" s="5">
        <f t="shared" si="26"/>
        <v>0</v>
      </c>
      <c r="BF70" s="5">
        <f t="shared" si="27"/>
        <v>0</v>
      </c>
      <c r="BG70" s="5">
        <f t="shared" si="27"/>
        <v>0</v>
      </c>
      <c r="BH70" s="5">
        <f t="shared" si="18"/>
        <v>0</v>
      </c>
      <c r="BI70" s="5">
        <f t="shared" si="27"/>
        <v>0</v>
      </c>
      <c r="BJ70" s="5">
        <f t="shared" si="15"/>
        <v>0</v>
      </c>
      <c r="BK70" s="5">
        <v>0</v>
      </c>
      <c r="BL70" s="5">
        <f t="shared" si="63"/>
        <v>0</v>
      </c>
      <c r="BM70" s="5">
        <f t="shared" si="28"/>
        <v>0</v>
      </c>
      <c r="BN70" s="5">
        <f t="shared" si="28"/>
        <v>0</v>
      </c>
      <c r="BO70" s="5">
        <f t="shared" si="28"/>
        <v>0</v>
      </c>
      <c r="BP70" s="5">
        <f t="shared" si="28"/>
        <v>0</v>
      </c>
      <c r="BQ70" s="5">
        <f t="shared" si="64"/>
        <v>0</v>
      </c>
      <c r="BR70" s="5"/>
      <c r="BS70" s="4">
        <v>1</v>
      </c>
      <c r="BT70" s="12">
        <v>4</v>
      </c>
      <c r="BU70" s="4">
        <f t="shared" si="29"/>
        <v>0</v>
      </c>
      <c r="BV70" s="4">
        <f t="shared" si="189"/>
        <v>4</v>
      </c>
      <c r="BW70" s="4">
        <f t="shared" si="190"/>
        <v>4</v>
      </c>
      <c r="BX70" s="14">
        <f t="shared" si="191"/>
        <v>0.6399999999999999</v>
      </c>
      <c r="BY70" s="14">
        <f t="shared" si="192"/>
        <v>0.4</v>
      </c>
      <c r="BZ70" s="6" t="s">
        <v>191</v>
      </c>
      <c r="CA70" s="8" t="str">
        <f t="shared" si="113"/>
        <v>elite_monster_05</v>
      </c>
      <c r="CB70" s="8" t="str">
        <f t="shared" si="113"/>
        <v>elite_monster_05</v>
      </c>
      <c r="CC70" s="5">
        <v>0</v>
      </c>
      <c r="CD70" s="8">
        <f t="shared" si="30"/>
        <v>3</v>
      </c>
      <c r="CE70" s="5">
        <f t="shared" si="193"/>
        <v>0</v>
      </c>
      <c r="CF70" s="5">
        <f t="shared" si="31"/>
        <v>0</v>
      </c>
      <c r="CG70" s="10" t="s">
        <v>272</v>
      </c>
      <c r="CH70" s="5">
        <f>CH39</f>
        <v>3</v>
      </c>
      <c r="CI70" s="6">
        <v>103</v>
      </c>
      <c r="CJ70" s="12">
        <v>1</v>
      </c>
      <c r="CK70" s="6">
        <v>0</v>
      </c>
      <c r="CL70" s="6">
        <v>0</v>
      </c>
      <c r="CM70" s="20">
        <f>CM49</f>
        <v>0</v>
      </c>
      <c r="CN70" s="8">
        <v>108</v>
      </c>
      <c r="CO70" s="5">
        <v>0</v>
      </c>
      <c r="CP70" s="5">
        <v>0</v>
      </c>
      <c r="CQ70" s="5">
        <v>201063</v>
      </c>
      <c r="CR70" s="6">
        <v>3</v>
      </c>
      <c r="CS70" s="5">
        <v>0</v>
      </c>
      <c r="CT70" s="5">
        <v>0</v>
      </c>
      <c r="CU70" s="5">
        <v>0</v>
      </c>
      <c r="CV70" s="8">
        <f t="shared" ref="CV70:CY70" si="202">CV49</f>
        <v>0.8</v>
      </c>
      <c r="CW70" s="8">
        <f t="shared" si="202"/>
        <v>0.6</v>
      </c>
      <c r="CX70" s="8">
        <f t="shared" si="202"/>
        <v>0.8</v>
      </c>
      <c r="CY70" s="8">
        <f t="shared" si="202"/>
        <v>0.8</v>
      </c>
      <c r="CZ70" s="8">
        <f t="shared" si="34"/>
        <v>1</v>
      </c>
      <c r="DA70" s="6">
        <f t="shared" si="180"/>
        <v>100</v>
      </c>
      <c r="DB70" s="5">
        <f t="shared" si="35"/>
        <v>0</v>
      </c>
      <c r="DC70" s="5">
        <f t="shared" si="195"/>
        <v>0.28749999999999998</v>
      </c>
      <c r="DD70" s="6">
        <f t="shared" si="181"/>
        <v>0.28749999999999998</v>
      </c>
      <c r="DE70" s="6">
        <f t="shared" si="49"/>
        <v>0.5</v>
      </c>
      <c r="DF70" s="5">
        <v>0</v>
      </c>
      <c r="DG70" s="8">
        <f t="shared" si="36"/>
        <v>2.5</v>
      </c>
      <c r="DH70" s="5">
        <v>1.5</v>
      </c>
      <c r="DI70" s="8">
        <f t="shared" si="37"/>
        <v>0.3</v>
      </c>
      <c r="DJ70" s="5">
        <f t="shared" si="182"/>
        <v>4.5</v>
      </c>
      <c r="DK70" s="8">
        <v>0</v>
      </c>
      <c r="DL70" s="5">
        <f t="shared" si="183"/>
        <v>0</v>
      </c>
      <c r="DM70" s="6" t="s">
        <v>272</v>
      </c>
      <c r="DN70" s="8">
        <f t="shared" ref="DN70:DP70" si="203">DN49</f>
        <v>10</v>
      </c>
      <c r="DO70" s="8">
        <f t="shared" si="203"/>
        <v>1</v>
      </c>
      <c r="DP70" s="5">
        <f t="shared" si="203"/>
        <v>0</v>
      </c>
      <c r="DQ70" s="8">
        <f t="shared" si="150"/>
        <v>0</v>
      </c>
      <c r="DR70" s="5">
        <f t="shared" si="197"/>
        <v>4.5</v>
      </c>
      <c r="DS70" s="8">
        <f t="shared" si="40"/>
        <v>5</v>
      </c>
      <c r="DT70" s="8">
        <f t="shared" si="41"/>
        <v>-5</v>
      </c>
      <c r="DU70" s="8">
        <f t="shared" si="41"/>
        <v>5</v>
      </c>
      <c r="DV70" s="8">
        <f t="shared" si="41"/>
        <v>0.5</v>
      </c>
      <c r="DW70" s="5">
        <f t="shared" si="185"/>
        <v>0.5</v>
      </c>
      <c r="DX70" s="8">
        <f t="shared" si="43"/>
        <v>6</v>
      </c>
      <c r="DY70" s="8">
        <f t="shared" si="44"/>
        <v>0</v>
      </c>
      <c r="DZ70" s="8">
        <f t="shared" si="45"/>
        <v>0</v>
      </c>
      <c r="EA70" s="5"/>
    </row>
    <row r="71" spans="1:131" ht="14.25" x14ac:dyDescent="0.15">
      <c r="A71" s="10">
        <v>201069</v>
      </c>
      <c r="B71" s="16" t="s">
        <v>273</v>
      </c>
      <c r="C71" s="9"/>
      <c r="D71" s="9"/>
      <c r="E71" s="9"/>
      <c r="F71" s="5">
        <v>0</v>
      </c>
      <c r="G71" s="45"/>
      <c r="H71" s="5"/>
      <c r="I71" s="5"/>
      <c r="J71" s="5"/>
      <c r="K71" s="5"/>
      <c r="L71" s="10"/>
      <c r="M71" s="5"/>
      <c r="N71" s="10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20"/>
      <c r="AF71" s="5"/>
      <c r="AG71" s="5"/>
      <c r="AH71" s="5"/>
      <c r="AI71" s="5"/>
      <c r="AJ71" s="5"/>
      <c r="AK71" s="5"/>
      <c r="AL71" s="5"/>
      <c r="AM71" s="5"/>
      <c r="AN71" s="8"/>
      <c r="AO71" s="5">
        <v>0</v>
      </c>
      <c r="AP71" s="16" t="s">
        <v>273</v>
      </c>
      <c r="AQ71" s="5">
        <v>0</v>
      </c>
      <c r="AR71" s="8">
        <f t="shared" si="19"/>
        <v>4</v>
      </c>
      <c r="AS71" s="6">
        <f t="shared" si="186"/>
        <v>48</v>
      </c>
      <c r="AT71" s="6">
        <f t="shared" si="187"/>
        <v>60</v>
      </c>
      <c r="AU71" s="5">
        <f t="shared" si="20"/>
        <v>0</v>
      </c>
      <c r="AV71" s="5">
        <f t="shared" si="21"/>
        <v>1</v>
      </c>
      <c r="AW71" s="5">
        <f t="shared" si="22"/>
        <v>1</v>
      </c>
      <c r="AX71" s="5">
        <f t="shared" ref="AX71" si="204">AX50</f>
        <v>1</v>
      </c>
      <c r="AY71" s="5">
        <f t="shared" si="22"/>
        <v>1</v>
      </c>
      <c r="AZ71" s="8">
        <f t="shared" si="24"/>
        <v>41</v>
      </c>
      <c r="BA71" s="5">
        <f t="shared" si="16"/>
        <v>203006</v>
      </c>
      <c r="BB71" s="5">
        <v>0</v>
      </c>
      <c r="BC71" s="5">
        <v>0</v>
      </c>
      <c r="BD71" s="5">
        <f t="shared" si="25"/>
        <v>0</v>
      </c>
      <c r="BE71" s="5">
        <f t="shared" si="26"/>
        <v>304001</v>
      </c>
      <c r="BF71" s="5">
        <f t="shared" si="27"/>
        <v>90</v>
      </c>
      <c r="BG71" s="5">
        <f t="shared" si="27"/>
        <v>30</v>
      </c>
      <c r="BH71" s="5">
        <f t="shared" si="18"/>
        <v>30</v>
      </c>
      <c r="BI71" s="5">
        <f t="shared" si="27"/>
        <v>1</v>
      </c>
      <c r="BJ71" s="5">
        <f t="shared" si="15"/>
        <v>4</v>
      </c>
      <c r="BK71" s="5">
        <v>4</v>
      </c>
      <c r="BL71" s="5">
        <f t="shared" si="63"/>
        <v>1</v>
      </c>
      <c r="BM71" s="5">
        <f t="shared" si="28"/>
        <v>30</v>
      </c>
      <c r="BN71" s="5">
        <f t="shared" si="28"/>
        <v>180</v>
      </c>
      <c r="BO71" s="5">
        <f t="shared" si="28"/>
        <v>108006</v>
      </c>
      <c r="BP71" s="5">
        <f t="shared" si="28"/>
        <v>3</v>
      </c>
      <c r="BQ71" s="5">
        <f t="shared" si="64"/>
        <v>3</v>
      </c>
      <c r="BR71" s="5">
        <f>50*BT71*3-360/BM71*BJ71*BQ71</f>
        <v>456</v>
      </c>
      <c r="BS71" s="4">
        <v>2</v>
      </c>
      <c r="BT71" s="4">
        <v>4</v>
      </c>
      <c r="BU71" s="4">
        <f t="shared" si="29"/>
        <v>0</v>
      </c>
      <c r="BV71" s="4">
        <f t="shared" si="189"/>
        <v>4</v>
      </c>
      <c r="BW71" s="4">
        <f t="shared" si="190"/>
        <v>4</v>
      </c>
      <c r="BX71" s="14">
        <f t="shared" si="191"/>
        <v>0.6399999999999999</v>
      </c>
      <c r="BY71" s="14">
        <f t="shared" si="192"/>
        <v>0.4</v>
      </c>
      <c r="BZ71" s="5" t="s">
        <v>194</v>
      </c>
      <c r="CA71" s="8" t="str">
        <f t="shared" si="113"/>
        <v>elite_monster_06</v>
      </c>
      <c r="CB71" s="8" t="str">
        <f t="shared" si="113"/>
        <v>elite_monster_06</v>
      </c>
      <c r="CC71" s="5">
        <v>0</v>
      </c>
      <c r="CD71" s="8">
        <f t="shared" si="30"/>
        <v>1</v>
      </c>
      <c r="CE71" s="5">
        <f t="shared" si="193"/>
        <v>4</v>
      </c>
      <c r="CF71" s="5">
        <f t="shared" si="31"/>
        <v>1</v>
      </c>
      <c r="CG71" s="16" t="s">
        <v>273</v>
      </c>
      <c r="CH71" s="5">
        <f t="shared" si="47"/>
        <v>3</v>
      </c>
      <c r="CI71" s="5">
        <v>0</v>
      </c>
      <c r="CJ71" s="4">
        <v>1</v>
      </c>
      <c r="CK71" s="5">
        <v>0</v>
      </c>
      <c r="CL71" s="5">
        <v>0</v>
      </c>
      <c r="CM71" s="20">
        <f t="shared" si="32"/>
        <v>110</v>
      </c>
      <c r="CN71" s="8">
        <f t="shared" si="32"/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8">
        <f t="shared" ref="CV71:CY71" si="205">CV50</f>
        <v>0.8</v>
      </c>
      <c r="CW71" s="8">
        <f t="shared" si="205"/>
        <v>0.6</v>
      </c>
      <c r="CX71" s="8">
        <f t="shared" si="205"/>
        <v>1.25</v>
      </c>
      <c r="CY71" s="8">
        <f t="shared" si="205"/>
        <v>1</v>
      </c>
      <c r="CZ71" s="8">
        <f t="shared" si="34"/>
        <v>1</v>
      </c>
      <c r="DA71" s="6">
        <f t="shared" si="180"/>
        <v>100</v>
      </c>
      <c r="DB71" s="5">
        <f t="shared" si="35"/>
        <v>0</v>
      </c>
      <c r="DC71" s="5">
        <f t="shared" si="195"/>
        <v>0.51749999999999996</v>
      </c>
      <c r="DD71" s="6">
        <f t="shared" si="181"/>
        <v>0.51749999999999996</v>
      </c>
      <c r="DE71" s="6">
        <f t="shared" si="49"/>
        <v>0.9</v>
      </c>
      <c r="DF71" s="5">
        <v>0</v>
      </c>
      <c r="DG71" s="8">
        <f t="shared" si="36"/>
        <v>2.5</v>
      </c>
      <c r="DH71" s="5">
        <v>1.5</v>
      </c>
      <c r="DI71" s="8">
        <f t="shared" si="37"/>
        <v>0</v>
      </c>
      <c r="DJ71" s="5">
        <f t="shared" si="182"/>
        <v>0</v>
      </c>
      <c r="DK71" s="8">
        <v>0</v>
      </c>
      <c r="DL71" s="5">
        <f t="shared" si="183"/>
        <v>0</v>
      </c>
      <c r="DM71" s="9" t="s">
        <v>273</v>
      </c>
      <c r="DN71" s="8">
        <f t="shared" ref="DN71:DP71" si="206">DN50</f>
        <v>6</v>
      </c>
      <c r="DO71" s="8">
        <f t="shared" si="206"/>
        <v>0</v>
      </c>
      <c r="DP71" s="5">
        <f t="shared" si="206"/>
        <v>0</v>
      </c>
      <c r="DQ71" s="8">
        <f t="shared" si="150"/>
        <v>0</v>
      </c>
      <c r="DR71" s="5">
        <f t="shared" si="197"/>
        <v>0.9</v>
      </c>
      <c r="DS71" s="8">
        <f t="shared" si="40"/>
        <v>1</v>
      </c>
      <c r="DT71" s="8">
        <f t="shared" si="41"/>
        <v>-0.5</v>
      </c>
      <c r="DU71" s="8">
        <f t="shared" si="41"/>
        <v>0.5</v>
      </c>
      <c r="DV71" s="8">
        <f t="shared" si="41"/>
        <v>0.5</v>
      </c>
      <c r="DW71" s="5">
        <f t="shared" si="185"/>
        <v>0.41666666666666669</v>
      </c>
      <c r="DX71" s="8">
        <f t="shared" si="43"/>
        <v>5</v>
      </c>
      <c r="DY71" s="8">
        <f t="shared" si="44"/>
        <v>1.3333333333333333</v>
      </c>
      <c r="DZ71" s="8">
        <f t="shared" si="45"/>
        <v>16</v>
      </c>
      <c r="EA71" s="5"/>
    </row>
    <row r="72" spans="1:131" x14ac:dyDescent="0.15">
      <c r="A72" s="10">
        <v>201070</v>
      </c>
      <c r="B72" s="10" t="s">
        <v>274</v>
      </c>
      <c r="C72" s="5"/>
      <c r="D72" s="5"/>
      <c r="E72" s="5"/>
      <c r="F72" s="5">
        <v>0</v>
      </c>
      <c r="G72" s="45"/>
      <c r="H72" s="5"/>
      <c r="I72" s="5"/>
      <c r="J72" s="5"/>
      <c r="K72" s="5"/>
      <c r="L72" s="10"/>
      <c r="M72" s="5"/>
      <c r="N72" s="1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20"/>
      <c r="AF72" s="5"/>
      <c r="AG72" s="5"/>
      <c r="AH72" s="5"/>
      <c r="AI72" s="5"/>
      <c r="AJ72" s="5"/>
      <c r="AK72" s="5"/>
      <c r="AL72" s="5"/>
      <c r="AM72" s="5"/>
      <c r="AN72" s="8"/>
      <c r="AO72" s="5">
        <v>0</v>
      </c>
      <c r="AP72" s="10" t="s">
        <v>274</v>
      </c>
      <c r="AQ72" s="5">
        <v>0</v>
      </c>
      <c r="AR72" s="8">
        <f t="shared" si="19"/>
        <v>5</v>
      </c>
      <c r="AS72" s="6">
        <f t="shared" si="186"/>
        <v>60</v>
      </c>
      <c r="AT72" s="6">
        <f t="shared" si="187"/>
        <v>72</v>
      </c>
      <c r="AU72" s="5">
        <f t="shared" si="20"/>
        <v>0</v>
      </c>
      <c r="AV72" s="5">
        <f t="shared" si="21"/>
        <v>1</v>
      </c>
      <c r="AW72" s="5">
        <f t="shared" si="22"/>
        <v>1</v>
      </c>
      <c r="AX72" s="5">
        <f t="shared" ref="AX72" si="207">AX51</f>
        <v>1</v>
      </c>
      <c r="AY72" s="5">
        <f t="shared" si="22"/>
        <v>1</v>
      </c>
      <c r="AZ72" s="8">
        <f>AZ51+1</f>
        <v>10704</v>
      </c>
      <c r="BA72" s="5">
        <f t="shared" si="16"/>
        <v>203007</v>
      </c>
      <c r="BB72" s="5">
        <v>0</v>
      </c>
      <c r="BC72" s="5">
        <v>0</v>
      </c>
      <c r="BD72" s="5">
        <f t="shared" si="25"/>
        <v>0</v>
      </c>
      <c r="BE72" s="5">
        <f t="shared" si="26"/>
        <v>0</v>
      </c>
      <c r="BF72" s="5">
        <f t="shared" si="27"/>
        <v>0</v>
      </c>
      <c r="BG72" s="5">
        <f t="shared" si="27"/>
        <v>0</v>
      </c>
      <c r="BH72" s="5">
        <f t="shared" si="18"/>
        <v>0</v>
      </c>
      <c r="BI72" s="5">
        <f t="shared" si="27"/>
        <v>0</v>
      </c>
      <c r="BJ72" s="5">
        <f t="shared" ref="BJ72:BJ135" si="208">BL72*BT72</f>
        <v>0</v>
      </c>
      <c r="BK72" s="5">
        <v>0</v>
      </c>
      <c r="BL72" s="5">
        <f t="shared" si="63"/>
        <v>0</v>
      </c>
      <c r="BM72" s="5">
        <f t="shared" si="28"/>
        <v>0</v>
      </c>
      <c r="BN72" s="5">
        <f t="shared" si="28"/>
        <v>0</v>
      </c>
      <c r="BO72" s="5">
        <f t="shared" si="28"/>
        <v>0</v>
      </c>
      <c r="BP72" s="5">
        <f t="shared" si="28"/>
        <v>0</v>
      </c>
      <c r="BQ72" s="5">
        <f t="shared" si="64"/>
        <v>0</v>
      </c>
      <c r="BR72" s="5"/>
      <c r="BS72" s="4">
        <v>2</v>
      </c>
      <c r="BT72" s="4">
        <v>4</v>
      </c>
      <c r="BU72" s="4">
        <f t="shared" si="29"/>
        <v>0</v>
      </c>
      <c r="BV72" s="4">
        <f t="shared" si="189"/>
        <v>4</v>
      </c>
      <c r="BW72" s="4">
        <f t="shared" si="190"/>
        <v>4</v>
      </c>
      <c r="BX72" s="14">
        <f t="shared" si="191"/>
        <v>0.6399999999999999</v>
      </c>
      <c r="BY72" s="14">
        <f t="shared" si="192"/>
        <v>0.4</v>
      </c>
      <c r="BZ72" s="5" t="s">
        <v>197</v>
      </c>
      <c r="CA72" s="8" t="str">
        <f t="shared" si="113"/>
        <v>elite_monster_07</v>
      </c>
      <c r="CB72" s="8" t="str">
        <f t="shared" si="113"/>
        <v>elite_monster_07</v>
      </c>
      <c r="CC72" s="5">
        <v>0</v>
      </c>
      <c r="CD72" s="8">
        <f t="shared" si="30"/>
        <v>4</v>
      </c>
      <c r="CE72" s="5">
        <f t="shared" si="193"/>
        <v>4</v>
      </c>
      <c r="CF72" s="5">
        <f t="shared" si="31"/>
        <v>1</v>
      </c>
      <c r="CG72" s="10" t="s">
        <v>274</v>
      </c>
      <c r="CH72" s="5">
        <f t="shared" si="47"/>
        <v>3</v>
      </c>
      <c r="CI72" s="5">
        <v>0</v>
      </c>
      <c r="CJ72" s="4">
        <v>1</v>
      </c>
      <c r="CK72" s="5">
        <v>903907</v>
      </c>
      <c r="CL72" s="5">
        <v>0</v>
      </c>
      <c r="CM72" s="20">
        <f t="shared" si="32"/>
        <v>0</v>
      </c>
      <c r="CN72" s="8">
        <f t="shared" si="32"/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8">
        <f t="shared" ref="CV72:CY72" si="209">CV51</f>
        <v>0.8</v>
      </c>
      <c r="CW72" s="8">
        <f t="shared" si="209"/>
        <v>0.6</v>
      </c>
      <c r="CX72" s="8">
        <f t="shared" si="209"/>
        <v>1</v>
      </c>
      <c r="CY72" s="8">
        <f t="shared" si="209"/>
        <v>1</v>
      </c>
      <c r="CZ72" s="8">
        <f t="shared" si="34"/>
        <v>1</v>
      </c>
      <c r="DA72" s="6">
        <f t="shared" si="180"/>
        <v>100</v>
      </c>
      <c r="DB72" s="5">
        <f t="shared" si="35"/>
        <v>0</v>
      </c>
      <c r="DC72" s="5">
        <f t="shared" si="195"/>
        <v>0.28749999999999998</v>
      </c>
      <c r="DD72" s="6">
        <f t="shared" si="181"/>
        <v>0.28749999999999998</v>
      </c>
      <c r="DE72" s="6">
        <f t="shared" si="49"/>
        <v>0.5</v>
      </c>
      <c r="DF72" s="5">
        <v>1</v>
      </c>
      <c r="DG72" s="8">
        <f t="shared" si="36"/>
        <v>2.25</v>
      </c>
      <c r="DH72" s="5">
        <v>1.25</v>
      </c>
      <c r="DI72" s="8">
        <f t="shared" si="37"/>
        <v>3</v>
      </c>
      <c r="DJ72" s="5">
        <f t="shared" si="182"/>
        <v>45</v>
      </c>
      <c r="DK72" s="8">
        <v>0</v>
      </c>
      <c r="DL72" s="5">
        <f t="shared" si="183"/>
        <v>0</v>
      </c>
      <c r="DM72" s="5" t="s">
        <v>274</v>
      </c>
      <c r="DN72" s="8">
        <f t="shared" ref="DN72:DP72" si="210">DN51</f>
        <v>6</v>
      </c>
      <c r="DO72" s="8">
        <f t="shared" si="210"/>
        <v>0</v>
      </c>
      <c r="DP72" s="5">
        <f t="shared" si="210"/>
        <v>1</v>
      </c>
      <c r="DQ72" s="8">
        <f t="shared" si="150"/>
        <v>0</v>
      </c>
      <c r="DR72" s="5">
        <f t="shared" si="197"/>
        <v>1.1700000000000002</v>
      </c>
      <c r="DS72" s="8">
        <f t="shared" si="40"/>
        <v>1.3</v>
      </c>
      <c r="DT72" s="8">
        <f t="shared" si="41"/>
        <v>-0.5</v>
      </c>
      <c r="DU72" s="8">
        <f t="shared" si="41"/>
        <v>0.5</v>
      </c>
      <c r="DV72" s="8">
        <f t="shared" si="41"/>
        <v>0.6</v>
      </c>
      <c r="DW72" s="5">
        <f t="shared" si="185"/>
        <v>0.5</v>
      </c>
      <c r="DX72" s="8">
        <f t="shared" si="43"/>
        <v>6</v>
      </c>
      <c r="DY72" s="8">
        <f t="shared" si="44"/>
        <v>0</v>
      </c>
      <c r="DZ72" s="8">
        <f t="shared" si="45"/>
        <v>0</v>
      </c>
      <c r="EA72" s="5"/>
    </row>
    <row r="73" spans="1:131" x14ac:dyDescent="0.15">
      <c r="A73" s="10">
        <v>201071</v>
      </c>
      <c r="B73" s="10" t="s">
        <v>275</v>
      </c>
      <c r="C73" s="5"/>
      <c r="D73" s="5"/>
      <c r="E73" s="5"/>
      <c r="F73" s="5">
        <v>0</v>
      </c>
      <c r="G73" s="45"/>
      <c r="H73" s="5"/>
      <c r="I73" s="5"/>
      <c r="J73" s="5"/>
      <c r="K73" s="5"/>
      <c r="L73" s="10"/>
      <c r="M73" s="5"/>
      <c r="N73" s="10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20"/>
      <c r="AF73" s="5"/>
      <c r="AG73" s="5"/>
      <c r="AH73" s="5"/>
      <c r="AI73" s="5"/>
      <c r="AJ73" s="5"/>
      <c r="AK73" s="5"/>
      <c r="AL73" s="5"/>
      <c r="AM73" s="5"/>
      <c r="AN73" s="8"/>
      <c r="AO73" s="5">
        <v>0</v>
      </c>
      <c r="AP73" s="10" t="s">
        <v>275</v>
      </c>
      <c r="AQ73" s="5">
        <v>0</v>
      </c>
      <c r="AR73" s="8">
        <f t="shared" si="19"/>
        <v>4</v>
      </c>
      <c r="AS73" s="6">
        <f t="shared" si="186"/>
        <v>48</v>
      </c>
      <c r="AT73" s="6">
        <f t="shared" si="187"/>
        <v>60</v>
      </c>
      <c r="AU73" s="5">
        <f t="shared" si="20"/>
        <v>0</v>
      </c>
      <c r="AV73" s="5">
        <f t="shared" si="21"/>
        <v>1</v>
      </c>
      <c r="AW73" s="5">
        <f t="shared" si="22"/>
        <v>0</v>
      </c>
      <c r="AX73" s="5">
        <f t="shared" ref="AX73" si="211">AX52</f>
        <v>0</v>
      </c>
      <c r="AY73" s="5">
        <f t="shared" si="22"/>
        <v>1</v>
      </c>
      <c r="AZ73" s="8">
        <f t="shared" si="24"/>
        <v>43</v>
      </c>
      <c r="BA73" s="5">
        <f t="shared" si="16"/>
        <v>203008</v>
      </c>
      <c r="BB73" s="5">
        <v>0</v>
      </c>
      <c r="BC73" s="5">
        <v>0</v>
      </c>
      <c r="BD73" s="5">
        <f t="shared" si="25"/>
        <v>0</v>
      </c>
      <c r="BE73" s="5">
        <f t="shared" si="26"/>
        <v>0</v>
      </c>
      <c r="BF73" s="5">
        <f t="shared" si="27"/>
        <v>0</v>
      </c>
      <c r="BG73" s="5">
        <f t="shared" si="27"/>
        <v>0</v>
      </c>
      <c r="BH73" s="5">
        <f t="shared" si="18"/>
        <v>0</v>
      </c>
      <c r="BI73" s="5">
        <f t="shared" si="27"/>
        <v>0</v>
      </c>
      <c r="BJ73" s="5">
        <f t="shared" si="208"/>
        <v>0</v>
      </c>
      <c r="BK73" s="5">
        <v>0</v>
      </c>
      <c r="BL73" s="5">
        <f t="shared" si="63"/>
        <v>0</v>
      </c>
      <c r="BM73" s="5">
        <f t="shared" si="28"/>
        <v>0</v>
      </c>
      <c r="BN73" s="5">
        <f t="shared" si="28"/>
        <v>0</v>
      </c>
      <c r="BO73" s="5">
        <f t="shared" si="28"/>
        <v>0</v>
      </c>
      <c r="BP73" s="5">
        <f t="shared" si="28"/>
        <v>0</v>
      </c>
      <c r="BQ73" s="5">
        <f t="shared" si="64"/>
        <v>0</v>
      </c>
      <c r="BR73" s="5"/>
      <c r="BS73" s="4">
        <v>2</v>
      </c>
      <c r="BT73" s="4">
        <v>4</v>
      </c>
      <c r="BU73" s="4">
        <f t="shared" si="29"/>
        <v>1</v>
      </c>
      <c r="BV73" s="4">
        <f t="shared" si="189"/>
        <v>4</v>
      </c>
      <c r="BW73" s="4">
        <f t="shared" si="190"/>
        <v>4</v>
      </c>
      <c r="BX73" s="14">
        <f t="shared" si="191"/>
        <v>0.6399999999999999</v>
      </c>
      <c r="BY73" s="14">
        <f t="shared" si="192"/>
        <v>0.4</v>
      </c>
      <c r="BZ73" s="5" t="s">
        <v>200</v>
      </c>
      <c r="CA73" s="8" t="str">
        <f t="shared" si="113"/>
        <v>elite_monster_08</v>
      </c>
      <c r="CB73" s="8" t="str">
        <f t="shared" si="113"/>
        <v>elite_monster_08</v>
      </c>
      <c r="CC73" s="5">
        <v>0</v>
      </c>
      <c r="CD73" s="8">
        <f t="shared" si="30"/>
        <v>1</v>
      </c>
      <c r="CE73" s="5">
        <f t="shared" si="193"/>
        <v>0</v>
      </c>
      <c r="CF73" s="5">
        <f t="shared" si="31"/>
        <v>0</v>
      </c>
      <c r="CG73" s="10" t="s">
        <v>275</v>
      </c>
      <c r="CH73" s="5">
        <f t="shared" si="47"/>
        <v>3</v>
      </c>
      <c r="CI73" s="5">
        <v>0</v>
      </c>
      <c r="CJ73" s="4">
        <v>1</v>
      </c>
      <c r="CK73" s="5">
        <v>0</v>
      </c>
      <c r="CL73" s="5">
        <v>0</v>
      </c>
      <c r="CM73" s="20">
        <f t="shared" si="32"/>
        <v>112</v>
      </c>
      <c r="CN73" s="8">
        <f t="shared" si="32"/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8">
        <f t="shared" ref="CV73:CY73" si="212">CV52</f>
        <v>0.8</v>
      </c>
      <c r="CW73" s="8">
        <f t="shared" si="212"/>
        <v>0.6</v>
      </c>
      <c r="CX73" s="8">
        <f t="shared" si="212"/>
        <v>1</v>
      </c>
      <c r="CY73" s="8">
        <f t="shared" si="212"/>
        <v>1</v>
      </c>
      <c r="CZ73" s="8">
        <f t="shared" si="34"/>
        <v>0.4</v>
      </c>
      <c r="DA73" s="6">
        <f t="shared" si="180"/>
        <v>40</v>
      </c>
      <c r="DB73" s="5">
        <f t="shared" si="35"/>
        <v>0</v>
      </c>
      <c r="DC73" s="5">
        <f t="shared" si="195"/>
        <v>0.69</v>
      </c>
      <c r="DD73" s="6">
        <f t="shared" si="181"/>
        <v>0.69</v>
      </c>
      <c r="DE73" s="6">
        <f t="shared" si="49"/>
        <v>1.2</v>
      </c>
      <c r="DF73" s="5">
        <v>0</v>
      </c>
      <c r="DG73" s="8">
        <f t="shared" si="36"/>
        <v>2.25</v>
      </c>
      <c r="DH73" s="5">
        <v>1.25</v>
      </c>
      <c r="DI73" s="8">
        <f t="shared" si="37"/>
        <v>0</v>
      </c>
      <c r="DJ73" s="5">
        <f t="shared" si="182"/>
        <v>0</v>
      </c>
      <c r="DK73" s="8">
        <v>0</v>
      </c>
      <c r="DL73" s="5">
        <f t="shared" si="183"/>
        <v>0</v>
      </c>
      <c r="DM73" s="5" t="s">
        <v>275</v>
      </c>
      <c r="DN73" s="8">
        <f t="shared" ref="DN73:DP73" si="213">DN52</f>
        <v>6</v>
      </c>
      <c r="DO73" s="8">
        <f t="shared" si="213"/>
        <v>0</v>
      </c>
      <c r="DP73" s="5">
        <f t="shared" si="213"/>
        <v>0</v>
      </c>
      <c r="DQ73" s="8">
        <f t="shared" si="150"/>
        <v>0</v>
      </c>
      <c r="DR73" s="5">
        <f t="shared" si="197"/>
        <v>0.9</v>
      </c>
      <c r="DS73" s="8">
        <f t="shared" si="40"/>
        <v>1</v>
      </c>
      <c r="DT73" s="8">
        <f t="shared" si="41"/>
        <v>-0.5</v>
      </c>
      <c r="DU73" s="8">
        <f t="shared" si="41"/>
        <v>0.5</v>
      </c>
      <c r="DV73" s="8">
        <f t="shared" si="41"/>
        <v>0.75</v>
      </c>
      <c r="DW73" s="5">
        <f t="shared" si="185"/>
        <v>0.5</v>
      </c>
      <c r="DX73" s="8">
        <f t="shared" si="43"/>
        <v>6</v>
      </c>
      <c r="DY73" s="8">
        <f t="shared" si="44"/>
        <v>0</v>
      </c>
      <c r="DZ73" s="8">
        <f t="shared" si="45"/>
        <v>0</v>
      </c>
      <c r="EA73" s="5"/>
    </row>
    <row r="74" spans="1:131" x14ac:dyDescent="0.15">
      <c r="A74" s="10">
        <v>201072</v>
      </c>
      <c r="B74" s="10" t="s">
        <v>276</v>
      </c>
      <c r="C74" s="5"/>
      <c r="D74" s="5"/>
      <c r="E74" s="5"/>
      <c r="F74" s="5">
        <v>0</v>
      </c>
      <c r="G74" s="45"/>
      <c r="H74" s="5"/>
      <c r="I74" s="5"/>
      <c r="J74" s="5"/>
      <c r="K74" s="5"/>
      <c r="L74" s="10"/>
      <c r="M74" s="5"/>
      <c r="N74" s="10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20"/>
      <c r="AF74" s="5"/>
      <c r="AG74" s="5"/>
      <c r="AH74" s="5"/>
      <c r="AI74" s="5"/>
      <c r="AJ74" s="5"/>
      <c r="AK74" s="5"/>
      <c r="AL74" s="5"/>
      <c r="AM74" s="5"/>
      <c r="AN74" s="8"/>
      <c r="AO74" s="5">
        <v>0</v>
      </c>
      <c r="AP74" s="10" t="s">
        <v>276</v>
      </c>
      <c r="AQ74" s="5">
        <v>0</v>
      </c>
      <c r="AR74" s="8">
        <f t="shared" si="19"/>
        <v>0.65</v>
      </c>
      <c r="AS74" s="6">
        <f t="shared" si="186"/>
        <v>7.8000000000000007</v>
      </c>
      <c r="AT74" s="6">
        <f t="shared" si="187"/>
        <v>19.799999999999997</v>
      </c>
      <c r="AU74" s="5">
        <f t="shared" si="20"/>
        <v>0</v>
      </c>
      <c r="AV74" s="5">
        <f t="shared" si="21"/>
        <v>1</v>
      </c>
      <c r="AW74" s="5">
        <f t="shared" si="22"/>
        <v>0</v>
      </c>
      <c r="AX74" s="5">
        <f t="shared" ref="AX74" si="214">AX53</f>
        <v>0</v>
      </c>
      <c r="AY74" s="5">
        <f t="shared" si="22"/>
        <v>1</v>
      </c>
      <c r="AZ74" s="8">
        <f t="shared" si="24"/>
        <v>43</v>
      </c>
      <c r="BA74" s="5">
        <f t="shared" si="16"/>
        <v>203009</v>
      </c>
      <c r="BB74" s="5">
        <v>0</v>
      </c>
      <c r="BC74" s="5">
        <v>0</v>
      </c>
      <c r="BD74" s="5">
        <f t="shared" si="25"/>
        <v>0</v>
      </c>
      <c r="BE74" s="5">
        <f t="shared" si="26"/>
        <v>0</v>
      </c>
      <c r="BF74" s="5">
        <f t="shared" si="27"/>
        <v>0</v>
      </c>
      <c r="BG74" s="5">
        <f t="shared" si="27"/>
        <v>0</v>
      </c>
      <c r="BH74" s="5">
        <f t="shared" si="18"/>
        <v>0</v>
      </c>
      <c r="BI74" s="5">
        <f t="shared" si="27"/>
        <v>0</v>
      </c>
      <c r="BJ74" s="5">
        <f t="shared" si="208"/>
        <v>0</v>
      </c>
      <c r="BK74" s="5">
        <v>0</v>
      </c>
      <c r="BL74" s="5">
        <f t="shared" si="63"/>
        <v>0</v>
      </c>
      <c r="BM74" s="5">
        <f t="shared" si="28"/>
        <v>0</v>
      </c>
      <c r="BN74" s="5">
        <f t="shared" si="28"/>
        <v>0</v>
      </c>
      <c r="BO74" s="5">
        <f t="shared" si="28"/>
        <v>0</v>
      </c>
      <c r="BP74" s="5">
        <f t="shared" si="28"/>
        <v>0</v>
      </c>
      <c r="BQ74" s="5">
        <f t="shared" si="64"/>
        <v>0</v>
      </c>
      <c r="BR74" s="5"/>
      <c r="BS74" s="4">
        <v>2</v>
      </c>
      <c r="BT74" s="4">
        <v>4</v>
      </c>
      <c r="BU74" s="4">
        <f t="shared" si="29"/>
        <v>0</v>
      </c>
      <c r="BV74" s="4">
        <f t="shared" si="189"/>
        <v>4</v>
      </c>
      <c r="BW74" s="4">
        <f t="shared" si="190"/>
        <v>4</v>
      </c>
      <c r="BX74" s="14">
        <f t="shared" si="191"/>
        <v>0.6399999999999999</v>
      </c>
      <c r="BY74" s="14">
        <f t="shared" si="192"/>
        <v>0.4</v>
      </c>
      <c r="BZ74" s="5" t="s">
        <v>203</v>
      </c>
      <c r="CA74" s="8" t="str">
        <f t="shared" si="113"/>
        <v>elite_monster_09</v>
      </c>
      <c r="CB74" s="8" t="str">
        <f t="shared" si="113"/>
        <v>elite_monster_09</v>
      </c>
      <c r="CC74" s="5">
        <v>0</v>
      </c>
      <c r="CD74" s="8">
        <f t="shared" si="30"/>
        <v>1</v>
      </c>
      <c r="CE74" s="5">
        <f t="shared" si="193"/>
        <v>0</v>
      </c>
      <c r="CF74" s="5">
        <f t="shared" si="31"/>
        <v>0</v>
      </c>
      <c r="CG74" s="10" t="s">
        <v>276</v>
      </c>
      <c r="CH74" s="5">
        <f t="shared" si="47"/>
        <v>3</v>
      </c>
      <c r="CI74" s="5">
        <v>0</v>
      </c>
      <c r="CJ74" s="4">
        <v>1</v>
      </c>
      <c r="CK74" s="5">
        <v>0</v>
      </c>
      <c r="CL74" s="5">
        <v>0</v>
      </c>
      <c r="CM74" s="20">
        <f t="shared" si="32"/>
        <v>0</v>
      </c>
      <c r="CN74" s="8">
        <f t="shared" si="32"/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8">
        <f t="shared" ref="CV74:CY74" si="215">CV53</f>
        <v>0.1</v>
      </c>
      <c r="CW74" s="8">
        <f t="shared" si="215"/>
        <v>0.6</v>
      </c>
      <c r="CX74" s="8">
        <f t="shared" si="215"/>
        <v>1</v>
      </c>
      <c r="CY74" s="8">
        <f t="shared" si="215"/>
        <v>1</v>
      </c>
      <c r="CZ74" s="8">
        <f t="shared" si="34"/>
        <v>0.3</v>
      </c>
      <c r="DA74" s="6">
        <f t="shared" si="180"/>
        <v>30</v>
      </c>
      <c r="DB74" s="5">
        <f t="shared" si="35"/>
        <v>1</v>
      </c>
      <c r="DC74" s="5">
        <f t="shared" si="195"/>
        <v>0.45999999999999996</v>
      </c>
      <c r="DD74" s="6">
        <f t="shared" si="181"/>
        <v>0.45999999999999996</v>
      </c>
      <c r="DE74" s="6">
        <f t="shared" si="49"/>
        <v>0.8</v>
      </c>
      <c r="DF74" s="5">
        <v>0</v>
      </c>
      <c r="DG74" s="8">
        <f t="shared" si="36"/>
        <v>3</v>
      </c>
      <c r="DH74" s="5">
        <v>1.5</v>
      </c>
      <c r="DI74" s="8">
        <f t="shared" si="37"/>
        <v>0</v>
      </c>
      <c r="DJ74" s="5">
        <f t="shared" si="182"/>
        <v>0</v>
      </c>
      <c r="DK74" s="8">
        <v>0</v>
      </c>
      <c r="DL74" s="5">
        <f t="shared" si="183"/>
        <v>0</v>
      </c>
      <c r="DM74" s="5" t="s">
        <v>276</v>
      </c>
      <c r="DN74" s="8">
        <f t="shared" ref="DN74:DP74" si="216">DN53</f>
        <v>6</v>
      </c>
      <c r="DO74" s="8">
        <f t="shared" si="216"/>
        <v>0</v>
      </c>
      <c r="DP74" s="5">
        <f t="shared" si="216"/>
        <v>0</v>
      </c>
      <c r="DQ74" s="8">
        <f t="shared" si="150"/>
        <v>0</v>
      </c>
      <c r="DR74" s="5">
        <f t="shared" si="197"/>
        <v>1.8</v>
      </c>
      <c r="DS74" s="8">
        <f t="shared" si="40"/>
        <v>2</v>
      </c>
      <c r="DT74" s="8">
        <f t="shared" si="41"/>
        <v>-2</v>
      </c>
      <c r="DU74" s="8">
        <f t="shared" si="41"/>
        <v>2</v>
      </c>
      <c r="DV74" s="8">
        <f t="shared" si="41"/>
        <v>0.1</v>
      </c>
      <c r="DW74" s="5">
        <f t="shared" si="185"/>
        <v>8.3333333333333329E-2</v>
      </c>
      <c r="DX74" s="8">
        <f t="shared" si="43"/>
        <v>1</v>
      </c>
      <c r="DY74" s="8">
        <f t="shared" si="44"/>
        <v>0</v>
      </c>
      <c r="DZ74" s="8">
        <f t="shared" si="45"/>
        <v>0</v>
      </c>
      <c r="EA74" s="5"/>
    </row>
    <row r="75" spans="1:131" x14ac:dyDescent="0.15">
      <c r="A75" s="10">
        <v>201073</v>
      </c>
      <c r="B75" s="10" t="s">
        <v>277</v>
      </c>
      <c r="C75" s="5"/>
      <c r="D75" s="5"/>
      <c r="E75" s="5"/>
      <c r="F75" s="5">
        <v>0</v>
      </c>
      <c r="G75" s="45"/>
      <c r="H75" s="5"/>
      <c r="I75" s="5"/>
      <c r="J75" s="5"/>
      <c r="K75" s="5"/>
      <c r="L75" s="10"/>
      <c r="M75" s="5"/>
      <c r="N75" s="10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20"/>
      <c r="AF75" s="5"/>
      <c r="AG75" s="5"/>
      <c r="AH75" s="5"/>
      <c r="AI75" s="5"/>
      <c r="AJ75" s="5"/>
      <c r="AK75" s="5"/>
      <c r="AL75" s="5"/>
      <c r="AM75" s="5"/>
      <c r="AN75" s="8"/>
      <c r="AO75" s="5">
        <v>0</v>
      </c>
      <c r="AP75" s="10" t="s">
        <v>277</v>
      </c>
      <c r="AQ75" s="5">
        <v>0</v>
      </c>
      <c r="AR75" s="8">
        <f t="shared" si="19"/>
        <v>1</v>
      </c>
      <c r="AS75" s="6">
        <f t="shared" si="186"/>
        <v>12</v>
      </c>
      <c r="AT75" s="6">
        <f t="shared" si="187"/>
        <v>24</v>
      </c>
      <c r="AU75" s="5">
        <f t="shared" si="20"/>
        <v>0</v>
      </c>
      <c r="AV75" s="5">
        <f t="shared" si="21"/>
        <v>1</v>
      </c>
      <c r="AW75" s="5">
        <f t="shared" si="22"/>
        <v>1</v>
      </c>
      <c r="AX75" s="5">
        <f t="shared" ref="AX75" si="217">AX54</f>
        <v>1</v>
      </c>
      <c r="AY75" s="5">
        <f t="shared" si="22"/>
        <v>1</v>
      </c>
      <c r="AZ75" s="8">
        <v>201073</v>
      </c>
      <c r="BA75" s="5">
        <f t="shared" si="16"/>
        <v>203010</v>
      </c>
      <c r="BB75" s="5">
        <v>0</v>
      </c>
      <c r="BC75" s="5">
        <v>0</v>
      </c>
      <c r="BD75" s="5">
        <f t="shared" si="25"/>
        <v>0</v>
      </c>
      <c r="BE75" s="5">
        <f t="shared" si="26"/>
        <v>305003</v>
      </c>
      <c r="BF75" s="5">
        <f t="shared" si="27"/>
        <v>180</v>
      </c>
      <c r="BG75" s="5">
        <f t="shared" si="27"/>
        <v>0</v>
      </c>
      <c r="BH75" s="5">
        <f t="shared" si="18"/>
        <v>0</v>
      </c>
      <c r="BI75" s="5">
        <f t="shared" si="27"/>
        <v>0</v>
      </c>
      <c r="BJ75" s="5">
        <f t="shared" si="208"/>
        <v>4</v>
      </c>
      <c r="BK75" s="5">
        <v>4</v>
      </c>
      <c r="BL75" s="5">
        <f t="shared" si="63"/>
        <v>1</v>
      </c>
      <c r="BM75" s="5">
        <f t="shared" si="28"/>
        <v>30</v>
      </c>
      <c r="BN75" s="5">
        <f t="shared" si="28"/>
        <v>180</v>
      </c>
      <c r="BO75" s="5">
        <f t="shared" si="28"/>
        <v>108006</v>
      </c>
      <c r="BP75" s="5">
        <f t="shared" si="28"/>
        <v>2</v>
      </c>
      <c r="BQ75" s="5">
        <f t="shared" si="64"/>
        <v>2</v>
      </c>
      <c r="BR75" s="5">
        <f>50*BT75*3-360/BM75*BJ75*BQ75</f>
        <v>504</v>
      </c>
      <c r="BS75" s="4">
        <v>2</v>
      </c>
      <c r="BT75" s="4">
        <v>4</v>
      </c>
      <c r="BU75" s="4">
        <f t="shared" si="29"/>
        <v>0</v>
      </c>
      <c r="BV75" s="4">
        <f t="shared" si="189"/>
        <v>4</v>
      </c>
      <c r="BW75" s="4">
        <f t="shared" si="190"/>
        <v>4</v>
      </c>
      <c r="BX75" s="14">
        <f t="shared" si="191"/>
        <v>0.6399999999999999</v>
      </c>
      <c r="BY75" s="14">
        <f t="shared" si="192"/>
        <v>0.4</v>
      </c>
      <c r="BZ75" s="5" t="s">
        <v>206</v>
      </c>
      <c r="CA75" s="8" t="str">
        <f t="shared" si="113"/>
        <v>elite_monster_10</v>
      </c>
      <c r="CB75" s="8" t="str">
        <f t="shared" si="113"/>
        <v>elite_monster_10</v>
      </c>
      <c r="CC75" s="5">
        <v>0</v>
      </c>
      <c r="CD75" s="8">
        <f t="shared" si="30"/>
        <v>1</v>
      </c>
      <c r="CE75" s="5">
        <f t="shared" si="193"/>
        <v>0</v>
      </c>
      <c r="CF75" s="5">
        <f t="shared" si="31"/>
        <v>0</v>
      </c>
      <c r="CG75" s="10" t="s">
        <v>277</v>
      </c>
      <c r="CH75" s="5">
        <f>CH53</f>
        <v>3</v>
      </c>
      <c r="CI75" s="5">
        <v>0</v>
      </c>
      <c r="CJ75" s="4">
        <v>1</v>
      </c>
      <c r="CK75" s="5">
        <v>0</v>
      </c>
      <c r="CL75" s="5">
        <v>0</v>
      </c>
      <c r="CM75" s="20">
        <f t="shared" si="32"/>
        <v>0</v>
      </c>
      <c r="CN75" s="8">
        <f t="shared" si="32"/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8">
        <f t="shared" ref="CV75:CY75" si="218">CV54</f>
        <v>0.8</v>
      </c>
      <c r="CW75" s="8">
        <f t="shared" si="218"/>
        <v>0.6</v>
      </c>
      <c r="CX75" s="8">
        <f t="shared" si="218"/>
        <v>1</v>
      </c>
      <c r="CY75" s="8">
        <f t="shared" si="218"/>
        <v>1</v>
      </c>
      <c r="CZ75" s="8">
        <f t="shared" si="34"/>
        <v>1</v>
      </c>
      <c r="DA75" s="6">
        <f t="shared" si="180"/>
        <v>100</v>
      </c>
      <c r="DB75" s="5">
        <f t="shared" si="35"/>
        <v>0</v>
      </c>
      <c r="DC75" s="5">
        <f t="shared" si="195"/>
        <v>0.14374999999999999</v>
      </c>
      <c r="DD75" s="6">
        <f t="shared" si="181"/>
        <v>0.14374999999999999</v>
      </c>
      <c r="DE75" s="6">
        <f t="shared" si="49"/>
        <v>0.25</v>
      </c>
      <c r="DF75" s="5">
        <v>0</v>
      </c>
      <c r="DG75" s="8">
        <f t="shared" si="36"/>
        <v>2.5</v>
      </c>
      <c r="DH75" s="5">
        <v>1.5</v>
      </c>
      <c r="DI75" s="8">
        <f t="shared" si="37"/>
        <v>0</v>
      </c>
      <c r="DJ75" s="5">
        <f t="shared" si="182"/>
        <v>0</v>
      </c>
      <c r="DK75" s="8">
        <v>0</v>
      </c>
      <c r="DL75" s="5">
        <f t="shared" si="183"/>
        <v>0</v>
      </c>
      <c r="DM75" s="5" t="s">
        <v>278</v>
      </c>
      <c r="DN75" s="8">
        <f t="shared" ref="DN75:DP75" si="219">DN54</f>
        <v>6</v>
      </c>
      <c r="DO75" s="8">
        <f t="shared" si="219"/>
        <v>0</v>
      </c>
      <c r="DP75" s="5">
        <f t="shared" si="219"/>
        <v>0</v>
      </c>
      <c r="DQ75" s="8">
        <f t="shared" si="150"/>
        <v>0</v>
      </c>
      <c r="DR75" s="5">
        <f t="shared" si="197"/>
        <v>0.9</v>
      </c>
      <c r="DS75" s="8">
        <f t="shared" si="40"/>
        <v>1</v>
      </c>
      <c r="DT75" s="8">
        <f t="shared" si="41"/>
        <v>-0.5</v>
      </c>
      <c r="DU75" s="8">
        <f t="shared" si="41"/>
        <v>0.5</v>
      </c>
      <c r="DV75" s="8">
        <f t="shared" si="41"/>
        <v>0.5</v>
      </c>
      <c r="DW75" s="5">
        <f t="shared" si="185"/>
        <v>0.75</v>
      </c>
      <c r="DX75" s="8">
        <f t="shared" si="43"/>
        <v>9</v>
      </c>
      <c r="DY75" s="8">
        <f t="shared" si="44"/>
        <v>0</v>
      </c>
      <c r="DZ75" s="8">
        <f t="shared" si="45"/>
        <v>0</v>
      </c>
      <c r="EA75" s="5"/>
    </row>
    <row r="76" spans="1:131" x14ac:dyDescent="0.15">
      <c r="A76" s="10">
        <v>201074</v>
      </c>
      <c r="B76" s="10" t="s">
        <v>279</v>
      </c>
      <c r="C76" s="5"/>
      <c r="D76" s="5"/>
      <c r="E76" s="5"/>
      <c r="F76" s="5">
        <v>0</v>
      </c>
      <c r="G76" s="45"/>
      <c r="H76" s="5"/>
      <c r="I76" s="5"/>
      <c r="J76" s="5"/>
      <c r="K76" s="5"/>
      <c r="L76" s="10"/>
      <c r="M76" s="5"/>
      <c r="N76" s="10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20"/>
      <c r="AF76" s="5"/>
      <c r="AG76" s="5"/>
      <c r="AH76" s="5"/>
      <c r="AI76" s="5"/>
      <c r="AJ76" s="5"/>
      <c r="AK76" s="5"/>
      <c r="AL76" s="5"/>
      <c r="AM76" s="5"/>
      <c r="AN76" s="8"/>
      <c r="AO76" s="5">
        <v>0</v>
      </c>
      <c r="AP76" s="10" t="s">
        <v>279</v>
      </c>
      <c r="AQ76" s="5">
        <v>0</v>
      </c>
      <c r="AR76" s="8">
        <f t="shared" si="19"/>
        <v>2</v>
      </c>
      <c r="AS76" s="6">
        <f t="shared" si="186"/>
        <v>24</v>
      </c>
      <c r="AT76" s="6">
        <f t="shared" si="187"/>
        <v>36</v>
      </c>
      <c r="AU76" s="5">
        <f t="shared" si="20"/>
        <v>0</v>
      </c>
      <c r="AV76" s="5">
        <f t="shared" si="21"/>
        <v>1</v>
      </c>
      <c r="AW76" s="5">
        <f t="shared" si="22"/>
        <v>1</v>
      </c>
      <c r="AX76" s="5">
        <f t="shared" ref="AX76" si="220">AX55</f>
        <v>1</v>
      </c>
      <c r="AY76" s="5">
        <f t="shared" si="22"/>
        <v>1</v>
      </c>
      <c r="AZ76" s="8">
        <f t="shared" si="24"/>
        <v>43</v>
      </c>
      <c r="BA76" s="5">
        <f t="shared" si="16"/>
        <v>203011</v>
      </c>
      <c r="BB76" s="5">
        <v>0</v>
      </c>
      <c r="BC76" s="5">
        <v>0</v>
      </c>
      <c r="BD76" s="5">
        <f t="shared" si="25"/>
        <v>0</v>
      </c>
      <c r="BE76" s="5">
        <f t="shared" si="26"/>
        <v>304002</v>
      </c>
      <c r="BF76" s="5">
        <f t="shared" si="27"/>
        <v>180</v>
      </c>
      <c r="BG76" s="5">
        <f t="shared" si="27"/>
        <v>30</v>
      </c>
      <c r="BH76" s="5">
        <f t="shared" si="18"/>
        <v>30</v>
      </c>
      <c r="BI76" s="5">
        <f t="shared" si="27"/>
        <v>1</v>
      </c>
      <c r="BJ76" s="5">
        <f t="shared" si="208"/>
        <v>4</v>
      </c>
      <c r="BK76" s="5">
        <v>4</v>
      </c>
      <c r="BL76" s="5">
        <f t="shared" si="63"/>
        <v>1</v>
      </c>
      <c r="BM76" s="5">
        <f t="shared" si="28"/>
        <v>30</v>
      </c>
      <c r="BN76" s="5">
        <f t="shared" si="28"/>
        <v>180</v>
      </c>
      <c r="BO76" s="5">
        <f t="shared" si="28"/>
        <v>108006</v>
      </c>
      <c r="BP76" s="5">
        <f t="shared" si="28"/>
        <v>3</v>
      </c>
      <c r="BQ76" s="5">
        <f t="shared" si="64"/>
        <v>2</v>
      </c>
      <c r="BR76" s="5">
        <f>50*BT76*3-360/BM76*BJ76*BQ76</f>
        <v>504</v>
      </c>
      <c r="BS76" s="4">
        <v>3</v>
      </c>
      <c r="BT76" s="4">
        <v>4</v>
      </c>
      <c r="BU76" s="4">
        <f t="shared" si="29"/>
        <v>0</v>
      </c>
      <c r="BV76" s="4">
        <f t="shared" si="189"/>
        <v>4</v>
      </c>
      <c r="BW76" s="4">
        <f t="shared" si="190"/>
        <v>4</v>
      </c>
      <c r="BX76" s="14">
        <f t="shared" si="191"/>
        <v>0.6399999999999999</v>
      </c>
      <c r="BY76" s="14">
        <f t="shared" si="192"/>
        <v>0.4</v>
      </c>
      <c r="BZ76" s="5" t="s">
        <v>210</v>
      </c>
      <c r="CA76" s="8" t="str">
        <f t="shared" si="113"/>
        <v>elite_monster_11</v>
      </c>
      <c r="CB76" s="8" t="str">
        <f t="shared" si="113"/>
        <v>elite_monster_11</v>
      </c>
      <c r="CC76" s="5">
        <v>0</v>
      </c>
      <c r="CD76" s="8">
        <f t="shared" si="30"/>
        <v>1</v>
      </c>
      <c r="CE76" s="5">
        <f t="shared" si="193"/>
        <v>0</v>
      </c>
      <c r="CF76" s="5">
        <f t="shared" si="31"/>
        <v>0</v>
      </c>
      <c r="CG76" s="10" t="s">
        <v>279</v>
      </c>
      <c r="CH76" s="5">
        <f t="shared" si="47"/>
        <v>3</v>
      </c>
      <c r="CI76" s="5">
        <v>0</v>
      </c>
      <c r="CJ76" s="4">
        <v>1</v>
      </c>
      <c r="CK76" s="5">
        <v>0</v>
      </c>
      <c r="CL76" s="5">
        <v>0</v>
      </c>
      <c r="CM76" s="20">
        <f t="shared" si="32"/>
        <v>0</v>
      </c>
      <c r="CN76" s="8">
        <f t="shared" si="32"/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8">
        <f t="shared" ref="CV76:CY76" si="221">CV55</f>
        <v>0.8</v>
      </c>
      <c r="CW76" s="8">
        <f t="shared" si="221"/>
        <v>0.6</v>
      </c>
      <c r="CX76" s="8">
        <f t="shared" si="221"/>
        <v>1</v>
      </c>
      <c r="CY76" s="8">
        <f t="shared" si="221"/>
        <v>1</v>
      </c>
      <c r="CZ76" s="8">
        <f t="shared" si="34"/>
        <v>2</v>
      </c>
      <c r="DA76" s="6">
        <f t="shared" si="180"/>
        <v>200</v>
      </c>
      <c r="DB76" s="5">
        <f t="shared" si="35"/>
        <v>0</v>
      </c>
      <c r="DC76" s="5">
        <f t="shared" si="195"/>
        <v>0.28749999999999998</v>
      </c>
      <c r="DD76" s="6">
        <f t="shared" si="181"/>
        <v>0.28749999999999998</v>
      </c>
      <c r="DE76" s="6">
        <f t="shared" si="49"/>
        <v>0.5</v>
      </c>
      <c r="DF76" s="5">
        <v>0</v>
      </c>
      <c r="DG76" s="8">
        <f t="shared" si="36"/>
        <v>3</v>
      </c>
      <c r="DH76" s="5">
        <v>2</v>
      </c>
      <c r="DI76" s="8">
        <f t="shared" si="37"/>
        <v>0</v>
      </c>
      <c r="DJ76" s="5">
        <f t="shared" si="182"/>
        <v>0</v>
      </c>
      <c r="DK76" s="8">
        <v>0</v>
      </c>
      <c r="DL76" s="5">
        <f t="shared" si="183"/>
        <v>0</v>
      </c>
      <c r="DM76" s="5" t="s">
        <v>279</v>
      </c>
      <c r="DN76" s="8">
        <f t="shared" ref="DN76:DP76" si="222">DN55</f>
        <v>6</v>
      </c>
      <c r="DO76" s="8">
        <f t="shared" si="222"/>
        <v>0</v>
      </c>
      <c r="DP76" s="5">
        <f t="shared" si="222"/>
        <v>1</v>
      </c>
      <c r="DQ76" s="8">
        <f t="shared" si="150"/>
        <v>1</v>
      </c>
      <c r="DR76" s="5">
        <f t="shared" si="197"/>
        <v>1.1700000000000002</v>
      </c>
      <c r="DS76" s="8">
        <f t="shared" si="40"/>
        <v>1.3</v>
      </c>
      <c r="DT76" s="8">
        <f t="shared" si="41"/>
        <v>-0.5</v>
      </c>
      <c r="DU76" s="8">
        <f t="shared" si="41"/>
        <v>0.5</v>
      </c>
      <c r="DV76" s="8">
        <f t="shared" si="41"/>
        <v>0.2</v>
      </c>
      <c r="DW76" s="5">
        <f t="shared" si="185"/>
        <v>0.41666666666666669</v>
      </c>
      <c r="DX76" s="8">
        <f t="shared" si="43"/>
        <v>5</v>
      </c>
      <c r="DY76" s="8">
        <f t="shared" si="44"/>
        <v>0</v>
      </c>
      <c r="DZ76" s="8">
        <f t="shared" si="45"/>
        <v>0</v>
      </c>
      <c r="EA76" s="5"/>
    </row>
    <row r="77" spans="1:131" x14ac:dyDescent="0.15">
      <c r="A77" s="10">
        <v>201075</v>
      </c>
      <c r="B77" s="10" t="s">
        <v>280</v>
      </c>
      <c r="C77" s="5"/>
      <c r="D77" s="5"/>
      <c r="E77" s="5"/>
      <c r="F77" s="5">
        <v>0</v>
      </c>
      <c r="G77" s="45"/>
      <c r="H77" s="5"/>
      <c r="I77" s="5"/>
      <c r="J77" s="5"/>
      <c r="K77" s="5"/>
      <c r="L77" s="10"/>
      <c r="M77" s="5"/>
      <c r="N77" s="10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20"/>
      <c r="AF77" s="5"/>
      <c r="AG77" s="5"/>
      <c r="AH77" s="5"/>
      <c r="AI77" s="5"/>
      <c r="AJ77" s="5"/>
      <c r="AK77" s="5"/>
      <c r="AL77" s="5"/>
      <c r="AM77" s="5"/>
      <c r="AN77" s="8"/>
      <c r="AO77" s="5">
        <v>0</v>
      </c>
      <c r="AP77" s="10" t="s">
        <v>280</v>
      </c>
      <c r="AQ77" s="5">
        <v>0</v>
      </c>
      <c r="AR77" s="8">
        <f t="shared" si="19"/>
        <v>5</v>
      </c>
      <c r="AS77" s="6">
        <f t="shared" si="186"/>
        <v>60</v>
      </c>
      <c r="AT77" s="6">
        <f t="shared" si="187"/>
        <v>72</v>
      </c>
      <c r="AU77" s="5">
        <f t="shared" si="20"/>
        <v>0</v>
      </c>
      <c r="AV77" s="5">
        <f t="shared" si="21"/>
        <v>1</v>
      </c>
      <c r="AW77" s="5">
        <f t="shared" si="22"/>
        <v>0</v>
      </c>
      <c r="AX77" s="5">
        <f t="shared" ref="AX77" si="223">AX56</f>
        <v>0</v>
      </c>
      <c r="AY77" s="5">
        <f t="shared" si="22"/>
        <v>1</v>
      </c>
      <c r="AZ77" s="8">
        <f t="shared" si="24"/>
        <v>43</v>
      </c>
      <c r="BA77" s="5">
        <f t="shared" si="16"/>
        <v>203012</v>
      </c>
      <c r="BB77" s="5">
        <v>0</v>
      </c>
      <c r="BC77" s="5">
        <v>0</v>
      </c>
      <c r="BD77" s="5">
        <f t="shared" si="25"/>
        <v>0</v>
      </c>
      <c r="BE77" s="5">
        <f t="shared" si="26"/>
        <v>0</v>
      </c>
      <c r="BF77" s="5">
        <f t="shared" si="27"/>
        <v>0</v>
      </c>
      <c r="BG77" s="5">
        <f t="shared" si="27"/>
        <v>0</v>
      </c>
      <c r="BH77" s="5">
        <f t="shared" si="18"/>
        <v>0</v>
      </c>
      <c r="BI77" s="5">
        <f t="shared" si="27"/>
        <v>0</v>
      </c>
      <c r="BJ77" s="5">
        <f t="shared" si="208"/>
        <v>0</v>
      </c>
      <c r="BK77" s="5">
        <v>0</v>
      </c>
      <c r="BL77" s="5">
        <f t="shared" si="63"/>
        <v>0</v>
      </c>
      <c r="BM77" s="5">
        <f t="shared" si="28"/>
        <v>0</v>
      </c>
      <c r="BN77" s="5">
        <f t="shared" si="28"/>
        <v>0</v>
      </c>
      <c r="BO77" s="5">
        <f t="shared" si="28"/>
        <v>0</v>
      </c>
      <c r="BP77" s="5">
        <f t="shared" si="28"/>
        <v>0</v>
      </c>
      <c r="BQ77" s="5">
        <f t="shared" si="64"/>
        <v>0</v>
      </c>
      <c r="BR77" s="5"/>
      <c r="BS77" s="4">
        <v>3</v>
      </c>
      <c r="BT77" s="4">
        <v>4</v>
      </c>
      <c r="BU77" s="4">
        <f t="shared" si="29"/>
        <v>0</v>
      </c>
      <c r="BV77" s="4">
        <f t="shared" si="189"/>
        <v>4</v>
      </c>
      <c r="BW77" s="4">
        <f t="shared" si="190"/>
        <v>4</v>
      </c>
      <c r="BX77" s="14">
        <f t="shared" si="191"/>
        <v>0.6399999999999999</v>
      </c>
      <c r="BY77" s="14">
        <f t="shared" si="192"/>
        <v>0.4</v>
      </c>
      <c r="BZ77" s="5" t="s">
        <v>213</v>
      </c>
      <c r="CA77" s="8" t="str">
        <f t="shared" si="113"/>
        <v>elite_monster_12</v>
      </c>
      <c r="CB77" s="8" t="str">
        <f t="shared" si="113"/>
        <v>elite_monster_12</v>
      </c>
      <c r="CC77" s="5">
        <v>0</v>
      </c>
      <c r="CD77" s="8">
        <f t="shared" si="30"/>
        <v>1</v>
      </c>
      <c r="CE77" s="5">
        <f t="shared" si="193"/>
        <v>0</v>
      </c>
      <c r="CF77" s="5">
        <f t="shared" si="31"/>
        <v>0</v>
      </c>
      <c r="CG77" s="10" t="s">
        <v>280</v>
      </c>
      <c r="CH77" s="5">
        <f t="shared" si="47"/>
        <v>0</v>
      </c>
      <c r="CI77" s="5">
        <v>0</v>
      </c>
      <c r="CJ77" s="4">
        <v>1</v>
      </c>
      <c r="CK77" s="5">
        <v>0</v>
      </c>
      <c r="CL77" s="5">
        <v>0</v>
      </c>
      <c r="CM77" s="20">
        <f t="shared" si="32"/>
        <v>0</v>
      </c>
      <c r="CN77" s="8">
        <f t="shared" si="32"/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8">
        <f t="shared" ref="CV77:CY77" si="224">CV56</f>
        <v>0.8</v>
      </c>
      <c r="CW77" s="8">
        <f t="shared" si="224"/>
        <v>0.6</v>
      </c>
      <c r="CX77" s="8">
        <f t="shared" si="224"/>
        <v>1</v>
      </c>
      <c r="CY77" s="8">
        <f t="shared" si="224"/>
        <v>1</v>
      </c>
      <c r="CZ77" s="8">
        <f t="shared" si="34"/>
        <v>0.8</v>
      </c>
      <c r="DA77" s="6">
        <f t="shared" si="180"/>
        <v>80</v>
      </c>
      <c r="DB77" s="5">
        <f t="shared" si="35"/>
        <v>1</v>
      </c>
      <c r="DC77" s="5">
        <f t="shared" si="195"/>
        <v>0.45999999999999996</v>
      </c>
      <c r="DD77" s="6">
        <f t="shared" si="181"/>
        <v>0.45999999999999996</v>
      </c>
      <c r="DE77" s="6">
        <f t="shared" si="49"/>
        <v>0.8</v>
      </c>
      <c r="DF77" s="5">
        <v>0</v>
      </c>
      <c r="DG77" s="8">
        <f t="shared" si="36"/>
        <v>3.5</v>
      </c>
      <c r="DH77" s="5">
        <v>2</v>
      </c>
      <c r="DI77" s="8">
        <f t="shared" si="37"/>
        <v>0</v>
      </c>
      <c r="DJ77" s="5">
        <f t="shared" si="182"/>
        <v>0</v>
      </c>
      <c r="DK77" s="8">
        <v>0</v>
      </c>
      <c r="DL77" s="5">
        <f t="shared" si="183"/>
        <v>0</v>
      </c>
      <c r="DM77" s="5" t="s">
        <v>280</v>
      </c>
      <c r="DN77" s="8">
        <f t="shared" ref="DN77:DP77" si="225">DN56</f>
        <v>4</v>
      </c>
      <c r="DO77" s="8">
        <f t="shared" si="225"/>
        <v>0</v>
      </c>
      <c r="DP77" s="5">
        <f t="shared" si="225"/>
        <v>0</v>
      </c>
      <c r="DQ77" s="8">
        <f t="shared" si="150"/>
        <v>0</v>
      </c>
      <c r="DR77" s="5">
        <f t="shared" si="197"/>
        <v>0.9</v>
      </c>
      <c r="DS77" s="8">
        <f t="shared" si="40"/>
        <v>1</v>
      </c>
      <c r="DT77" s="8">
        <f t="shared" si="41"/>
        <v>-0.5</v>
      </c>
      <c r="DU77" s="8">
        <f t="shared" si="41"/>
        <v>0.5</v>
      </c>
      <c r="DV77" s="8">
        <f t="shared" si="41"/>
        <v>0.2</v>
      </c>
      <c r="DW77" s="5">
        <f t="shared" si="185"/>
        <v>0.33333333333333331</v>
      </c>
      <c r="DX77" s="8">
        <f t="shared" si="43"/>
        <v>4</v>
      </c>
      <c r="DY77" s="8">
        <f t="shared" si="44"/>
        <v>0</v>
      </c>
      <c r="DZ77" s="8">
        <f t="shared" si="45"/>
        <v>0</v>
      </c>
      <c r="EA77" s="5"/>
    </row>
    <row r="78" spans="1:131" x14ac:dyDescent="0.15">
      <c r="A78" s="10">
        <v>201076</v>
      </c>
      <c r="B78" s="10" t="s">
        <v>281</v>
      </c>
      <c r="C78" s="5"/>
      <c r="D78" s="5"/>
      <c r="E78" s="5"/>
      <c r="F78" s="5">
        <v>0</v>
      </c>
      <c r="G78" s="45"/>
      <c r="H78" s="5"/>
      <c r="I78" s="5"/>
      <c r="J78" s="5"/>
      <c r="K78" s="5"/>
      <c r="L78" s="10"/>
      <c r="M78" s="5"/>
      <c r="N78" s="10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20"/>
      <c r="AF78" s="5"/>
      <c r="AG78" s="5"/>
      <c r="AH78" s="5"/>
      <c r="AI78" s="5"/>
      <c r="AJ78" s="5"/>
      <c r="AK78" s="5"/>
      <c r="AL78" s="5"/>
      <c r="AM78" s="5"/>
      <c r="AN78" s="8"/>
      <c r="AO78" s="5">
        <v>0</v>
      </c>
      <c r="AP78" s="10" t="s">
        <v>281</v>
      </c>
      <c r="AQ78" s="5">
        <v>0</v>
      </c>
      <c r="AR78" s="8">
        <f t="shared" si="19"/>
        <v>2</v>
      </c>
      <c r="AS78" s="6">
        <f t="shared" si="186"/>
        <v>24</v>
      </c>
      <c r="AT78" s="6">
        <f t="shared" si="187"/>
        <v>36</v>
      </c>
      <c r="AU78" s="5">
        <f t="shared" si="20"/>
        <v>0</v>
      </c>
      <c r="AV78" s="5">
        <f t="shared" si="21"/>
        <v>1</v>
      </c>
      <c r="AW78" s="5">
        <f t="shared" si="22"/>
        <v>1</v>
      </c>
      <c r="AX78" s="5">
        <f t="shared" ref="AX78" si="226">AX57</f>
        <v>1</v>
      </c>
      <c r="AY78" s="5">
        <f t="shared" si="22"/>
        <v>1</v>
      </c>
      <c r="AZ78" s="8">
        <f t="shared" si="24"/>
        <v>43</v>
      </c>
      <c r="BA78" s="5">
        <f t="shared" si="16"/>
        <v>203013</v>
      </c>
      <c r="BB78" s="5">
        <v>0</v>
      </c>
      <c r="BC78" s="5">
        <v>0</v>
      </c>
      <c r="BD78" s="5">
        <f t="shared" si="25"/>
        <v>0</v>
      </c>
      <c r="BE78" s="5">
        <f t="shared" si="26"/>
        <v>0</v>
      </c>
      <c r="BF78" s="5">
        <f t="shared" si="27"/>
        <v>0</v>
      </c>
      <c r="BG78" s="5">
        <f t="shared" si="27"/>
        <v>0</v>
      </c>
      <c r="BH78" s="5">
        <f t="shared" si="18"/>
        <v>0</v>
      </c>
      <c r="BI78" s="5">
        <f t="shared" si="27"/>
        <v>0</v>
      </c>
      <c r="BJ78" s="5">
        <f t="shared" si="208"/>
        <v>0</v>
      </c>
      <c r="BK78" s="5">
        <v>0</v>
      </c>
      <c r="BL78" s="5">
        <f t="shared" si="63"/>
        <v>0</v>
      </c>
      <c r="BM78" s="5">
        <f t="shared" si="28"/>
        <v>0</v>
      </c>
      <c r="BN78" s="5">
        <f t="shared" si="28"/>
        <v>0</v>
      </c>
      <c r="BO78" s="5">
        <f t="shared" si="28"/>
        <v>0</v>
      </c>
      <c r="BP78" s="5">
        <f t="shared" si="28"/>
        <v>0</v>
      </c>
      <c r="BQ78" s="5">
        <f t="shared" si="64"/>
        <v>0</v>
      </c>
      <c r="BR78" s="5"/>
      <c r="BS78" s="4">
        <v>3</v>
      </c>
      <c r="BT78" s="4">
        <v>4</v>
      </c>
      <c r="BU78" s="4">
        <f t="shared" si="29"/>
        <v>0</v>
      </c>
      <c r="BV78" s="4">
        <f t="shared" si="189"/>
        <v>4</v>
      </c>
      <c r="BW78" s="4">
        <f t="shared" si="190"/>
        <v>4</v>
      </c>
      <c r="BX78" s="14">
        <f t="shared" si="191"/>
        <v>0.6399999999999999</v>
      </c>
      <c r="BY78" s="14">
        <f t="shared" si="192"/>
        <v>0.4</v>
      </c>
      <c r="BZ78" s="5" t="s">
        <v>216</v>
      </c>
      <c r="CA78" s="8" t="str">
        <f t="shared" si="113"/>
        <v>elite_monster_13</v>
      </c>
      <c r="CB78" s="8" t="str">
        <f t="shared" si="113"/>
        <v>elite_monster_13</v>
      </c>
      <c r="CC78" s="5">
        <v>0</v>
      </c>
      <c r="CD78" s="8">
        <f t="shared" si="30"/>
        <v>1</v>
      </c>
      <c r="CE78" s="5">
        <f t="shared" si="193"/>
        <v>0</v>
      </c>
      <c r="CF78" s="5">
        <f t="shared" si="31"/>
        <v>0</v>
      </c>
      <c r="CG78" s="10" t="s">
        <v>281</v>
      </c>
      <c r="CH78" s="5">
        <f t="shared" si="47"/>
        <v>3</v>
      </c>
      <c r="CI78" s="5">
        <v>0</v>
      </c>
      <c r="CJ78" s="4">
        <v>1</v>
      </c>
      <c r="CK78" s="5">
        <v>0</v>
      </c>
      <c r="CL78" s="5">
        <v>0</v>
      </c>
      <c r="CM78" s="20">
        <f t="shared" si="32"/>
        <v>0</v>
      </c>
      <c r="CN78" s="8">
        <f t="shared" si="32"/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8">
        <f t="shared" ref="CV78:CY78" si="227">CV57</f>
        <v>0.8</v>
      </c>
      <c r="CW78" s="8">
        <f t="shared" si="227"/>
        <v>0.6</v>
      </c>
      <c r="CX78" s="8">
        <f t="shared" si="227"/>
        <v>1</v>
      </c>
      <c r="CY78" s="8">
        <f t="shared" si="227"/>
        <v>1</v>
      </c>
      <c r="CZ78" s="8">
        <f t="shared" si="34"/>
        <v>1</v>
      </c>
      <c r="DA78" s="6">
        <f t="shared" si="180"/>
        <v>100</v>
      </c>
      <c r="DB78" s="5">
        <f t="shared" si="35"/>
        <v>0</v>
      </c>
      <c r="DC78" s="5">
        <f t="shared" si="195"/>
        <v>0.51749999999999996</v>
      </c>
      <c r="DD78" s="6">
        <f t="shared" si="181"/>
        <v>0.51749999999999996</v>
      </c>
      <c r="DE78" s="6">
        <f t="shared" si="49"/>
        <v>0.9</v>
      </c>
      <c r="DF78" s="5">
        <v>0</v>
      </c>
      <c r="DG78" s="8">
        <f t="shared" si="36"/>
        <v>2.75</v>
      </c>
      <c r="DH78" s="5">
        <v>1.75</v>
      </c>
      <c r="DI78" s="8">
        <f t="shared" si="37"/>
        <v>0</v>
      </c>
      <c r="DJ78" s="5">
        <f t="shared" si="182"/>
        <v>0</v>
      </c>
      <c r="DK78" s="8">
        <v>0</v>
      </c>
      <c r="DL78" s="5">
        <f t="shared" si="183"/>
        <v>0</v>
      </c>
      <c r="DM78" s="5" t="s">
        <v>281</v>
      </c>
      <c r="DN78" s="8">
        <f t="shared" ref="DN78:DP78" si="228">DN57</f>
        <v>6</v>
      </c>
      <c r="DO78" s="8">
        <f t="shared" si="228"/>
        <v>0</v>
      </c>
      <c r="DP78" s="5">
        <f t="shared" si="228"/>
        <v>0</v>
      </c>
      <c r="DQ78" s="8">
        <f t="shared" si="150"/>
        <v>0</v>
      </c>
      <c r="DR78" s="5">
        <f t="shared" si="197"/>
        <v>0.9</v>
      </c>
      <c r="DS78" s="8">
        <f t="shared" si="40"/>
        <v>1</v>
      </c>
      <c r="DT78" s="8">
        <f t="shared" si="41"/>
        <v>-0.5</v>
      </c>
      <c r="DU78" s="8">
        <f t="shared" si="41"/>
        <v>0.5</v>
      </c>
      <c r="DV78" s="8">
        <f t="shared" si="41"/>
        <v>0.25</v>
      </c>
      <c r="DW78" s="5">
        <f t="shared" si="185"/>
        <v>0.66666666666666663</v>
      </c>
      <c r="DX78" s="8">
        <f t="shared" si="43"/>
        <v>8</v>
      </c>
      <c r="DY78" s="8">
        <f t="shared" si="44"/>
        <v>0</v>
      </c>
      <c r="DZ78" s="8">
        <f t="shared" si="45"/>
        <v>0</v>
      </c>
      <c r="EA78" s="5"/>
    </row>
    <row r="79" spans="1:131" x14ac:dyDescent="0.15">
      <c r="A79" s="10">
        <v>201077</v>
      </c>
      <c r="B79" s="10" t="s">
        <v>282</v>
      </c>
      <c r="C79" s="5"/>
      <c r="D79" s="5"/>
      <c r="E79" s="5"/>
      <c r="F79" s="5">
        <v>0</v>
      </c>
      <c r="G79" s="45"/>
      <c r="H79" s="5"/>
      <c r="I79" s="5"/>
      <c r="J79" s="5"/>
      <c r="K79" s="5"/>
      <c r="L79" s="10"/>
      <c r="M79" s="5"/>
      <c r="N79" s="10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20"/>
      <c r="AF79" s="5"/>
      <c r="AG79" s="5"/>
      <c r="AH79" s="5"/>
      <c r="AI79" s="5"/>
      <c r="AJ79" s="5"/>
      <c r="AK79" s="5"/>
      <c r="AL79" s="5"/>
      <c r="AM79" s="5"/>
      <c r="AN79" s="8"/>
      <c r="AO79" s="5">
        <v>0</v>
      </c>
      <c r="AP79" s="10" t="s">
        <v>282</v>
      </c>
      <c r="AQ79" s="5">
        <v>0</v>
      </c>
      <c r="AR79" s="8">
        <f t="shared" si="19"/>
        <v>5</v>
      </c>
      <c r="AS79" s="6">
        <f t="shared" si="186"/>
        <v>60</v>
      </c>
      <c r="AT79" s="6">
        <f t="shared" si="187"/>
        <v>72</v>
      </c>
      <c r="AU79" s="5">
        <f t="shared" si="20"/>
        <v>0.2</v>
      </c>
      <c r="AV79" s="5">
        <f t="shared" si="21"/>
        <v>1</v>
      </c>
      <c r="AW79" s="5">
        <f t="shared" si="22"/>
        <v>0</v>
      </c>
      <c r="AX79" s="5">
        <f t="shared" ref="AX79" si="229">AX58</f>
        <v>0</v>
      </c>
      <c r="AY79" s="5">
        <f t="shared" si="22"/>
        <v>0</v>
      </c>
      <c r="AZ79" s="8">
        <f t="shared" si="24"/>
        <v>43</v>
      </c>
      <c r="BA79" s="5">
        <f t="shared" si="16"/>
        <v>203014</v>
      </c>
      <c r="BB79" s="5">
        <v>0</v>
      </c>
      <c r="BC79" s="5">
        <v>0</v>
      </c>
      <c r="BD79" s="5">
        <f t="shared" si="25"/>
        <v>0</v>
      </c>
      <c r="BE79" s="5">
        <f t="shared" si="26"/>
        <v>0</v>
      </c>
      <c r="BF79" s="5">
        <f t="shared" si="27"/>
        <v>0</v>
      </c>
      <c r="BG79" s="5">
        <f t="shared" si="27"/>
        <v>0</v>
      </c>
      <c r="BH79" s="5">
        <f t="shared" si="18"/>
        <v>0</v>
      </c>
      <c r="BI79" s="5">
        <f t="shared" si="27"/>
        <v>0</v>
      </c>
      <c r="BJ79" s="5">
        <f t="shared" si="208"/>
        <v>0</v>
      </c>
      <c r="BK79" s="5">
        <v>0</v>
      </c>
      <c r="BL79" s="5">
        <f t="shared" si="63"/>
        <v>0</v>
      </c>
      <c r="BM79" s="5">
        <f t="shared" si="28"/>
        <v>0</v>
      </c>
      <c r="BN79" s="5">
        <f t="shared" si="28"/>
        <v>0</v>
      </c>
      <c r="BO79" s="5">
        <f t="shared" si="28"/>
        <v>0</v>
      </c>
      <c r="BP79" s="5">
        <f t="shared" si="28"/>
        <v>0</v>
      </c>
      <c r="BQ79" s="5">
        <f t="shared" si="64"/>
        <v>0</v>
      </c>
      <c r="BR79" s="5"/>
      <c r="BS79" s="4">
        <v>3</v>
      </c>
      <c r="BT79" s="4">
        <v>4</v>
      </c>
      <c r="BU79" s="4">
        <f t="shared" si="29"/>
        <v>0</v>
      </c>
      <c r="BV79" s="4">
        <f t="shared" si="189"/>
        <v>4</v>
      </c>
      <c r="BW79" s="4">
        <f t="shared" si="190"/>
        <v>4</v>
      </c>
      <c r="BX79" s="14">
        <f t="shared" si="191"/>
        <v>0.6399999999999999</v>
      </c>
      <c r="BY79" s="14">
        <f t="shared" si="192"/>
        <v>0.4</v>
      </c>
      <c r="BZ79" s="5" t="s">
        <v>219</v>
      </c>
      <c r="CA79" s="8" t="str">
        <f t="shared" si="113"/>
        <v>elite_monster_14</v>
      </c>
      <c r="CB79" s="8" t="str">
        <f t="shared" si="113"/>
        <v>elite_monster_14</v>
      </c>
      <c r="CC79" s="5">
        <v>0</v>
      </c>
      <c r="CD79" s="8">
        <f t="shared" si="30"/>
        <v>1</v>
      </c>
      <c r="CE79" s="5">
        <f t="shared" si="193"/>
        <v>8</v>
      </c>
      <c r="CF79" s="5">
        <f>CF58</f>
        <v>2</v>
      </c>
      <c r="CG79" s="10" t="s">
        <v>282</v>
      </c>
      <c r="CH79" s="5">
        <f t="shared" si="47"/>
        <v>0</v>
      </c>
      <c r="CI79" s="5">
        <v>113</v>
      </c>
      <c r="CJ79" s="4">
        <v>1</v>
      </c>
      <c r="CK79" s="5">
        <v>0</v>
      </c>
      <c r="CL79" s="5">
        <v>0</v>
      </c>
      <c r="CM79" s="20">
        <f t="shared" si="32"/>
        <v>113</v>
      </c>
      <c r="CN79" s="8">
        <f t="shared" si="32"/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8">
        <f t="shared" ref="CV79:CY79" si="230">CV58</f>
        <v>0.8</v>
      </c>
      <c r="CW79" s="8">
        <f t="shared" si="230"/>
        <v>0.6</v>
      </c>
      <c r="CX79" s="8">
        <f t="shared" si="230"/>
        <v>1</v>
      </c>
      <c r="CY79" s="8">
        <f t="shared" si="230"/>
        <v>1</v>
      </c>
      <c r="CZ79" s="8">
        <f t="shared" si="34"/>
        <v>1</v>
      </c>
      <c r="DA79" s="6">
        <f t="shared" si="180"/>
        <v>100</v>
      </c>
      <c r="DB79" s="5">
        <f t="shared" si="35"/>
        <v>1</v>
      </c>
      <c r="DC79" s="5">
        <f t="shared" si="195"/>
        <v>0.86249999999999993</v>
      </c>
      <c r="DD79" s="6">
        <f t="shared" si="181"/>
        <v>0.86249999999999993</v>
      </c>
      <c r="DE79" s="6">
        <f t="shared" si="49"/>
        <v>1.5</v>
      </c>
      <c r="DF79" s="5">
        <v>0</v>
      </c>
      <c r="DG79" s="8">
        <f t="shared" si="36"/>
        <v>2.75</v>
      </c>
      <c r="DH79" s="5">
        <v>1.75</v>
      </c>
      <c r="DI79" s="8">
        <f t="shared" si="37"/>
        <v>0</v>
      </c>
      <c r="DJ79" s="5">
        <f t="shared" si="182"/>
        <v>0</v>
      </c>
      <c r="DK79" s="8">
        <v>0</v>
      </c>
      <c r="DL79" s="5">
        <f t="shared" si="183"/>
        <v>0</v>
      </c>
      <c r="DM79" s="5" t="s">
        <v>282</v>
      </c>
      <c r="DN79" s="8">
        <f t="shared" ref="DN79:DP79" si="231">DN58</f>
        <v>6</v>
      </c>
      <c r="DO79" s="8">
        <f t="shared" si="231"/>
        <v>0</v>
      </c>
      <c r="DP79" s="5">
        <f t="shared" si="231"/>
        <v>1</v>
      </c>
      <c r="DQ79" s="8">
        <f t="shared" si="150"/>
        <v>0</v>
      </c>
      <c r="DR79" s="5">
        <f t="shared" si="197"/>
        <v>0.9</v>
      </c>
      <c r="DS79" s="8">
        <f t="shared" si="40"/>
        <v>1</v>
      </c>
      <c r="DT79" s="8">
        <f t="shared" si="41"/>
        <v>-0.5</v>
      </c>
      <c r="DU79" s="8">
        <f t="shared" si="41"/>
        <v>0.5</v>
      </c>
      <c r="DV79" s="8">
        <f t="shared" si="41"/>
        <v>0.25</v>
      </c>
      <c r="DW79" s="5">
        <f t="shared" si="185"/>
        <v>0.33333333333333331</v>
      </c>
      <c r="DX79" s="8">
        <f t="shared" si="43"/>
        <v>4</v>
      </c>
      <c r="DY79" s="8">
        <f t="shared" si="44"/>
        <v>0</v>
      </c>
      <c r="DZ79" s="8">
        <f t="shared" si="45"/>
        <v>0</v>
      </c>
      <c r="EA79" s="5"/>
    </row>
    <row r="80" spans="1:131" x14ac:dyDescent="0.15">
      <c r="A80" s="10">
        <v>201078</v>
      </c>
      <c r="B80" s="10" t="s">
        <v>283</v>
      </c>
      <c r="C80" s="5"/>
      <c r="D80" s="5"/>
      <c r="E80" s="5"/>
      <c r="F80" s="5">
        <v>0</v>
      </c>
      <c r="G80" s="45"/>
      <c r="H80" s="5"/>
      <c r="I80" s="5"/>
      <c r="J80" s="5"/>
      <c r="K80" s="5"/>
      <c r="L80" s="10"/>
      <c r="M80" s="5"/>
      <c r="N80" s="10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20"/>
      <c r="AF80" s="5"/>
      <c r="AG80" s="5"/>
      <c r="AH80" s="5"/>
      <c r="AI80" s="5"/>
      <c r="AJ80" s="5"/>
      <c r="AK80" s="5"/>
      <c r="AL80" s="5"/>
      <c r="AM80" s="5"/>
      <c r="AN80" s="8"/>
      <c r="AO80" s="5">
        <v>0</v>
      </c>
      <c r="AP80" s="10" t="s">
        <v>283</v>
      </c>
      <c r="AQ80" s="5">
        <v>0</v>
      </c>
      <c r="AR80" s="8">
        <f t="shared" si="19"/>
        <v>2</v>
      </c>
      <c r="AS80" s="6">
        <f t="shared" si="186"/>
        <v>24</v>
      </c>
      <c r="AT80" s="6">
        <f t="shared" si="187"/>
        <v>36</v>
      </c>
      <c r="AU80" s="5">
        <f t="shared" si="20"/>
        <v>0</v>
      </c>
      <c r="AV80" s="5">
        <f t="shared" si="21"/>
        <v>0</v>
      </c>
      <c r="AW80" s="5">
        <f t="shared" si="22"/>
        <v>1</v>
      </c>
      <c r="AX80" s="5">
        <f t="shared" ref="AX80" si="232">AX59</f>
        <v>1</v>
      </c>
      <c r="AY80" s="5">
        <f t="shared" si="22"/>
        <v>0</v>
      </c>
      <c r="AZ80" s="8">
        <f t="shared" si="24"/>
        <v>42</v>
      </c>
      <c r="BA80" s="5">
        <f t="shared" si="16"/>
        <v>203015</v>
      </c>
      <c r="BB80" s="5">
        <v>0</v>
      </c>
      <c r="BC80" s="5">
        <v>0</v>
      </c>
      <c r="BD80" s="5">
        <f t="shared" si="25"/>
        <v>0</v>
      </c>
      <c r="BE80" s="5">
        <f t="shared" si="26"/>
        <v>0</v>
      </c>
      <c r="BF80" s="5">
        <f t="shared" si="27"/>
        <v>0</v>
      </c>
      <c r="BG80" s="5">
        <f t="shared" si="27"/>
        <v>0</v>
      </c>
      <c r="BH80" s="5">
        <f t="shared" si="18"/>
        <v>0</v>
      </c>
      <c r="BI80" s="5">
        <f t="shared" si="27"/>
        <v>0</v>
      </c>
      <c r="BJ80" s="5">
        <f t="shared" si="208"/>
        <v>0</v>
      </c>
      <c r="BK80" s="5">
        <v>0</v>
      </c>
      <c r="BL80" s="5">
        <f t="shared" si="63"/>
        <v>0</v>
      </c>
      <c r="BM80" s="5">
        <f t="shared" si="28"/>
        <v>0</v>
      </c>
      <c r="BN80" s="5">
        <f t="shared" si="28"/>
        <v>0</v>
      </c>
      <c r="BO80" s="5">
        <f t="shared" si="28"/>
        <v>0</v>
      </c>
      <c r="BP80" s="5">
        <f t="shared" si="28"/>
        <v>0</v>
      </c>
      <c r="BQ80" s="5">
        <f t="shared" si="64"/>
        <v>0</v>
      </c>
      <c r="BR80" s="5"/>
      <c r="BS80" s="4">
        <v>3</v>
      </c>
      <c r="BT80" s="4">
        <v>4</v>
      </c>
      <c r="BU80" s="4">
        <f t="shared" si="29"/>
        <v>0</v>
      </c>
      <c r="BV80" s="4">
        <f t="shared" si="189"/>
        <v>4</v>
      </c>
      <c r="BW80" s="4">
        <f t="shared" si="190"/>
        <v>4</v>
      </c>
      <c r="BX80" s="14">
        <f t="shared" si="191"/>
        <v>0.6399999999999999</v>
      </c>
      <c r="BY80" s="14">
        <f t="shared" si="192"/>
        <v>0.4</v>
      </c>
      <c r="BZ80" s="5" t="s">
        <v>222</v>
      </c>
      <c r="CA80" s="8" t="str">
        <f t="shared" si="113"/>
        <v>elite_monster_15</v>
      </c>
      <c r="CB80" s="8" t="str">
        <f t="shared" si="113"/>
        <v>elite_monster_15</v>
      </c>
      <c r="CC80" s="5">
        <v>0</v>
      </c>
      <c r="CD80" s="8">
        <f t="shared" si="30"/>
        <v>1</v>
      </c>
      <c r="CE80" s="5">
        <f t="shared" si="193"/>
        <v>0</v>
      </c>
      <c r="CF80" s="5">
        <f t="shared" si="31"/>
        <v>0</v>
      </c>
      <c r="CG80" s="10" t="s">
        <v>283</v>
      </c>
      <c r="CH80" s="5">
        <f t="shared" si="47"/>
        <v>0</v>
      </c>
      <c r="CI80" s="5">
        <v>0</v>
      </c>
      <c r="CJ80" s="4">
        <v>1</v>
      </c>
      <c r="CK80" s="5">
        <v>0</v>
      </c>
      <c r="CL80" s="5">
        <v>0</v>
      </c>
      <c r="CM80" s="20">
        <f t="shared" si="32"/>
        <v>0</v>
      </c>
      <c r="CN80" s="8">
        <f t="shared" si="32"/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8">
        <f t="shared" ref="CV80:CY80" si="233">CV59</f>
        <v>0.8</v>
      </c>
      <c r="CW80" s="8">
        <f t="shared" si="233"/>
        <v>0.6</v>
      </c>
      <c r="CX80" s="8">
        <f t="shared" si="233"/>
        <v>1</v>
      </c>
      <c r="CY80" s="8">
        <f t="shared" si="233"/>
        <v>1</v>
      </c>
      <c r="CZ80" s="8">
        <f t="shared" si="34"/>
        <v>2</v>
      </c>
      <c r="DA80" s="6">
        <f t="shared" si="180"/>
        <v>200</v>
      </c>
      <c r="DB80" s="5">
        <f t="shared" si="35"/>
        <v>0</v>
      </c>
      <c r="DC80" s="5">
        <f t="shared" si="195"/>
        <v>0.17249999999999999</v>
      </c>
      <c r="DD80" s="6">
        <f t="shared" si="181"/>
        <v>0.17249999999999999</v>
      </c>
      <c r="DE80" s="6">
        <f t="shared" si="49"/>
        <v>0.3</v>
      </c>
      <c r="DF80" s="5">
        <v>0</v>
      </c>
      <c r="DG80" s="8">
        <f t="shared" si="36"/>
        <v>3</v>
      </c>
      <c r="DH80" s="5">
        <v>2</v>
      </c>
      <c r="DI80" s="8">
        <f t="shared" si="37"/>
        <v>0</v>
      </c>
      <c r="DJ80" s="5">
        <f t="shared" si="182"/>
        <v>0</v>
      </c>
      <c r="DK80" s="8">
        <v>0</v>
      </c>
      <c r="DL80" s="5">
        <f t="shared" si="183"/>
        <v>0</v>
      </c>
      <c r="DM80" s="5" t="s">
        <v>283</v>
      </c>
      <c r="DN80" s="8">
        <f t="shared" ref="DN80:DP80" si="234">DN59</f>
        <v>6</v>
      </c>
      <c r="DO80" s="8">
        <f t="shared" si="234"/>
        <v>0</v>
      </c>
      <c r="DP80" s="5">
        <f t="shared" si="234"/>
        <v>0</v>
      </c>
      <c r="DQ80" s="8">
        <f t="shared" si="150"/>
        <v>0</v>
      </c>
      <c r="DR80" s="5">
        <f t="shared" si="197"/>
        <v>0.9</v>
      </c>
      <c r="DS80" s="8">
        <f t="shared" si="40"/>
        <v>1</v>
      </c>
      <c r="DT80" s="8">
        <f t="shared" si="41"/>
        <v>-0.5</v>
      </c>
      <c r="DU80" s="8">
        <f t="shared" si="41"/>
        <v>0.5</v>
      </c>
      <c r="DV80" s="8">
        <f t="shared" si="41"/>
        <v>0.2</v>
      </c>
      <c r="DW80" s="5">
        <f t="shared" si="185"/>
        <v>0.58333333333333337</v>
      </c>
      <c r="DX80" s="8">
        <f t="shared" si="43"/>
        <v>7</v>
      </c>
      <c r="DY80" s="8">
        <f t="shared" si="44"/>
        <v>0</v>
      </c>
      <c r="DZ80" s="8">
        <f t="shared" si="45"/>
        <v>0</v>
      </c>
      <c r="EA80" s="5"/>
    </row>
    <row r="81" spans="1:131" x14ac:dyDescent="0.15">
      <c r="A81" s="10">
        <v>201079</v>
      </c>
      <c r="B81" s="10" t="s">
        <v>284</v>
      </c>
      <c r="C81" s="5"/>
      <c r="D81" s="5"/>
      <c r="E81" s="5"/>
      <c r="F81" s="5">
        <v>0</v>
      </c>
      <c r="G81" s="45"/>
      <c r="H81" s="5"/>
      <c r="I81" s="5"/>
      <c r="J81" s="5"/>
      <c r="K81" s="5"/>
      <c r="L81" s="10"/>
      <c r="M81" s="5"/>
      <c r="N81" s="10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20"/>
      <c r="AF81" s="5"/>
      <c r="AG81" s="5"/>
      <c r="AH81" s="5"/>
      <c r="AI81" s="5"/>
      <c r="AJ81" s="5"/>
      <c r="AK81" s="5"/>
      <c r="AL81" s="5"/>
      <c r="AM81" s="5"/>
      <c r="AN81" s="8"/>
      <c r="AO81" s="5">
        <v>0</v>
      </c>
      <c r="AP81" s="10" t="s">
        <v>284</v>
      </c>
      <c r="AQ81" s="5">
        <v>0</v>
      </c>
      <c r="AR81" s="8">
        <f t="shared" si="19"/>
        <v>2</v>
      </c>
      <c r="AS81" s="6">
        <f t="shared" si="186"/>
        <v>24</v>
      </c>
      <c r="AT81" s="6">
        <f t="shared" si="187"/>
        <v>36</v>
      </c>
      <c r="AU81" s="5">
        <f t="shared" si="20"/>
        <v>0</v>
      </c>
      <c r="AV81" s="5">
        <f t="shared" si="21"/>
        <v>1</v>
      </c>
      <c r="AW81" s="5">
        <f t="shared" si="22"/>
        <v>0</v>
      </c>
      <c r="AX81" s="5">
        <f t="shared" ref="AX81" si="235">AX60</f>
        <v>0</v>
      </c>
      <c r="AY81" s="5">
        <f t="shared" si="22"/>
        <v>1</v>
      </c>
      <c r="AZ81" s="8">
        <f t="shared" si="24"/>
        <v>43</v>
      </c>
      <c r="BA81" s="5">
        <f t="shared" si="16"/>
        <v>203016</v>
      </c>
      <c r="BB81" s="5">
        <v>0</v>
      </c>
      <c r="BC81" s="5">
        <v>0</v>
      </c>
      <c r="BD81" s="5">
        <f t="shared" si="25"/>
        <v>0</v>
      </c>
      <c r="BE81" s="5">
        <f t="shared" si="26"/>
        <v>306001</v>
      </c>
      <c r="BF81" s="5">
        <f t="shared" si="27"/>
        <v>0</v>
      </c>
      <c r="BG81" s="5">
        <f t="shared" si="27"/>
        <v>0</v>
      </c>
      <c r="BH81" s="5">
        <f t="shared" si="18"/>
        <v>0</v>
      </c>
      <c r="BI81" s="5">
        <f t="shared" si="27"/>
        <v>0</v>
      </c>
      <c r="BJ81" s="5">
        <f t="shared" si="208"/>
        <v>4</v>
      </c>
      <c r="BK81" s="5">
        <f>BJ81*360/BM81</f>
        <v>8</v>
      </c>
      <c r="BL81" s="5">
        <f t="shared" si="63"/>
        <v>1</v>
      </c>
      <c r="BM81" s="5">
        <f t="shared" si="28"/>
        <v>180</v>
      </c>
      <c r="BN81" s="5">
        <f t="shared" si="28"/>
        <v>180</v>
      </c>
      <c r="BO81" s="5">
        <f t="shared" si="28"/>
        <v>203017</v>
      </c>
      <c r="BP81" s="5">
        <f t="shared" si="28"/>
        <v>3</v>
      </c>
      <c r="BQ81" s="5">
        <f t="shared" si="64"/>
        <v>4</v>
      </c>
      <c r="BR81" s="5">
        <f>50*BT81*3-360/BM81*BJ81*BQ81</f>
        <v>568</v>
      </c>
      <c r="BS81" s="4">
        <v>4</v>
      </c>
      <c r="BT81" s="4">
        <v>4</v>
      </c>
      <c r="BU81" s="4">
        <f t="shared" si="29"/>
        <v>0</v>
      </c>
      <c r="BV81" s="4">
        <f t="shared" si="189"/>
        <v>4</v>
      </c>
      <c r="BW81" s="4">
        <f t="shared" si="190"/>
        <v>4</v>
      </c>
      <c r="BX81" s="14">
        <f t="shared" si="191"/>
        <v>0.6399999999999999</v>
      </c>
      <c r="BY81" s="14">
        <f t="shared" si="192"/>
        <v>0.4</v>
      </c>
      <c r="BZ81" s="5" t="s">
        <v>225</v>
      </c>
      <c r="CA81" s="8" t="str">
        <f t="shared" si="113"/>
        <v>elite_monster_16</v>
      </c>
      <c r="CB81" s="8" t="str">
        <f t="shared" si="113"/>
        <v>elite_monster_16</v>
      </c>
      <c r="CC81" s="5">
        <v>0</v>
      </c>
      <c r="CD81" s="8">
        <f t="shared" si="30"/>
        <v>2</v>
      </c>
      <c r="CE81" s="5">
        <f t="shared" si="193"/>
        <v>0</v>
      </c>
      <c r="CF81" s="5">
        <f t="shared" si="31"/>
        <v>0</v>
      </c>
      <c r="CG81" s="10" t="s">
        <v>284</v>
      </c>
      <c r="CH81" s="5">
        <f t="shared" si="47"/>
        <v>3</v>
      </c>
      <c r="CI81" s="5">
        <v>114</v>
      </c>
      <c r="CJ81" s="4">
        <v>1</v>
      </c>
      <c r="CK81" s="5">
        <v>0</v>
      </c>
      <c r="CL81" s="5">
        <v>0</v>
      </c>
      <c r="CM81" s="20">
        <f t="shared" si="32"/>
        <v>0</v>
      </c>
      <c r="CN81" s="8">
        <f t="shared" si="32"/>
        <v>0</v>
      </c>
      <c r="CO81" s="5">
        <v>0</v>
      </c>
      <c r="CP81" s="5">
        <v>0</v>
      </c>
      <c r="CQ81" s="5">
        <v>201059</v>
      </c>
      <c r="CR81" s="5">
        <v>5</v>
      </c>
      <c r="CS81" s="5">
        <v>0</v>
      </c>
      <c r="CT81" s="5">
        <v>0</v>
      </c>
      <c r="CU81" s="5">
        <v>0</v>
      </c>
      <c r="CV81" s="8">
        <f t="shared" ref="CV81:CY81" si="236">CV60</f>
        <v>0.8</v>
      </c>
      <c r="CW81" s="8">
        <f t="shared" si="236"/>
        <v>0.6</v>
      </c>
      <c r="CX81" s="8">
        <f t="shared" si="236"/>
        <v>1</v>
      </c>
      <c r="CY81" s="8">
        <f t="shared" si="236"/>
        <v>1</v>
      </c>
      <c r="CZ81" s="8">
        <f t="shared" si="34"/>
        <v>0.8</v>
      </c>
      <c r="DA81" s="6">
        <f t="shared" si="180"/>
        <v>80</v>
      </c>
      <c r="DB81" s="5">
        <f t="shared" si="35"/>
        <v>1</v>
      </c>
      <c r="DC81" s="5">
        <f t="shared" si="195"/>
        <v>0.29899999999999999</v>
      </c>
      <c r="DD81" s="6">
        <f t="shared" si="181"/>
        <v>0.29899999999999999</v>
      </c>
      <c r="DE81" s="6">
        <f t="shared" si="49"/>
        <v>0.52</v>
      </c>
      <c r="DF81" s="5">
        <v>0</v>
      </c>
      <c r="DG81" s="8">
        <f t="shared" si="36"/>
        <v>3</v>
      </c>
      <c r="DH81" s="5">
        <v>2</v>
      </c>
      <c r="DI81" s="8">
        <f t="shared" si="37"/>
        <v>2</v>
      </c>
      <c r="DJ81" s="5">
        <f t="shared" si="182"/>
        <v>30</v>
      </c>
      <c r="DK81" s="8">
        <v>0</v>
      </c>
      <c r="DL81" s="5">
        <f t="shared" si="183"/>
        <v>0</v>
      </c>
      <c r="DM81" s="5" t="s">
        <v>284</v>
      </c>
      <c r="DN81" s="8">
        <f t="shared" ref="DN81:DP81" si="237">DN60</f>
        <v>6</v>
      </c>
      <c r="DO81" s="8">
        <f t="shared" si="237"/>
        <v>0</v>
      </c>
      <c r="DP81" s="5">
        <f t="shared" si="237"/>
        <v>0</v>
      </c>
      <c r="DQ81" s="8">
        <f t="shared" si="150"/>
        <v>0</v>
      </c>
      <c r="DR81" s="5">
        <f t="shared" si="197"/>
        <v>4.5</v>
      </c>
      <c r="DS81" s="8">
        <f t="shared" si="40"/>
        <v>5</v>
      </c>
      <c r="DT81" s="8">
        <f t="shared" si="41"/>
        <v>-5</v>
      </c>
      <c r="DU81" s="8">
        <f t="shared" si="41"/>
        <v>0</v>
      </c>
      <c r="DV81" s="8">
        <f t="shared" si="41"/>
        <v>0.2</v>
      </c>
      <c r="DW81" s="5">
        <f t="shared" si="185"/>
        <v>0.5</v>
      </c>
      <c r="DX81" s="8">
        <f t="shared" si="43"/>
        <v>6</v>
      </c>
      <c r="DY81" s="8">
        <f t="shared" si="44"/>
        <v>0</v>
      </c>
      <c r="DZ81" s="8">
        <f t="shared" si="45"/>
        <v>0</v>
      </c>
      <c r="EA81" s="5"/>
    </row>
    <row r="82" spans="1:131" x14ac:dyDescent="0.15">
      <c r="A82" s="10">
        <v>201080</v>
      </c>
      <c r="B82" s="10" t="s">
        <v>285</v>
      </c>
      <c r="C82" s="5"/>
      <c r="D82" s="5"/>
      <c r="E82" s="5"/>
      <c r="F82" s="5">
        <v>0</v>
      </c>
      <c r="G82" s="45"/>
      <c r="H82" s="5"/>
      <c r="I82" s="5"/>
      <c r="J82" s="5"/>
      <c r="K82" s="5"/>
      <c r="L82" s="10"/>
      <c r="M82" s="5"/>
      <c r="N82" s="10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20"/>
      <c r="AF82" s="5"/>
      <c r="AG82" s="5"/>
      <c r="AH82" s="5"/>
      <c r="AI82" s="5"/>
      <c r="AJ82" s="5"/>
      <c r="AK82" s="5"/>
      <c r="AL82" s="5"/>
      <c r="AM82" s="5"/>
      <c r="AN82" s="8"/>
      <c r="AO82" s="5">
        <v>0</v>
      </c>
      <c r="AP82" s="10" t="s">
        <v>285</v>
      </c>
      <c r="AQ82" s="5">
        <v>0</v>
      </c>
      <c r="AR82" s="8">
        <f t="shared" si="19"/>
        <v>1.5</v>
      </c>
      <c r="AS82" s="6">
        <f t="shared" si="186"/>
        <v>18</v>
      </c>
      <c r="AT82" s="6">
        <f t="shared" si="187"/>
        <v>30</v>
      </c>
      <c r="AU82" s="5">
        <f t="shared" si="20"/>
        <v>0</v>
      </c>
      <c r="AV82" s="5">
        <f t="shared" si="21"/>
        <v>1</v>
      </c>
      <c r="AW82" s="5">
        <f t="shared" si="22"/>
        <v>0</v>
      </c>
      <c r="AX82" s="5">
        <f t="shared" ref="AX82" si="238">AX61</f>
        <v>0</v>
      </c>
      <c r="AY82" s="5">
        <f t="shared" si="22"/>
        <v>1</v>
      </c>
      <c r="AZ82" s="8">
        <f t="shared" si="24"/>
        <v>43</v>
      </c>
      <c r="BA82" s="5">
        <f t="shared" si="16"/>
        <v>203017</v>
      </c>
      <c r="BB82" s="5">
        <v>0</v>
      </c>
      <c r="BC82" s="5">
        <v>0</v>
      </c>
      <c r="BD82" s="5">
        <f t="shared" si="25"/>
        <v>0</v>
      </c>
      <c r="BE82" s="5">
        <f t="shared" si="26"/>
        <v>0</v>
      </c>
      <c r="BF82" s="5">
        <f t="shared" si="27"/>
        <v>0</v>
      </c>
      <c r="BG82" s="5">
        <f t="shared" si="27"/>
        <v>15</v>
      </c>
      <c r="BH82" s="5">
        <f t="shared" si="18"/>
        <v>270</v>
      </c>
      <c r="BI82" s="5">
        <f t="shared" si="27"/>
        <v>0</v>
      </c>
      <c r="BJ82" s="5">
        <f t="shared" si="208"/>
        <v>0</v>
      </c>
      <c r="BK82" s="5">
        <v>0</v>
      </c>
      <c r="BL82" s="5">
        <f t="shared" si="63"/>
        <v>0</v>
      </c>
      <c r="BM82" s="5">
        <f t="shared" si="28"/>
        <v>0</v>
      </c>
      <c r="BN82" s="5">
        <f t="shared" si="28"/>
        <v>0</v>
      </c>
      <c r="BO82" s="5">
        <f t="shared" si="28"/>
        <v>0</v>
      </c>
      <c r="BP82" s="5">
        <f t="shared" si="28"/>
        <v>0</v>
      </c>
      <c r="BQ82" s="5">
        <f t="shared" si="64"/>
        <v>0</v>
      </c>
      <c r="BR82" s="5"/>
      <c r="BS82" s="4">
        <v>4</v>
      </c>
      <c r="BT82" s="4">
        <v>4</v>
      </c>
      <c r="BU82" s="4">
        <f t="shared" si="29"/>
        <v>0</v>
      </c>
      <c r="BV82" s="4">
        <f t="shared" si="189"/>
        <v>4</v>
      </c>
      <c r="BW82" s="4">
        <f t="shared" si="190"/>
        <v>4</v>
      </c>
      <c r="BX82" s="14">
        <f t="shared" si="191"/>
        <v>0.6399999999999999</v>
      </c>
      <c r="BY82" s="14">
        <f t="shared" si="192"/>
        <v>0.4</v>
      </c>
      <c r="BZ82" s="5" t="s">
        <v>228</v>
      </c>
      <c r="CA82" s="8" t="str">
        <f t="shared" si="113"/>
        <v>elite_monster_17</v>
      </c>
      <c r="CB82" s="8" t="str">
        <f t="shared" si="113"/>
        <v>elite_monster_17</v>
      </c>
      <c r="CC82" s="5">
        <v>0</v>
      </c>
      <c r="CD82" s="8">
        <f t="shared" si="30"/>
        <v>2</v>
      </c>
      <c r="CE82" s="5">
        <f t="shared" si="193"/>
        <v>0</v>
      </c>
      <c r="CF82" s="5">
        <f t="shared" si="31"/>
        <v>0</v>
      </c>
      <c r="CG82" s="10" t="s">
        <v>285</v>
      </c>
      <c r="CH82" s="5">
        <f t="shared" si="47"/>
        <v>3</v>
      </c>
      <c r="CI82" s="5">
        <v>0</v>
      </c>
      <c r="CJ82" s="4">
        <v>1</v>
      </c>
      <c r="CK82" s="5">
        <v>0</v>
      </c>
      <c r="CL82" s="5">
        <v>0</v>
      </c>
      <c r="CM82" s="20">
        <f t="shared" si="32"/>
        <v>0</v>
      </c>
      <c r="CN82" s="8">
        <f t="shared" si="32"/>
        <v>0</v>
      </c>
      <c r="CO82" s="5">
        <v>0</v>
      </c>
      <c r="CP82" s="5">
        <v>0</v>
      </c>
      <c r="CQ82" s="5">
        <v>0</v>
      </c>
      <c r="CR82" s="5">
        <v>0</v>
      </c>
      <c r="CS82" s="5">
        <v>201079</v>
      </c>
      <c r="CT82" s="5">
        <v>0</v>
      </c>
      <c r="CU82" s="5">
        <v>0</v>
      </c>
      <c r="CV82" s="8">
        <f t="shared" ref="CV82:CY82" si="239">CV61</f>
        <v>0.8</v>
      </c>
      <c r="CW82" s="8">
        <f t="shared" si="239"/>
        <v>0.6</v>
      </c>
      <c r="CX82" s="8">
        <f t="shared" si="239"/>
        <v>1</v>
      </c>
      <c r="CY82" s="8">
        <f t="shared" si="239"/>
        <v>1</v>
      </c>
      <c r="CZ82" s="8">
        <f t="shared" si="34"/>
        <v>1</v>
      </c>
      <c r="DA82" s="6">
        <f t="shared" si="180"/>
        <v>100</v>
      </c>
      <c r="DB82" s="5">
        <f t="shared" si="35"/>
        <v>1</v>
      </c>
      <c r="DC82" s="5">
        <f t="shared" si="195"/>
        <v>0.14374999999999999</v>
      </c>
      <c r="DD82" s="6">
        <f t="shared" si="181"/>
        <v>0.14374999999999999</v>
      </c>
      <c r="DE82" s="6">
        <f t="shared" si="49"/>
        <v>0.25</v>
      </c>
      <c r="DF82" s="5">
        <v>0</v>
      </c>
      <c r="DG82" s="8">
        <f t="shared" si="36"/>
        <v>3</v>
      </c>
      <c r="DH82" s="5">
        <v>2</v>
      </c>
      <c r="DI82" s="8">
        <f t="shared" si="37"/>
        <v>0</v>
      </c>
      <c r="DJ82" s="5">
        <f t="shared" si="182"/>
        <v>0</v>
      </c>
      <c r="DK82" s="8">
        <v>0</v>
      </c>
      <c r="DL82" s="5">
        <f t="shared" si="183"/>
        <v>0</v>
      </c>
      <c r="DM82" s="5" t="s">
        <v>285</v>
      </c>
      <c r="DN82" s="8">
        <f t="shared" ref="DN82:DP82" si="240">DN61</f>
        <v>0</v>
      </c>
      <c r="DO82" s="8">
        <f t="shared" si="240"/>
        <v>0</v>
      </c>
      <c r="DP82" s="5">
        <f t="shared" si="240"/>
        <v>0</v>
      </c>
      <c r="DQ82" s="8">
        <f t="shared" si="150"/>
        <v>0</v>
      </c>
      <c r="DR82" s="5">
        <f t="shared" si="197"/>
        <v>3.15</v>
      </c>
      <c r="DS82" s="8">
        <f t="shared" si="40"/>
        <v>3.5</v>
      </c>
      <c r="DT82" s="8">
        <f t="shared" si="41"/>
        <v>-0.5</v>
      </c>
      <c r="DU82" s="8">
        <f t="shared" si="41"/>
        <v>0.5</v>
      </c>
      <c r="DV82" s="8">
        <f t="shared" si="41"/>
        <v>0.2</v>
      </c>
      <c r="DW82" s="5">
        <f t="shared" si="185"/>
        <v>0</v>
      </c>
      <c r="DX82" s="8">
        <f t="shared" si="43"/>
        <v>0</v>
      </c>
      <c r="DY82" s="8">
        <f t="shared" si="44"/>
        <v>0</v>
      </c>
      <c r="DZ82" s="8">
        <f t="shared" si="45"/>
        <v>0</v>
      </c>
      <c r="EA82" s="5"/>
    </row>
    <row r="83" spans="1:131" x14ac:dyDescent="0.15">
      <c r="A83" s="10">
        <v>201081</v>
      </c>
      <c r="B83" s="10" t="s">
        <v>286</v>
      </c>
      <c r="C83" s="5"/>
      <c r="D83" s="5"/>
      <c r="E83" s="5"/>
      <c r="F83" s="5">
        <v>0</v>
      </c>
      <c r="G83" s="45"/>
      <c r="H83" s="5"/>
      <c r="I83" s="5"/>
      <c r="J83" s="5"/>
      <c r="K83" s="5"/>
      <c r="L83" s="10"/>
      <c r="M83" s="5"/>
      <c r="N83" s="10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20"/>
      <c r="AF83" s="5"/>
      <c r="AG83" s="5"/>
      <c r="AH83" s="5"/>
      <c r="AI83" s="5"/>
      <c r="AJ83" s="5"/>
      <c r="AK83" s="5"/>
      <c r="AL83" s="5"/>
      <c r="AM83" s="5"/>
      <c r="AN83" s="8"/>
      <c r="AO83" s="5">
        <v>0</v>
      </c>
      <c r="AP83" s="10" t="s">
        <v>286</v>
      </c>
      <c r="AQ83" s="5">
        <v>0</v>
      </c>
      <c r="AR83" s="8">
        <f t="shared" si="19"/>
        <v>2</v>
      </c>
      <c r="AS83" s="6">
        <f t="shared" si="186"/>
        <v>24</v>
      </c>
      <c r="AT83" s="6">
        <f t="shared" si="187"/>
        <v>36</v>
      </c>
      <c r="AU83" s="5">
        <f t="shared" si="20"/>
        <v>0</v>
      </c>
      <c r="AV83" s="5">
        <f t="shared" si="21"/>
        <v>1</v>
      </c>
      <c r="AW83" s="5">
        <f t="shared" si="22"/>
        <v>1</v>
      </c>
      <c r="AX83" s="5">
        <f t="shared" ref="AX83" si="241">AX62</f>
        <v>1</v>
      </c>
      <c r="AY83" s="5">
        <f t="shared" si="22"/>
        <v>1</v>
      </c>
      <c r="AZ83" s="8">
        <f t="shared" si="24"/>
        <v>42</v>
      </c>
      <c r="BA83" s="5">
        <f t="shared" si="16"/>
        <v>203018</v>
      </c>
      <c r="BB83" s="5">
        <v>0</v>
      </c>
      <c r="BC83" s="5">
        <v>0</v>
      </c>
      <c r="BD83" s="5">
        <f t="shared" si="25"/>
        <v>0</v>
      </c>
      <c r="BE83" s="5">
        <f t="shared" si="26"/>
        <v>604001</v>
      </c>
      <c r="BF83" s="5">
        <f t="shared" si="27"/>
        <v>0</v>
      </c>
      <c r="BG83" s="5">
        <f t="shared" si="27"/>
        <v>0</v>
      </c>
      <c r="BH83" s="5">
        <f t="shared" si="18"/>
        <v>0</v>
      </c>
      <c r="BI83" s="5">
        <f t="shared" si="27"/>
        <v>0</v>
      </c>
      <c r="BJ83" s="5">
        <v>32</v>
      </c>
      <c r="BK83" s="5">
        <f>BJ83*360/BM83</f>
        <v>128</v>
      </c>
      <c r="BL83" s="5">
        <f t="shared" si="63"/>
        <v>2</v>
      </c>
      <c r="BM83" s="5">
        <f t="shared" si="28"/>
        <v>90</v>
      </c>
      <c r="BN83" s="5">
        <f t="shared" si="28"/>
        <v>180</v>
      </c>
      <c r="BO83" s="5">
        <f t="shared" si="28"/>
        <v>203019</v>
      </c>
      <c r="BP83" s="5">
        <f t="shared" si="28"/>
        <v>3</v>
      </c>
      <c r="BQ83" s="5">
        <f t="shared" si="64"/>
        <v>2</v>
      </c>
      <c r="BR83" s="5">
        <f>50*BT83*3-360/BM83*BJ83*BQ83</f>
        <v>344</v>
      </c>
      <c r="BS83" s="4">
        <v>4</v>
      </c>
      <c r="BT83" s="4">
        <v>4</v>
      </c>
      <c r="BU83" s="4">
        <f t="shared" si="29"/>
        <v>0</v>
      </c>
      <c r="BV83" s="4">
        <f t="shared" si="189"/>
        <v>4</v>
      </c>
      <c r="BW83" s="4">
        <f t="shared" si="190"/>
        <v>4</v>
      </c>
      <c r="BX83" s="14">
        <f t="shared" si="191"/>
        <v>0.6399999999999999</v>
      </c>
      <c r="BY83" s="14">
        <f t="shared" si="192"/>
        <v>0.4</v>
      </c>
      <c r="BZ83" s="5" t="s">
        <v>231</v>
      </c>
      <c r="CA83" s="8" t="str">
        <f t="shared" si="113"/>
        <v>elite_monster_18</v>
      </c>
      <c r="CB83" s="8" t="str">
        <f t="shared" si="113"/>
        <v>elite_monster_18</v>
      </c>
      <c r="CC83" s="5">
        <v>0</v>
      </c>
      <c r="CD83" s="8">
        <f t="shared" si="30"/>
        <v>2</v>
      </c>
      <c r="CE83" s="5">
        <f t="shared" si="193"/>
        <v>4</v>
      </c>
      <c r="CF83" s="5">
        <f t="shared" si="31"/>
        <v>1</v>
      </c>
      <c r="CG83" s="10" t="s">
        <v>286</v>
      </c>
      <c r="CH83" s="5">
        <f t="shared" si="47"/>
        <v>3</v>
      </c>
      <c r="CI83" s="5">
        <v>105</v>
      </c>
      <c r="CJ83" s="4">
        <v>1</v>
      </c>
      <c r="CK83" s="5">
        <v>0</v>
      </c>
      <c r="CL83" s="5">
        <v>0</v>
      </c>
      <c r="CM83" s="20">
        <f t="shared" si="32"/>
        <v>0</v>
      </c>
      <c r="CN83" s="8">
        <f t="shared" si="32"/>
        <v>0</v>
      </c>
      <c r="CO83" s="5">
        <v>0</v>
      </c>
      <c r="CP83" s="5">
        <v>0</v>
      </c>
      <c r="CQ83" s="5">
        <v>201061</v>
      </c>
      <c r="CR83" s="5">
        <v>5</v>
      </c>
      <c r="CS83" s="5">
        <v>0</v>
      </c>
      <c r="CT83" s="5">
        <v>0</v>
      </c>
      <c r="CU83" s="5">
        <v>0</v>
      </c>
      <c r="CV83" s="8">
        <f t="shared" ref="CV83:CY83" si="242">CV62</f>
        <v>0.8</v>
      </c>
      <c r="CW83" s="8">
        <f t="shared" si="242"/>
        <v>0.6</v>
      </c>
      <c r="CX83" s="8">
        <f t="shared" si="242"/>
        <v>1</v>
      </c>
      <c r="CY83" s="8">
        <f t="shared" si="242"/>
        <v>1</v>
      </c>
      <c r="CZ83" s="8">
        <f t="shared" si="34"/>
        <v>1</v>
      </c>
      <c r="DA83" s="6">
        <f t="shared" si="180"/>
        <v>100</v>
      </c>
      <c r="DB83" s="5">
        <f t="shared" si="35"/>
        <v>0</v>
      </c>
      <c r="DC83" s="5">
        <f t="shared" si="195"/>
        <v>0.14374999999999999</v>
      </c>
      <c r="DD83" s="6">
        <f t="shared" si="181"/>
        <v>0.14374999999999999</v>
      </c>
      <c r="DE83" s="6">
        <f t="shared" si="49"/>
        <v>0.25</v>
      </c>
      <c r="DF83" s="5">
        <v>0</v>
      </c>
      <c r="DG83" s="8">
        <f t="shared" si="36"/>
        <v>2.25</v>
      </c>
      <c r="DH83" s="5">
        <v>1.25</v>
      </c>
      <c r="DI83" s="8">
        <f t="shared" si="37"/>
        <v>4</v>
      </c>
      <c r="DJ83" s="5">
        <f t="shared" si="182"/>
        <v>60</v>
      </c>
      <c r="DK83" s="8">
        <v>0</v>
      </c>
      <c r="DL83" s="5">
        <f t="shared" si="183"/>
        <v>0</v>
      </c>
      <c r="DM83" s="5" t="s">
        <v>287</v>
      </c>
      <c r="DN83" s="8">
        <f t="shared" ref="DN83:DP83" si="243">DN62</f>
        <v>6</v>
      </c>
      <c r="DO83" s="8">
        <f t="shared" si="243"/>
        <v>0</v>
      </c>
      <c r="DP83" s="5">
        <f t="shared" si="243"/>
        <v>0</v>
      </c>
      <c r="DQ83" s="8">
        <f t="shared" si="150"/>
        <v>0</v>
      </c>
      <c r="DR83" s="5">
        <f t="shared" si="197"/>
        <v>1.35</v>
      </c>
      <c r="DS83" s="8">
        <f t="shared" si="40"/>
        <v>1.5</v>
      </c>
      <c r="DT83" s="8">
        <f t="shared" si="41"/>
        <v>-0.5</v>
      </c>
      <c r="DU83" s="8">
        <f t="shared" si="41"/>
        <v>0.5</v>
      </c>
      <c r="DV83" s="8">
        <f t="shared" si="41"/>
        <v>0.35</v>
      </c>
      <c r="DW83" s="5">
        <f t="shared" si="185"/>
        <v>0.33333333333333331</v>
      </c>
      <c r="DX83" s="8">
        <f t="shared" si="43"/>
        <v>4</v>
      </c>
      <c r="DY83" s="8">
        <f t="shared" si="44"/>
        <v>0</v>
      </c>
      <c r="DZ83" s="8">
        <f t="shared" si="45"/>
        <v>0</v>
      </c>
      <c r="EA83" s="5"/>
    </row>
    <row r="84" spans="1:131" x14ac:dyDescent="0.15">
      <c r="A84" s="10">
        <v>201082</v>
      </c>
      <c r="B84" s="10" t="s">
        <v>288</v>
      </c>
      <c r="C84" s="5"/>
      <c r="D84" s="5"/>
      <c r="E84" s="5"/>
      <c r="F84" s="5">
        <v>0</v>
      </c>
      <c r="G84" s="45"/>
      <c r="H84" s="5"/>
      <c r="I84" s="5"/>
      <c r="J84" s="5"/>
      <c r="K84" s="5"/>
      <c r="L84" s="10"/>
      <c r="M84" s="5"/>
      <c r="N84" s="10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20"/>
      <c r="AF84" s="5"/>
      <c r="AG84" s="5"/>
      <c r="AH84" s="5"/>
      <c r="AI84" s="5"/>
      <c r="AJ84" s="5"/>
      <c r="AK84" s="5"/>
      <c r="AL84" s="5"/>
      <c r="AM84" s="5"/>
      <c r="AN84" s="8"/>
      <c r="AO84" s="5">
        <v>0</v>
      </c>
      <c r="AP84" s="10" t="s">
        <v>288</v>
      </c>
      <c r="AQ84" s="5">
        <v>0</v>
      </c>
      <c r="AR84" s="8">
        <f t="shared" si="19"/>
        <v>1.5</v>
      </c>
      <c r="AS84" s="6">
        <f t="shared" si="186"/>
        <v>18</v>
      </c>
      <c r="AT84" s="6">
        <f t="shared" si="187"/>
        <v>30</v>
      </c>
      <c r="AU84" s="5">
        <f t="shared" si="20"/>
        <v>0</v>
      </c>
      <c r="AV84" s="5">
        <f t="shared" si="21"/>
        <v>1</v>
      </c>
      <c r="AW84" s="5">
        <f t="shared" si="22"/>
        <v>1</v>
      </c>
      <c r="AX84" s="5">
        <f t="shared" ref="AX84" si="244">AX63</f>
        <v>1</v>
      </c>
      <c r="AY84" s="5">
        <f t="shared" si="22"/>
        <v>1</v>
      </c>
      <c r="AZ84" s="8">
        <f t="shared" si="24"/>
        <v>42</v>
      </c>
      <c r="BA84" s="5">
        <f t="shared" si="16"/>
        <v>203019</v>
      </c>
      <c r="BB84" s="5">
        <v>0</v>
      </c>
      <c r="BC84" s="5">
        <v>0</v>
      </c>
      <c r="BD84" s="5">
        <f t="shared" si="25"/>
        <v>0</v>
      </c>
      <c r="BE84" s="5">
        <f t="shared" si="26"/>
        <v>0</v>
      </c>
      <c r="BF84" s="5">
        <f t="shared" si="27"/>
        <v>0</v>
      </c>
      <c r="BG84" s="5">
        <f t="shared" si="27"/>
        <v>15</v>
      </c>
      <c r="BH84" s="5">
        <f t="shared" si="18"/>
        <v>270</v>
      </c>
      <c r="BI84" s="5">
        <f t="shared" si="27"/>
        <v>0</v>
      </c>
      <c r="BJ84" s="5">
        <f t="shared" si="208"/>
        <v>0</v>
      </c>
      <c r="BK84" s="5">
        <v>0</v>
      </c>
      <c r="BL84" s="5">
        <f t="shared" si="63"/>
        <v>0</v>
      </c>
      <c r="BM84" s="5">
        <f t="shared" si="28"/>
        <v>0</v>
      </c>
      <c r="BN84" s="5">
        <f t="shared" si="28"/>
        <v>0</v>
      </c>
      <c r="BO84" s="5">
        <f t="shared" si="28"/>
        <v>0</v>
      </c>
      <c r="BP84" s="5">
        <f t="shared" si="28"/>
        <v>0</v>
      </c>
      <c r="BQ84" s="5">
        <f t="shared" si="64"/>
        <v>0</v>
      </c>
      <c r="BR84" s="5"/>
      <c r="BS84" s="4">
        <v>4</v>
      </c>
      <c r="BT84" s="4">
        <v>4</v>
      </c>
      <c r="BU84" s="4">
        <f t="shared" si="29"/>
        <v>0</v>
      </c>
      <c r="BV84" s="4">
        <f t="shared" si="189"/>
        <v>4</v>
      </c>
      <c r="BW84" s="4">
        <f t="shared" si="190"/>
        <v>4</v>
      </c>
      <c r="BX84" s="14">
        <f t="shared" si="191"/>
        <v>0.6399999999999999</v>
      </c>
      <c r="BY84" s="14">
        <f t="shared" si="192"/>
        <v>0.4</v>
      </c>
      <c r="BZ84" s="5" t="s">
        <v>235</v>
      </c>
      <c r="CA84" s="8" t="str">
        <f t="shared" si="113"/>
        <v>elite_monster_19</v>
      </c>
      <c r="CB84" s="8" t="str">
        <f t="shared" si="113"/>
        <v>elite_monster_19</v>
      </c>
      <c r="CC84" s="5">
        <v>0</v>
      </c>
      <c r="CD84" s="8">
        <f t="shared" si="30"/>
        <v>2</v>
      </c>
      <c r="CE84" s="5">
        <f t="shared" si="193"/>
        <v>0</v>
      </c>
      <c r="CF84" s="5">
        <f t="shared" si="31"/>
        <v>0</v>
      </c>
      <c r="CG84" s="10" t="s">
        <v>288</v>
      </c>
      <c r="CH84" s="5">
        <f t="shared" si="47"/>
        <v>3</v>
      </c>
      <c r="CI84" s="5">
        <v>0</v>
      </c>
      <c r="CJ84" s="4">
        <v>1</v>
      </c>
      <c r="CK84" s="5">
        <v>0</v>
      </c>
      <c r="CL84" s="5">
        <v>0</v>
      </c>
      <c r="CM84" s="20">
        <f t="shared" si="32"/>
        <v>0</v>
      </c>
      <c r="CN84" s="8">
        <f t="shared" si="32"/>
        <v>0</v>
      </c>
      <c r="CO84" s="5">
        <v>0</v>
      </c>
      <c r="CP84" s="5">
        <v>0</v>
      </c>
      <c r="CQ84" s="5">
        <v>0</v>
      </c>
      <c r="CR84" s="5">
        <v>0</v>
      </c>
      <c r="CS84" s="5">
        <v>201081</v>
      </c>
      <c r="CT84" s="5">
        <v>0</v>
      </c>
      <c r="CU84" s="5">
        <v>0</v>
      </c>
      <c r="CV84" s="8">
        <f t="shared" ref="CV84:CY84" si="245">CV63</f>
        <v>0.8</v>
      </c>
      <c r="CW84" s="8">
        <f t="shared" si="245"/>
        <v>0.6</v>
      </c>
      <c r="CX84" s="8">
        <f t="shared" si="245"/>
        <v>1</v>
      </c>
      <c r="CY84" s="8">
        <f t="shared" si="245"/>
        <v>1</v>
      </c>
      <c r="CZ84" s="8">
        <f t="shared" si="34"/>
        <v>1</v>
      </c>
      <c r="DA84" s="6">
        <f t="shared" si="180"/>
        <v>100</v>
      </c>
      <c r="DB84" s="5">
        <f t="shared" si="35"/>
        <v>0</v>
      </c>
      <c r="DC84" s="5">
        <f t="shared" si="195"/>
        <v>0.14374999999999999</v>
      </c>
      <c r="DD84" s="6">
        <f t="shared" si="181"/>
        <v>0.14374999999999999</v>
      </c>
      <c r="DE84" s="6">
        <f t="shared" si="49"/>
        <v>0.25</v>
      </c>
      <c r="DF84" s="5">
        <v>0</v>
      </c>
      <c r="DG84" s="8">
        <f t="shared" si="36"/>
        <v>2.25</v>
      </c>
      <c r="DH84" s="5">
        <v>1.25</v>
      </c>
      <c r="DI84" s="8">
        <f t="shared" si="37"/>
        <v>0</v>
      </c>
      <c r="DJ84" s="5">
        <f t="shared" si="182"/>
        <v>0</v>
      </c>
      <c r="DK84" s="8">
        <v>0</v>
      </c>
      <c r="DL84" s="5">
        <f t="shared" si="183"/>
        <v>0</v>
      </c>
      <c r="DM84" s="5" t="s">
        <v>289</v>
      </c>
      <c r="DN84" s="8">
        <f t="shared" ref="DN84:DP84" si="246">DN63</f>
        <v>0</v>
      </c>
      <c r="DO84" s="8">
        <f t="shared" si="246"/>
        <v>0</v>
      </c>
      <c r="DP84" s="5">
        <f t="shared" si="246"/>
        <v>0</v>
      </c>
      <c r="DQ84" s="8">
        <f t="shared" si="150"/>
        <v>0</v>
      </c>
      <c r="DR84" s="5">
        <f t="shared" si="197"/>
        <v>1.35</v>
      </c>
      <c r="DS84" s="8">
        <f t="shared" si="40"/>
        <v>1.5</v>
      </c>
      <c r="DT84" s="8">
        <f t="shared" si="41"/>
        <v>-0.5</v>
      </c>
      <c r="DU84" s="8">
        <f t="shared" si="41"/>
        <v>0.5</v>
      </c>
      <c r="DV84" s="8">
        <f t="shared" si="41"/>
        <v>0.35</v>
      </c>
      <c r="DW84" s="5">
        <f t="shared" si="185"/>
        <v>0</v>
      </c>
      <c r="DX84" s="8">
        <f t="shared" si="43"/>
        <v>0</v>
      </c>
      <c r="DY84" s="8">
        <f t="shared" si="44"/>
        <v>0</v>
      </c>
      <c r="DZ84" s="8">
        <f t="shared" si="45"/>
        <v>0</v>
      </c>
      <c r="EA84" s="5"/>
    </row>
    <row r="85" spans="1:131" x14ac:dyDescent="0.15">
      <c r="A85" s="10">
        <v>201083</v>
      </c>
      <c r="B85" s="10" t="s">
        <v>290</v>
      </c>
      <c r="C85" s="5"/>
      <c r="D85" s="5"/>
      <c r="E85" s="5"/>
      <c r="F85" s="5">
        <v>0</v>
      </c>
      <c r="G85" s="45"/>
      <c r="H85" s="5"/>
      <c r="I85" s="5"/>
      <c r="J85" s="5"/>
      <c r="K85" s="5"/>
      <c r="L85" s="10"/>
      <c r="M85" s="5"/>
      <c r="N85" s="10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20"/>
      <c r="AF85" s="5"/>
      <c r="AG85" s="5"/>
      <c r="AH85" s="5"/>
      <c r="AI85" s="5"/>
      <c r="AJ85" s="5"/>
      <c r="AK85" s="5"/>
      <c r="AL85" s="5"/>
      <c r="AM85" s="5"/>
      <c r="AN85" s="8"/>
      <c r="AO85" s="5">
        <v>0</v>
      </c>
      <c r="AP85" s="10" t="s">
        <v>290</v>
      </c>
      <c r="AQ85" s="5">
        <v>0</v>
      </c>
      <c r="AR85" s="8">
        <f t="shared" si="19"/>
        <v>3</v>
      </c>
      <c r="AS85" s="6">
        <f t="shared" si="186"/>
        <v>36</v>
      </c>
      <c r="AT85" s="6">
        <f t="shared" si="187"/>
        <v>48</v>
      </c>
      <c r="AU85" s="5">
        <f t="shared" si="20"/>
        <v>0</v>
      </c>
      <c r="AV85" s="5">
        <f t="shared" si="21"/>
        <v>1</v>
      </c>
      <c r="AW85" s="5">
        <f t="shared" si="22"/>
        <v>0</v>
      </c>
      <c r="AX85" s="5">
        <f t="shared" ref="AX85" si="247">AX64</f>
        <v>0</v>
      </c>
      <c r="AY85" s="5">
        <f t="shared" si="22"/>
        <v>0</v>
      </c>
      <c r="AZ85" s="8">
        <f t="shared" si="24"/>
        <v>41</v>
      </c>
      <c r="BA85" s="5">
        <f t="shared" si="16"/>
        <v>203020</v>
      </c>
      <c r="BB85" s="5">
        <v>0</v>
      </c>
      <c r="BC85" s="5">
        <v>0</v>
      </c>
      <c r="BD85" s="5">
        <f t="shared" si="25"/>
        <v>0</v>
      </c>
      <c r="BE85" s="5">
        <f t="shared" si="26"/>
        <v>0</v>
      </c>
      <c r="BF85" s="5">
        <f t="shared" si="27"/>
        <v>0</v>
      </c>
      <c r="BG85" s="5">
        <f t="shared" si="27"/>
        <v>0</v>
      </c>
      <c r="BH85" s="5">
        <f t="shared" si="18"/>
        <v>0</v>
      </c>
      <c r="BI85" s="5">
        <f t="shared" si="27"/>
        <v>0</v>
      </c>
      <c r="BJ85" s="5">
        <f t="shared" si="208"/>
        <v>0</v>
      </c>
      <c r="BK85" s="5">
        <v>0</v>
      </c>
      <c r="BL85" s="5">
        <f t="shared" si="63"/>
        <v>0</v>
      </c>
      <c r="BM85" s="5">
        <f t="shared" si="28"/>
        <v>0</v>
      </c>
      <c r="BN85" s="5">
        <f t="shared" si="28"/>
        <v>0</v>
      </c>
      <c r="BO85" s="5">
        <f t="shared" si="28"/>
        <v>0</v>
      </c>
      <c r="BP85" s="5">
        <f t="shared" si="28"/>
        <v>0</v>
      </c>
      <c r="BQ85" s="5">
        <f t="shared" si="64"/>
        <v>0</v>
      </c>
      <c r="BR85" s="5"/>
      <c r="BS85" s="4">
        <v>4</v>
      </c>
      <c r="BT85" s="4">
        <v>4</v>
      </c>
      <c r="BU85" s="4">
        <f t="shared" si="29"/>
        <v>0</v>
      </c>
      <c r="BV85" s="4">
        <f t="shared" si="189"/>
        <v>4</v>
      </c>
      <c r="BW85" s="4">
        <f t="shared" si="190"/>
        <v>4</v>
      </c>
      <c r="BX85" s="14">
        <f t="shared" si="191"/>
        <v>0.6399999999999999</v>
      </c>
      <c r="BY85" s="14">
        <f t="shared" si="192"/>
        <v>0.4</v>
      </c>
      <c r="BZ85" s="5" t="s">
        <v>239</v>
      </c>
      <c r="CA85" s="8" t="str">
        <f t="shared" si="113"/>
        <v>elite_monster_20</v>
      </c>
      <c r="CB85" s="8" t="str">
        <f t="shared" si="113"/>
        <v>elite_monster_20</v>
      </c>
      <c r="CC85" s="5">
        <v>0</v>
      </c>
      <c r="CD85" s="8">
        <f t="shared" si="30"/>
        <v>1</v>
      </c>
      <c r="CE85" s="5">
        <f t="shared" si="193"/>
        <v>0</v>
      </c>
      <c r="CF85" s="5">
        <f t="shared" si="31"/>
        <v>0</v>
      </c>
      <c r="CG85" s="10" t="s">
        <v>290</v>
      </c>
      <c r="CH85" s="5">
        <f>CH63</f>
        <v>3</v>
      </c>
      <c r="CI85" s="5">
        <v>0</v>
      </c>
      <c r="CJ85" s="4">
        <v>1</v>
      </c>
      <c r="CK85" s="5">
        <v>0</v>
      </c>
      <c r="CL85" s="5">
        <v>0</v>
      </c>
      <c r="CM85" s="20">
        <f t="shared" si="32"/>
        <v>0</v>
      </c>
      <c r="CN85" s="8">
        <f t="shared" si="32"/>
        <v>0</v>
      </c>
      <c r="CO85" s="5">
        <v>0</v>
      </c>
      <c r="CP85" s="5">
        <v>0</v>
      </c>
      <c r="CQ85" s="5">
        <v>0</v>
      </c>
      <c r="CR85" s="5">
        <v>0</v>
      </c>
      <c r="CS85" s="5">
        <v>201062</v>
      </c>
      <c r="CT85" s="5">
        <v>0</v>
      </c>
      <c r="CU85" s="5">
        <v>0</v>
      </c>
      <c r="CV85" s="8">
        <f t="shared" ref="CV85:CY85" si="248">CV64</f>
        <v>0.8</v>
      </c>
      <c r="CW85" s="8">
        <f t="shared" si="248"/>
        <v>0.6</v>
      </c>
      <c r="CX85" s="8">
        <f t="shared" si="248"/>
        <v>1</v>
      </c>
      <c r="CY85" s="8">
        <f t="shared" si="248"/>
        <v>1</v>
      </c>
      <c r="CZ85" s="8">
        <f t="shared" si="34"/>
        <v>1</v>
      </c>
      <c r="DA85" s="6">
        <f t="shared" si="180"/>
        <v>100</v>
      </c>
      <c r="DB85" s="5">
        <f t="shared" si="35"/>
        <v>0</v>
      </c>
      <c r="DC85" s="5">
        <f t="shared" si="195"/>
        <v>7.4749999999999997E-2</v>
      </c>
      <c r="DD85" s="6">
        <f t="shared" si="181"/>
        <v>7.4749999999999997E-2</v>
      </c>
      <c r="DE85" s="6">
        <f t="shared" si="49"/>
        <v>0.13</v>
      </c>
      <c r="DF85" s="5">
        <v>0</v>
      </c>
      <c r="DG85" s="8">
        <f t="shared" si="36"/>
        <v>2.25</v>
      </c>
      <c r="DH85" s="5">
        <v>1.25</v>
      </c>
      <c r="DI85" s="8">
        <f t="shared" si="37"/>
        <v>0</v>
      </c>
      <c r="DJ85" s="5">
        <f t="shared" si="182"/>
        <v>0</v>
      </c>
      <c r="DK85" s="8">
        <v>0</v>
      </c>
      <c r="DL85" s="5">
        <f t="shared" si="183"/>
        <v>0</v>
      </c>
      <c r="DM85" s="5" t="s">
        <v>290</v>
      </c>
      <c r="DN85" s="8">
        <f t="shared" ref="DN85:DP85" si="249">DN64</f>
        <v>6</v>
      </c>
      <c r="DO85" s="8">
        <f t="shared" si="249"/>
        <v>0</v>
      </c>
      <c r="DP85" s="5">
        <f t="shared" si="249"/>
        <v>0</v>
      </c>
      <c r="DQ85" s="8">
        <f t="shared" si="150"/>
        <v>0</v>
      </c>
      <c r="DR85" s="5">
        <f t="shared" si="197"/>
        <v>0.9</v>
      </c>
      <c r="DS85" s="8">
        <f t="shared" si="40"/>
        <v>1</v>
      </c>
      <c r="DT85" s="8">
        <f t="shared" si="41"/>
        <v>-0.5</v>
      </c>
      <c r="DU85" s="8">
        <f t="shared" si="41"/>
        <v>0.5</v>
      </c>
      <c r="DV85" s="8">
        <f t="shared" si="41"/>
        <v>0.35</v>
      </c>
      <c r="DW85" s="5">
        <f t="shared" si="185"/>
        <v>0.41666666666666669</v>
      </c>
      <c r="DX85" s="8">
        <f t="shared" si="43"/>
        <v>5</v>
      </c>
      <c r="DY85" s="8">
        <f t="shared" si="44"/>
        <v>0</v>
      </c>
      <c r="DZ85" s="8">
        <f t="shared" si="45"/>
        <v>0</v>
      </c>
      <c r="EA85" s="5"/>
    </row>
    <row r="86" spans="1:131" x14ac:dyDescent="0.15">
      <c r="A86" s="10">
        <v>201084</v>
      </c>
      <c r="B86" s="10" t="s">
        <v>291</v>
      </c>
      <c r="C86" s="5"/>
      <c r="D86" s="5"/>
      <c r="E86" s="5"/>
      <c r="F86" s="5">
        <v>0</v>
      </c>
      <c r="G86" s="45"/>
      <c r="H86" s="5"/>
      <c r="I86" s="5"/>
      <c r="J86" s="5"/>
      <c r="K86" s="5"/>
      <c r="L86" s="10"/>
      <c r="M86" s="5"/>
      <c r="N86" s="1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20"/>
      <c r="AF86" s="5"/>
      <c r="AG86" s="5"/>
      <c r="AH86" s="5"/>
      <c r="AI86" s="5"/>
      <c r="AJ86" s="5"/>
      <c r="AK86" s="5"/>
      <c r="AL86" s="5"/>
      <c r="AM86" s="5"/>
      <c r="AN86" s="8"/>
      <c r="AO86" s="5">
        <v>0</v>
      </c>
      <c r="AP86" s="10" t="s">
        <v>291</v>
      </c>
      <c r="AQ86" s="5">
        <v>0</v>
      </c>
      <c r="AR86" s="8">
        <f t="shared" si="19"/>
        <v>2</v>
      </c>
      <c r="AS86" s="6">
        <f t="shared" si="186"/>
        <v>24</v>
      </c>
      <c r="AT86" s="6">
        <f t="shared" si="187"/>
        <v>36</v>
      </c>
      <c r="AU86" s="5">
        <f t="shared" si="20"/>
        <v>0.8</v>
      </c>
      <c r="AV86" s="5">
        <f t="shared" si="21"/>
        <v>1</v>
      </c>
      <c r="AW86" s="5">
        <f t="shared" si="22"/>
        <v>1</v>
      </c>
      <c r="AX86" s="5">
        <f t="shared" ref="AX86" si="250">AX65</f>
        <v>1</v>
      </c>
      <c r="AY86" s="5">
        <f t="shared" si="22"/>
        <v>1</v>
      </c>
      <c r="AZ86" s="8">
        <f t="shared" si="24"/>
        <v>43</v>
      </c>
      <c r="BA86" s="5">
        <f t="shared" si="16"/>
        <v>203021</v>
      </c>
      <c r="BB86" s="5">
        <v>0</v>
      </c>
      <c r="BC86" s="5">
        <v>0</v>
      </c>
      <c r="BD86" s="5">
        <f t="shared" si="25"/>
        <v>0</v>
      </c>
      <c r="BE86" s="5">
        <f t="shared" si="26"/>
        <v>0</v>
      </c>
      <c r="BF86" s="5">
        <f t="shared" si="27"/>
        <v>0</v>
      </c>
      <c r="BG86" s="5">
        <f t="shared" si="27"/>
        <v>0</v>
      </c>
      <c r="BH86" s="5">
        <f t="shared" si="18"/>
        <v>0</v>
      </c>
      <c r="BI86" s="5">
        <f t="shared" si="27"/>
        <v>0</v>
      </c>
      <c r="BJ86" s="5">
        <f t="shared" si="208"/>
        <v>0</v>
      </c>
      <c r="BK86" s="5">
        <v>0</v>
      </c>
      <c r="BL86" s="5">
        <f t="shared" si="63"/>
        <v>0</v>
      </c>
      <c r="BM86" s="5">
        <f t="shared" si="28"/>
        <v>0</v>
      </c>
      <c r="BN86" s="5">
        <f t="shared" si="28"/>
        <v>0</v>
      </c>
      <c r="BO86" s="5">
        <f t="shared" si="28"/>
        <v>0</v>
      </c>
      <c r="BP86" s="5">
        <f t="shared" si="28"/>
        <v>0</v>
      </c>
      <c r="BQ86" s="5">
        <f t="shared" si="64"/>
        <v>0</v>
      </c>
      <c r="BR86" s="5"/>
      <c r="BS86" s="4">
        <v>4</v>
      </c>
      <c r="BT86" s="4">
        <v>4</v>
      </c>
      <c r="BU86" s="4">
        <f t="shared" si="29"/>
        <v>0</v>
      </c>
      <c r="BV86" s="4">
        <f t="shared" si="189"/>
        <v>4</v>
      </c>
      <c r="BW86" s="4">
        <f t="shared" si="190"/>
        <v>4</v>
      </c>
      <c r="BX86" s="14">
        <f t="shared" si="191"/>
        <v>0.6399999999999999</v>
      </c>
      <c r="BY86" s="14">
        <f t="shared" si="192"/>
        <v>0.4</v>
      </c>
      <c r="BZ86" s="5" t="s">
        <v>242</v>
      </c>
      <c r="CA86" s="8" t="str">
        <f t="shared" si="113"/>
        <v>elite_monster_05_brood</v>
      </c>
      <c r="CB86" s="8" t="str">
        <f t="shared" si="113"/>
        <v>elite_monster_05_brood</v>
      </c>
      <c r="CC86" s="5">
        <v>0</v>
      </c>
      <c r="CD86" s="8">
        <f t="shared" si="30"/>
        <v>1</v>
      </c>
      <c r="CE86" s="5">
        <f t="shared" si="193"/>
        <v>0</v>
      </c>
      <c r="CF86" s="5">
        <f t="shared" si="31"/>
        <v>0</v>
      </c>
      <c r="CG86" s="10" t="s">
        <v>291</v>
      </c>
      <c r="CH86" s="5">
        <f t="shared" si="47"/>
        <v>3</v>
      </c>
      <c r="CI86" s="5">
        <v>0</v>
      </c>
      <c r="CJ86" s="4">
        <v>1</v>
      </c>
      <c r="CK86" s="5">
        <v>0</v>
      </c>
      <c r="CL86" s="5">
        <v>0</v>
      </c>
      <c r="CM86" s="20">
        <f t="shared" si="32"/>
        <v>0</v>
      </c>
      <c r="CN86" s="8">
        <f t="shared" si="32"/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8">
        <f t="shared" ref="CV86:CY86" si="251">CV65</f>
        <v>0.8</v>
      </c>
      <c r="CW86" s="8">
        <f t="shared" si="251"/>
        <v>0.6</v>
      </c>
      <c r="CX86" s="8">
        <f t="shared" si="251"/>
        <v>1</v>
      </c>
      <c r="CY86" s="8">
        <f t="shared" si="251"/>
        <v>1</v>
      </c>
      <c r="CZ86" s="8">
        <f t="shared" si="34"/>
        <v>1</v>
      </c>
      <c r="DA86" s="6">
        <f t="shared" si="180"/>
        <v>100</v>
      </c>
      <c r="DB86" s="5">
        <f t="shared" si="35"/>
        <v>0</v>
      </c>
      <c r="DC86" s="5">
        <f t="shared" si="195"/>
        <v>0.34499999999999997</v>
      </c>
      <c r="DD86" s="6">
        <f t="shared" si="181"/>
        <v>0.34499999999999997</v>
      </c>
      <c r="DE86" s="6">
        <f t="shared" si="49"/>
        <v>0.6</v>
      </c>
      <c r="DF86" s="5">
        <v>1</v>
      </c>
      <c r="DG86" s="8">
        <f t="shared" si="36"/>
        <v>2.5</v>
      </c>
      <c r="DH86" s="5">
        <v>1.5</v>
      </c>
      <c r="DI86" s="8">
        <f t="shared" si="37"/>
        <v>0</v>
      </c>
      <c r="DJ86" s="5">
        <f t="shared" si="182"/>
        <v>0</v>
      </c>
      <c r="DK86" s="8">
        <v>0</v>
      </c>
      <c r="DL86" s="5">
        <f t="shared" si="183"/>
        <v>0</v>
      </c>
      <c r="DM86" s="5" t="s">
        <v>291</v>
      </c>
      <c r="DN86" s="8">
        <f t="shared" ref="DN86:DP86" si="252">DN65</f>
        <v>8</v>
      </c>
      <c r="DO86" s="8">
        <f t="shared" si="252"/>
        <v>0</v>
      </c>
      <c r="DP86" s="5">
        <f t="shared" si="252"/>
        <v>0</v>
      </c>
      <c r="DQ86" s="8">
        <f t="shared" si="150"/>
        <v>0</v>
      </c>
      <c r="DR86" s="5">
        <f t="shared" si="197"/>
        <v>0.9</v>
      </c>
      <c r="DS86" s="8">
        <f t="shared" si="40"/>
        <v>1</v>
      </c>
      <c r="DT86" s="8">
        <f t="shared" si="41"/>
        <v>-0.5</v>
      </c>
      <c r="DU86" s="8">
        <f t="shared" si="41"/>
        <v>0.5</v>
      </c>
      <c r="DV86" s="8">
        <f t="shared" si="41"/>
        <v>0.5</v>
      </c>
      <c r="DW86" s="5">
        <f t="shared" si="185"/>
        <v>0.5</v>
      </c>
      <c r="DX86" s="8">
        <f t="shared" si="43"/>
        <v>6</v>
      </c>
      <c r="DY86" s="8">
        <f t="shared" si="44"/>
        <v>0</v>
      </c>
      <c r="DZ86" s="8">
        <f t="shared" si="45"/>
        <v>0</v>
      </c>
      <c r="EA86" s="5"/>
    </row>
    <row r="87" spans="1:131" x14ac:dyDescent="0.15">
      <c r="A87" s="5">
        <v>201085</v>
      </c>
      <c r="B87" s="5" t="s">
        <v>292</v>
      </c>
      <c r="C87" s="5"/>
      <c r="D87" s="5"/>
      <c r="E87" s="5"/>
      <c r="F87" s="5">
        <v>0</v>
      </c>
      <c r="G87" s="45"/>
      <c r="H87" s="5"/>
      <c r="I87" s="5"/>
      <c r="J87" s="5"/>
      <c r="K87" s="5"/>
      <c r="L87" s="10"/>
      <c r="M87" s="5"/>
      <c r="N87" s="1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20"/>
      <c r="AF87" s="5"/>
      <c r="AG87" s="5"/>
      <c r="AH87" s="5"/>
      <c r="AI87" s="5"/>
      <c r="AJ87" s="5"/>
      <c r="AK87" s="5"/>
      <c r="AL87" s="5"/>
      <c r="AM87" s="5"/>
      <c r="AN87" s="8"/>
      <c r="AO87" s="5">
        <v>0</v>
      </c>
      <c r="AP87" s="5" t="s">
        <v>292</v>
      </c>
      <c r="AQ87" s="5">
        <v>0</v>
      </c>
      <c r="AR87" s="8">
        <f t="shared" si="19"/>
        <v>3</v>
      </c>
      <c r="AS87" s="6">
        <f t="shared" si="186"/>
        <v>45</v>
      </c>
      <c r="AT87" s="6">
        <f t="shared" si="187"/>
        <v>60</v>
      </c>
      <c r="AU87" s="5">
        <f t="shared" si="20"/>
        <v>0</v>
      </c>
      <c r="AV87" s="5">
        <f t="shared" si="21"/>
        <v>1</v>
      </c>
      <c r="AW87" s="5">
        <f t="shared" si="22"/>
        <v>1</v>
      </c>
      <c r="AX87" s="5">
        <f t="shared" ref="AX87" si="253">AX66</f>
        <v>1</v>
      </c>
      <c r="AY87" s="5">
        <f t="shared" si="22"/>
        <v>1</v>
      </c>
      <c r="AZ87" s="8">
        <f t="shared" si="24"/>
        <v>53</v>
      </c>
      <c r="BA87" s="5">
        <f t="shared" si="16"/>
        <v>203001</v>
      </c>
      <c r="BB87" s="5">
        <v>0</v>
      </c>
      <c r="BC87" s="5">
        <v>0</v>
      </c>
      <c r="BD87" s="5">
        <f t="shared" si="25"/>
        <v>0</v>
      </c>
      <c r="BE87" s="5">
        <f t="shared" si="26"/>
        <v>0</v>
      </c>
      <c r="BF87" s="5">
        <f t="shared" si="27"/>
        <v>0</v>
      </c>
      <c r="BG87" s="5">
        <f t="shared" si="27"/>
        <v>0</v>
      </c>
      <c r="BH87" s="5">
        <f t="shared" si="18"/>
        <v>0</v>
      </c>
      <c r="BI87" s="5">
        <f t="shared" si="27"/>
        <v>0</v>
      </c>
      <c r="BJ87" s="5">
        <f t="shared" si="208"/>
        <v>0</v>
      </c>
      <c r="BK87" s="5">
        <v>0</v>
      </c>
      <c r="BL87" s="5">
        <f t="shared" si="63"/>
        <v>0</v>
      </c>
      <c r="BM87" s="5">
        <f t="shared" si="28"/>
        <v>0</v>
      </c>
      <c r="BN87" s="5">
        <f t="shared" si="28"/>
        <v>0</v>
      </c>
      <c r="BO87" s="5">
        <f t="shared" si="28"/>
        <v>0</v>
      </c>
      <c r="BP87" s="5">
        <f t="shared" si="28"/>
        <v>0</v>
      </c>
      <c r="BQ87" s="5">
        <f t="shared" si="64"/>
        <v>0</v>
      </c>
      <c r="BR87" s="5"/>
      <c r="BS87" s="4">
        <v>1</v>
      </c>
      <c r="BT87" s="4">
        <v>5</v>
      </c>
      <c r="BU87" s="4">
        <f t="shared" si="29"/>
        <v>0</v>
      </c>
      <c r="BV87" s="4">
        <f t="shared" si="189"/>
        <v>5</v>
      </c>
      <c r="BW87" s="4">
        <f t="shared" si="190"/>
        <v>5</v>
      </c>
      <c r="BX87" s="14">
        <f t="shared" si="191"/>
        <v>0.56999999999999995</v>
      </c>
      <c r="BY87" s="14">
        <f t="shared" si="192"/>
        <v>0.35000000000000003</v>
      </c>
      <c r="BZ87" s="5" t="s">
        <v>117</v>
      </c>
      <c r="CA87" s="8" t="str">
        <f t="shared" si="113"/>
        <v>monster_01</v>
      </c>
      <c r="CB87" s="8" t="str">
        <f t="shared" si="113"/>
        <v>monster_01</v>
      </c>
      <c r="CC87" s="5">
        <v>0</v>
      </c>
      <c r="CD87" s="8">
        <f t="shared" si="30"/>
        <v>2</v>
      </c>
      <c r="CE87" s="5">
        <f t="shared" si="193"/>
        <v>0</v>
      </c>
      <c r="CF87" s="5">
        <f t="shared" si="31"/>
        <v>0</v>
      </c>
      <c r="CG87" s="5" t="s">
        <v>292</v>
      </c>
      <c r="CH87" s="5">
        <f t="shared" si="47"/>
        <v>0</v>
      </c>
      <c r="CI87" s="5">
        <v>101</v>
      </c>
      <c r="CJ87" s="4">
        <v>0</v>
      </c>
      <c r="CK87" s="5">
        <v>0</v>
      </c>
      <c r="CL87" s="5">
        <v>0</v>
      </c>
      <c r="CM87" s="20">
        <f t="shared" si="32"/>
        <v>0</v>
      </c>
      <c r="CN87" s="8">
        <f t="shared" si="32"/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8">
        <f t="shared" ref="CV87:CY87" si="254">CV66</f>
        <v>1</v>
      </c>
      <c r="CW87" s="8">
        <f t="shared" si="254"/>
        <v>0.6</v>
      </c>
      <c r="CX87" s="8">
        <f t="shared" si="254"/>
        <v>1.25</v>
      </c>
      <c r="CY87" s="8">
        <f t="shared" si="254"/>
        <v>1.06</v>
      </c>
      <c r="CZ87" s="8">
        <f t="shared" si="34"/>
        <v>1</v>
      </c>
      <c r="DA87" s="6">
        <f t="shared" si="180"/>
        <v>125</v>
      </c>
      <c r="DB87" s="5">
        <f t="shared" si="35"/>
        <v>0</v>
      </c>
      <c r="DC87" s="5">
        <f t="shared" si="195"/>
        <v>0.3</v>
      </c>
      <c r="DD87" s="6">
        <f t="shared" si="181"/>
        <v>0.3</v>
      </c>
      <c r="DE87" s="6">
        <f t="shared" si="49"/>
        <v>0.5</v>
      </c>
      <c r="DF87" s="5">
        <v>0</v>
      </c>
      <c r="DG87" s="8">
        <f t="shared" si="36"/>
        <v>2.25</v>
      </c>
      <c r="DH87" s="5">
        <v>1.25</v>
      </c>
      <c r="DI87" s="8">
        <f t="shared" si="37"/>
        <v>1.25</v>
      </c>
      <c r="DJ87" s="5">
        <f t="shared" si="182"/>
        <v>21.875</v>
      </c>
      <c r="DK87" s="8">
        <v>0</v>
      </c>
      <c r="DL87" s="5">
        <f t="shared" si="183"/>
        <v>0</v>
      </c>
      <c r="DM87" s="5" t="s">
        <v>292</v>
      </c>
      <c r="DN87" s="8">
        <f t="shared" ref="DN87:DP87" si="255">DN66</f>
        <v>6</v>
      </c>
      <c r="DO87" s="8">
        <f t="shared" si="255"/>
        <v>0</v>
      </c>
      <c r="DP87" s="5">
        <f t="shared" si="255"/>
        <v>0</v>
      </c>
      <c r="DQ87" s="8">
        <f t="shared" si="150"/>
        <v>0</v>
      </c>
      <c r="DR87" s="5">
        <f t="shared" si="197"/>
        <v>2.7</v>
      </c>
      <c r="DS87" s="8">
        <f t="shared" si="40"/>
        <v>3</v>
      </c>
      <c r="DT87" s="8">
        <f t="shared" si="41"/>
        <v>-0.3</v>
      </c>
      <c r="DU87" s="8">
        <f t="shared" si="41"/>
        <v>3</v>
      </c>
      <c r="DV87" s="8">
        <f t="shared" si="41"/>
        <v>0.35</v>
      </c>
      <c r="DW87" s="5">
        <f t="shared" si="185"/>
        <v>0.58333333333333337</v>
      </c>
      <c r="DX87" s="8">
        <f t="shared" si="43"/>
        <v>7</v>
      </c>
      <c r="DY87" s="8">
        <f t="shared" si="44"/>
        <v>0</v>
      </c>
      <c r="DZ87" s="8">
        <f t="shared" si="45"/>
        <v>0</v>
      </c>
      <c r="EA87" s="5"/>
    </row>
    <row r="88" spans="1:131" x14ac:dyDescent="0.15">
      <c r="A88" s="5">
        <v>201086</v>
      </c>
      <c r="B88" s="5" t="s">
        <v>293</v>
      </c>
      <c r="C88" s="5"/>
      <c r="D88" s="5"/>
      <c r="E88" s="5"/>
      <c r="F88" s="5">
        <v>0</v>
      </c>
      <c r="G88" s="45"/>
      <c r="H88" s="5"/>
      <c r="I88" s="5"/>
      <c r="J88" s="5"/>
      <c r="K88" s="5"/>
      <c r="L88" s="10"/>
      <c r="M88" s="5"/>
      <c r="N88" s="10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20"/>
      <c r="AF88" s="5"/>
      <c r="AG88" s="5"/>
      <c r="AH88" s="5"/>
      <c r="AI88" s="5"/>
      <c r="AJ88" s="5"/>
      <c r="AK88" s="5"/>
      <c r="AL88" s="5"/>
      <c r="AM88" s="5"/>
      <c r="AN88" s="8"/>
      <c r="AO88" s="5">
        <v>0</v>
      </c>
      <c r="AP88" s="5" t="s">
        <v>293</v>
      </c>
      <c r="AQ88" s="5">
        <v>0</v>
      </c>
      <c r="AR88" s="8">
        <f t="shared" si="19"/>
        <v>3</v>
      </c>
      <c r="AS88" s="6">
        <f t="shared" si="186"/>
        <v>45</v>
      </c>
      <c r="AT88" s="6">
        <f t="shared" si="187"/>
        <v>60</v>
      </c>
      <c r="AU88" s="5">
        <f t="shared" si="20"/>
        <v>0</v>
      </c>
      <c r="AV88" s="5">
        <f t="shared" si="21"/>
        <v>1</v>
      </c>
      <c r="AW88" s="5">
        <f t="shared" si="22"/>
        <v>0</v>
      </c>
      <c r="AX88" s="5">
        <f t="shared" ref="AX88" si="256">AX67</f>
        <v>0</v>
      </c>
      <c r="AY88" s="5">
        <f t="shared" si="22"/>
        <v>0</v>
      </c>
      <c r="AZ88" s="8">
        <f t="shared" si="24"/>
        <v>53</v>
      </c>
      <c r="BA88" s="5">
        <f t="shared" ref="BA88:BA151" si="257">BA67</f>
        <v>203002</v>
      </c>
      <c r="BB88" s="5">
        <v>0</v>
      </c>
      <c r="BC88" s="5">
        <v>0</v>
      </c>
      <c r="BD88" s="5">
        <f t="shared" si="25"/>
        <v>0</v>
      </c>
      <c r="BE88" s="5">
        <f t="shared" si="26"/>
        <v>0</v>
      </c>
      <c r="BF88" s="5">
        <f t="shared" si="27"/>
        <v>0</v>
      </c>
      <c r="BG88" s="5">
        <f t="shared" si="27"/>
        <v>0</v>
      </c>
      <c r="BH88" s="5">
        <f t="shared" ref="BH88" si="258">BH67</f>
        <v>0</v>
      </c>
      <c r="BI88" s="5">
        <f t="shared" si="27"/>
        <v>0</v>
      </c>
      <c r="BJ88" s="5">
        <f t="shared" si="208"/>
        <v>0</v>
      </c>
      <c r="BK88" s="5">
        <v>0</v>
      </c>
      <c r="BL88" s="5">
        <f t="shared" si="63"/>
        <v>0</v>
      </c>
      <c r="BM88" s="5">
        <f t="shared" si="28"/>
        <v>0</v>
      </c>
      <c r="BN88" s="5">
        <f t="shared" si="28"/>
        <v>0</v>
      </c>
      <c r="BO88" s="5">
        <f t="shared" si="28"/>
        <v>0</v>
      </c>
      <c r="BP88" s="5">
        <f t="shared" ref="BP88:BQ151" si="259">BP67</f>
        <v>0</v>
      </c>
      <c r="BQ88" s="5">
        <f t="shared" si="64"/>
        <v>0</v>
      </c>
      <c r="BR88" s="5"/>
      <c r="BS88" s="4">
        <v>1</v>
      </c>
      <c r="BT88" s="4">
        <v>5</v>
      </c>
      <c r="BU88" s="4">
        <f t="shared" si="29"/>
        <v>0</v>
      </c>
      <c r="BV88" s="4">
        <f t="shared" si="189"/>
        <v>5</v>
      </c>
      <c r="BW88" s="4">
        <f t="shared" si="190"/>
        <v>5</v>
      </c>
      <c r="BX88" s="14">
        <f t="shared" si="191"/>
        <v>0.56999999999999995</v>
      </c>
      <c r="BY88" s="14">
        <f t="shared" si="192"/>
        <v>0.35000000000000003</v>
      </c>
      <c r="BZ88" s="5" t="s">
        <v>120</v>
      </c>
      <c r="CA88" s="8" t="str">
        <f t="shared" si="113"/>
        <v>monster_02</v>
      </c>
      <c r="CB88" s="8" t="str">
        <f t="shared" si="113"/>
        <v>monster_02</v>
      </c>
      <c r="CC88" s="5">
        <v>0</v>
      </c>
      <c r="CD88" s="8">
        <f t="shared" si="30"/>
        <v>1</v>
      </c>
      <c r="CE88" s="5">
        <f t="shared" si="193"/>
        <v>0</v>
      </c>
      <c r="CF88" s="5">
        <f t="shared" si="31"/>
        <v>0</v>
      </c>
      <c r="CG88" s="5" t="s">
        <v>293</v>
      </c>
      <c r="CH88" s="5">
        <f t="shared" si="47"/>
        <v>3</v>
      </c>
      <c r="CI88" s="5">
        <v>0</v>
      </c>
      <c r="CJ88" s="4">
        <v>0</v>
      </c>
      <c r="CK88" s="5">
        <v>0</v>
      </c>
      <c r="CL88" s="5">
        <v>0</v>
      </c>
      <c r="CM88" s="20">
        <f t="shared" si="32"/>
        <v>0</v>
      </c>
      <c r="CN88" s="8">
        <f t="shared" si="32"/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8">
        <f t="shared" ref="CV88:CY88" si="260">CV67</f>
        <v>0.8</v>
      </c>
      <c r="CW88" s="8">
        <f t="shared" si="260"/>
        <v>0.6</v>
      </c>
      <c r="CX88" s="8">
        <f t="shared" si="260"/>
        <v>1.34</v>
      </c>
      <c r="CY88" s="8">
        <f t="shared" si="260"/>
        <v>1.35</v>
      </c>
      <c r="CZ88" s="8">
        <f t="shared" si="34"/>
        <v>1</v>
      </c>
      <c r="DA88" s="6">
        <f t="shared" si="180"/>
        <v>125</v>
      </c>
      <c r="DB88" s="5">
        <f t="shared" si="35"/>
        <v>0</v>
      </c>
      <c r="DC88" s="5">
        <f t="shared" si="195"/>
        <v>0.6</v>
      </c>
      <c r="DD88" s="6">
        <f t="shared" si="181"/>
        <v>0.6</v>
      </c>
      <c r="DE88" s="6">
        <f t="shared" si="49"/>
        <v>1</v>
      </c>
      <c r="DF88" s="5">
        <v>0</v>
      </c>
      <c r="DG88" s="8">
        <f t="shared" si="36"/>
        <v>2.25</v>
      </c>
      <c r="DH88" s="5">
        <v>1.25</v>
      </c>
      <c r="DI88" s="8">
        <f t="shared" si="37"/>
        <v>0</v>
      </c>
      <c r="DJ88" s="5">
        <f t="shared" si="182"/>
        <v>0</v>
      </c>
      <c r="DK88" s="8">
        <v>0</v>
      </c>
      <c r="DL88" s="5">
        <f t="shared" si="183"/>
        <v>0</v>
      </c>
      <c r="DM88" s="5" t="s">
        <v>293</v>
      </c>
      <c r="DN88" s="8">
        <f t="shared" ref="DN88:DP88" si="261">DN67</f>
        <v>8</v>
      </c>
      <c r="DO88" s="8">
        <f t="shared" si="261"/>
        <v>0</v>
      </c>
      <c r="DP88" s="5">
        <f t="shared" si="261"/>
        <v>0</v>
      </c>
      <c r="DQ88" s="8">
        <f t="shared" si="150"/>
        <v>0</v>
      </c>
      <c r="DR88" s="5">
        <f t="shared" si="197"/>
        <v>0.9</v>
      </c>
      <c r="DS88" s="8">
        <f t="shared" si="40"/>
        <v>1</v>
      </c>
      <c r="DT88" s="8">
        <f t="shared" si="41"/>
        <v>-0.5</v>
      </c>
      <c r="DU88" s="8">
        <f t="shared" si="41"/>
        <v>0.5</v>
      </c>
      <c r="DV88" s="8">
        <f t="shared" ref="DV88:DV151" si="262">DV67</f>
        <v>0.35</v>
      </c>
      <c r="DW88" s="5">
        <f t="shared" ref="DW88:DW108" si="263">DX88/12</f>
        <v>0.58333333333333337</v>
      </c>
      <c r="DX88" s="8">
        <f t="shared" si="43"/>
        <v>7</v>
      </c>
      <c r="DY88" s="8">
        <f t="shared" si="44"/>
        <v>0</v>
      </c>
      <c r="DZ88" s="8">
        <f t="shared" si="45"/>
        <v>0</v>
      </c>
      <c r="EA88" s="5"/>
    </row>
    <row r="89" spans="1:131" x14ac:dyDescent="0.15">
      <c r="A89" s="5">
        <v>201087</v>
      </c>
      <c r="B89" s="5" t="s">
        <v>294</v>
      </c>
      <c r="C89" s="5"/>
      <c r="D89" s="5"/>
      <c r="E89" s="5"/>
      <c r="F89" s="5">
        <v>0</v>
      </c>
      <c r="G89" s="45"/>
      <c r="H89" s="5"/>
      <c r="I89" s="5"/>
      <c r="J89" s="5"/>
      <c r="K89" s="5"/>
      <c r="L89" s="10"/>
      <c r="M89" s="5"/>
      <c r="N89" s="10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20"/>
      <c r="AF89" s="5"/>
      <c r="AG89" s="5"/>
      <c r="AH89" s="5"/>
      <c r="AI89" s="5"/>
      <c r="AJ89" s="5"/>
      <c r="AK89" s="5"/>
      <c r="AL89" s="5"/>
      <c r="AM89" s="5"/>
      <c r="AN89" s="8"/>
      <c r="AO89" s="5">
        <v>0</v>
      </c>
      <c r="AP89" s="5" t="s">
        <v>294</v>
      </c>
      <c r="AQ89" s="5">
        <v>0</v>
      </c>
      <c r="AR89" s="8">
        <f t="shared" ref="AR89:AR152" si="264">AR68</f>
        <v>3</v>
      </c>
      <c r="AS89" s="6">
        <f t="shared" si="186"/>
        <v>45</v>
      </c>
      <c r="AT89" s="6">
        <f t="shared" si="187"/>
        <v>60</v>
      </c>
      <c r="AU89" s="5">
        <f t="shared" ref="AU89:AU152" si="265">AU70</f>
        <v>0</v>
      </c>
      <c r="AV89" s="5">
        <f t="shared" ref="AV89:AV152" si="266">AV68</f>
        <v>1</v>
      </c>
      <c r="AW89" s="5">
        <f t="shared" ref="AW89:AY152" si="267">AW68</f>
        <v>1</v>
      </c>
      <c r="AX89" s="5">
        <f t="shared" ref="AX89" si="268">AX68</f>
        <v>1</v>
      </c>
      <c r="AY89" s="5">
        <f t="shared" si="267"/>
        <v>0</v>
      </c>
      <c r="AZ89" s="8">
        <f t="shared" ref="AZ89:AZ152" si="269">AZ68+10</f>
        <v>52</v>
      </c>
      <c r="BA89" s="5">
        <f t="shared" si="257"/>
        <v>203003</v>
      </c>
      <c r="BB89" s="5">
        <v>0</v>
      </c>
      <c r="BC89" s="5">
        <v>0</v>
      </c>
      <c r="BD89" s="5">
        <f t="shared" ref="BD89:BD152" si="270">BD68</f>
        <v>1</v>
      </c>
      <c r="BE89" s="5">
        <f t="shared" ref="BE89:BE152" si="271">BE68</f>
        <v>0</v>
      </c>
      <c r="BF89" s="5">
        <f t="shared" ref="BF89:BP152" si="272">BF68</f>
        <v>0</v>
      </c>
      <c r="BG89" s="5">
        <f t="shared" si="272"/>
        <v>0</v>
      </c>
      <c r="BH89" s="5">
        <f t="shared" ref="BH89" si="273">BH68</f>
        <v>0</v>
      </c>
      <c r="BI89" s="5">
        <f t="shared" si="272"/>
        <v>0</v>
      </c>
      <c r="BJ89" s="5">
        <f t="shared" si="208"/>
        <v>0</v>
      </c>
      <c r="BK89" s="5">
        <v>0</v>
      </c>
      <c r="BL89" s="5">
        <f t="shared" si="63"/>
        <v>0</v>
      </c>
      <c r="BM89" s="5">
        <f t="shared" ref="BM89:BO151" si="274">BM68</f>
        <v>0</v>
      </c>
      <c r="BN89" s="5">
        <f t="shared" si="274"/>
        <v>0</v>
      </c>
      <c r="BO89" s="5">
        <f t="shared" si="274"/>
        <v>0</v>
      </c>
      <c r="BP89" s="5">
        <f t="shared" si="259"/>
        <v>0</v>
      </c>
      <c r="BQ89" s="5">
        <f t="shared" si="64"/>
        <v>0</v>
      </c>
      <c r="BR89" s="5"/>
      <c r="BS89" s="4">
        <v>1</v>
      </c>
      <c r="BT89" s="4">
        <v>5</v>
      </c>
      <c r="BU89" s="4">
        <f t="shared" ref="BU89:BU152" si="275">BU68</f>
        <v>0</v>
      </c>
      <c r="BV89" s="4">
        <f t="shared" si="189"/>
        <v>5</v>
      </c>
      <c r="BW89" s="4">
        <f t="shared" si="190"/>
        <v>5</v>
      </c>
      <c r="BX89" s="14">
        <f t="shared" si="191"/>
        <v>0.56999999999999995</v>
      </c>
      <c r="BY89" s="14">
        <f t="shared" si="192"/>
        <v>0.35000000000000003</v>
      </c>
      <c r="BZ89" s="5" t="s">
        <v>123</v>
      </c>
      <c r="CA89" s="8" t="str">
        <f t="shared" si="113"/>
        <v>monster_03</v>
      </c>
      <c r="CB89" s="8" t="str">
        <f t="shared" si="113"/>
        <v>monster_03</v>
      </c>
      <c r="CC89" s="5">
        <v>0</v>
      </c>
      <c r="CD89" s="8">
        <f t="shared" ref="CD89:CD152" si="276">CD68</f>
        <v>3</v>
      </c>
      <c r="CE89" s="5">
        <f t="shared" si="193"/>
        <v>5</v>
      </c>
      <c r="CF89" s="5">
        <f t="shared" ref="CF89" si="277">CF68</f>
        <v>1</v>
      </c>
      <c r="CG89" s="5" t="s">
        <v>294</v>
      </c>
      <c r="CH89" s="5">
        <f t="shared" ref="CH89:CH152" si="278">CH68</f>
        <v>0</v>
      </c>
      <c r="CI89" s="5">
        <v>102</v>
      </c>
      <c r="CJ89" s="4">
        <v>0</v>
      </c>
      <c r="CK89" s="5">
        <v>0</v>
      </c>
      <c r="CL89" s="5">
        <v>0</v>
      </c>
      <c r="CM89" s="20">
        <f t="shared" ref="CM89:CN152" si="279">CM68</f>
        <v>0</v>
      </c>
      <c r="CN89" s="8">
        <f t="shared" si="279"/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8">
        <f t="shared" ref="CV89:CY89" si="280">CV68</f>
        <v>0.8</v>
      </c>
      <c r="CW89" s="8">
        <f t="shared" si="280"/>
        <v>0.6</v>
      </c>
      <c r="CX89" s="8">
        <f t="shared" si="280"/>
        <v>1</v>
      </c>
      <c r="CY89" s="8">
        <f t="shared" si="280"/>
        <v>1</v>
      </c>
      <c r="CZ89" s="8">
        <f t="shared" ref="CZ89:CZ152" si="281">CZ68</f>
        <v>1</v>
      </c>
      <c r="DA89" s="6">
        <f t="shared" si="180"/>
        <v>125</v>
      </c>
      <c r="DB89" s="5">
        <f t="shared" ref="DB89:DB152" si="282">DB68</f>
        <v>0</v>
      </c>
      <c r="DC89" s="5">
        <f t="shared" si="195"/>
        <v>0.36</v>
      </c>
      <c r="DD89" s="6">
        <f t="shared" si="181"/>
        <v>0.36</v>
      </c>
      <c r="DE89" s="6">
        <f t="shared" si="49"/>
        <v>0.6</v>
      </c>
      <c r="DF89" s="5">
        <v>0</v>
      </c>
      <c r="DG89" s="8">
        <f t="shared" ref="DG89:DG152" si="283">DG68</f>
        <v>2</v>
      </c>
      <c r="DH89" s="5">
        <v>1</v>
      </c>
      <c r="DI89" s="8">
        <f t="shared" ref="DI89:DI152" si="284">DI68</f>
        <v>2</v>
      </c>
      <c r="DJ89" s="5">
        <f t="shared" si="182"/>
        <v>35</v>
      </c>
      <c r="DK89" s="8">
        <v>0</v>
      </c>
      <c r="DL89" s="5">
        <f t="shared" si="183"/>
        <v>0</v>
      </c>
      <c r="DM89" s="5" t="s">
        <v>294</v>
      </c>
      <c r="DN89" s="8">
        <f t="shared" ref="DN89:DP89" si="285">DN68</f>
        <v>6</v>
      </c>
      <c r="DO89" s="8">
        <f t="shared" si="285"/>
        <v>0</v>
      </c>
      <c r="DP89" s="5">
        <f t="shared" si="285"/>
        <v>0</v>
      </c>
      <c r="DQ89" s="8">
        <f t="shared" ref="DQ89:DQ120" si="286">DQ68</f>
        <v>0</v>
      </c>
      <c r="DR89" s="5">
        <f t="shared" si="197"/>
        <v>0.9</v>
      </c>
      <c r="DS89" s="8">
        <f t="shared" ref="DS89:DS152" si="287">DS68</f>
        <v>1</v>
      </c>
      <c r="DT89" s="8">
        <f t="shared" ref="DT89:DV152" si="288">DT68</f>
        <v>-0.5</v>
      </c>
      <c r="DU89" s="8">
        <f t="shared" si="288"/>
        <v>0.5</v>
      </c>
      <c r="DV89" s="8">
        <f t="shared" si="262"/>
        <v>0.3</v>
      </c>
      <c r="DW89" s="5">
        <f t="shared" si="263"/>
        <v>0.5</v>
      </c>
      <c r="DX89" s="8">
        <f t="shared" ref="DX89:DX152" si="289">DX68</f>
        <v>6</v>
      </c>
      <c r="DY89" s="8">
        <f t="shared" ref="DY89:DY152" si="290">DZ89/12</f>
        <v>0</v>
      </c>
      <c r="DZ89" s="8">
        <f t="shared" ref="DZ89:DZ152" si="291">DZ68</f>
        <v>0</v>
      </c>
      <c r="EA89" s="5"/>
    </row>
    <row r="90" spans="1:131" x14ac:dyDescent="0.15">
      <c r="A90" s="5">
        <v>201088</v>
      </c>
      <c r="B90" s="5" t="s">
        <v>295</v>
      </c>
      <c r="C90" s="5"/>
      <c r="D90" s="5"/>
      <c r="E90" s="5"/>
      <c r="F90" s="5">
        <v>0</v>
      </c>
      <c r="G90" s="45"/>
      <c r="H90" s="5"/>
      <c r="I90" s="5"/>
      <c r="J90" s="5"/>
      <c r="K90" s="5"/>
      <c r="L90" s="10"/>
      <c r="M90" s="5"/>
      <c r="N90" s="10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20"/>
      <c r="AF90" s="5"/>
      <c r="AG90" s="5"/>
      <c r="AH90" s="5"/>
      <c r="AI90" s="5"/>
      <c r="AJ90" s="5"/>
      <c r="AK90" s="5"/>
      <c r="AL90" s="5"/>
      <c r="AM90" s="5"/>
      <c r="AN90" s="8"/>
      <c r="AO90" s="5">
        <v>0</v>
      </c>
      <c r="AP90" s="5" t="s">
        <v>295</v>
      </c>
      <c r="AQ90" s="5">
        <v>0</v>
      </c>
      <c r="AR90" s="8">
        <f t="shared" si="264"/>
        <v>4</v>
      </c>
      <c r="AS90" s="6">
        <f t="shared" si="186"/>
        <v>60</v>
      </c>
      <c r="AT90" s="6">
        <f t="shared" si="187"/>
        <v>75</v>
      </c>
      <c r="AU90" s="5">
        <f t="shared" si="265"/>
        <v>0</v>
      </c>
      <c r="AV90" s="5">
        <f t="shared" si="266"/>
        <v>1</v>
      </c>
      <c r="AW90" s="5">
        <f t="shared" si="267"/>
        <v>1</v>
      </c>
      <c r="AX90" s="5">
        <f t="shared" ref="AX90" si="292">AX69</f>
        <v>1</v>
      </c>
      <c r="AY90" s="5">
        <f t="shared" si="267"/>
        <v>1</v>
      </c>
      <c r="AZ90" s="8">
        <f t="shared" si="269"/>
        <v>52</v>
      </c>
      <c r="BA90" s="5">
        <f t="shared" si="257"/>
        <v>203004</v>
      </c>
      <c r="BB90" s="5">
        <v>0</v>
      </c>
      <c r="BC90" s="5">
        <v>0</v>
      </c>
      <c r="BD90" s="5">
        <f t="shared" si="270"/>
        <v>0</v>
      </c>
      <c r="BE90" s="5">
        <f t="shared" si="271"/>
        <v>0</v>
      </c>
      <c r="BF90" s="5">
        <f t="shared" si="272"/>
        <v>0</v>
      </c>
      <c r="BG90" s="5">
        <f t="shared" si="272"/>
        <v>0</v>
      </c>
      <c r="BH90" s="5">
        <f t="shared" ref="BH90" si="293">BH69</f>
        <v>0</v>
      </c>
      <c r="BI90" s="5">
        <f t="shared" si="272"/>
        <v>0</v>
      </c>
      <c r="BJ90" s="5">
        <f t="shared" si="208"/>
        <v>0</v>
      </c>
      <c r="BK90" s="5">
        <v>0</v>
      </c>
      <c r="BL90" s="5">
        <f t="shared" si="63"/>
        <v>0</v>
      </c>
      <c r="BM90" s="5">
        <f t="shared" si="274"/>
        <v>0</v>
      </c>
      <c r="BN90" s="5">
        <f t="shared" si="274"/>
        <v>0</v>
      </c>
      <c r="BO90" s="5">
        <f t="shared" si="274"/>
        <v>0</v>
      </c>
      <c r="BP90" s="5">
        <f t="shared" si="259"/>
        <v>0</v>
      </c>
      <c r="BQ90" s="5">
        <f t="shared" si="64"/>
        <v>0</v>
      </c>
      <c r="BR90" s="5"/>
      <c r="BS90" s="4">
        <v>1</v>
      </c>
      <c r="BT90" s="4">
        <v>5</v>
      </c>
      <c r="BU90" s="4">
        <f t="shared" si="275"/>
        <v>0</v>
      </c>
      <c r="BV90" s="4">
        <f t="shared" si="189"/>
        <v>5</v>
      </c>
      <c r="BW90" s="4">
        <f t="shared" si="190"/>
        <v>5</v>
      </c>
      <c r="BX90" s="14">
        <f t="shared" si="191"/>
        <v>0.56999999999999995</v>
      </c>
      <c r="BY90" s="14">
        <f t="shared" si="192"/>
        <v>0.35000000000000003</v>
      </c>
      <c r="BZ90" s="5" t="s">
        <v>126</v>
      </c>
      <c r="CA90" s="8" t="str">
        <f t="shared" si="113"/>
        <v>monster_04</v>
      </c>
      <c r="CB90" s="8" t="str">
        <f t="shared" si="113"/>
        <v>monster_04</v>
      </c>
      <c r="CC90" s="5">
        <v>0</v>
      </c>
      <c r="CD90" s="8">
        <f t="shared" si="276"/>
        <v>1</v>
      </c>
      <c r="CE90" s="5">
        <f t="shared" si="193"/>
        <v>0</v>
      </c>
      <c r="CF90" s="5">
        <f t="shared" ref="CF90:CF153" si="294">CF69</f>
        <v>0</v>
      </c>
      <c r="CG90" s="5" t="s">
        <v>295</v>
      </c>
      <c r="CH90" s="5">
        <f t="shared" si="278"/>
        <v>0</v>
      </c>
      <c r="CI90" s="5">
        <v>0</v>
      </c>
      <c r="CJ90" s="4">
        <v>0</v>
      </c>
      <c r="CK90" s="5">
        <v>0</v>
      </c>
      <c r="CL90" s="5">
        <v>0</v>
      </c>
      <c r="CM90" s="20">
        <f t="shared" si="279"/>
        <v>109</v>
      </c>
      <c r="CN90" s="8">
        <f t="shared" si="279"/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8">
        <f t="shared" ref="CV90:CY90" si="295">CV69</f>
        <v>0.8</v>
      </c>
      <c r="CW90" s="8">
        <f t="shared" si="295"/>
        <v>0.6</v>
      </c>
      <c r="CX90" s="8">
        <f t="shared" si="295"/>
        <v>1.25</v>
      </c>
      <c r="CY90" s="8">
        <f t="shared" si="295"/>
        <v>1</v>
      </c>
      <c r="CZ90" s="8">
        <f t="shared" si="281"/>
        <v>2</v>
      </c>
      <c r="DA90" s="6">
        <f t="shared" si="180"/>
        <v>250</v>
      </c>
      <c r="DB90" s="5">
        <f t="shared" si="282"/>
        <v>0</v>
      </c>
      <c r="DC90" s="5">
        <f t="shared" si="195"/>
        <v>0.24</v>
      </c>
      <c r="DD90" s="6">
        <f t="shared" si="181"/>
        <v>0.24</v>
      </c>
      <c r="DE90" s="6">
        <f t="shared" ref="DE90:DE153" si="296">DE69</f>
        <v>0.4</v>
      </c>
      <c r="DF90" s="5">
        <v>0</v>
      </c>
      <c r="DG90" s="8">
        <f t="shared" si="283"/>
        <v>2</v>
      </c>
      <c r="DH90" s="5">
        <v>1</v>
      </c>
      <c r="DI90" s="8">
        <f t="shared" si="284"/>
        <v>0</v>
      </c>
      <c r="DJ90" s="5">
        <f t="shared" si="182"/>
        <v>0</v>
      </c>
      <c r="DK90" s="8">
        <v>0</v>
      </c>
      <c r="DL90" s="5">
        <f t="shared" si="183"/>
        <v>0</v>
      </c>
      <c r="DM90" s="5" t="s">
        <v>295</v>
      </c>
      <c r="DN90" s="8">
        <f t="shared" ref="DN90:DP90" si="297">DN69</f>
        <v>6</v>
      </c>
      <c r="DO90" s="8">
        <f t="shared" si="297"/>
        <v>0</v>
      </c>
      <c r="DP90" s="5">
        <f t="shared" si="297"/>
        <v>0</v>
      </c>
      <c r="DQ90" s="8">
        <f t="shared" si="286"/>
        <v>0</v>
      </c>
      <c r="DR90" s="5">
        <f t="shared" si="197"/>
        <v>0.9</v>
      </c>
      <c r="DS90" s="8">
        <f t="shared" si="287"/>
        <v>1</v>
      </c>
      <c r="DT90" s="8">
        <f t="shared" si="288"/>
        <v>-0.5</v>
      </c>
      <c r="DU90" s="8">
        <f t="shared" si="288"/>
        <v>0.5</v>
      </c>
      <c r="DV90" s="8">
        <f t="shared" si="262"/>
        <v>0.3</v>
      </c>
      <c r="DW90" s="5">
        <f t="shared" si="263"/>
        <v>0.5</v>
      </c>
      <c r="DX90" s="8">
        <f t="shared" si="289"/>
        <v>6</v>
      </c>
      <c r="DY90" s="8">
        <f t="shared" si="290"/>
        <v>0</v>
      </c>
      <c r="DZ90" s="8">
        <f t="shared" si="291"/>
        <v>0</v>
      </c>
      <c r="EA90" s="5"/>
    </row>
    <row r="91" spans="1:131" x14ac:dyDescent="0.15">
      <c r="A91" s="5">
        <v>201089</v>
      </c>
      <c r="B91" s="5" t="s">
        <v>296</v>
      </c>
      <c r="C91" s="5"/>
      <c r="D91" s="5"/>
      <c r="E91" s="5"/>
      <c r="F91" s="5">
        <v>0</v>
      </c>
      <c r="G91" s="45"/>
      <c r="H91" s="5"/>
      <c r="I91" s="5"/>
      <c r="J91" s="5"/>
      <c r="K91" s="5"/>
      <c r="L91" s="10"/>
      <c r="M91" s="5"/>
      <c r="N91" s="10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20"/>
      <c r="AF91" s="5"/>
      <c r="AG91" s="5"/>
      <c r="AH91" s="5"/>
      <c r="AI91" s="5"/>
      <c r="AJ91" s="5"/>
      <c r="AK91" s="5"/>
      <c r="AL91" s="5"/>
      <c r="AM91" s="5"/>
      <c r="AN91" s="8"/>
      <c r="AO91" s="5">
        <v>0</v>
      </c>
      <c r="AP91" s="5" t="s">
        <v>296</v>
      </c>
      <c r="AQ91" s="5">
        <v>0</v>
      </c>
      <c r="AR91" s="8">
        <f t="shared" si="264"/>
        <v>3</v>
      </c>
      <c r="AS91" s="6">
        <f t="shared" si="186"/>
        <v>45</v>
      </c>
      <c r="AT91" s="6">
        <f t="shared" si="187"/>
        <v>60</v>
      </c>
      <c r="AU91" s="5">
        <f t="shared" si="265"/>
        <v>0</v>
      </c>
      <c r="AV91" s="5">
        <f t="shared" si="266"/>
        <v>1</v>
      </c>
      <c r="AW91" s="5">
        <f t="shared" si="267"/>
        <v>1</v>
      </c>
      <c r="AX91" s="5">
        <f t="shared" ref="AX91" si="298">AX70</f>
        <v>1</v>
      </c>
      <c r="AY91" s="5">
        <f t="shared" si="267"/>
        <v>1</v>
      </c>
      <c r="AZ91" s="8">
        <f t="shared" si="269"/>
        <v>52</v>
      </c>
      <c r="BA91" s="5">
        <f t="shared" si="257"/>
        <v>203005</v>
      </c>
      <c r="BB91" s="5">
        <v>0</v>
      </c>
      <c r="BC91" s="5">
        <v>0</v>
      </c>
      <c r="BD91" s="5">
        <f t="shared" si="270"/>
        <v>0</v>
      </c>
      <c r="BE91" s="5">
        <f t="shared" si="271"/>
        <v>0</v>
      </c>
      <c r="BF91" s="5">
        <f t="shared" si="272"/>
        <v>0</v>
      </c>
      <c r="BG91" s="5">
        <f t="shared" si="272"/>
        <v>0</v>
      </c>
      <c r="BH91" s="5">
        <f t="shared" ref="BH91" si="299">BH70</f>
        <v>0</v>
      </c>
      <c r="BI91" s="5">
        <f t="shared" si="272"/>
        <v>0</v>
      </c>
      <c r="BJ91" s="5">
        <f t="shared" si="208"/>
        <v>0</v>
      </c>
      <c r="BK91" s="5">
        <v>0</v>
      </c>
      <c r="BL91" s="5">
        <f t="shared" si="63"/>
        <v>0</v>
      </c>
      <c r="BM91" s="5">
        <f t="shared" si="274"/>
        <v>0</v>
      </c>
      <c r="BN91" s="5">
        <f t="shared" si="274"/>
        <v>0</v>
      </c>
      <c r="BO91" s="5">
        <f t="shared" si="274"/>
        <v>0</v>
      </c>
      <c r="BP91" s="5">
        <f t="shared" si="259"/>
        <v>0</v>
      </c>
      <c r="BQ91" s="5">
        <f t="shared" si="64"/>
        <v>0</v>
      </c>
      <c r="BR91" s="5"/>
      <c r="BS91" s="4">
        <v>1</v>
      </c>
      <c r="BT91" s="4">
        <v>5</v>
      </c>
      <c r="BU91" s="4">
        <f t="shared" si="275"/>
        <v>0</v>
      </c>
      <c r="BV91" s="4">
        <f t="shared" si="189"/>
        <v>5</v>
      </c>
      <c r="BW91" s="4">
        <f t="shared" si="190"/>
        <v>5</v>
      </c>
      <c r="BX91" s="14">
        <f t="shared" si="191"/>
        <v>0.56999999999999995</v>
      </c>
      <c r="BY91" s="14">
        <f t="shared" si="192"/>
        <v>0.35000000000000003</v>
      </c>
      <c r="BZ91" s="5" t="s">
        <v>129</v>
      </c>
      <c r="CA91" s="8" t="str">
        <f t="shared" si="113"/>
        <v>monster_05</v>
      </c>
      <c r="CB91" s="8" t="str">
        <f t="shared" si="113"/>
        <v>monster_05</v>
      </c>
      <c r="CC91" s="5">
        <v>0</v>
      </c>
      <c r="CD91" s="8">
        <f t="shared" si="276"/>
        <v>3</v>
      </c>
      <c r="CE91" s="5">
        <f t="shared" si="193"/>
        <v>0</v>
      </c>
      <c r="CF91" s="5">
        <f t="shared" si="294"/>
        <v>0</v>
      </c>
      <c r="CG91" s="5" t="s">
        <v>296</v>
      </c>
      <c r="CH91" s="5">
        <f t="shared" si="278"/>
        <v>3</v>
      </c>
      <c r="CI91" s="5">
        <v>103</v>
      </c>
      <c r="CJ91" s="4">
        <v>0</v>
      </c>
      <c r="CK91" s="5">
        <v>0</v>
      </c>
      <c r="CL91" s="5">
        <v>0</v>
      </c>
      <c r="CM91" s="20">
        <v>0</v>
      </c>
      <c r="CN91" s="8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8">
        <f t="shared" ref="CV91:CY91" si="300">CV70</f>
        <v>0.8</v>
      </c>
      <c r="CW91" s="8">
        <f t="shared" si="300"/>
        <v>0.6</v>
      </c>
      <c r="CX91" s="8">
        <f t="shared" si="300"/>
        <v>0.8</v>
      </c>
      <c r="CY91" s="8">
        <f t="shared" si="300"/>
        <v>0.8</v>
      </c>
      <c r="CZ91" s="8">
        <f t="shared" si="281"/>
        <v>1</v>
      </c>
      <c r="DA91" s="6">
        <f t="shared" si="180"/>
        <v>125</v>
      </c>
      <c r="DB91" s="5">
        <f t="shared" si="282"/>
        <v>0</v>
      </c>
      <c r="DC91" s="5">
        <f t="shared" si="195"/>
        <v>0.3</v>
      </c>
      <c r="DD91" s="6">
        <f t="shared" si="181"/>
        <v>0.3</v>
      </c>
      <c r="DE91" s="6">
        <f t="shared" si="296"/>
        <v>0.5</v>
      </c>
      <c r="DF91" s="5">
        <v>0</v>
      </c>
      <c r="DG91" s="8">
        <f t="shared" si="283"/>
        <v>2.5</v>
      </c>
      <c r="DH91" s="5">
        <v>1.5</v>
      </c>
      <c r="DI91" s="8">
        <f t="shared" si="284"/>
        <v>0.3</v>
      </c>
      <c r="DJ91" s="5">
        <f t="shared" si="182"/>
        <v>5.25</v>
      </c>
      <c r="DK91" s="8">
        <v>0</v>
      </c>
      <c r="DL91" s="5">
        <f t="shared" si="183"/>
        <v>0</v>
      </c>
      <c r="DM91" s="5" t="s">
        <v>296</v>
      </c>
      <c r="DN91" s="8">
        <f t="shared" ref="DN91:DP91" si="301">DN70</f>
        <v>10</v>
      </c>
      <c r="DO91" s="8">
        <f t="shared" si="301"/>
        <v>1</v>
      </c>
      <c r="DP91" s="5">
        <f t="shared" si="301"/>
        <v>0</v>
      </c>
      <c r="DQ91" s="8">
        <f t="shared" si="286"/>
        <v>0</v>
      </c>
      <c r="DR91" s="5">
        <f t="shared" si="197"/>
        <v>4.5</v>
      </c>
      <c r="DS91" s="8">
        <f t="shared" si="287"/>
        <v>5</v>
      </c>
      <c r="DT91" s="8">
        <f t="shared" si="288"/>
        <v>-5</v>
      </c>
      <c r="DU91" s="8">
        <f t="shared" si="288"/>
        <v>5</v>
      </c>
      <c r="DV91" s="8">
        <f t="shared" si="262"/>
        <v>0.5</v>
      </c>
      <c r="DW91" s="5">
        <f t="shared" si="263"/>
        <v>0.5</v>
      </c>
      <c r="DX91" s="8">
        <f t="shared" si="289"/>
        <v>6</v>
      </c>
      <c r="DY91" s="8">
        <f t="shared" si="290"/>
        <v>0</v>
      </c>
      <c r="DZ91" s="8">
        <f t="shared" si="291"/>
        <v>0</v>
      </c>
      <c r="EA91" s="5"/>
    </row>
    <row r="92" spans="1:131" ht="14.25" x14ac:dyDescent="0.15">
      <c r="A92" s="5">
        <v>201090</v>
      </c>
      <c r="B92" s="9" t="s">
        <v>297</v>
      </c>
      <c r="C92" s="9"/>
      <c r="D92" s="9"/>
      <c r="E92" s="9"/>
      <c r="F92" s="5">
        <v>0</v>
      </c>
      <c r="G92" s="45"/>
      <c r="H92" s="5"/>
      <c r="I92" s="5"/>
      <c r="J92" s="5"/>
      <c r="K92" s="5"/>
      <c r="L92" s="10"/>
      <c r="M92" s="5"/>
      <c r="N92" s="10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20"/>
      <c r="AF92" s="5"/>
      <c r="AG92" s="5"/>
      <c r="AH92" s="5"/>
      <c r="AI92" s="5"/>
      <c r="AJ92" s="5"/>
      <c r="AK92" s="5"/>
      <c r="AL92" s="5"/>
      <c r="AM92" s="5"/>
      <c r="AN92" s="8"/>
      <c r="AO92" s="5">
        <v>0</v>
      </c>
      <c r="AP92" s="9" t="s">
        <v>297</v>
      </c>
      <c r="AQ92" s="5">
        <v>0</v>
      </c>
      <c r="AR92" s="8">
        <f t="shared" si="264"/>
        <v>4</v>
      </c>
      <c r="AS92" s="6">
        <f t="shared" si="186"/>
        <v>60</v>
      </c>
      <c r="AT92" s="6">
        <f t="shared" si="187"/>
        <v>75</v>
      </c>
      <c r="AU92" s="5">
        <f t="shared" si="265"/>
        <v>0</v>
      </c>
      <c r="AV92" s="5">
        <f t="shared" si="266"/>
        <v>1</v>
      </c>
      <c r="AW92" s="5">
        <f t="shared" si="267"/>
        <v>1</v>
      </c>
      <c r="AX92" s="5">
        <f t="shared" ref="AX92" si="302">AX71</f>
        <v>1</v>
      </c>
      <c r="AY92" s="5">
        <f t="shared" si="267"/>
        <v>1</v>
      </c>
      <c r="AZ92" s="8">
        <f t="shared" si="269"/>
        <v>51</v>
      </c>
      <c r="BA92" s="5">
        <f t="shared" si="257"/>
        <v>203006</v>
      </c>
      <c r="BB92" s="5">
        <v>0</v>
      </c>
      <c r="BC92" s="5">
        <v>0</v>
      </c>
      <c r="BD92" s="5">
        <f t="shared" si="270"/>
        <v>0</v>
      </c>
      <c r="BE92" s="5">
        <f t="shared" si="271"/>
        <v>304001</v>
      </c>
      <c r="BF92" s="5">
        <f t="shared" si="272"/>
        <v>90</v>
      </c>
      <c r="BG92" s="5">
        <f t="shared" si="272"/>
        <v>30</v>
      </c>
      <c r="BH92" s="5">
        <f t="shared" ref="BH92" si="303">BH71</f>
        <v>30</v>
      </c>
      <c r="BI92" s="5">
        <f t="shared" si="272"/>
        <v>1</v>
      </c>
      <c r="BJ92" s="5">
        <f t="shared" si="208"/>
        <v>5</v>
      </c>
      <c r="BK92" s="5">
        <v>5</v>
      </c>
      <c r="BL92" s="5">
        <f t="shared" si="63"/>
        <v>1</v>
      </c>
      <c r="BM92" s="5">
        <f t="shared" si="274"/>
        <v>30</v>
      </c>
      <c r="BN92" s="5">
        <f t="shared" si="274"/>
        <v>180</v>
      </c>
      <c r="BO92" s="5">
        <f t="shared" si="274"/>
        <v>108006</v>
      </c>
      <c r="BP92" s="5">
        <f t="shared" si="259"/>
        <v>3</v>
      </c>
      <c r="BQ92" s="5">
        <f t="shared" si="64"/>
        <v>3</v>
      </c>
      <c r="BR92" s="5">
        <f>50*BT92*3-360/BM92*BJ92*BQ92</f>
        <v>570</v>
      </c>
      <c r="BS92" s="4">
        <v>2</v>
      </c>
      <c r="BT92" s="4">
        <v>5</v>
      </c>
      <c r="BU92" s="4">
        <f t="shared" si="275"/>
        <v>0</v>
      </c>
      <c r="BV92" s="4">
        <f t="shared" si="189"/>
        <v>5</v>
      </c>
      <c r="BW92" s="4">
        <f t="shared" si="190"/>
        <v>5</v>
      </c>
      <c r="BX92" s="14">
        <f t="shared" si="191"/>
        <v>0.56999999999999995</v>
      </c>
      <c r="BY92" s="14">
        <f t="shared" si="192"/>
        <v>0.35000000000000003</v>
      </c>
      <c r="BZ92" s="5" t="s">
        <v>132</v>
      </c>
      <c r="CA92" s="8" t="str">
        <f t="shared" si="113"/>
        <v>monster_06</v>
      </c>
      <c r="CB92" s="8" t="str">
        <f t="shared" si="113"/>
        <v>monster_06</v>
      </c>
      <c r="CC92" s="5">
        <v>0</v>
      </c>
      <c r="CD92" s="8">
        <f t="shared" si="276"/>
        <v>1</v>
      </c>
      <c r="CE92" s="5">
        <f t="shared" si="193"/>
        <v>5</v>
      </c>
      <c r="CF92" s="5">
        <f t="shared" si="294"/>
        <v>1</v>
      </c>
      <c r="CG92" s="9" t="s">
        <v>297</v>
      </c>
      <c r="CH92" s="5">
        <f t="shared" si="278"/>
        <v>3</v>
      </c>
      <c r="CI92" s="5">
        <v>0</v>
      </c>
      <c r="CJ92" s="4">
        <v>0</v>
      </c>
      <c r="CK92" s="5">
        <v>0</v>
      </c>
      <c r="CL92" s="5">
        <v>0</v>
      </c>
      <c r="CM92" s="20">
        <f t="shared" si="279"/>
        <v>110</v>
      </c>
      <c r="CN92" s="8">
        <f t="shared" si="279"/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8">
        <f t="shared" ref="CV92:CY92" si="304">CV71</f>
        <v>0.8</v>
      </c>
      <c r="CW92" s="8">
        <f t="shared" si="304"/>
        <v>0.6</v>
      </c>
      <c r="CX92" s="8">
        <f t="shared" si="304"/>
        <v>1.25</v>
      </c>
      <c r="CY92" s="8">
        <f t="shared" si="304"/>
        <v>1</v>
      </c>
      <c r="CZ92" s="8">
        <f t="shared" si="281"/>
        <v>1</v>
      </c>
      <c r="DA92" s="6">
        <f t="shared" si="180"/>
        <v>125</v>
      </c>
      <c r="DB92" s="5">
        <f t="shared" si="282"/>
        <v>0</v>
      </c>
      <c r="DC92" s="5">
        <f t="shared" si="195"/>
        <v>0.54</v>
      </c>
      <c r="DD92" s="6">
        <f t="shared" si="181"/>
        <v>0.54</v>
      </c>
      <c r="DE92" s="6">
        <f t="shared" si="296"/>
        <v>0.9</v>
      </c>
      <c r="DF92" s="5">
        <v>0</v>
      </c>
      <c r="DG92" s="8">
        <f t="shared" si="283"/>
        <v>2.5</v>
      </c>
      <c r="DH92" s="5">
        <v>1.5</v>
      </c>
      <c r="DI92" s="8">
        <f t="shared" si="284"/>
        <v>0</v>
      </c>
      <c r="DJ92" s="5">
        <f t="shared" si="182"/>
        <v>0</v>
      </c>
      <c r="DK92" s="8">
        <v>0</v>
      </c>
      <c r="DL92" s="5">
        <f t="shared" si="183"/>
        <v>0</v>
      </c>
      <c r="DM92" s="9" t="s">
        <v>297</v>
      </c>
      <c r="DN92" s="8">
        <f t="shared" ref="DN92:DP92" si="305">DN71</f>
        <v>6</v>
      </c>
      <c r="DO92" s="8">
        <f t="shared" si="305"/>
        <v>0</v>
      </c>
      <c r="DP92" s="5">
        <f t="shared" si="305"/>
        <v>0</v>
      </c>
      <c r="DQ92" s="8">
        <f t="shared" si="286"/>
        <v>0</v>
      </c>
      <c r="DR92" s="5">
        <f t="shared" si="197"/>
        <v>0.9</v>
      </c>
      <c r="DS92" s="8">
        <f t="shared" si="287"/>
        <v>1</v>
      </c>
      <c r="DT92" s="8">
        <f t="shared" si="288"/>
        <v>-0.5</v>
      </c>
      <c r="DU92" s="8">
        <f t="shared" si="288"/>
        <v>0.5</v>
      </c>
      <c r="DV92" s="8">
        <f t="shared" si="262"/>
        <v>0.5</v>
      </c>
      <c r="DW92" s="5">
        <f t="shared" si="263"/>
        <v>0.41666666666666669</v>
      </c>
      <c r="DX92" s="8">
        <f t="shared" si="289"/>
        <v>5</v>
      </c>
      <c r="DY92" s="8">
        <f t="shared" si="290"/>
        <v>1.3333333333333333</v>
      </c>
      <c r="DZ92" s="8">
        <f t="shared" si="291"/>
        <v>16</v>
      </c>
      <c r="EA92" s="5"/>
    </row>
    <row r="93" spans="1:131" x14ac:dyDescent="0.15">
      <c r="A93" s="5">
        <v>201091</v>
      </c>
      <c r="B93" s="5" t="s">
        <v>298</v>
      </c>
      <c r="C93" s="5"/>
      <c r="D93" s="5"/>
      <c r="E93" s="5"/>
      <c r="F93" s="5">
        <v>0</v>
      </c>
      <c r="G93" s="45"/>
      <c r="H93" s="5"/>
      <c r="I93" s="5"/>
      <c r="J93" s="5"/>
      <c r="K93" s="5"/>
      <c r="L93" s="10"/>
      <c r="M93" s="5"/>
      <c r="N93" s="10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20"/>
      <c r="AF93" s="5"/>
      <c r="AG93" s="5"/>
      <c r="AH93" s="5"/>
      <c r="AI93" s="5"/>
      <c r="AJ93" s="5"/>
      <c r="AK93" s="5"/>
      <c r="AL93" s="5"/>
      <c r="AM93" s="5"/>
      <c r="AN93" s="8"/>
      <c r="AO93" s="5">
        <v>0</v>
      </c>
      <c r="AP93" s="5" t="s">
        <v>298</v>
      </c>
      <c r="AQ93" s="5">
        <v>0</v>
      </c>
      <c r="AR93" s="8">
        <f t="shared" si="264"/>
        <v>5</v>
      </c>
      <c r="AS93" s="6">
        <f t="shared" si="186"/>
        <v>75</v>
      </c>
      <c r="AT93" s="6">
        <f t="shared" si="187"/>
        <v>90</v>
      </c>
      <c r="AU93" s="5">
        <f t="shared" si="265"/>
        <v>0</v>
      </c>
      <c r="AV93" s="5">
        <f t="shared" si="266"/>
        <v>1</v>
      </c>
      <c r="AW93" s="5">
        <f t="shared" si="267"/>
        <v>1</v>
      </c>
      <c r="AX93" s="5">
        <f t="shared" ref="AX93" si="306">AX72</f>
        <v>1</v>
      </c>
      <c r="AY93" s="5">
        <f t="shared" si="267"/>
        <v>1</v>
      </c>
      <c r="AZ93" s="8">
        <f>AZ72+1</f>
        <v>10705</v>
      </c>
      <c r="BA93" s="5">
        <f t="shared" si="257"/>
        <v>203007</v>
      </c>
      <c r="BB93" s="5">
        <v>0</v>
      </c>
      <c r="BC93" s="5">
        <v>0</v>
      </c>
      <c r="BD93" s="5">
        <f t="shared" si="270"/>
        <v>0</v>
      </c>
      <c r="BE93" s="5">
        <f t="shared" si="271"/>
        <v>0</v>
      </c>
      <c r="BF93" s="5">
        <f t="shared" si="272"/>
        <v>0</v>
      </c>
      <c r="BG93" s="5">
        <f t="shared" si="272"/>
        <v>0</v>
      </c>
      <c r="BH93" s="5">
        <f t="shared" ref="BH93" si="307">BH72</f>
        <v>0</v>
      </c>
      <c r="BI93" s="5">
        <f t="shared" si="272"/>
        <v>0</v>
      </c>
      <c r="BJ93" s="5">
        <f t="shared" si="208"/>
        <v>0</v>
      </c>
      <c r="BK93" s="5">
        <v>0</v>
      </c>
      <c r="BL93" s="5">
        <f t="shared" si="63"/>
        <v>0</v>
      </c>
      <c r="BM93" s="5">
        <f t="shared" si="274"/>
        <v>0</v>
      </c>
      <c r="BN93" s="5">
        <f t="shared" si="274"/>
        <v>0</v>
      </c>
      <c r="BO93" s="5">
        <f t="shared" si="274"/>
        <v>0</v>
      </c>
      <c r="BP93" s="5">
        <f t="shared" si="259"/>
        <v>0</v>
      </c>
      <c r="BQ93" s="5">
        <f t="shared" si="64"/>
        <v>0</v>
      </c>
      <c r="BR93" s="5"/>
      <c r="BS93" s="4">
        <v>2</v>
      </c>
      <c r="BT93" s="4">
        <v>5</v>
      </c>
      <c r="BU93" s="4">
        <f t="shared" si="275"/>
        <v>0</v>
      </c>
      <c r="BV93" s="4">
        <f t="shared" si="189"/>
        <v>5</v>
      </c>
      <c r="BW93" s="4">
        <f t="shared" si="190"/>
        <v>5</v>
      </c>
      <c r="BX93" s="14">
        <f t="shared" si="191"/>
        <v>0.56999999999999995</v>
      </c>
      <c r="BY93" s="14">
        <f t="shared" si="192"/>
        <v>0.35000000000000003</v>
      </c>
      <c r="BZ93" s="5" t="s">
        <v>135</v>
      </c>
      <c r="CA93" s="8" t="str">
        <f t="shared" si="113"/>
        <v>monster_07</v>
      </c>
      <c r="CB93" s="8" t="str">
        <f t="shared" si="113"/>
        <v>monster_07</v>
      </c>
      <c r="CC93" s="5">
        <v>0</v>
      </c>
      <c r="CD93" s="8">
        <f t="shared" si="276"/>
        <v>4</v>
      </c>
      <c r="CE93" s="5">
        <f t="shared" si="193"/>
        <v>5</v>
      </c>
      <c r="CF93" s="5">
        <f t="shared" si="294"/>
        <v>1</v>
      </c>
      <c r="CG93" s="5" t="s">
        <v>298</v>
      </c>
      <c r="CH93" s="5">
        <f t="shared" si="278"/>
        <v>3</v>
      </c>
      <c r="CI93" s="5">
        <v>0</v>
      </c>
      <c r="CJ93" s="4">
        <v>0</v>
      </c>
      <c r="CK93" s="5">
        <v>0</v>
      </c>
      <c r="CL93" s="5">
        <v>0</v>
      </c>
      <c r="CM93" s="20">
        <f t="shared" si="279"/>
        <v>0</v>
      </c>
      <c r="CN93" s="8">
        <f t="shared" si="279"/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8">
        <f t="shared" ref="CV93:CY93" si="308">CV72</f>
        <v>0.8</v>
      </c>
      <c r="CW93" s="8">
        <f t="shared" si="308"/>
        <v>0.6</v>
      </c>
      <c r="CX93" s="8">
        <f t="shared" si="308"/>
        <v>1</v>
      </c>
      <c r="CY93" s="8">
        <f t="shared" si="308"/>
        <v>1</v>
      </c>
      <c r="CZ93" s="8">
        <f t="shared" si="281"/>
        <v>1</v>
      </c>
      <c r="DA93" s="6">
        <f t="shared" si="180"/>
        <v>125</v>
      </c>
      <c r="DB93" s="5">
        <f t="shared" si="282"/>
        <v>0</v>
      </c>
      <c r="DC93" s="5">
        <f t="shared" si="195"/>
        <v>0.3</v>
      </c>
      <c r="DD93" s="6">
        <f t="shared" si="181"/>
        <v>0.3</v>
      </c>
      <c r="DE93" s="6">
        <f t="shared" si="296"/>
        <v>0.5</v>
      </c>
      <c r="DF93" s="5">
        <v>1</v>
      </c>
      <c r="DG93" s="8">
        <f t="shared" si="283"/>
        <v>2.25</v>
      </c>
      <c r="DH93" s="5">
        <v>1.25</v>
      </c>
      <c r="DI93" s="8">
        <f t="shared" si="284"/>
        <v>3</v>
      </c>
      <c r="DJ93" s="5">
        <f t="shared" si="182"/>
        <v>52.5</v>
      </c>
      <c r="DK93" s="8">
        <v>0</v>
      </c>
      <c r="DL93" s="5">
        <f t="shared" si="183"/>
        <v>0</v>
      </c>
      <c r="DM93" s="5" t="s">
        <v>298</v>
      </c>
      <c r="DN93" s="8">
        <f t="shared" ref="DN93:DP93" si="309">DN72</f>
        <v>6</v>
      </c>
      <c r="DO93" s="8">
        <f t="shared" si="309"/>
        <v>0</v>
      </c>
      <c r="DP93" s="5">
        <f t="shared" si="309"/>
        <v>1</v>
      </c>
      <c r="DQ93" s="8">
        <f t="shared" si="286"/>
        <v>0</v>
      </c>
      <c r="DR93" s="5">
        <f t="shared" si="197"/>
        <v>1.1700000000000002</v>
      </c>
      <c r="DS93" s="8">
        <f t="shared" si="287"/>
        <v>1.3</v>
      </c>
      <c r="DT93" s="8">
        <f t="shared" si="288"/>
        <v>-0.5</v>
      </c>
      <c r="DU93" s="8">
        <f t="shared" si="288"/>
        <v>0.5</v>
      </c>
      <c r="DV93" s="8">
        <f t="shared" si="262"/>
        <v>0.6</v>
      </c>
      <c r="DW93" s="5">
        <f t="shared" si="263"/>
        <v>0.5</v>
      </c>
      <c r="DX93" s="8">
        <f t="shared" si="289"/>
        <v>6</v>
      </c>
      <c r="DY93" s="8">
        <f t="shared" si="290"/>
        <v>0</v>
      </c>
      <c r="DZ93" s="8">
        <f t="shared" si="291"/>
        <v>0</v>
      </c>
      <c r="EA93" s="5"/>
    </row>
    <row r="94" spans="1:131" x14ac:dyDescent="0.15">
      <c r="A94" s="5">
        <v>201092</v>
      </c>
      <c r="B94" s="5" t="s">
        <v>299</v>
      </c>
      <c r="C94" s="5"/>
      <c r="D94" s="5"/>
      <c r="E94" s="5"/>
      <c r="F94" s="5">
        <v>0</v>
      </c>
      <c r="G94" s="45"/>
      <c r="H94" s="5"/>
      <c r="I94" s="5"/>
      <c r="J94" s="5"/>
      <c r="K94" s="5"/>
      <c r="L94" s="10"/>
      <c r="M94" s="5"/>
      <c r="N94" s="10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20"/>
      <c r="AF94" s="5"/>
      <c r="AG94" s="5"/>
      <c r="AH94" s="5"/>
      <c r="AI94" s="5"/>
      <c r="AJ94" s="5"/>
      <c r="AK94" s="5"/>
      <c r="AL94" s="5"/>
      <c r="AM94" s="5"/>
      <c r="AN94" s="8"/>
      <c r="AO94" s="5">
        <v>0</v>
      </c>
      <c r="AP94" s="5" t="s">
        <v>299</v>
      </c>
      <c r="AQ94" s="5">
        <v>0</v>
      </c>
      <c r="AR94" s="8">
        <f t="shared" si="264"/>
        <v>4</v>
      </c>
      <c r="AS94" s="6">
        <f t="shared" si="186"/>
        <v>60</v>
      </c>
      <c r="AT94" s="6">
        <f t="shared" si="187"/>
        <v>75</v>
      </c>
      <c r="AU94" s="5">
        <f t="shared" si="265"/>
        <v>0</v>
      </c>
      <c r="AV94" s="5">
        <f t="shared" si="266"/>
        <v>1</v>
      </c>
      <c r="AW94" s="5">
        <f t="shared" si="267"/>
        <v>0</v>
      </c>
      <c r="AX94" s="5">
        <f t="shared" ref="AX94" si="310">AX73</f>
        <v>0</v>
      </c>
      <c r="AY94" s="5">
        <f t="shared" si="267"/>
        <v>1</v>
      </c>
      <c r="AZ94" s="8">
        <f t="shared" si="269"/>
        <v>53</v>
      </c>
      <c r="BA94" s="5">
        <f t="shared" si="257"/>
        <v>203008</v>
      </c>
      <c r="BB94" s="5">
        <v>0</v>
      </c>
      <c r="BC94" s="5">
        <v>0</v>
      </c>
      <c r="BD94" s="5">
        <f t="shared" si="270"/>
        <v>0</v>
      </c>
      <c r="BE94" s="5">
        <f t="shared" si="271"/>
        <v>0</v>
      </c>
      <c r="BF94" s="5">
        <f t="shared" si="272"/>
        <v>0</v>
      </c>
      <c r="BG94" s="5">
        <f t="shared" si="272"/>
        <v>0</v>
      </c>
      <c r="BH94" s="5">
        <f t="shared" ref="BH94" si="311">BH73</f>
        <v>0</v>
      </c>
      <c r="BI94" s="5">
        <f t="shared" si="272"/>
        <v>0</v>
      </c>
      <c r="BJ94" s="5">
        <f t="shared" si="208"/>
        <v>0</v>
      </c>
      <c r="BK94" s="5">
        <v>0</v>
      </c>
      <c r="BL94" s="5">
        <f t="shared" ref="BL94:BL157" si="312">BL73</f>
        <v>0</v>
      </c>
      <c r="BM94" s="5">
        <f t="shared" si="274"/>
        <v>0</v>
      </c>
      <c r="BN94" s="5">
        <f t="shared" si="274"/>
        <v>0</v>
      </c>
      <c r="BO94" s="5">
        <f t="shared" si="274"/>
        <v>0</v>
      </c>
      <c r="BP94" s="5">
        <f t="shared" si="259"/>
        <v>0</v>
      </c>
      <c r="BQ94" s="5">
        <f t="shared" si="259"/>
        <v>0</v>
      </c>
      <c r="BR94" s="5"/>
      <c r="BS94" s="4">
        <v>2</v>
      </c>
      <c r="BT94" s="4">
        <v>5</v>
      </c>
      <c r="BU94" s="4">
        <f t="shared" si="275"/>
        <v>1</v>
      </c>
      <c r="BV94" s="4">
        <f t="shared" si="189"/>
        <v>5</v>
      </c>
      <c r="BW94" s="4">
        <f t="shared" si="190"/>
        <v>5</v>
      </c>
      <c r="BX94" s="14">
        <f t="shared" si="191"/>
        <v>0.56999999999999995</v>
      </c>
      <c r="BY94" s="14">
        <f t="shared" si="192"/>
        <v>0.35000000000000003</v>
      </c>
      <c r="BZ94" s="5" t="s">
        <v>138</v>
      </c>
      <c r="CA94" s="8" t="str">
        <f t="shared" si="113"/>
        <v>monster_08</v>
      </c>
      <c r="CB94" s="8" t="str">
        <f t="shared" si="113"/>
        <v>monster_08</v>
      </c>
      <c r="CC94" s="5">
        <v>0</v>
      </c>
      <c r="CD94" s="8">
        <f t="shared" si="276"/>
        <v>1</v>
      </c>
      <c r="CE94" s="5">
        <f t="shared" si="193"/>
        <v>0</v>
      </c>
      <c r="CF94" s="5">
        <f t="shared" si="294"/>
        <v>0</v>
      </c>
      <c r="CG94" s="5" t="s">
        <v>299</v>
      </c>
      <c r="CH94" s="5">
        <f t="shared" si="278"/>
        <v>3</v>
      </c>
      <c r="CI94" s="5">
        <v>0</v>
      </c>
      <c r="CJ94" s="4">
        <v>0</v>
      </c>
      <c r="CK94" s="5">
        <v>0</v>
      </c>
      <c r="CL94" s="5">
        <v>0</v>
      </c>
      <c r="CM94" s="20">
        <f t="shared" si="279"/>
        <v>112</v>
      </c>
      <c r="CN94" s="8">
        <f t="shared" si="279"/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8">
        <f t="shared" ref="CV94:CY94" si="313">CV73</f>
        <v>0.8</v>
      </c>
      <c r="CW94" s="8">
        <f t="shared" si="313"/>
        <v>0.6</v>
      </c>
      <c r="CX94" s="8">
        <f t="shared" si="313"/>
        <v>1</v>
      </c>
      <c r="CY94" s="8">
        <f t="shared" si="313"/>
        <v>1</v>
      </c>
      <c r="CZ94" s="8">
        <f t="shared" si="281"/>
        <v>0.4</v>
      </c>
      <c r="DA94" s="6">
        <f t="shared" si="180"/>
        <v>50</v>
      </c>
      <c r="DB94" s="5">
        <f t="shared" si="282"/>
        <v>0</v>
      </c>
      <c r="DC94" s="5">
        <f t="shared" si="195"/>
        <v>0.72</v>
      </c>
      <c r="DD94" s="6">
        <f t="shared" si="181"/>
        <v>0.72</v>
      </c>
      <c r="DE94" s="6">
        <f t="shared" si="296"/>
        <v>1.2</v>
      </c>
      <c r="DF94" s="5">
        <v>0</v>
      </c>
      <c r="DG94" s="8">
        <f t="shared" si="283"/>
        <v>2.25</v>
      </c>
      <c r="DH94" s="5">
        <v>1.25</v>
      </c>
      <c r="DI94" s="8">
        <f t="shared" si="284"/>
        <v>0</v>
      </c>
      <c r="DJ94" s="5">
        <f t="shared" si="182"/>
        <v>0</v>
      </c>
      <c r="DK94" s="8">
        <v>0</v>
      </c>
      <c r="DL94" s="5">
        <f t="shared" si="183"/>
        <v>0</v>
      </c>
      <c r="DM94" s="5" t="s">
        <v>299</v>
      </c>
      <c r="DN94" s="8">
        <f t="shared" ref="DN94:DP94" si="314">DN73</f>
        <v>6</v>
      </c>
      <c r="DO94" s="8">
        <f t="shared" si="314"/>
        <v>0</v>
      </c>
      <c r="DP94" s="5">
        <f t="shared" si="314"/>
        <v>0</v>
      </c>
      <c r="DQ94" s="8">
        <f t="shared" si="286"/>
        <v>0</v>
      </c>
      <c r="DR94" s="5">
        <f t="shared" si="197"/>
        <v>0.9</v>
      </c>
      <c r="DS94" s="8">
        <f t="shared" si="287"/>
        <v>1</v>
      </c>
      <c r="DT94" s="8">
        <f t="shared" si="288"/>
        <v>-0.5</v>
      </c>
      <c r="DU94" s="8">
        <f t="shared" si="288"/>
        <v>0.5</v>
      </c>
      <c r="DV94" s="8">
        <f t="shared" si="262"/>
        <v>0.75</v>
      </c>
      <c r="DW94" s="5">
        <f t="shared" si="263"/>
        <v>0.5</v>
      </c>
      <c r="DX94" s="8">
        <f t="shared" si="289"/>
        <v>6</v>
      </c>
      <c r="DY94" s="8">
        <f t="shared" si="290"/>
        <v>0</v>
      </c>
      <c r="DZ94" s="8">
        <f t="shared" si="291"/>
        <v>0</v>
      </c>
      <c r="EA94" s="5"/>
    </row>
    <row r="95" spans="1:131" x14ac:dyDescent="0.15">
      <c r="A95" s="5">
        <v>201093</v>
      </c>
      <c r="B95" s="5" t="s">
        <v>300</v>
      </c>
      <c r="C95" s="5"/>
      <c r="D95" s="5"/>
      <c r="E95" s="5"/>
      <c r="F95" s="5">
        <v>0</v>
      </c>
      <c r="G95" s="45"/>
      <c r="H95" s="5"/>
      <c r="I95" s="5"/>
      <c r="J95" s="5"/>
      <c r="K95" s="5"/>
      <c r="L95" s="10"/>
      <c r="M95" s="5"/>
      <c r="N95" s="10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20"/>
      <c r="AF95" s="5"/>
      <c r="AG95" s="5"/>
      <c r="AH95" s="5"/>
      <c r="AI95" s="5"/>
      <c r="AJ95" s="5"/>
      <c r="AK95" s="5"/>
      <c r="AL95" s="5"/>
      <c r="AM95" s="5"/>
      <c r="AN95" s="8"/>
      <c r="AO95" s="5">
        <v>0</v>
      </c>
      <c r="AP95" s="5" t="s">
        <v>300</v>
      </c>
      <c r="AQ95" s="5">
        <v>0</v>
      </c>
      <c r="AR95" s="8">
        <f t="shared" si="264"/>
        <v>0.65</v>
      </c>
      <c r="AS95" s="6">
        <f t="shared" si="186"/>
        <v>9.75</v>
      </c>
      <c r="AT95" s="6">
        <f t="shared" si="187"/>
        <v>24.749999999999996</v>
      </c>
      <c r="AU95" s="5">
        <f t="shared" si="265"/>
        <v>0</v>
      </c>
      <c r="AV95" s="5">
        <f t="shared" si="266"/>
        <v>1</v>
      </c>
      <c r="AW95" s="5">
        <f t="shared" si="267"/>
        <v>0</v>
      </c>
      <c r="AX95" s="5">
        <f t="shared" ref="AX95" si="315">AX74</f>
        <v>0</v>
      </c>
      <c r="AY95" s="5">
        <f t="shared" si="267"/>
        <v>1</v>
      </c>
      <c r="AZ95" s="8">
        <f t="shared" si="269"/>
        <v>53</v>
      </c>
      <c r="BA95" s="5">
        <f t="shared" si="257"/>
        <v>203009</v>
      </c>
      <c r="BB95" s="5">
        <v>0</v>
      </c>
      <c r="BC95" s="5">
        <v>0</v>
      </c>
      <c r="BD95" s="5">
        <f t="shared" si="270"/>
        <v>0</v>
      </c>
      <c r="BE95" s="5">
        <f t="shared" si="271"/>
        <v>0</v>
      </c>
      <c r="BF95" s="5">
        <f t="shared" si="272"/>
        <v>0</v>
      </c>
      <c r="BG95" s="5">
        <f t="shared" si="272"/>
        <v>0</v>
      </c>
      <c r="BH95" s="5">
        <f t="shared" ref="BH95" si="316">BH74</f>
        <v>0</v>
      </c>
      <c r="BI95" s="5">
        <f t="shared" si="272"/>
        <v>0</v>
      </c>
      <c r="BJ95" s="5">
        <f t="shared" si="208"/>
        <v>0</v>
      </c>
      <c r="BK95" s="5">
        <v>0</v>
      </c>
      <c r="BL95" s="5">
        <f t="shared" si="312"/>
        <v>0</v>
      </c>
      <c r="BM95" s="5">
        <f t="shared" si="274"/>
        <v>0</v>
      </c>
      <c r="BN95" s="5">
        <f t="shared" si="274"/>
        <v>0</v>
      </c>
      <c r="BO95" s="5">
        <f t="shared" si="274"/>
        <v>0</v>
      </c>
      <c r="BP95" s="5">
        <f t="shared" si="259"/>
        <v>0</v>
      </c>
      <c r="BQ95" s="5">
        <f t="shared" si="259"/>
        <v>0</v>
      </c>
      <c r="BR95" s="5"/>
      <c r="BS95" s="4">
        <v>2</v>
      </c>
      <c r="BT95" s="4">
        <v>5</v>
      </c>
      <c r="BU95" s="4">
        <f t="shared" si="275"/>
        <v>0</v>
      </c>
      <c r="BV95" s="4">
        <f t="shared" si="189"/>
        <v>5</v>
      </c>
      <c r="BW95" s="4">
        <f t="shared" si="190"/>
        <v>5</v>
      </c>
      <c r="BX95" s="14">
        <f t="shared" si="191"/>
        <v>0.56999999999999995</v>
      </c>
      <c r="BY95" s="14">
        <f t="shared" si="192"/>
        <v>0.35000000000000003</v>
      </c>
      <c r="BZ95" s="5" t="s">
        <v>141</v>
      </c>
      <c r="CA95" s="8" t="str">
        <f t="shared" si="113"/>
        <v>monster_09</v>
      </c>
      <c r="CB95" s="8" t="str">
        <f t="shared" si="113"/>
        <v>monster_09</v>
      </c>
      <c r="CC95" s="5">
        <v>0</v>
      </c>
      <c r="CD95" s="8">
        <f t="shared" si="276"/>
        <v>1</v>
      </c>
      <c r="CE95" s="5">
        <f t="shared" si="193"/>
        <v>0</v>
      </c>
      <c r="CF95" s="5">
        <f t="shared" si="294"/>
        <v>0</v>
      </c>
      <c r="CG95" s="5" t="s">
        <v>300</v>
      </c>
      <c r="CH95" s="5">
        <f>CH73</f>
        <v>3</v>
      </c>
      <c r="CI95" s="5">
        <v>0</v>
      </c>
      <c r="CJ95" s="4">
        <v>0</v>
      </c>
      <c r="CK95" s="5">
        <v>0</v>
      </c>
      <c r="CL95" s="5">
        <v>0</v>
      </c>
      <c r="CM95" s="20">
        <f t="shared" si="279"/>
        <v>0</v>
      </c>
      <c r="CN95" s="8">
        <f t="shared" si="279"/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8">
        <f t="shared" ref="CV95:CY95" si="317">CV74</f>
        <v>0.1</v>
      </c>
      <c r="CW95" s="8">
        <f t="shared" si="317"/>
        <v>0.6</v>
      </c>
      <c r="CX95" s="8">
        <f t="shared" si="317"/>
        <v>1</v>
      </c>
      <c r="CY95" s="8">
        <f t="shared" si="317"/>
        <v>1</v>
      </c>
      <c r="CZ95" s="8">
        <f t="shared" si="281"/>
        <v>0.3</v>
      </c>
      <c r="DA95" s="6">
        <f t="shared" si="180"/>
        <v>37.5</v>
      </c>
      <c r="DB95" s="5">
        <f t="shared" si="282"/>
        <v>1</v>
      </c>
      <c r="DC95" s="5">
        <f t="shared" si="195"/>
        <v>0.48</v>
      </c>
      <c r="DD95" s="6">
        <f t="shared" si="181"/>
        <v>0.48</v>
      </c>
      <c r="DE95" s="6">
        <f t="shared" si="296"/>
        <v>0.8</v>
      </c>
      <c r="DF95" s="5">
        <v>0</v>
      </c>
      <c r="DG95" s="8">
        <f t="shared" si="283"/>
        <v>3</v>
      </c>
      <c r="DH95" s="5">
        <v>1.5</v>
      </c>
      <c r="DI95" s="8">
        <f t="shared" si="284"/>
        <v>0</v>
      </c>
      <c r="DJ95" s="5">
        <f t="shared" si="182"/>
        <v>0</v>
      </c>
      <c r="DK95" s="8">
        <v>0</v>
      </c>
      <c r="DL95" s="5">
        <f t="shared" si="183"/>
        <v>0</v>
      </c>
      <c r="DM95" s="5" t="s">
        <v>300</v>
      </c>
      <c r="DN95" s="8">
        <f t="shared" ref="DN95:DP95" si="318">DN74</f>
        <v>6</v>
      </c>
      <c r="DO95" s="8">
        <f t="shared" si="318"/>
        <v>0</v>
      </c>
      <c r="DP95" s="5">
        <f t="shared" si="318"/>
        <v>0</v>
      </c>
      <c r="DQ95" s="8">
        <f t="shared" si="286"/>
        <v>0</v>
      </c>
      <c r="DR95" s="5">
        <f t="shared" si="197"/>
        <v>1.8</v>
      </c>
      <c r="DS95" s="8">
        <f t="shared" si="287"/>
        <v>2</v>
      </c>
      <c r="DT95" s="8">
        <f t="shared" si="288"/>
        <v>-2</v>
      </c>
      <c r="DU95" s="8">
        <f t="shared" si="288"/>
        <v>2</v>
      </c>
      <c r="DV95" s="8">
        <f t="shared" si="262"/>
        <v>0.1</v>
      </c>
      <c r="DW95" s="5">
        <f t="shared" si="263"/>
        <v>8.3333333333333329E-2</v>
      </c>
      <c r="DX95" s="8">
        <f t="shared" si="289"/>
        <v>1</v>
      </c>
      <c r="DY95" s="8">
        <f t="shared" si="290"/>
        <v>0</v>
      </c>
      <c r="DZ95" s="8">
        <f t="shared" si="291"/>
        <v>0</v>
      </c>
      <c r="EA95" s="5"/>
    </row>
    <row r="96" spans="1:131" x14ac:dyDescent="0.15">
      <c r="A96" s="5">
        <v>201094</v>
      </c>
      <c r="B96" s="5" t="s">
        <v>301</v>
      </c>
      <c r="C96" s="5"/>
      <c r="D96" s="5"/>
      <c r="E96" s="5"/>
      <c r="F96" s="5">
        <v>0</v>
      </c>
      <c r="G96" s="45"/>
      <c r="H96" s="5"/>
      <c r="I96" s="5"/>
      <c r="J96" s="5"/>
      <c r="K96" s="5"/>
      <c r="L96" s="10"/>
      <c r="M96" s="5"/>
      <c r="N96" s="10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20"/>
      <c r="AF96" s="5"/>
      <c r="AG96" s="5"/>
      <c r="AH96" s="5"/>
      <c r="AI96" s="5"/>
      <c r="AJ96" s="5"/>
      <c r="AK96" s="5"/>
      <c r="AL96" s="5"/>
      <c r="AM96" s="5"/>
      <c r="AN96" s="8"/>
      <c r="AO96" s="5">
        <v>0</v>
      </c>
      <c r="AP96" s="5" t="s">
        <v>301</v>
      </c>
      <c r="AQ96" s="5">
        <v>0</v>
      </c>
      <c r="AR96" s="8">
        <f t="shared" si="264"/>
        <v>1</v>
      </c>
      <c r="AS96" s="6">
        <f t="shared" si="186"/>
        <v>15</v>
      </c>
      <c r="AT96" s="6">
        <f t="shared" si="187"/>
        <v>30</v>
      </c>
      <c r="AU96" s="5">
        <f t="shared" si="265"/>
        <v>0</v>
      </c>
      <c r="AV96" s="5">
        <f t="shared" si="266"/>
        <v>1</v>
      </c>
      <c r="AW96" s="5">
        <f t="shared" si="267"/>
        <v>1</v>
      </c>
      <c r="AX96" s="5">
        <f t="shared" ref="AX96" si="319">AX75</f>
        <v>1</v>
      </c>
      <c r="AY96" s="5">
        <f t="shared" si="267"/>
        <v>1</v>
      </c>
      <c r="AZ96" s="8">
        <v>201094</v>
      </c>
      <c r="BA96" s="5">
        <f t="shared" si="257"/>
        <v>203010</v>
      </c>
      <c r="BB96" s="5">
        <v>0</v>
      </c>
      <c r="BC96" s="5">
        <v>0</v>
      </c>
      <c r="BD96" s="5">
        <f t="shared" si="270"/>
        <v>0</v>
      </c>
      <c r="BE96" s="5">
        <f t="shared" si="271"/>
        <v>305003</v>
      </c>
      <c r="BF96" s="5">
        <f t="shared" si="272"/>
        <v>180</v>
      </c>
      <c r="BG96" s="5">
        <f t="shared" si="272"/>
        <v>0</v>
      </c>
      <c r="BH96" s="5">
        <f t="shared" ref="BH96" si="320">BH75</f>
        <v>0</v>
      </c>
      <c r="BI96" s="5">
        <f t="shared" si="272"/>
        <v>0</v>
      </c>
      <c r="BJ96" s="5">
        <f t="shared" si="208"/>
        <v>5</v>
      </c>
      <c r="BK96" s="5">
        <v>5</v>
      </c>
      <c r="BL96" s="5">
        <f t="shared" si="312"/>
        <v>1</v>
      </c>
      <c r="BM96" s="5">
        <f t="shared" si="274"/>
        <v>30</v>
      </c>
      <c r="BN96" s="5">
        <f t="shared" si="274"/>
        <v>180</v>
      </c>
      <c r="BO96" s="5">
        <f t="shared" si="274"/>
        <v>108006</v>
      </c>
      <c r="BP96" s="5">
        <f t="shared" si="259"/>
        <v>2</v>
      </c>
      <c r="BQ96" s="5">
        <f t="shared" si="259"/>
        <v>2</v>
      </c>
      <c r="BR96" s="5">
        <f>50*BT96*3-360/BM96*BJ96*BQ96</f>
        <v>630</v>
      </c>
      <c r="BS96" s="4">
        <v>2</v>
      </c>
      <c r="BT96" s="4">
        <v>5</v>
      </c>
      <c r="BU96" s="4">
        <f t="shared" si="275"/>
        <v>0</v>
      </c>
      <c r="BV96" s="4">
        <f t="shared" si="189"/>
        <v>5</v>
      </c>
      <c r="BW96" s="4">
        <f t="shared" si="190"/>
        <v>5</v>
      </c>
      <c r="BX96" s="14">
        <f t="shared" si="191"/>
        <v>0.56999999999999995</v>
      </c>
      <c r="BY96" s="14">
        <f t="shared" si="192"/>
        <v>0.35000000000000003</v>
      </c>
      <c r="BZ96" s="5" t="s">
        <v>143</v>
      </c>
      <c r="CA96" s="8" t="str">
        <f t="shared" si="113"/>
        <v>monster_10</v>
      </c>
      <c r="CB96" s="8" t="str">
        <f t="shared" si="113"/>
        <v>monster_10</v>
      </c>
      <c r="CC96" s="5">
        <v>0</v>
      </c>
      <c r="CD96" s="8">
        <f t="shared" si="276"/>
        <v>1</v>
      </c>
      <c r="CE96" s="5">
        <f t="shared" si="193"/>
        <v>0</v>
      </c>
      <c r="CF96" s="5">
        <f t="shared" si="294"/>
        <v>0</v>
      </c>
      <c r="CG96" s="5" t="s">
        <v>301</v>
      </c>
      <c r="CH96" s="5">
        <f t="shared" si="278"/>
        <v>3</v>
      </c>
      <c r="CI96" s="5">
        <v>0</v>
      </c>
      <c r="CJ96" s="4">
        <v>0</v>
      </c>
      <c r="CK96" s="5">
        <v>0</v>
      </c>
      <c r="CL96" s="5">
        <v>0</v>
      </c>
      <c r="CM96" s="20">
        <f t="shared" si="279"/>
        <v>0</v>
      </c>
      <c r="CN96" s="8">
        <f t="shared" si="279"/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8">
        <f t="shared" ref="CV96:CY96" si="321">CV75</f>
        <v>0.8</v>
      </c>
      <c r="CW96" s="8">
        <f t="shared" si="321"/>
        <v>0.6</v>
      </c>
      <c r="CX96" s="8">
        <f t="shared" si="321"/>
        <v>1</v>
      </c>
      <c r="CY96" s="8">
        <f t="shared" si="321"/>
        <v>1</v>
      </c>
      <c r="CZ96" s="8">
        <f t="shared" si="281"/>
        <v>1</v>
      </c>
      <c r="DA96" s="6">
        <f t="shared" si="180"/>
        <v>125</v>
      </c>
      <c r="DB96" s="5">
        <f t="shared" si="282"/>
        <v>0</v>
      </c>
      <c r="DC96" s="5">
        <f t="shared" si="195"/>
        <v>0.15</v>
      </c>
      <c r="DD96" s="6">
        <f t="shared" si="181"/>
        <v>0.15</v>
      </c>
      <c r="DE96" s="6">
        <f t="shared" si="296"/>
        <v>0.25</v>
      </c>
      <c r="DF96" s="5">
        <v>0</v>
      </c>
      <c r="DG96" s="8">
        <f t="shared" si="283"/>
        <v>2.5</v>
      </c>
      <c r="DH96" s="5">
        <v>1.5</v>
      </c>
      <c r="DI96" s="8">
        <f t="shared" si="284"/>
        <v>0</v>
      </c>
      <c r="DJ96" s="5">
        <f t="shared" si="182"/>
        <v>0</v>
      </c>
      <c r="DK96" s="8">
        <v>0</v>
      </c>
      <c r="DL96" s="5">
        <f t="shared" si="183"/>
        <v>0</v>
      </c>
      <c r="DM96" s="5" t="s">
        <v>302</v>
      </c>
      <c r="DN96" s="8">
        <f t="shared" ref="DN96:DP96" si="322">DN75</f>
        <v>6</v>
      </c>
      <c r="DO96" s="8">
        <f t="shared" si="322"/>
        <v>0</v>
      </c>
      <c r="DP96" s="5">
        <f t="shared" si="322"/>
        <v>0</v>
      </c>
      <c r="DQ96" s="8">
        <f t="shared" si="286"/>
        <v>0</v>
      </c>
      <c r="DR96" s="5">
        <f t="shared" si="197"/>
        <v>0.9</v>
      </c>
      <c r="DS96" s="8">
        <f t="shared" si="287"/>
        <v>1</v>
      </c>
      <c r="DT96" s="8">
        <f t="shared" si="288"/>
        <v>-0.5</v>
      </c>
      <c r="DU96" s="8">
        <f t="shared" si="288"/>
        <v>0.5</v>
      </c>
      <c r="DV96" s="8">
        <f t="shared" si="262"/>
        <v>0.5</v>
      </c>
      <c r="DW96" s="5">
        <f t="shared" si="263"/>
        <v>0.75</v>
      </c>
      <c r="DX96" s="8">
        <f t="shared" si="289"/>
        <v>9</v>
      </c>
      <c r="DY96" s="8">
        <f t="shared" si="290"/>
        <v>0</v>
      </c>
      <c r="DZ96" s="8">
        <f t="shared" si="291"/>
        <v>0</v>
      </c>
      <c r="EA96" s="5"/>
    </row>
    <row r="97" spans="1:131" x14ac:dyDescent="0.15">
      <c r="A97" s="5">
        <v>201095</v>
      </c>
      <c r="B97" s="5" t="s">
        <v>303</v>
      </c>
      <c r="C97" s="5"/>
      <c r="D97" s="5"/>
      <c r="E97" s="5"/>
      <c r="F97" s="5">
        <v>0</v>
      </c>
      <c r="G97" s="45"/>
      <c r="H97" s="5"/>
      <c r="I97" s="5"/>
      <c r="J97" s="5"/>
      <c r="K97" s="5"/>
      <c r="L97" s="10"/>
      <c r="M97" s="5"/>
      <c r="N97" s="10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20"/>
      <c r="AF97" s="5"/>
      <c r="AG97" s="5"/>
      <c r="AH97" s="5"/>
      <c r="AI97" s="5"/>
      <c r="AJ97" s="5"/>
      <c r="AK97" s="5"/>
      <c r="AL97" s="5"/>
      <c r="AM97" s="5"/>
      <c r="AN97" s="8"/>
      <c r="AO97" s="5">
        <v>0</v>
      </c>
      <c r="AP97" s="5" t="s">
        <v>303</v>
      </c>
      <c r="AQ97" s="5">
        <v>0</v>
      </c>
      <c r="AR97" s="8">
        <f t="shared" si="264"/>
        <v>2</v>
      </c>
      <c r="AS97" s="6">
        <f t="shared" si="186"/>
        <v>30</v>
      </c>
      <c r="AT97" s="6">
        <f t="shared" si="187"/>
        <v>45</v>
      </c>
      <c r="AU97" s="5">
        <f t="shared" si="265"/>
        <v>0</v>
      </c>
      <c r="AV97" s="5">
        <f t="shared" si="266"/>
        <v>1</v>
      </c>
      <c r="AW97" s="5">
        <f t="shared" si="267"/>
        <v>1</v>
      </c>
      <c r="AX97" s="5">
        <f t="shared" ref="AX97" si="323">AX76</f>
        <v>1</v>
      </c>
      <c r="AY97" s="5">
        <f t="shared" si="267"/>
        <v>1</v>
      </c>
      <c r="AZ97" s="8">
        <f t="shared" si="269"/>
        <v>53</v>
      </c>
      <c r="BA97" s="5">
        <f t="shared" si="257"/>
        <v>203011</v>
      </c>
      <c r="BB97" s="5">
        <v>0</v>
      </c>
      <c r="BC97" s="5">
        <v>0</v>
      </c>
      <c r="BD97" s="5">
        <f t="shared" si="270"/>
        <v>0</v>
      </c>
      <c r="BE97" s="5">
        <f t="shared" si="271"/>
        <v>304002</v>
      </c>
      <c r="BF97" s="5">
        <f t="shared" si="272"/>
        <v>180</v>
      </c>
      <c r="BG97" s="5">
        <f t="shared" si="272"/>
        <v>30</v>
      </c>
      <c r="BH97" s="5">
        <f t="shared" ref="BH97" si="324">BH76</f>
        <v>30</v>
      </c>
      <c r="BI97" s="5">
        <f t="shared" si="272"/>
        <v>1</v>
      </c>
      <c r="BJ97" s="5">
        <f t="shared" si="208"/>
        <v>5</v>
      </c>
      <c r="BK97" s="5">
        <v>5</v>
      </c>
      <c r="BL97" s="5">
        <f t="shared" si="312"/>
        <v>1</v>
      </c>
      <c r="BM97" s="5">
        <f t="shared" si="274"/>
        <v>30</v>
      </c>
      <c r="BN97" s="5">
        <f t="shared" si="274"/>
        <v>180</v>
      </c>
      <c r="BO97" s="5">
        <f t="shared" si="274"/>
        <v>108006</v>
      </c>
      <c r="BP97" s="5">
        <f t="shared" si="259"/>
        <v>3</v>
      </c>
      <c r="BQ97" s="5">
        <f t="shared" si="259"/>
        <v>2</v>
      </c>
      <c r="BR97" s="5">
        <f>50*BT97*3-360/BM97*BJ97*BQ97</f>
        <v>630</v>
      </c>
      <c r="BS97" s="4">
        <v>3</v>
      </c>
      <c r="BT97" s="4">
        <v>5</v>
      </c>
      <c r="BU97" s="4">
        <f t="shared" si="275"/>
        <v>0</v>
      </c>
      <c r="BV97" s="4">
        <f t="shared" si="189"/>
        <v>5</v>
      </c>
      <c r="BW97" s="4">
        <f t="shared" si="190"/>
        <v>5</v>
      </c>
      <c r="BX97" s="14">
        <f t="shared" si="191"/>
        <v>0.56999999999999995</v>
      </c>
      <c r="BY97" s="14">
        <f t="shared" si="192"/>
        <v>0.35000000000000003</v>
      </c>
      <c r="BZ97" s="5" t="s">
        <v>146</v>
      </c>
      <c r="CA97" s="8" t="str">
        <f t="shared" si="113"/>
        <v>monster_11</v>
      </c>
      <c r="CB97" s="8" t="str">
        <f t="shared" si="113"/>
        <v>monster_11</v>
      </c>
      <c r="CC97" s="5">
        <v>0</v>
      </c>
      <c r="CD97" s="8">
        <f t="shared" si="276"/>
        <v>1</v>
      </c>
      <c r="CE97" s="5">
        <f t="shared" si="193"/>
        <v>0</v>
      </c>
      <c r="CF97" s="5">
        <f t="shared" si="294"/>
        <v>0</v>
      </c>
      <c r="CG97" s="5" t="s">
        <v>303</v>
      </c>
      <c r="CH97" s="5">
        <f t="shared" si="278"/>
        <v>3</v>
      </c>
      <c r="CI97" s="5">
        <v>0</v>
      </c>
      <c r="CJ97" s="4">
        <v>0</v>
      </c>
      <c r="CK97" s="5">
        <v>0</v>
      </c>
      <c r="CL97" s="5">
        <v>0</v>
      </c>
      <c r="CM97" s="20">
        <f t="shared" si="279"/>
        <v>0</v>
      </c>
      <c r="CN97" s="8">
        <f t="shared" si="279"/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8">
        <f t="shared" ref="CV97:CY97" si="325">CV76</f>
        <v>0.8</v>
      </c>
      <c r="CW97" s="8">
        <f t="shared" si="325"/>
        <v>0.6</v>
      </c>
      <c r="CX97" s="8">
        <f t="shared" si="325"/>
        <v>1</v>
      </c>
      <c r="CY97" s="8">
        <f t="shared" si="325"/>
        <v>1</v>
      </c>
      <c r="CZ97" s="8">
        <f t="shared" si="281"/>
        <v>2</v>
      </c>
      <c r="DA97" s="6">
        <f t="shared" si="180"/>
        <v>250</v>
      </c>
      <c r="DB97" s="5">
        <f t="shared" si="282"/>
        <v>0</v>
      </c>
      <c r="DC97" s="5">
        <f t="shared" si="195"/>
        <v>0.3</v>
      </c>
      <c r="DD97" s="6">
        <f t="shared" si="181"/>
        <v>0.3</v>
      </c>
      <c r="DE97" s="6">
        <f t="shared" si="296"/>
        <v>0.5</v>
      </c>
      <c r="DF97" s="5">
        <v>0</v>
      </c>
      <c r="DG97" s="8">
        <f t="shared" si="283"/>
        <v>3</v>
      </c>
      <c r="DH97" s="5">
        <v>2</v>
      </c>
      <c r="DI97" s="8">
        <f t="shared" si="284"/>
        <v>0</v>
      </c>
      <c r="DJ97" s="5">
        <f t="shared" si="182"/>
        <v>0</v>
      </c>
      <c r="DK97" s="8">
        <v>0</v>
      </c>
      <c r="DL97" s="5">
        <f t="shared" si="183"/>
        <v>0</v>
      </c>
      <c r="DM97" s="5" t="s">
        <v>303</v>
      </c>
      <c r="DN97" s="8">
        <f t="shared" ref="DN97:DP97" si="326">DN76</f>
        <v>6</v>
      </c>
      <c r="DO97" s="8">
        <f t="shared" si="326"/>
        <v>0</v>
      </c>
      <c r="DP97" s="5">
        <f t="shared" si="326"/>
        <v>1</v>
      </c>
      <c r="DQ97" s="8">
        <f t="shared" si="286"/>
        <v>1</v>
      </c>
      <c r="DR97" s="5">
        <f t="shared" si="197"/>
        <v>1.1700000000000002</v>
      </c>
      <c r="DS97" s="8">
        <f t="shared" si="287"/>
        <v>1.3</v>
      </c>
      <c r="DT97" s="8">
        <f t="shared" si="288"/>
        <v>-0.5</v>
      </c>
      <c r="DU97" s="8">
        <f t="shared" si="288"/>
        <v>0.5</v>
      </c>
      <c r="DV97" s="8">
        <f t="shared" si="262"/>
        <v>0.2</v>
      </c>
      <c r="DW97" s="5">
        <f t="shared" si="263"/>
        <v>0.41666666666666669</v>
      </c>
      <c r="DX97" s="8">
        <f t="shared" si="289"/>
        <v>5</v>
      </c>
      <c r="DY97" s="8">
        <f t="shared" si="290"/>
        <v>0</v>
      </c>
      <c r="DZ97" s="8">
        <f t="shared" si="291"/>
        <v>0</v>
      </c>
      <c r="EA97" s="5"/>
    </row>
    <row r="98" spans="1:131" x14ac:dyDescent="0.15">
      <c r="A98" s="5">
        <v>201096</v>
      </c>
      <c r="B98" s="5" t="s">
        <v>304</v>
      </c>
      <c r="C98" s="5"/>
      <c r="D98" s="5"/>
      <c r="E98" s="5"/>
      <c r="F98" s="5">
        <v>0</v>
      </c>
      <c r="G98" s="45"/>
      <c r="H98" s="5"/>
      <c r="I98" s="5"/>
      <c r="J98" s="5"/>
      <c r="K98" s="5"/>
      <c r="L98" s="10"/>
      <c r="M98" s="5"/>
      <c r="N98" s="10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20"/>
      <c r="AF98" s="5"/>
      <c r="AG98" s="5"/>
      <c r="AH98" s="5"/>
      <c r="AI98" s="5"/>
      <c r="AJ98" s="5"/>
      <c r="AK98" s="5"/>
      <c r="AL98" s="5"/>
      <c r="AM98" s="5"/>
      <c r="AN98" s="8"/>
      <c r="AO98" s="5">
        <v>0</v>
      </c>
      <c r="AP98" s="5" t="s">
        <v>304</v>
      </c>
      <c r="AQ98" s="5">
        <v>0</v>
      </c>
      <c r="AR98" s="8">
        <f t="shared" si="264"/>
        <v>5</v>
      </c>
      <c r="AS98" s="6">
        <f t="shared" si="186"/>
        <v>75</v>
      </c>
      <c r="AT98" s="6">
        <f t="shared" si="187"/>
        <v>90</v>
      </c>
      <c r="AU98" s="5">
        <f t="shared" si="265"/>
        <v>0.2</v>
      </c>
      <c r="AV98" s="5">
        <f t="shared" si="266"/>
        <v>1</v>
      </c>
      <c r="AW98" s="5">
        <f t="shared" si="267"/>
        <v>0</v>
      </c>
      <c r="AX98" s="5">
        <f t="shared" ref="AX98" si="327">AX77</f>
        <v>0</v>
      </c>
      <c r="AY98" s="5">
        <f t="shared" si="267"/>
        <v>1</v>
      </c>
      <c r="AZ98" s="8">
        <f t="shared" si="269"/>
        <v>53</v>
      </c>
      <c r="BA98" s="5">
        <f t="shared" si="257"/>
        <v>203012</v>
      </c>
      <c r="BB98" s="5">
        <v>0</v>
      </c>
      <c r="BC98" s="5">
        <v>0</v>
      </c>
      <c r="BD98" s="5">
        <f t="shared" si="270"/>
        <v>0</v>
      </c>
      <c r="BE98" s="5">
        <f t="shared" si="271"/>
        <v>0</v>
      </c>
      <c r="BF98" s="5">
        <f t="shared" si="272"/>
        <v>0</v>
      </c>
      <c r="BG98" s="5">
        <f t="shared" si="272"/>
        <v>0</v>
      </c>
      <c r="BH98" s="5">
        <f t="shared" ref="BH98" si="328">BH77</f>
        <v>0</v>
      </c>
      <c r="BI98" s="5">
        <f t="shared" si="272"/>
        <v>0</v>
      </c>
      <c r="BJ98" s="5">
        <f t="shared" si="208"/>
        <v>0</v>
      </c>
      <c r="BK98" s="5">
        <v>0</v>
      </c>
      <c r="BL98" s="5">
        <f t="shared" si="312"/>
        <v>0</v>
      </c>
      <c r="BM98" s="5">
        <f t="shared" si="274"/>
        <v>0</v>
      </c>
      <c r="BN98" s="5">
        <f t="shared" si="274"/>
        <v>0</v>
      </c>
      <c r="BO98" s="5">
        <f t="shared" si="274"/>
        <v>0</v>
      </c>
      <c r="BP98" s="5">
        <f t="shared" si="259"/>
        <v>0</v>
      </c>
      <c r="BQ98" s="5">
        <f t="shared" si="259"/>
        <v>0</v>
      </c>
      <c r="BR98" s="5"/>
      <c r="BS98" s="4">
        <v>3</v>
      </c>
      <c r="BT98" s="4">
        <v>5</v>
      </c>
      <c r="BU98" s="4">
        <f t="shared" si="275"/>
        <v>0</v>
      </c>
      <c r="BV98" s="4">
        <f t="shared" si="189"/>
        <v>5</v>
      </c>
      <c r="BW98" s="4">
        <f t="shared" si="190"/>
        <v>5</v>
      </c>
      <c r="BX98" s="14">
        <f t="shared" si="191"/>
        <v>0.56999999999999995</v>
      </c>
      <c r="BY98" s="14">
        <f t="shared" si="192"/>
        <v>0.35000000000000003</v>
      </c>
      <c r="BZ98" s="5" t="s">
        <v>149</v>
      </c>
      <c r="CA98" s="8" t="str">
        <f t="shared" si="113"/>
        <v>monster_12</v>
      </c>
      <c r="CB98" s="8" t="str">
        <f t="shared" si="113"/>
        <v>monster_12</v>
      </c>
      <c r="CC98" s="5">
        <v>0</v>
      </c>
      <c r="CD98" s="8">
        <f t="shared" si="276"/>
        <v>1</v>
      </c>
      <c r="CE98" s="5">
        <f t="shared" si="193"/>
        <v>0</v>
      </c>
      <c r="CF98" s="5">
        <f t="shared" si="294"/>
        <v>0</v>
      </c>
      <c r="CG98" s="5" t="s">
        <v>304</v>
      </c>
      <c r="CH98" s="5">
        <f t="shared" si="278"/>
        <v>0</v>
      </c>
      <c r="CI98" s="5">
        <v>0</v>
      </c>
      <c r="CJ98" s="4">
        <v>0</v>
      </c>
      <c r="CK98" s="5">
        <v>0</v>
      </c>
      <c r="CL98" s="5">
        <v>0</v>
      </c>
      <c r="CM98" s="20">
        <f t="shared" si="279"/>
        <v>0</v>
      </c>
      <c r="CN98" s="8">
        <f t="shared" si="279"/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8">
        <f t="shared" ref="CV98:CY98" si="329">CV77</f>
        <v>0.8</v>
      </c>
      <c r="CW98" s="8">
        <f t="shared" si="329"/>
        <v>0.6</v>
      </c>
      <c r="CX98" s="8">
        <f t="shared" si="329"/>
        <v>1</v>
      </c>
      <c r="CY98" s="8">
        <f t="shared" si="329"/>
        <v>1</v>
      </c>
      <c r="CZ98" s="8">
        <f t="shared" si="281"/>
        <v>0.8</v>
      </c>
      <c r="DA98" s="6">
        <f t="shared" si="180"/>
        <v>100</v>
      </c>
      <c r="DB98" s="5">
        <f t="shared" si="282"/>
        <v>1</v>
      </c>
      <c r="DC98" s="5">
        <f t="shared" si="195"/>
        <v>0.48</v>
      </c>
      <c r="DD98" s="6">
        <f t="shared" si="181"/>
        <v>0.48</v>
      </c>
      <c r="DE98" s="6">
        <f t="shared" si="296"/>
        <v>0.8</v>
      </c>
      <c r="DF98" s="5">
        <v>0</v>
      </c>
      <c r="DG98" s="8">
        <f t="shared" si="283"/>
        <v>3.5</v>
      </c>
      <c r="DH98" s="5">
        <v>2</v>
      </c>
      <c r="DI98" s="8">
        <f t="shared" si="284"/>
        <v>0</v>
      </c>
      <c r="DJ98" s="5">
        <f t="shared" si="182"/>
        <v>0</v>
      </c>
      <c r="DK98" s="8">
        <v>0</v>
      </c>
      <c r="DL98" s="5">
        <f t="shared" si="183"/>
        <v>0</v>
      </c>
      <c r="DM98" s="5" t="s">
        <v>304</v>
      </c>
      <c r="DN98" s="8">
        <f t="shared" ref="DN98:DP98" si="330">DN77</f>
        <v>4</v>
      </c>
      <c r="DO98" s="8">
        <f t="shared" si="330"/>
        <v>0</v>
      </c>
      <c r="DP98" s="5">
        <f t="shared" si="330"/>
        <v>0</v>
      </c>
      <c r="DQ98" s="8">
        <f t="shared" si="286"/>
        <v>0</v>
      </c>
      <c r="DR98" s="5">
        <f t="shared" si="197"/>
        <v>0.9</v>
      </c>
      <c r="DS98" s="8">
        <f t="shared" si="287"/>
        <v>1</v>
      </c>
      <c r="DT98" s="8">
        <f t="shared" si="288"/>
        <v>-0.5</v>
      </c>
      <c r="DU98" s="8">
        <f t="shared" si="288"/>
        <v>0.5</v>
      </c>
      <c r="DV98" s="8">
        <f t="shared" si="262"/>
        <v>0.2</v>
      </c>
      <c r="DW98" s="5">
        <f t="shared" si="263"/>
        <v>0.33333333333333331</v>
      </c>
      <c r="DX98" s="8">
        <f t="shared" si="289"/>
        <v>4</v>
      </c>
      <c r="DY98" s="8">
        <f t="shared" si="290"/>
        <v>0</v>
      </c>
      <c r="DZ98" s="8">
        <f t="shared" si="291"/>
        <v>0</v>
      </c>
      <c r="EA98" s="5"/>
    </row>
    <row r="99" spans="1:131" x14ac:dyDescent="0.15">
      <c r="A99" s="5">
        <v>201097</v>
      </c>
      <c r="B99" s="5" t="s">
        <v>305</v>
      </c>
      <c r="C99" s="5"/>
      <c r="D99" s="5"/>
      <c r="E99" s="5"/>
      <c r="F99" s="5">
        <v>0</v>
      </c>
      <c r="G99" s="45"/>
      <c r="H99" s="5"/>
      <c r="I99" s="5"/>
      <c r="J99" s="5"/>
      <c r="K99" s="5"/>
      <c r="L99" s="10"/>
      <c r="M99" s="5"/>
      <c r="N99" s="10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20"/>
      <c r="AF99" s="5"/>
      <c r="AG99" s="5"/>
      <c r="AH99" s="5"/>
      <c r="AI99" s="5"/>
      <c r="AJ99" s="5"/>
      <c r="AK99" s="5"/>
      <c r="AL99" s="5"/>
      <c r="AM99" s="5"/>
      <c r="AN99" s="8"/>
      <c r="AO99" s="5">
        <v>0</v>
      </c>
      <c r="AP99" s="5" t="s">
        <v>305</v>
      </c>
      <c r="AQ99" s="5">
        <v>0</v>
      </c>
      <c r="AR99" s="8">
        <f t="shared" si="264"/>
        <v>2</v>
      </c>
      <c r="AS99" s="6">
        <f t="shared" si="186"/>
        <v>30</v>
      </c>
      <c r="AT99" s="6">
        <f t="shared" si="187"/>
        <v>45</v>
      </c>
      <c r="AU99" s="5">
        <f t="shared" si="265"/>
        <v>0</v>
      </c>
      <c r="AV99" s="5">
        <f t="shared" si="266"/>
        <v>1</v>
      </c>
      <c r="AW99" s="5">
        <f t="shared" si="267"/>
        <v>1</v>
      </c>
      <c r="AX99" s="5">
        <f t="shared" ref="AX99" si="331">AX78</f>
        <v>1</v>
      </c>
      <c r="AY99" s="5">
        <f t="shared" si="267"/>
        <v>1</v>
      </c>
      <c r="AZ99" s="8">
        <f t="shared" si="269"/>
        <v>53</v>
      </c>
      <c r="BA99" s="5">
        <f t="shared" si="257"/>
        <v>203013</v>
      </c>
      <c r="BB99" s="5">
        <v>0</v>
      </c>
      <c r="BC99" s="5">
        <v>0</v>
      </c>
      <c r="BD99" s="5">
        <f t="shared" si="270"/>
        <v>0</v>
      </c>
      <c r="BE99" s="5">
        <f t="shared" si="271"/>
        <v>0</v>
      </c>
      <c r="BF99" s="5">
        <f t="shared" si="272"/>
        <v>0</v>
      </c>
      <c r="BG99" s="5">
        <f t="shared" si="272"/>
        <v>0</v>
      </c>
      <c r="BH99" s="5">
        <f t="shared" ref="BH99" si="332">BH78</f>
        <v>0</v>
      </c>
      <c r="BI99" s="5">
        <f t="shared" si="272"/>
        <v>0</v>
      </c>
      <c r="BJ99" s="5">
        <f t="shared" si="208"/>
        <v>0</v>
      </c>
      <c r="BK99" s="5">
        <v>0</v>
      </c>
      <c r="BL99" s="5">
        <f t="shared" si="312"/>
        <v>0</v>
      </c>
      <c r="BM99" s="5">
        <f t="shared" si="274"/>
        <v>0</v>
      </c>
      <c r="BN99" s="5">
        <f t="shared" si="274"/>
        <v>0</v>
      </c>
      <c r="BO99" s="5">
        <f t="shared" si="274"/>
        <v>0</v>
      </c>
      <c r="BP99" s="5">
        <f t="shared" si="259"/>
        <v>0</v>
      </c>
      <c r="BQ99" s="5">
        <f t="shared" si="259"/>
        <v>0</v>
      </c>
      <c r="BR99" s="5"/>
      <c r="BS99" s="4">
        <v>3</v>
      </c>
      <c r="BT99" s="4">
        <v>5</v>
      </c>
      <c r="BU99" s="4">
        <f t="shared" si="275"/>
        <v>0</v>
      </c>
      <c r="BV99" s="4">
        <f t="shared" si="189"/>
        <v>5</v>
      </c>
      <c r="BW99" s="4">
        <f t="shared" si="190"/>
        <v>5</v>
      </c>
      <c r="BX99" s="14">
        <f t="shared" si="191"/>
        <v>0.56999999999999995</v>
      </c>
      <c r="BY99" s="14">
        <f t="shared" si="192"/>
        <v>0.35000000000000003</v>
      </c>
      <c r="BZ99" s="5" t="s">
        <v>152</v>
      </c>
      <c r="CA99" s="8" t="str">
        <f t="shared" si="113"/>
        <v>monster_13</v>
      </c>
      <c r="CB99" s="8" t="str">
        <f t="shared" si="113"/>
        <v>monster_13</v>
      </c>
      <c r="CC99" s="5">
        <v>0</v>
      </c>
      <c r="CD99" s="8">
        <f t="shared" si="276"/>
        <v>1</v>
      </c>
      <c r="CE99" s="5">
        <f t="shared" si="193"/>
        <v>0</v>
      </c>
      <c r="CF99" s="5">
        <f t="shared" si="294"/>
        <v>0</v>
      </c>
      <c r="CG99" s="5" t="s">
        <v>305</v>
      </c>
      <c r="CH99" s="5">
        <f t="shared" si="278"/>
        <v>3</v>
      </c>
      <c r="CI99" s="5">
        <v>0</v>
      </c>
      <c r="CJ99" s="4">
        <v>0</v>
      </c>
      <c r="CK99" s="5">
        <v>0</v>
      </c>
      <c r="CL99" s="5">
        <v>0</v>
      </c>
      <c r="CM99" s="20">
        <f t="shared" si="279"/>
        <v>0</v>
      </c>
      <c r="CN99" s="8">
        <f t="shared" si="279"/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8">
        <f t="shared" ref="CV99:CY99" si="333">CV78</f>
        <v>0.8</v>
      </c>
      <c r="CW99" s="8">
        <f t="shared" si="333"/>
        <v>0.6</v>
      </c>
      <c r="CX99" s="8">
        <f t="shared" si="333"/>
        <v>1</v>
      </c>
      <c r="CY99" s="8">
        <f t="shared" si="333"/>
        <v>1</v>
      </c>
      <c r="CZ99" s="8">
        <f t="shared" si="281"/>
        <v>1</v>
      </c>
      <c r="DA99" s="6">
        <f t="shared" si="180"/>
        <v>125</v>
      </c>
      <c r="DB99" s="5">
        <f t="shared" si="282"/>
        <v>0</v>
      </c>
      <c r="DC99" s="5">
        <f t="shared" si="195"/>
        <v>0.54</v>
      </c>
      <c r="DD99" s="6">
        <f t="shared" si="181"/>
        <v>0.54</v>
      </c>
      <c r="DE99" s="6">
        <f t="shared" si="296"/>
        <v>0.9</v>
      </c>
      <c r="DF99" s="5">
        <v>0</v>
      </c>
      <c r="DG99" s="8">
        <f t="shared" si="283"/>
        <v>2.75</v>
      </c>
      <c r="DH99" s="5">
        <v>1.75</v>
      </c>
      <c r="DI99" s="8">
        <f t="shared" si="284"/>
        <v>0</v>
      </c>
      <c r="DJ99" s="5">
        <f t="shared" si="182"/>
        <v>0</v>
      </c>
      <c r="DK99" s="8">
        <v>0</v>
      </c>
      <c r="DL99" s="5">
        <f t="shared" si="183"/>
        <v>0</v>
      </c>
      <c r="DM99" s="5" t="s">
        <v>305</v>
      </c>
      <c r="DN99" s="8">
        <f t="shared" ref="DN99:DP99" si="334">DN78</f>
        <v>6</v>
      </c>
      <c r="DO99" s="8">
        <f t="shared" si="334"/>
        <v>0</v>
      </c>
      <c r="DP99" s="5">
        <f t="shared" si="334"/>
        <v>0</v>
      </c>
      <c r="DQ99" s="8">
        <f t="shared" si="286"/>
        <v>0</v>
      </c>
      <c r="DR99" s="5">
        <f t="shared" si="197"/>
        <v>0.9</v>
      </c>
      <c r="DS99" s="8">
        <f t="shared" si="287"/>
        <v>1</v>
      </c>
      <c r="DT99" s="8">
        <f t="shared" si="288"/>
        <v>-0.5</v>
      </c>
      <c r="DU99" s="8">
        <f t="shared" si="288"/>
        <v>0.5</v>
      </c>
      <c r="DV99" s="8">
        <f t="shared" si="262"/>
        <v>0.25</v>
      </c>
      <c r="DW99" s="5">
        <f t="shared" si="263"/>
        <v>0.66666666666666663</v>
      </c>
      <c r="DX99" s="8">
        <f t="shared" si="289"/>
        <v>8</v>
      </c>
      <c r="DY99" s="8">
        <f t="shared" si="290"/>
        <v>0</v>
      </c>
      <c r="DZ99" s="8">
        <f t="shared" si="291"/>
        <v>0</v>
      </c>
      <c r="EA99" s="5"/>
    </row>
    <row r="100" spans="1:131" x14ac:dyDescent="0.15">
      <c r="A100" s="5">
        <v>201098</v>
      </c>
      <c r="B100" s="5" t="s">
        <v>306</v>
      </c>
      <c r="C100" s="5"/>
      <c r="D100" s="5"/>
      <c r="E100" s="5"/>
      <c r="F100" s="5">
        <v>0</v>
      </c>
      <c r="G100" s="45"/>
      <c r="H100" s="5"/>
      <c r="I100" s="5"/>
      <c r="J100" s="5"/>
      <c r="K100" s="5"/>
      <c r="L100" s="10"/>
      <c r="M100" s="5"/>
      <c r="N100" s="10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20"/>
      <c r="AF100" s="5"/>
      <c r="AG100" s="5"/>
      <c r="AH100" s="5"/>
      <c r="AI100" s="5"/>
      <c r="AJ100" s="5"/>
      <c r="AK100" s="5"/>
      <c r="AL100" s="5"/>
      <c r="AM100" s="5"/>
      <c r="AN100" s="8"/>
      <c r="AO100" s="5">
        <v>0</v>
      </c>
      <c r="AP100" s="5" t="s">
        <v>306</v>
      </c>
      <c r="AQ100" s="5">
        <v>0</v>
      </c>
      <c r="AR100" s="8">
        <f t="shared" si="264"/>
        <v>5</v>
      </c>
      <c r="AS100" s="6">
        <f t="shared" si="186"/>
        <v>75</v>
      </c>
      <c r="AT100" s="6">
        <f t="shared" si="187"/>
        <v>90</v>
      </c>
      <c r="AU100" s="5">
        <f t="shared" si="265"/>
        <v>0</v>
      </c>
      <c r="AV100" s="5">
        <f t="shared" si="266"/>
        <v>1</v>
      </c>
      <c r="AW100" s="5">
        <f t="shared" si="267"/>
        <v>0</v>
      </c>
      <c r="AX100" s="5">
        <f t="shared" ref="AX100" si="335">AX79</f>
        <v>0</v>
      </c>
      <c r="AY100" s="5">
        <f t="shared" si="267"/>
        <v>0</v>
      </c>
      <c r="AZ100" s="8">
        <f t="shared" si="269"/>
        <v>53</v>
      </c>
      <c r="BA100" s="5">
        <f t="shared" si="257"/>
        <v>203014</v>
      </c>
      <c r="BB100" s="5">
        <v>0</v>
      </c>
      <c r="BC100" s="5">
        <v>0</v>
      </c>
      <c r="BD100" s="5">
        <f t="shared" si="270"/>
        <v>0</v>
      </c>
      <c r="BE100" s="5">
        <f t="shared" si="271"/>
        <v>0</v>
      </c>
      <c r="BF100" s="5">
        <f t="shared" si="272"/>
        <v>0</v>
      </c>
      <c r="BG100" s="5">
        <f t="shared" si="272"/>
        <v>0</v>
      </c>
      <c r="BH100" s="5">
        <f t="shared" ref="BH100" si="336">BH79</f>
        <v>0</v>
      </c>
      <c r="BI100" s="5">
        <f t="shared" si="272"/>
        <v>0</v>
      </c>
      <c r="BJ100" s="5">
        <f t="shared" si="208"/>
        <v>0</v>
      </c>
      <c r="BK100" s="5">
        <v>0</v>
      </c>
      <c r="BL100" s="5">
        <f t="shared" si="312"/>
        <v>0</v>
      </c>
      <c r="BM100" s="5">
        <f t="shared" si="274"/>
        <v>0</v>
      </c>
      <c r="BN100" s="5">
        <f t="shared" si="274"/>
        <v>0</v>
      </c>
      <c r="BO100" s="5">
        <f t="shared" si="274"/>
        <v>0</v>
      </c>
      <c r="BP100" s="5">
        <f t="shared" si="259"/>
        <v>0</v>
      </c>
      <c r="BQ100" s="5">
        <f t="shared" si="259"/>
        <v>0</v>
      </c>
      <c r="BR100" s="5"/>
      <c r="BS100" s="4">
        <v>3</v>
      </c>
      <c r="BT100" s="4">
        <v>5</v>
      </c>
      <c r="BU100" s="4">
        <f t="shared" si="275"/>
        <v>0</v>
      </c>
      <c r="BV100" s="4">
        <f t="shared" si="189"/>
        <v>5</v>
      </c>
      <c r="BW100" s="4">
        <f t="shared" si="190"/>
        <v>5</v>
      </c>
      <c r="BX100" s="14">
        <f t="shared" si="191"/>
        <v>0.56999999999999995</v>
      </c>
      <c r="BY100" s="14">
        <f t="shared" si="192"/>
        <v>0.35000000000000003</v>
      </c>
      <c r="BZ100" s="5" t="s">
        <v>155</v>
      </c>
      <c r="CA100" s="8" t="str">
        <f t="shared" si="113"/>
        <v>monster_14</v>
      </c>
      <c r="CB100" s="8" t="str">
        <f t="shared" si="113"/>
        <v>monster_14</v>
      </c>
      <c r="CC100" s="5">
        <v>0</v>
      </c>
      <c r="CD100" s="8">
        <f t="shared" si="276"/>
        <v>1</v>
      </c>
      <c r="CE100" s="5">
        <f t="shared" si="193"/>
        <v>10</v>
      </c>
      <c r="CF100" s="5">
        <f t="shared" si="294"/>
        <v>2</v>
      </c>
      <c r="CG100" s="5" t="s">
        <v>306</v>
      </c>
      <c r="CH100" s="5">
        <f t="shared" si="278"/>
        <v>0</v>
      </c>
      <c r="CI100" s="5">
        <v>0</v>
      </c>
      <c r="CJ100" s="4">
        <v>0</v>
      </c>
      <c r="CK100" s="5">
        <v>0</v>
      </c>
      <c r="CL100" s="5">
        <v>0</v>
      </c>
      <c r="CM100" s="20">
        <f t="shared" si="279"/>
        <v>113</v>
      </c>
      <c r="CN100" s="8">
        <f t="shared" si="279"/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8">
        <f t="shared" ref="CV100:CY100" si="337">CV79</f>
        <v>0.8</v>
      </c>
      <c r="CW100" s="8">
        <f t="shared" si="337"/>
        <v>0.6</v>
      </c>
      <c r="CX100" s="8">
        <f t="shared" si="337"/>
        <v>1</v>
      </c>
      <c r="CY100" s="8">
        <f t="shared" si="337"/>
        <v>1</v>
      </c>
      <c r="CZ100" s="8">
        <f t="shared" si="281"/>
        <v>1</v>
      </c>
      <c r="DA100" s="6">
        <f t="shared" si="180"/>
        <v>125</v>
      </c>
      <c r="DB100" s="5">
        <f t="shared" si="282"/>
        <v>1</v>
      </c>
      <c r="DC100" s="5">
        <f t="shared" si="195"/>
        <v>0.89999999999999991</v>
      </c>
      <c r="DD100" s="6">
        <f t="shared" si="181"/>
        <v>0.89999999999999991</v>
      </c>
      <c r="DE100" s="6">
        <f t="shared" si="296"/>
        <v>1.5</v>
      </c>
      <c r="DF100" s="5">
        <v>0</v>
      </c>
      <c r="DG100" s="8">
        <f t="shared" si="283"/>
        <v>2.75</v>
      </c>
      <c r="DH100" s="5">
        <v>1.75</v>
      </c>
      <c r="DI100" s="8">
        <f t="shared" si="284"/>
        <v>0</v>
      </c>
      <c r="DJ100" s="5">
        <f t="shared" si="182"/>
        <v>0</v>
      </c>
      <c r="DK100" s="8">
        <v>0</v>
      </c>
      <c r="DL100" s="5">
        <f t="shared" si="183"/>
        <v>0</v>
      </c>
      <c r="DM100" s="5" t="s">
        <v>306</v>
      </c>
      <c r="DN100" s="8">
        <f t="shared" ref="DN100:DP100" si="338">DN79</f>
        <v>6</v>
      </c>
      <c r="DO100" s="8">
        <f t="shared" si="338"/>
        <v>0</v>
      </c>
      <c r="DP100" s="5">
        <f t="shared" si="338"/>
        <v>1</v>
      </c>
      <c r="DQ100" s="8">
        <f t="shared" si="286"/>
        <v>0</v>
      </c>
      <c r="DR100" s="5">
        <f t="shared" si="197"/>
        <v>0.9</v>
      </c>
      <c r="DS100" s="8">
        <f t="shared" si="287"/>
        <v>1</v>
      </c>
      <c r="DT100" s="8">
        <f t="shared" si="288"/>
        <v>-0.5</v>
      </c>
      <c r="DU100" s="8">
        <f t="shared" si="288"/>
        <v>0.5</v>
      </c>
      <c r="DV100" s="8">
        <f t="shared" si="262"/>
        <v>0.25</v>
      </c>
      <c r="DW100" s="5">
        <f t="shared" si="263"/>
        <v>0.33333333333333331</v>
      </c>
      <c r="DX100" s="8">
        <f t="shared" si="289"/>
        <v>4</v>
      </c>
      <c r="DY100" s="8">
        <f t="shared" si="290"/>
        <v>0</v>
      </c>
      <c r="DZ100" s="8">
        <f t="shared" si="291"/>
        <v>0</v>
      </c>
      <c r="EA100" s="5"/>
    </row>
    <row r="101" spans="1:131" x14ac:dyDescent="0.15">
      <c r="A101" s="5">
        <v>201099</v>
      </c>
      <c r="B101" s="5" t="s">
        <v>307</v>
      </c>
      <c r="C101" s="5"/>
      <c r="D101" s="5"/>
      <c r="E101" s="5"/>
      <c r="F101" s="5">
        <v>0</v>
      </c>
      <c r="G101" s="45"/>
      <c r="H101" s="5"/>
      <c r="I101" s="5"/>
      <c r="J101" s="5"/>
      <c r="K101" s="5"/>
      <c r="L101" s="10"/>
      <c r="M101" s="5"/>
      <c r="N101" s="10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20"/>
      <c r="AF101" s="5"/>
      <c r="AG101" s="5"/>
      <c r="AH101" s="5"/>
      <c r="AI101" s="5"/>
      <c r="AJ101" s="5"/>
      <c r="AK101" s="5"/>
      <c r="AL101" s="5"/>
      <c r="AM101" s="5"/>
      <c r="AN101" s="8"/>
      <c r="AO101" s="5">
        <v>0</v>
      </c>
      <c r="AP101" s="5" t="s">
        <v>307</v>
      </c>
      <c r="AQ101" s="5">
        <v>0</v>
      </c>
      <c r="AR101" s="8">
        <f t="shared" si="264"/>
        <v>2</v>
      </c>
      <c r="AS101" s="6">
        <f t="shared" si="186"/>
        <v>30</v>
      </c>
      <c r="AT101" s="6">
        <f t="shared" si="187"/>
        <v>45</v>
      </c>
      <c r="AU101" s="5">
        <f t="shared" si="265"/>
        <v>0</v>
      </c>
      <c r="AV101" s="5">
        <f t="shared" si="266"/>
        <v>0</v>
      </c>
      <c r="AW101" s="5">
        <f t="shared" si="267"/>
        <v>1</v>
      </c>
      <c r="AX101" s="5">
        <f t="shared" ref="AX101" si="339">AX80</f>
        <v>1</v>
      </c>
      <c r="AY101" s="5">
        <f t="shared" si="267"/>
        <v>0</v>
      </c>
      <c r="AZ101" s="8">
        <f t="shared" si="269"/>
        <v>52</v>
      </c>
      <c r="BA101" s="5">
        <f t="shared" si="257"/>
        <v>203015</v>
      </c>
      <c r="BB101" s="5">
        <v>0</v>
      </c>
      <c r="BC101" s="5">
        <v>0</v>
      </c>
      <c r="BD101" s="5">
        <f t="shared" si="270"/>
        <v>0</v>
      </c>
      <c r="BE101" s="5">
        <f t="shared" si="271"/>
        <v>0</v>
      </c>
      <c r="BF101" s="5">
        <f t="shared" si="272"/>
        <v>0</v>
      </c>
      <c r="BG101" s="5">
        <f t="shared" si="272"/>
        <v>0</v>
      </c>
      <c r="BH101" s="5">
        <f t="shared" ref="BH101" si="340">BH80</f>
        <v>0</v>
      </c>
      <c r="BI101" s="5">
        <f t="shared" si="272"/>
        <v>0</v>
      </c>
      <c r="BJ101" s="5">
        <f t="shared" si="208"/>
        <v>0</v>
      </c>
      <c r="BK101" s="5">
        <v>0</v>
      </c>
      <c r="BL101" s="5">
        <f t="shared" si="312"/>
        <v>0</v>
      </c>
      <c r="BM101" s="5">
        <f t="shared" si="274"/>
        <v>0</v>
      </c>
      <c r="BN101" s="5">
        <f t="shared" si="274"/>
        <v>0</v>
      </c>
      <c r="BO101" s="5">
        <f t="shared" si="274"/>
        <v>0</v>
      </c>
      <c r="BP101" s="5">
        <f t="shared" si="259"/>
        <v>0</v>
      </c>
      <c r="BQ101" s="5">
        <f t="shared" si="259"/>
        <v>0</v>
      </c>
      <c r="BR101" s="5"/>
      <c r="BS101" s="4">
        <v>3</v>
      </c>
      <c r="BT101" s="4">
        <v>5</v>
      </c>
      <c r="BU101" s="4">
        <f t="shared" si="275"/>
        <v>0</v>
      </c>
      <c r="BV101" s="4">
        <f t="shared" si="189"/>
        <v>5</v>
      </c>
      <c r="BW101" s="4">
        <f t="shared" si="190"/>
        <v>5</v>
      </c>
      <c r="BX101" s="14">
        <f t="shared" si="191"/>
        <v>0.56999999999999995</v>
      </c>
      <c r="BY101" s="14">
        <f t="shared" si="192"/>
        <v>0.35000000000000003</v>
      </c>
      <c r="BZ101" s="5" t="s">
        <v>158</v>
      </c>
      <c r="CA101" s="8" t="str">
        <f t="shared" si="113"/>
        <v>monster_15</v>
      </c>
      <c r="CB101" s="8" t="str">
        <f t="shared" si="113"/>
        <v>monster_15</v>
      </c>
      <c r="CC101" s="5">
        <v>0</v>
      </c>
      <c r="CD101" s="8">
        <f t="shared" si="276"/>
        <v>1</v>
      </c>
      <c r="CE101" s="5">
        <f t="shared" si="193"/>
        <v>0</v>
      </c>
      <c r="CF101" s="5">
        <f t="shared" si="294"/>
        <v>0</v>
      </c>
      <c r="CG101" s="5" t="s">
        <v>307</v>
      </c>
      <c r="CH101" s="5">
        <f t="shared" si="278"/>
        <v>0</v>
      </c>
      <c r="CI101" s="5">
        <v>0</v>
      </c>
      <c r="CJ101" s="4">
        <v>0</v>
      </c>
      <c r="CK101" s="5">
        <v>0</v>
      </c>
      <c r="CL101" s="5">
        <v>0</v>
      </c>
      <c r="CM101" s="20">
        <f t="shared" si="279"/>
        <v>0</v>
      </c>
      <c r="CN101" s="8">
        <f t="shared" si="279"/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8">
        <f t="shared" ref="CV101:CY101" si="341">CV80</f>
        <v>0.8</v>
      </c>
      <c r="CW101" s="8">
        <f t="shared" si="341"/>
        <v>0.6</v>
      </c>
      <c r="CX101" s="8">
        <f t="shared" si="341"/>
        <v>1</v>
      </c>
      <c r="CY101" s="8">
        <f t="shared" si="341"/>
        <v>1</v>
      </c>
      <c r="CZ101" s="8">
        <f t="shared" si="281"/>
        <v>2</v>
      </c>
      <c r="DA101" s="6">
        <f t="shared" si="180"/>
        <v>250</v>
      </c>
      <c r="DB101" s="5">
        <f t="shared" si="282"/>
        <v>0</v>
      </c>
      <c r="DC101" s="5">
        <f t="shared" si="195"/>
        <v>0.18</v>
      </c>
      <c r="DD101" s="6">
        <f t="shared" si="181"/>
        <v>0.18</v>
      </c>
      <c r="DE101" s="6">
        <f t="shared" si="296"/>
        <v>0.3</v>
      </c>
      <c r="DF101" s="5">
        <v>0</v>
      </c>
      <c r="DG101" s="8">
        <f t="shared" si="283"/>
        <v>3</v>
      </c>
      <c r="DH101" s="5">
        <v>2</v>
      </c>
      <c r="DI101" s="8">
        <f t="shared" si="284"/>
        <v>0</v>
      </c>
      <c r="DJ101" s="5">
        <f t="shared" si="182"/>
        <v>0</v>
      </c>
      <c r="DK101" s="8">
        <v>0</v>
      </c>
      <c r="DL101" s="5">
        <f t="shared" si="183"/>
        <v>0</v>
      </c>
      <c r="DM101" s="5" t="s">
        <v>307</v>
      </c>
      <c r="DN101" s="8">
        <f t="shared" ref="DN101:DP101" si="342">DN80</f>
        <v>6</v>
      </c>
      <c r="DO101" s="8">
        <f t="shared" si="342"/>
        <v>0</v>
      </c>
      <c r="DP101" s="5">
        <f t="shared" si="342"/>
        <v>0</v>
      </c>
      <c r="DQ101" s="8">
        <f t="shared" si="286"/>
        <v>0</v>
      </c>
      <c r="DR101" s="5">
        <f t="shared" si="197"/>
        <v>0.9</v>
      </c>
      <c r="DS101" s="8">
        <f t="shared" si="287"/>
        <v>1</v>
      </c>
      <c r="DT101" s="8">
        <f t="shared" si="288"/>
        <v>-0.5</v>
      </c>
      <c r="DU101" s="8">
        <f t="shared" si="288"/>
        <v>0.5</v>
      </c>
      <c r="DV101" s="8">
        <f t="shared" si="262"/>
        <v>0.2</v>
      </c>
      <c r="DW101" s="5">
        <f t="shared" si="263"/>
        <v>0.58333333333333337</v>
      </c>
      <c r="DX101" s="8">
        <f t="shared" si="289"/>
        <v>7</v>
      </c>
      <c r="DY101" s="8">
        <f t="shared" si="290"/>
        <v>0</v>
      </c>
      <c r="DZ101" s="8">
        <f t="shared" si="291"/>
        <v>0</v>
      </c>
      <c r="EA101" s="5"/>
    </row>
    <row r="102" spans="1:131" x14ac:dyDescent="0.15">
      <c r="A102" s="5">
        <v>201100</v>
      </c>
      <c r="B102" s="5" t="s">
        <v>308</v>
      </c>
      <c r="C102" s="5"/>
      <c r="D102" s="5"/>
      <c r="E102" s="5"/>
      <c r="F102" s="5">
        <v>0</v>
      </c>
      <c r="G102" s="45"/>
      <c r="H102" s="5"/>
      <c r="I102" s="5"/>
      <c r="J102" s="5"/>
      <c r="K102" s="5"/>
      <c r="L102" s="10"/>
      <c r="M102" s="5"/>
      <c r="N102" s="10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20"/>
      <c r="AF102" s="5"/>
      <c r="AG102" s="5"/>
      <c r="AH102" s="5"/>
      <c r="AI102" s="5"/>
      <c r="AJ102" s="5"/>
      <c r="AK102" s="5"/>
      <c r="AL102" s="5"/>
      <c r="AM102" s="5"/>
      <c r="AN102" s="8"/>
      <c r="AO102" s="5">
        <v>0</v>
      </c>
      <c r="AP102" s="5" t="s">
        <v>308</v>
      </c>
      <c r="AQ102" s="5">
        <v>0</v>
      </c>
      <c r="AR102" s="8">
        <f t="shared" si="264"/>
        <v>2</v>
      </c>
      <c r="AS102" s="6">
        <f t="shared" si="186"/>
        <v>30</v>
      </c>
      <c r="AT102" s="6">
        <f t="shared" si="187"/>
        <v>45</v>
      </c>
      <c r="AU102" s="5">
        <f t="shared" si="265"/>
        <v>0</v>
      </c>
      <c r="AV102" s="5">
        <f t="shared" si="266"/>
        <v>1</v>
      </c>
      <c r="AW102" s="5">
        <f t="shared" si="267"/>
        <v>0</v>
      </c>
      <c r="AX102" s="5">
        <f t="shared" ref="AX102" si="343">AX81</f>
        <v>0</v>
      </c>
      <c r="AY102" s="5">
        <f t="shared" si="267"/>
        <v>1</v>
      </c>
      <c r="AZ102" s="8">
        <f t="shared" si="269"/>
        <v>53</v>
      </c>
      <c r="BA102" s="5">
        <f t="shared" si="257"/>
        <v>203016</v>
      </c>
      <c r="BB102" s="5">
        <v>0</v>
      </c>
      <c r="BC102" s="5">
        <v>0</v>
      </c>
      <c r="BD102" s="5">
        <f t="shared" si="270"/>
        <v>0</v>
      </c>
      <c r="BE102" s="5">
        <f t="shared" si="271"/>
        <v>306001</v>
      </c>
      <c r="BF102" s="5">
        <f t="shared" si="272"/>
        <v>0</v>
      </c>
      <c r="BG102" s="5">
        <f t="shared" si="272"/>
        <v>0</v>
      </c>
      <c r="BH102" s="5">
        <f t="shared" ref="BH102" si="344">BH81</f>
        <v>0</v>
      </c>
      <c r="BI102" s="5">
        <f t="shared" si="272"/>
        <v>0</v>
      </c>
      <c r="BJ102" s="5">
        <f t="shared" si="208"/>
        <v>5</v>
      </c>
      <c r="BK102" s="5">
        <f>BJ102*360/BM102</f>
        <v>10</v>
      </c>
      <c r="BL102" s="5">
        <f t="shared" si="312"/>
        <v>1</v>
      </c>
      <c r="BM102" s="5">
        <f t="shared" si="274"/>
        <v>180</v>
      </c>
      <c r="BN102" s="5">
        <f t="shared" si="274"/>
        <v>180</v>
      </c>
      <c r="BO102" s="5">
        <f t="shared" si="274"/>
        <v>203017</v>
      </c>
      <c r="BP102" s="5">
        <f t="shared" si="259"/>
        <v>3</v>
      </c>
      <c r="BQ102" s="5">
        <f t="shared" si="259"/>
        <v>4</v>
      </c>
      <c r="BR102" s="5">
        <f>50*BT102*3-360/BM102*BJ102*BQ102</f>
        <v>710</v>
      </c>
      <c r="BS102" s="4">
        <v>4</v>
      </c>
      <c r="BT102" s="4">
        <v>5</v>
      </c>
      <c r="BU102" s="4">
        <f t="shared" si="275"/>
        <v>0</v>
      </c>
      <c r="BV102" s="4">
        <f t="shared" si="189"/>
        <v>5</v>
      </c>
      <c r="BW102" s="4">
        <f t="shared" si="190"/>
        <v>5</v>
      </c>
      <c r="BX102" s="14">
        <f t="shared" si="191"/>
        <v>0.56999999999999995</v>
      </c>
      <c r="BY102" s="14">
        <f t="shared" si="192"/>
        <v>0.35000000000000003</v>
      </c>
      <c r="BZ102" s="5" t="s">
        <v>161</v>
      </c>
      <c r="CA102" s="8" t="str">
        <f t="shared" si="113"/>
        <v>monster_16</v>
      </c>
      <c r="CB102" s="8" t="str">
        <f t="shared" si="113"/>
        <v>monster_16</v>
      </c>
      <c r="CC102" s="5">
        <v>0</v>
      </c>
      <c r="CD102" s="8">
        <f t="shared" si="276"/>
        <v>2</v>
      </c>
      <c r="CE102" s="5">
        <f t="shared" si="193"/>
        <v>0</v>
      </c>
      <c r="CF102" s="5">
        <f t="shared" si="294"/>
        <v>0</v>
      </c>
      <c r="CG102" s="5" t="s">
        <v>308</v>
      </c>
      <c r="CH102" s="5">
        <f t="shared" si="278"/>
        <v>3</v>
      </c>
      <c r="CI102" s="5">
        <v>104</v>
      </c>
      <c r="CJ102" s="4">
        <v>0</v>
      </c>
      <c r="CK102" s="5">
        <v>0</v>
      </c>
      <c r="CL102" s="5">
        <v>0</v>
      </c>
      <c r="CM102" s="20">
        <f t="shared" si="279"/>
        <v>0</v>
      </c>
      <c r="CN102" s="8">
        <f t="shared" si="279"/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8">
        <f t="shared" ref="CV102:CY102" si="345">CV81</f>
        <v>0.8</v>
      </c>
      <c r="CW102" s="8">
        <f t="shared" si="345"/>
        <v>0.6</v>
      </c>
      <c r="CX102" s="8">
        <f t="shared" si="345"/>
        <v>1</v>
      </c>
      <c r="CY102" s="8">
        <f t="shared" si="345"/>
        <v>1</v>
      </c>
      <c r="CZ102" s="8">
        <f t="shared" si="281"/>
        <v>0.8</v>
      </c>
      <c r="DA102" s="6">
        <f t="shared" si="180"/>
        <v>100</v>
      </c>
      <c r="DB102" s="5">
        <f t="shared" si="282"/>
        <v>1</v>
      </c>
      <c r="DC102" s="5">
        <f t="shared" si="195"/>
        <v>0.312</v>
      </c>
      <c r="DD102" s="6">
        <f t="shared" si="181"/>
        <v>0.312</v>
      </c>
      <c r="DE102" s="6">
        <f t="shared" si="296"/>
        <v>0.52</v>
      </c>
      <c r="DF102" s="5">
        <v>0</v>
      </c>
      <c r="DG102" s="8">
        <f t="shared" si="283"/>
        <v>3</v>
      </c>
      <c r="DH102" s="5">
        <v>2</v>
      </c>
      <c r="DI102" s="8">
        <f t="shared" si="284"/>
        <v>2</v>
      </c>
      <c r="DJ102" s="5">
        <f t="shared" si="182"/>
        <v>35</v>
      </c>
      <c r="DK102" s="8">
        <v>0</v>
      </c>
      <c r="DL102" s="5">
        <f t="shared" si="183"/>
        <v>0</v>
      </c>
      <c r="DM102" s="5" t="s">
        <v>308</v>
      </c>
      <c r="DN102" s="8">
        <f t="shared" ref="DN102:DP102" si="346">DN81</f>
        <v>6</v>
      </c>
      <c r="DO102" s="8">
        <f t="shared" si="346"/>
        <v>0</v>
      </c>
      <c r="DP102" s="5">
        <f t="shared" si="346"/>
        <v>0</v>
      </c>
      <c r="DQ102" s="8">
        <f t="shared" si="286"/>
        <v>0</v>
      </c>
      <c r="DR102" s="5">
        <f t="shared" si="197"/>
        <v>4.5</v>
      </c>
      <c r="DS102" s="8">
        <f t="shared" si="287"/>
        <v>5</v>
      </c>
      <c r="DT102" s="8">
        <f t="shared" si="288"/>
        <v>-5</v>
      </c>
      <c r="DU102" s="8">
        <f t="shared" si="288"/>
        <v>0</v>
      </c>
      <c r="DV102" s="8">
        <f t="shared" si="262"/>
        <v>0.2</v>
      </c>
      <c r="DW102" s="5">
        <f t="shared" si="263"/>
        <v>0.5</v>
      </c>
      <c r="DX102" s="8">
        <f t="shared" si="289"/>
        <v>6</v>
      </c>
      <c r="DY102" s="8">
        <f t="shared" si="290"/>
        <v>0</v>
      </c>
      <c r="DZ102" s="8">
        <f t="shared" si="291"/>
        <v>0</v>
      </c>
      <c r="EA102" s="5"/>
    </row>
    <row r="103" spans="1:131" x14ac:dyDescent="0.15">
      <c r="A103" s="5">
        <v>201101</v>
      </c>
      <c r="B103" s="5" t="s">
        <v>309</v>
      </c>
      <c r="C103" s="5"/>
      <c r="D103" s="5"/>
      <c r="E103" s="5"/>
      <c r="F103" s="5">
        <v>0</v>
      </c>
      <c r="G103" s="45"/>
      <c r="H103" s="5"/>
      <c r="I103" s="5"/>
      <c r="J103" s="5"/>
      <c r="K103" s="5"/>
      <c r="L103" s="10"/>
      <c r="M103" s="5"/>
      <c r="N103" s="10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20"/>
      <c r="AF103" s="5"/>
      <c r="AG103" s="5"/>
      <c r="AH103" s="5"/>
      <c r="AI103" s="5"/>
      <c r="AJ103" s="5"/>
      <c r="AK103" s="5"/>
      <c r="AL103" s="5"/>
      <c r="AM103" s="5"/>
      <c r="AN103" s="8"/>
      <c r="AO103" s="5">
        <v>0</v>
      </c>
      <c r="AP103" s="5" t="s">
        <v>309</v>
      </c>
      <c r="AQ103" s="5">
        <v>0</v>
      </c>
      <c r="AR103" s="8">
        <f t="shared" si="264"/>
        <v>1.5</v>
      </c>
      <c r="AS103" s="6">
        <f t="shared" si="186"/>
        <v>22.5</v>
      </c>
      <c r="AT103" s="6">
        <f t="shared" si="187"/>
        <v>37.5</v>
      </c>
      <c r="AU103" s="5">
        <f t="shared" si="265"/>
        <v>0</v>
      </c>
      <c r="AV103" s="5">
        <f t="shared" si="266"/>
        <v>1</v>
      </c>
      <c r="AW103" s="5">
        <f t="shared" si="267"/>
        <v>0</v>
      </c>
      <c r="AX103" s="5">
        <f t="shared" ref="AX103" si="347">AX82</f>
        <v>0</v>
      </c>
      <c r="AY103" s="5">
        <f t="shared" si="267"/>
        <v>1</v>
      </c>
      <c r="AZ103" s="8">
        <f t="shared" si="269"/>
        <v>53</v>
      </c>
      <c r="BA103" s="5">
        <f t="shared" si="257"/>
        <v>203017</v>
      </c>
      <c r="BB103" s="5">
        <v>0</v>
      </c>
      <c r="BC103" s="5">
        <v>0</v>
      </c>
      <c r="BD103" s="5">
        <f t="shared" si="270"/>
        <v>0</v>
      </c>
      <c r="BE103" s="5">
        <f t="shared" si="271"/>
        <v>0</v>
      </c>
      <c r="BF103" s="5">
        <f t="shared" si="272"/>
        <v>0</v>
      </c>
      <c r="BG103" s="5">
        <f t="shared" si="272"/>
        <v>15</v>
      </c>
      <c r="BH103" s="5">
        <f t="shared" ref="BH103" si="348">BH82</f>
        <v>270</v>
      </c>
      <c r="BI103" s="5">
        <f t="shared" si="272"/>
        <v>0</v>
      </c>
      <c r="BJ103" s="5">
        <f t="shared" si="208"/>
        <v>0</v>
      </c>
      <c r="BK103" s="5">
        <v>0</v>
      </c>
      <c r="BL103" s="5">
        <f t="shared" si="312"/>
        <v>0</v>
      </c>
      <c r="BM103" s="5">
        <f t="shared" si="274"/>
        <v>0</v>
      </c>
      <c r="BN103" s="5">
        <f t="shared" si="274"/>
        <v>0</v>
      </c>
      <c r="BO103" s="5">
        <f t="shared" si="274"/>
        <v>0</v>
      </c>
      <c r="BP103" s="5">
        <f t="shared" si="259"/>
        <v>0</v>
      </c>
      <c r="BQ103" s="5">
        <f t="shared" si="259"/>
        <v>0</v>
      </c>
      <c r="BR103" s="5"/>
      <c r="BS103" s="4">
        <v>4</v>
      </c>
      <c r="BT103" s="4">
        <v>5</v>
      </c>
      <c r="BU103" s="4">
        <f t="shared" si="275"/>
        <v>0</v>
      </c>
      <c r="BV103" s="4">
        <f t="shared" si="189"/>
        <v>5</v>
      </c>
      <c r="BW103" s="4">
        <f t="shared" si="190"/>
        <v>5</v>
      </c>
      <c r="BX103" s="14">
        <f t="shared" si="191"/>
        <v>0.56999999999999995</v>
      </c>
      <c r="BY103" s="14">
        <f t="shared" si="192"/>
        <v>0.35000000000000003</v>
      </c>
      <c r="BZ103" s="5" t="s">
        <v>164</v>
      </c>
      <c r="CA103" s="8" t="str">
        <f t="shared" si="113"/>
        <v>monster_17</v>
      </c>
      <c r="CB103" s="8" t="str">
        <f t="shared" si="113"/>
        <v>monster_17</v>
      </c>
      <c r="CC103" s="5">
        <v>0</v>
      </c>
      <c r="CD103" s="8">
        <f t="shared" si="276"/>
        <v>2</v>
      </c>
      <c r="CE103" s="5">
        <f t="shared" si="193"/>
        <v>0</v>
      </c>
      <c r="CF103" s="5">
        <f t="shared" si="294"/>
        <v>0</v>
      </c>
      <c r="CG103" s="5" t="s">
        <v>309</v>
      </c>
      <c r="CH103" s="5">
        <f t="shared" si="278"/>
        <v>3</v>
      </c>
      <c r="CI103" s="5">
        <v>0</v>
      </c>
      <c r="CJ103" s="4">
        <v>0</v>
      </c>
      <c r="CK103" s="5">
        <v>0</v>
      </c>
      <c r="CL103" s="5">
        <v>0</v>
      </c>
      <c r="CM103" s="20">
        <f t="shared" si="279"/>
        <v>0</v>
      </c>
      <c r="CN103" s="8">
        <f t="shared" si="279"/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201100</v>
      </c>
      <c r="CT103" s="5">
        <v>0</v>
      </c>
      <c r="CU103" s="5">
        <v>0</v>
      </c>
      <c r="CV103" s="8">
        <f t="shared" ref="CV103:CY103" si="349">CV82</f>
        <v>0.8</v>
      </c>
      <c r="CW103" s="8">
        <f t="shared" si="349"/>
        <v>0.6</v>
      </c>
      <c r="CX103" s="8">
        <f t="shared" si="349"/>
        <v>1</v>
      </c>
      <c r="CY103" s="8">
        <f t="shared" si="349"/>
        <v>1</v>
      </c>
      <c r="CZ103" s="8">
        <f t="shared" si="281"/>
        <v>1</v>
      </c>
      <c r="DA103" s="6">
        <f t="shared" si="180"/>
        <v>125</v>
      </c>
      <c r="DB103" s="5">
        <f t="shared" si="282"/>
        <v>1</v>
      </c>
      <c r="DC103" s="5">
        <f t="shared" si="195"/>
        <v>0.15</v>
      </c>
      <c r="DD103" s="6">
        <f t="shared" si="181"/>
        <v>0.15</v>
      </c>
      <c r="DE103" s="6">
        <f t="shared" si="296"/>
        <v>0.25</v>
      </c>
      <c r="DF103" s="5">
        <v>0</v>
      </c>
      <c r="DG103" s="8">
        <f t="shared" si="283"/>
        <v>3</v>
      </c>
      <c r="DH103" s="5">
        <v>2</v>
      </c>
      <c r="DI103" s="8">
        <f t="shared" si="284"/>
        <v>0</v>
      </c>
      <c r="DJ103" s="5">
        <f t="shared" si="182"/>
        <v>0</v>
      </c>
      <c r="DK103" s="8">
        <v>0</v>
      </c>
      <c r="DL103" s="5">
        <f t="shared" si="183"/>
        <v>0</v>
      </c>
      <c r="DM103" s="5" t="s">
        <v>309</v>
      </c>
      <c r="DN103" s="8">
        <f t="shared" ref="DN103:DP103" si="350">DN82</f>
        <v>0</v>
      </c>
      <c r="DO103" s="8">
        <f t="shared" si="350"/>
        <v>0</v>
      </c>
      <c r="DP103" s="5">
        <f t="shared" si="350"/>
        <v>0</v>
      </c>
      <c r="DQ103" s="8">
        <f t="shared" si="286"/>
        <v>0</v>
      </c>
      <c r="DR103" s="5">
        <f t="shared" si="197"/>
        <v>3.15</v>
      </c>
      <c r="DS103" s="8">
        <f t="shared" si="287"/>
        <v>3.5</v>
      </c>
      <c r="DT103" s="8">
        <f t="shared" si="288"/>
        <v>-0.5</v>
      </c>
      <c r="DU103" s="8">
        <f t="shared" si="288"/>
        <v>0.5</v>
      </c>
      <c r="DV103" s="8">
        <f t="shared" si="262"/>
        <v>0.2</v>
      </c>
      <c r="DW103" s="5">
        <f t="shared" si="263"/>
        <v>0</v>
      </c>
      <c r="DX103" s="8">
        <f t="shared" si="289"/>
        <v>0</v>
      </c>
      <c r="DY103" s="8">
        <f t="shared" si="290"/>
        <v>0</v>
      </c>
      <c r="DZ103" s="8">
        <f t="shared" si="291"/>
        <v>0</v>
      </c>
      <c r="EA103" s="5"/>
    </row>
    <row r="104" spans="1:131" x14ac:dyDescent="0.15">
      <c r="A104" s="5">
        <v>201102</v>
      </c>
      <c r="B104" s="5" t="s">
        <v>310</v>
      </c>
      <c r="C104" s="5"/>
      <c r="D104" s="5"/>
      <c r="E104" s="5"/>
      <c r="F104" s="5">
        <v>0</v>
      </c>
      <c r="G104" s="45"/>
      <c r="H104" s="5"/>
      <c r="I104" s="5"/>
      <c r="J104" s="5"/>
      <c r="K104" s="5"/>
      <c r="L104" s="10"/>
      <c r="M104" s="5"/>
      <c r="N104" s="10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20"/>
      <c r="AF104" s="5"/>
      <c r="AG104" s="5"/>
      <c r="AH104" s="5"/>
      <c r="AI104" s="5"/>
      <c r="AJ104" s="5"/>
      <c r="AK104" s="5"/>
      <c r="AL104" s="5"/>
      <c r="AM104" s="5"/>
      <c r="AN104" s="8"/>
      <c r="AO104" s="5">
        <v>0</v>
      </c>
      <c r="AP104" s="5" t="s">
        <v>310</v>
      </c>
      <c r="AQ104" s="5">
        <v>0</v>
      </c>
      <c r="AR104" s="8">
        <f t="shared" si="264"/>
        <v>2</v>
      </c>
      <c r="AS104" s="6">
        <f t="shared" si="186"/>
        <v>30</v>
      </c>
      <c r="AT104" s="6">
        <f t="shared" si="187"/>
        <v>45</v>
      </c>
      <c r="AU104" s="5">
        <f t="shared" si="265"/>
        <v>0</v>
      </c>
      <c r="AV104" s="5">
        <f t="shared" si="266"/>
        <v>1</v>
      </c>
      <c r="AW104" s="5">
        <f t="shared" si="267"/>
        <v>1</v>
      </c>
      <c r="AX104" s="5">
        <f t="shared" ref="AX104" si="351">AX83</f>
        <v>1</v>
      </c>
      <c r="AY104" s="5">
        <f t="shared" si="267"/>
        <v>1</v>
      </c>
      <c r="AZ104" s="8">
        <f t="shared" si="269"/>
        <v>52</v>
      </c>
      <c r="BA104" s="5">
        <f t="shared" si="257"/>
        <v>203018</v>
      </c>
      <c r="BB104" s="5">
        <v>0</v>
      </c>
      <c r="BC104" s="5">
        <v>0</v>
      </c>
      <c r="BD104" s="5">
        <f t="shared" si="270"/>
        <v>0</v>
      </c>
      <c r="BE104" s="5">
        <f t="shared" si="271"/>
        <v>604001</v>
      </c>
      <c r="BF104" s="5">
        <f t="shared" si="272"/>
        <v>0</v>
      </c>
      <c r="BG104" s="5">
        <f t="shared" si="272"/>
        <v>0</v>
      </c>
      <c r="BH104" s="5">
        <f t="shared" ref="BH104" si="352">BH83</f>
        <v>0</v>
      </c>
      <c r="BI104" s="5">
        <f t="shared" si="272"/>
        <v>0</v>
      </c>
      <c r="BJ104" s="5">
        <v>20</v>
      </c>
      <c r="BK104" s="5">
        <f>BJ104*360/BM104</f>
        <v>80</v>
      </c>
      <c r="BL104" s="5">
        <f t="shared" si="312"/>
        <v>2</v>
      </c>
      <c r="BM104" s="5">
        <f t="shared" si="274"/>
        <v>90</v>
      </c>
      <c r="BN104" s="5">
        <f t="shared" si="274"/>
        <v>180</v>
      </c>
      <c r="BO104" s="5">
        <f t="shared" si="274"/>
        <v>203019</v>
      </c>
      <c r="BP104" s="5">
        <f t="shared" si="259"/>
        <v>3</v>
      </c>
      <c r="BQ104" s="5">
        <f t="shared" si="259"/>
        <v>2</v>
      </c>
      <c r="BR104" s="5">
        <f>50*BT104*3-360/BM104*BJ104*BQ104</f>
        <v>590</v>
      </c>
      <c r="BS104" s="4">
        <v>4</v>
      </c>
      <c r="BT104" s="4">
        <v>5</v>
      </c>
      <c r="BU104" s="4">
        <f t="shared" si="275"/>
        <v>0</v>
      </c>
      <c r="BV104" s="4">
        <f t="shared" si="189"/>
        <v>5</v>
      </c>
      <c r="BW104" s="4">
        <f t="shared" si="190"/>
        <v>5</v>
      </c>
      <c r="BX104" s="14">
        <f t="shared" si="191"/>
        <v>0.56999999999999995</v>
      </c>
      <c r="BY104" s="14">
        <f t="shared" si="192"/>
        <v>0.35000000000000003</v>
      </c>
      <c r="BZ104" s="5" t="s">
        <v>167</v>
      </c>
      <c r="CA104" s="8" t="str">
        <f t="shared" si="113"/>
        <v>monster_18</v>
      </c>
      <c r="CB104" s="8" t="str">
        <f t="shared" si="113"/>
        <v>monster_18</v>
      </c>
      <c r="CC104" s="5">
        <v>0</v>
      </c>
      <c r="CD104" s="8">
        <f t="shared" si="276"/>
        <v>2</v>
      </c>
      <c r="CE104" s="5">
        <f t="shared" si="193"/>
        <v>5</v>
      </c>
      <c r="CF104" s="5">
        <f t="shared" si="294"/>
        <v>1</v>
      </c>
      <c r="CG104" s="5" t="s">
        <v>310</v>
      </c>
      <c r="CH104" s="5">
        <f t="shared" si="278"/>
        <v>3</v>
      </c>
      <c r="CI104" s="5">
        <v>105</v>
      </c>
      <c r="CJ104" s="4">
        <v>0</v>
      </c>
      <c r="CK104" s="5">
        <v>0</v>
      </c>
      <c r="CL104" s="5">
        <v>0</v>
      </c>
      <c r="CM104" s="20">
        <f t="shared" si="279"/>
        <v>0</v>
      </c>
      <c r="CN104" s="8">
        <f t="shared" si="279"/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8">
        <f t="shared" ref="CV104:CY104" si="353">CV83</f>
        <v>0.8</v>
      </c>
      <c r="CW104" s="8">
        <f t="shared" si="353"/>
        <v>0.6</v>
      </c>
      <c r="CX104" s="8">
        <f t="shared" si="353"/>
        <v>1</v>
      </c>
      <c r="CY104" s="8">
        <f t="shared" si="353"/>
        <v>1</v>
      </c>
      <c r="CZ104" s="8">
        <f t="shared" si="281"/>
        <v>1</v>
      </c>
      <c r="DA104" s="6">
        <f t="shared" si="180"/>
        <v>125</v>
      </c>
      <c r="DB104" s="5">
        <f t="shared" si="282"/>
        <v>0</v>
      </c>
      <c r="DC104" s="5">
        <f t="shared" si="195"/>
        <v>0.15</v>
      </c>
      <c r="DD104" s="6">
        <f t="shared" si="181"/>
        <v>0.15</v>
      </c>
      <c r="DE104" s="6">
        <f t="shared" si="296"/>
        <v>0.25</v>
      </c>
      <c r="DF104" s="5">
        <v>0</v>
      </c>
      <c r="DG104" s="8">
        <f t="shared" si="283"/>
        <v>2.25</v>
      </c>
      <c r="DH104" s="5">
        <v>1.25</v>
      </c>
      <c r="DI104" s="8">
        <f t="shared" si="284"/>
        <v>4</v>
      </c>
      <c r="DJ104" s="5">
        <f t="shared" si="182"/>
        <v>70</v>
      </c>
      <c r="DK104" s="8">
        <v>0</v>
      </c>
      <c r="DL104" s="5">
        <f t="shared" si="183"/>
        <v>0</v>
      </c>
      <c r="DM104" s="5" t="s">
        <v>311</v>
      </c>
      <c r="DN104" s="8">
        <f t="shared" ref="DN104:DP104" si="354">DN83</f>
        <v>6</v>
      </c>
      <c r="DO104" s="8">
        <f t="shared" si="354"/>
        <v>0</v>
      </c>
      <c r="DP104" s="5">
        <f t="shared" si="354"/>
        <v>0</v>
      </c>
      <c r="DQ104" s="8">
        <f t="shared" si="286"/>
        <v>0</v>
      </c>
      <c r="DR104" s="5">
        <f t="shared" si="197"/>
        <v>1.35</v>
      </c>
      <c r="DS104" s="8">
        <f t="shared" si="287"/>
        <v>1.5</v>
      </c>
      <c r="DT104" s="8">
        <f t="shared" si="288"/>
        <v>-0.5</v>
      </c>
      <c r="DU104" s="8">
        <f t="shared" si="288"/>
        <v>0.5</v>
      </c>
      <c r="DV104" s="8">
        <f t="shared" si="262"/>
        <v>0.35</v>
      </c>
      <c r="DW104" s="5">
        <f t="shared" si="263"/>
        <v>0.33333333333333331</v>
      </c>
      <c r="DX104" s="8">
        <f t="shared" si="289"/>
        <v>4</v>
      </c>
      <c r="DY104" s="8">
        <f t="shared" si="290"/>
        <v>0</v>
      </c>
      <c r="DZ104" s="8">
        <f t="shared" si="291"/>
        <v>0</v>
      </c>
      <c r="EA104" s="5"/>
    </row>
    <row r="105" spans="1:131" x14ac:dyDescent="0.15">
      <c r="A105" s="5">
        <v>201103</v>
      </c>
      <c r="B105" s="5" t="s">
        <v>312</v>
      </c>
      <c r="C105" s="5"/>
      <c r="D105" s="5"/>
      <c r="E105" s="5"/>
      <c r="F105" s="5">
        <v>0</v>
      </c>
      <c r="G105" s="45"/>
      <c r="H105" s="5"/>
      <c r="I105" s="5"/>
      <c r="J105" s="5"/>
      <c r="K105" s="5"/>
      <c r="L105" s="10"/>
      <c r="M105" s="5"/>
      <c r="N105" s="10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20"/>
      <c r="AF105" s="5"/>
      <c r="AG105" s="5"/>
      <c r="AH105" s="5"/>
      <c r="AI105" s="5"/>
      <c r="AJ105" s="5"/>
      <c r="AK105" s="5"/>
      <c r="AL105" s="5"/>
      <c r="AM105" s="5"/>
      <c r="AN105" s="8"/>
      <c r="AO105" s="5">
        <v>0</v>
      </c>
      <c r="AP105" s="5" t="s">
        <v>312</v>
      </c>
      <c r="AQ105" s="5">
        <v>0</v>
      </c>
      <c r="AR105" s="8">
        <f t="shared" si="264"/>
        <v>1.5</v>
      </c>
      <c r="AS105" s="6">
        <f t="shared" si="186"/>
        <v>22.5</v>
      </c>
      <c r="AT105" s="6">
        <f t="shared" si="187"/>
        <v>37.5</v>
      </c>
      <c r="AU105" s="5">
        <f t="shared" si="265"/>
        <v>0.8</v>
      </c>
      <c r="AV105" s="5">
        <f t="shared" si="266"/>
        <v>1</v>
      </c>
      <c r="AW105" s="5">
        <f t="shared" si="267"/>
        <v>1</v>
      </c>
      <c r="AX105" s="5">
        <f t="shared" ref="AX105" si="355">AX84</f>
        <v>1</v>
      </c>
      <c r="AY105" s="5">
        <f t="shared" si="267"/>
        <v>1</v>
      </c>
      <c r="AZ105" s="8">
        <f t="shared" si="269"/>
        <v>52</v>
      </c>
      <c r="BA105" s="5">
        <f t="shared" si="257"/>
        <v>203019</v>
      </c>
      <c r="BB105" s="5">
        <v>0</v>
      </c>
      <c r="BC105" s="5">
        <v>0</v>
      </c>
      <c r="BD105" s="5">
        <f t="shared" si="270"/>
        <v>0</v>
      </c>
      <c r="BE105" s="5">
        <f t="shared" si="271"/>
        <v>0</v>
      </c>
      <c r="BF105" s="5">
        <f t="shared" si="272"/>
        <v>0</v>
      </c>
      <c r="BG105" s="5">
        <f t="shared" si="272"/>
        <v>15</v>
      </c>
      <c r="BH105" s="5">
        <f t="shared" ref="BH105" si="356">BH84</f>
        <v>270</v>
      </c>
      <c r="BI105" s="5">
        <f t="shared" si="272"/>
        <v>0</v>
      </c>
      <c r="BJ105" s="5">
        <f t="shared" si="208"/>
        <v>0</v>
      </c>
      <c r="BK105" s="5">
        <v>0</v>
      </c>
      <c r="BL105" s="5">
        <f t="shared" si="312"/>
        <v>0</v>
      </c>
      <c r="BM105" s="5">
        <f t="shared" si="274"/>
        <v>0</v>
      </c>
      <c r="BN105" s="5">
        <f t="shared" si="274"/>
        <v>0</v>
      </c>
      <c r="BO105" s="5">
        <f t="shared" si="274"/>
        <v>0</v>
      </c>
      <c r="BP105" s="5">
        <f t="shared" si="259"/>
        <v>0</v>
      </c>
      <c r="BQ105" s="5">
        <f t="shared" si="259"/>
        <v>0</v>
      </c>
      <c r="BR105" s="5"/>
      <c r="BS105" s="4">
        <v>4</v>
      </c>
      <c r="BT105" s="4">
        <v>5</v>
      </c>
      <c r="BU105" s="4">
        <f t="shared" si="275"/>
        <v>0</v>
      </c>
      <c r="BV105" s="4">
        <f t="shared" si="189"/>
        <v>5</v>
      </c>
      <c r="BW105" s="4">
        <f t="shared" si="190"/>
        <v>5</v>
      </c>
      <c r="BX105" s="14">
        <f t="shared" si="191"/>
        <v>0.56999999999999995</v>
      </c>
      <c r="BY105" s="14">
        <f t="shared" si="192"/>
        <v>0.35000000000000003</v>
      </c>
      <c r="BZ105" s="5" t="s">
        <v>170</v>
      </c>
      <c r="CA105" s="8" t="str">
        <f t="shared" si="113"/>
        <v>monster_19</v>
      </c>
      <c r="CB105" s="8" t="str">
        <f t="shared" si="113"/>
        <v>monster_19</v>
      </c>
      <c r="CC105" s="5">
        <v>0</v>
      </c>
      <c r="CD105" s="8">
        <f t="shared" si="276"/>
        <v>2</v>
      </c>
      <c r="CE105" s="5">
        <f t="shared" si="193"/>
        <v>0</v>
      </c>
      <c r="CF105" s="5">
        <f t="shared" si="294"/>
        <v>0</v>
      </c>
      <c r="CG105" s="5" t="s">
        <v>312</v>
      </c>
      <c r="CH105" s="5">
        <f>CH83</f>
        <v>3</v>
      </c>
      <c r="CI105" s="5">
        <v>0</v>
      </c>
      <c r="CJ105" s="4">
        <v>0</v>
      </c>
      <c r="CK105" s="5">
        <v>0</v>
      </c>
      <c r="CL105" s="5">
        <v>0</v>
      </c>
      <c r="CM105" s="20">
        <f t="shared" si="279"/>
        <v>0</v>
      </c>
      <c r="CN105" s="8">
        <f t="shared" si="279"/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201102</v>
      </c>
      <c r="CT105" s="5">
        <v>0</v>
      </c>
      <c r="CU105" s="5">
        <v>0</v>
      </c>
      <c r="CV105" s="8">
        <f t="shared" ref="CV105:CY105" si="357">CV84</f>
        <v>0.8</v>
      </c>
      <c r="CW105" s="8">
        <f t="shared" si="357"/>
        <v>0.6</v>
      </c>
      <c r="CX105" s="8">
        <f t="shared" si="357"/>
        <v>1</v>
      </c>
      <c r="CY105" s="8">
        <f t="shared" si="357"/>
        <v>1</v>
      </c>
      <c r="CZ105" s="8">
        <f t="shared" si="281"/>
        <v>1</v>
      </c>
      <c r="DA105" s="6">
        <f t="shared" si="180"/>
        <v>125</v>
      </c>
      <c r="DB105" s="5">
        <f t="shared" si="282"/>
        <v>0</v>
      </c>
      <c r="DC105" s="5">
        <f t="shared" si="195"/>
        <v>0.15</v>
      </c>
      <c r="DD105" s="6">
        <f t="shared" si="181"/>
        <v>0.15</v>
      </c>
      <c r="DE105" s="6">
        <f t="shared" si="296"/>
        <v>0.25</v>
      </c>
      <c r="DF105" s="5">
        <v>0</v>
      </c>
      <c r="DG105" s="8">
        <f t="shared" si="283"/>
        <v>2.25</v>
      </c>
      <c r="DH105" s="5">
        <v>1.25</v>
      </c>
      <c r="DI105" s="8">
        <f t="shared" si="284"/>
        <v>0</v>
      </c>
      <c r="DJ105" s="5">
        <f t="shared" si="182"/>
        <v>0</v>
      </c>
      <c r="DK105" s="8">
        <v>0</v>
      </c>
      <c r="DL105" s="5">
        <f t="shared" si="183"/>
        <v>0</v>
      </c>
      <c r="DM105" s="5" t="s">
        <v>313</v>
      </c>
      <c r="DN105" s="8">
        <f t="shared" ref="DN105:DP105" si="358">DN84</f>
        <v>0</v>
      </c>
      <c r="DO105" s="8">
        <f t="shared" si="358"/>
        <v>0</v>
      </c>
      <c r="DP105" s="5">
        <f t="shared" si="358"/>
        <v>0</v>
      </c>
      <c r="DQ105" s="8">
        <f t="shared" si="286"/>
        <v>0</v>
      </c>
      <c r="DR105" s="5">
        <f t="shared" si="197"/>
        <v>1.35</v>
      </c>
      <c r="DS105" s="8">
        <f t="shared" si="287"/>
        <v>1.5</v>
      </c>
      <c r="DT105" s="8">
        <f t="shared" si="288"/>
        <v>-0.5</v>
      </c>
      <c r="DU105" s="8">
        <f t="shared" si="288"/>
        <v>0.5</v>
      </c>
      <c r="DV105" s="8">
        <f t="shared" si="262"/>
        <v>0.35</v>
      </c>
      <c r="DW105" s="5">
        <f t="shared" si="263"/>
        <v>0</v>
      </c>
      <c r="DX105" s="8">
        <f t="shared" si="289"/>
        <v>0</v>
      </c>
      <c r="DY105" s="8">
        <f t="shared" si="290"/>
        <v>0</v>
      </c>
      <c r="DZ105" s="8">
        <f t="shared" si="291"/>
        <v>0</v>
      </c>
      <c r="EA105" s="5"/>
    </row>
    <row r="106" spans="1:131" x14ac:dyDescent="0.15">
      <c r="A106" s="5">
        <v>201104</v>
      </c>
      <c r="B106" s="5" t="s">
        <v>314</v>
      </c>
      <c r="C106" s="5"/>
      <c r="D106" s="5"/>
      <c r="E106" s="5"/>
      <c r="F106" s="5">
        <v>0</v>
      </c>
      <c r="G106" s="45"/>
      <c r="H106" s="5"/>
      <c r="I106" s="5"/>
      <c r="J106" s="5"/>
      <c r="K106" s="5"/>
      <c r="L106" s="10"/>
      <c r="M106" s="5"/>
      <c r="N106" s="10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20"/>
      <c r="AF106" s="5"/>
      <c r="AG106" s="5"/>
      <c r="AH106" s="5"/>
      <c r="AI106" s="5"/>
      <c r="AJ106" s="5"/>
      <c r="AK106" s="5"/>
      <c r="AL106" s="5"/>
      <c r="AM106" s="5"/>
      <c r="AN106" s="8"/>
      <c r="AO106" s="5">
        <v>0</v>
      </c>
      <c r="AP106" s="5" t="s">
        <v>314</v>
      </c>
      <c r="AQ106" s="5">
        <v>0</v>
      </c>
      <c r="AR106" s="8">
        <f t="shared" si="264"/>
        <v>3</v>
      </c>
      <c r="AS106" s="6">
        <f t="shared" si="186"/>
        <v>45</v>
      </c>
      <c r="AT106" s="6">
        <f t="shared" si="187"/>
        <v>60</v>
      </c>
      <c r="AU106" s="5">
        <f t="shared" si="265"/>
        <v>0</v>
      </c>
      <c r="AV106" s="5">
        <f t="shared" si="266"/>
        <v>1</v>
      </c>
      <c r="AW106" s="5">
        <f t="shared" si="267"/>
        <v>0</v>
      </c>
      <c r="AX106" s="5">
        <f t="shared" ref="AX106" si="359">AX85</f>
        <v>0</v>
      </c>
      <c r="AY106" s="5">
        <f t="shared" si="267"/>
        <v>0</v>
      </c>
      <c r="AZ106" s="8">
        <f t="shared" si="269"/>
        <v>51</v>
      </c>
      <c r="BA106" s="5">
        <f t="shared" si="257"/>
        <v>203020</v>
      </c>
      <c r="BB106" s="5">
        <v>0</v>
      </c>
      <c r="BC106" s="5">
        <v>0</v>
      </c>
      <c r="BD106" s="5">
        <f t="shared" si="270"/>
        <v>0</v>
      </c>
      <c r="BE106" s="5">
        <f t="shared" si="271"/>
        <v>0</v>
      </c>
      <c r="BF106" s="5">
        <f t="shared" si="272"/>
        <v>0</v>
      </c>
      <c r="BG106" s="5">
        <f t="shared" si="272"/>
        <v>0</v>
      </c>
      <c r="BH106" s="5">
        <f t="shared" ref="BH106" si="360">BH85</f>
        <v>0</v>
      </c>
      <c r="BI106" s="5">
        <f t="shared" si="272"/>
        <v>0</v>
      </c>
      <c r="BJ106" s="5">
        <f t="shared" si="208"/>
        <v>0</v>
      </c>
      <c r="BK106" s="5">
        <v>0</v>
      </c>
      <c r="BL106" s="5">
        <f t="shared" si="312"/>
        <v>0</v>
      </c>
      <c r="BM106" s="5">
        <f t="shared" si="274"/>
        <v>0</v>
      </c>
      <c r="BN106" s="5">
        <f t="shared" si="274"/>
        <v>0</v>
      </c>
      <c r="BO106" s="5">
        <f t="shared" si="274"/>
        <v>0</v>
      </c>
      <c r="BP106" s="5">
        <f t="shared" si="259"/>
        <v>0</v>
      </c>
      <c r="BQ106" s="5">
        <f t="shared" si="259"/>
        <v>0</v>
      </c>
      <c r="BR106" s="5"/>
      <c r="BS106" s="4">
        <v>4</v>
      </c>
      <c r="BT106" s="4">
        <v>5</v>
      </c>
      <c r="BU106" s="4">
        <f t="shared" si="275"/>
        <v>0</v>
      </c>
      <c r="BV106" s="4">
        <f t="shared" si="189"/>
        <v>5</v>
      </c>
      <c r="BW106" s="4">
        <f t="shared" si="190"/>
        <v>5</v>
      </c>
      <c r="BX106" s="14">
        <f t="shared" si="191"/>
        <v>0.56999999999999995</v>
      </c>
      <c r="BY106" s="14">
        <f t="shared" si="192"/>
        <v>0.35000000000000003</v>
      </c>
      <c r="BZ106" s="5" t="s">
        <v>173</v>
      </c>
      <c r="CA106" s="8" t="str">
        <f t="shared" si="113"/>
        <v>monster_20</v>
      </c>
      <c r="CB106" s="8" t="str">
        <f t="shared" si="113"/>
        <v>monster_20</v>
      </c>
      <c r="CC106" s="5">
        <v>0</v>
      </c>
      <c r="CD106" s="8">
        <f t="shared" si="276"/>
        <v>1</v>
      </c>
      <c r="CE106" s="5">
        <f t="shared" si="193"/>
        <v>0</v>
      </c>
      <c r="CF106" s="5">
        <f t="shared" si="294"/>
        <v>0</v>
      </c>
      <c r="CG106" s="5" t="s">
        <v>314</v>
      </c>
      <c r="CH106" s="5">
        <f t="shared" si="278"/>
        <v>3</v>
      </c>
      <c r="CI106" s="5">
        <v>0</v>
      </c>
      <c r="CJ106" s="4">
        <v>0</v>
      </c>
      <c r="CK106" s="5">
        <v>0</v>
      </c>
      <c r="CL106" s="5">
        <v>0</v>
      </c>
      <c r="CM106" s="20">
        <f t="shared" si="279"/>
        <v>0</v>
      </c>
      <c r="CN106" s="8">
        <f t="shared" si="279"/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8">
        <f t="shared" ref="CV106:CY106" si="361">CV85</f>
        <v>0.8</v>
      </c>
      <c r="CW106" s="8">
        <f t="shared" si="361"/>
        <v>0.6</v>
      </c>
      <c r="CX106" s="8">
        <f t="shared" si="361"/>
        <v>1</v>
      </c>
      <c r="CY106" s="8">
        <f t="shared" si="361"/>
        <v>1</v>
      </c>
      <c r="CZ106" s="8">
        <f t="shared" si="281"/>
        <v>1</v>
      </c>
      <c r="DA106" s="6">
        <f t="shared" si="180"/>
        <v>125</v>
      </c>
      <c r="DB106" s="5">
        <f t="shared" si="282"/>
        <v>0</v>
      </c>
      <c r="DC106" s="5">
        <f t="shared" si="195"/>
        <v>7.8E-2</v>
      </c>
      <c r="DD106" s="6">
        <f t="shared" si="181"/>
        <v>7.8E-2</v>
      </c>
      <c r="DE106" s="6">
        <f t="shared" si="296"/>
        <v>0.13</v>
      </c>
      <c r="DF106" s="5">
        <v>0</v>
      </c>
      <c r="DG106" s="8">
        <f t="shared" si="283"/>
        <v>2.25</v>
      </c>
      <c r="DH106" s="5">
        <v>1.25</v>
      </c>
      <c r="DI106" s="8">
        <f t="shared" si="284"/>
        <v>0</v>
      </c>
      <c r="DJ106" s="5">
        <f t="shared" si="182"/>
        <v>0</v>
      </c>
      <c r="DK106" s="8">
        <v>0</v>
      </c>
      <c r="DL106" s="5">
        <f t="shared" si="183"/>
        <v>0</v>
      </c>
      <c r="DM106" s="5" t="s">
        <v>314</v>
      </c>
      <c r="DN106" s="8">
        <f t="shared" ref="DN106:DP106" si="362">DN85</f>
        <v>6</v>
      </c>
      <c r="DO106" s="8">
        <f t="shared" si="362"/>
        <v>0</v>
      </c>
      <c r="DP106" s="5">
        <f t="shared" si="362"/>
        <v>0</v>
      </c>
      <c r="DQ106" s="8">
        <f t="shared" si="286"/>
        <v>0</v>
      </c>
      <c r="DR106" s="5">
        <f t="shared" si="197"/>
        <v>0.9</v>
      </c>
      <c r="DS106" s="8">
        <f t="shared" si="287"/>
        <v>1</v>
      </c>
      <c r="DT106" s="8">
        <f t="shared" si="288"/>
        <v>-0.5</v>
      </c>
      <c r="DU106" s="8">
        <f t="shared" si="288"/>
        <v>0.5</v>
      </c>
      <c r="DV106" s="8">
        <f t="shared" si="262"/>
        <v>0.35</v>
      </c>
      <c r="DW106" s="5">
        <f t="shared" si="263"/>
        <v>0.41666666666666669</v>
      </c>
      <c r="DX106" s="8">
        <f t="shared" si="289"/>
        <v>5</v>
      </c>
      <c r="DY106" s="8">
        <f t="shared" si="290"/>
        <v>0</v>
      </c>
      <c r="DZ106" s="8">
        <f t="shared" si="291"/>
        <v>0</v>
      </c>
      <c r="EA106" s="5"/>
    </row>
    <row r="107" spans="1:131" x14ac:dyDescent="0.15">
      <c r="A107" s="5">
        <v>201105</v>
      </c>
      <c r="B107" s="5" t="s">
        <v>315</v>
      </c>
      <c r="C107" s="5"/>
      <c r="D107" s="5"/>
      <c r="E107" s="5"/>
      <c r="F107" s="5">
        <v>0</v>
      </c>
      <c r="G107" s="45"/>
      <c r="H107" s="5"/>
      <c r="I107" s="5"/>
      <c r="J107" s="5"/>
      <c r="K107" s="5"/>
      <c r="L107" s="10"/>
      <c r="M107" s="5"/>
      <c r="N107" s="10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20"/>
      <c r="AF107" s="5"/>
      <c r="AG107" s="5"/>
      <c r="AH107" s="5"/>
      <c r="AI107" s="5"/>
      <c r="AJ107" s="5"/>
      <c r="AK107" s="5"/>
      <c r="AL107" s="5"/>
      <c r="AM107" s="5"/>
      <c r="AN107" s="8"/>
      <c r="AO107" s="5">
        <v>0</v>
      </c>
      <c r="AP107" s="5" t="s">
        <v>315</v>
      </c>
      <c r="AQ107" s="5">
        <v>0</v>
      </c>
      <c r="AR107" s="8">
        <f t="shared" si="264"/>
        <v>2</v>
      </c>
      <c r="AS107" s="6">
        <f t="shared" si="186"/>
        <v>30</v>
      </c>
      <c r="AT107" s="6">
        <f t="shared" si="187"/>
        <v>45</v>
      </c>
      <c r="AU107" s="5">
        <f t="shared" si="265"/>
        <v>0</v>
      </c>
      <c r="AV107" s="5">
        <f t="shared" si="266"/>
        <v>1</v>
      </c>
      <c r="AW107" s="5">
        <f t="shared" si="267"/>
        <v>1</v>
      </c>
      <c r="AX107" s="5">
        <f t="shared" ref="AX107" si="363">AX86</f>
        <v>1</v>
      </c>
      <c r="AY107" s="5">
        <f t="shared" si="267"/>
        <v>1</v>
      </c>
      <c r="AZ107" s="8">
        <f t="shared" si="269"/>
        <v>53</v>
      </c>
      <c r="BA107" s="5">
        <f t="shared" si="257"/>
        <v>203021</v>
      </c>
      <c r="BB107" s="5">
        <v>0</v>
      </c>
      <c r="BC107" s="5">
        <v>0</v>
      </c>
      <c r="BD107" s="5">
        <f t="shared" si="270"/>
        <v>0</v>
      </c>
      <c r="BE107" s="5">
        <f t="shared" si="271"/>
        <v>0</v>
      </c>
      <c r="BF107" s="5">
        <f t="shared" si="272"/>
        <v>0</v>
      </c>
      <c r="BG107" s="5">
        <f t="shared" si="272"/>
        <v>0</v>
      </c>
      <c r="BH107" s="5">
        <f t="shared" ref="BH107" si="364">BH86</f>
        <v>0</v>
      </c>
      <c r="BI107" s="5">
        <f t="shared" si="272"/>
        <v>0</v>
      </c>
      <c r="BJ107" s="5">
        <f t="shared" si="208"/>
        <v>0</v>
      </c>
      <c r="BK107" s="5">
        <v>0</v>
      </c>
      <c r="BL107" s="5">
        <f t="shared" si="312"/>
        <v>0</v>
      </c>
      <c r="BM107" s="5">
        <f t="shared" si="274"/>
        <v>0</v>
      </c>
      <c r="BN107" s="5">
        <f t="shared" si="274"/>
        <v>0</v>
      </c>
      <c r="BO107" s="5">
        <f t="shared" si="274"/>
        <v>0</v>
      </c>
      <c r="BP107" s="5">
        <f t="shared" si="259"/>
        <v>0</v>
      </c>
      <c r="BQ107" s="5">
        <f t="shared" si="259"/>
        <v>0</v>
      </c>
      <c r="BR107" s="5"/>
      <c r="BS107" s="4">
        <v>4</v>
      </c>
      <c r="BT107" s="4">
        <v>5</v>
      </c>
      <c r="BU107" s="4">
        <f t="shared" si="275"/>
        <v>0</v>
      </c>
      <c r="BV107" s="4">
        <f t="shared" si="189"/>
        <v>5</v>
      </c>
      <c r="BW107" s="4">
        <f t="shared" si="190"/>
        <v>5</v>
      </c>
      <c r="BX107" s="14">
        <f t="shared" si="191"/>
        <v>0.56999999999999995</v>
      </c>
      <c r="BY107" s="14">
        <f t="shared" si="192"/>
        <v>0.35000000000000003</v>
      </c>
      <c r="BZ107" s="5" t="s">
        <v>176</v>
      </c>
      <c r="CA107" s="8" t="str">
        <f t="shared" si="113"/>
        <v>monster_05_brood</v>
      </c>
      <c r="CB107" s="8" t="str">
        <f t="shared" si="113"/>
        <v>monster_05_brood</v>
      </c>
      <c r="CC107" s="5">
        <v>0</v>
      </c>
      <c r="CD107" s="8">
        <f t="shared" si="276"/>
        <v>1</v>
      </c>
      <c r="CE107" s="5">
        <f t="shared" si="193"/>
        <v>0</v>
      </c>
      <c r="CF107" s="5">
        <f t="shared" si="294"/>
        <v>0</v>
      </c>
      <c r="CG107" s="5" t="s">
        <v>315</v>
      </c>
      <c r="CH107" s="5">
        <f t="shared" si="278"/>
        <v>3</v>
      </c>
      <c r="CI107" s="5">
        <v>0</v>
      </c>
      <c r="CJ107" s="4">
        <v>0</v>
      </c>
      <c r="CK107" s="5">
        <v>0</v>
      </c>
      <c r="CL107" s="5">
        <v>0</v>
      </c>
      <c r="CM107" s="20">
        <f t="shared" si="279"/>
        <v>0</v>
      </c>
      <c r="CN107" s="8">
        <f t="shared" si="279"/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8">
        <f t="shared" ref="CV107:CY107" si="365">CV86</f>
        <v>0.8</v>
      </c>
      <c r="CW107" s="8">
        <f t="shared" si="365"/>
        <v>0.6</v>
      </c>
      <c r="CX107" s="8">
        <f t="shared" si="365"/>
        <v>1</v>
      </c>
      <c r="CY107" s="8">
        <f t="shared" si="365"/>
        <v>1</v>
      </c>
      <c r="CZ107" s="8">
        <f t="shared" si="281"/>
        <v>1</v>
      </c>
      <c r="DA107" s="6">
        <f t="shared" si="180"/>
        <v>125</v>
      </c>
      <c r="DB107" s="5">
        <f t="shared" si="282"/>
        <v>0</v>
      </c>
      <c r="DC107" s="5">
        <f t="shared" si="195"/>
        <v>0.36</v>
      </c>
      <c r="DD107" s="6">
        <f t="shared" si="181"/>
        <v>0.36</v>
      </c>
      <c r="DE107" s="6">
        <f t="shared" si="296"/>
        <v>0.6</v>
      </c>
      <c r="DF107" s="5">
        <v>1</v>
      </c>
      <c r="DG107" s="8">
        <f t="shared" si="283"/>
        <v>2.5</v>
      </c>
      <c r="DH107" s="5">
        <v>1.5</v>
      </c>
      <c r="DI107" s="8">
        <f t="shared" si="284"/>
        <v>0</v>
      </c>
      <c r="DJ107" s="5">
        <f t="shared" si="182"/>
        <v>0</v>
      </c>
      <c r="DK107" s="8">
        <v>0</v>
      </c>
      <c r="DL107" s="5">
        <f t="shared" si="183"/>
        <v>0</v>
      </c>
      <c r="DM107" s="5" t="s">
        <v>315</v>
      </c>
      <c r="DN107" s="8">
        <f t="shared" ref="DN107:DP107" si="366">DN86</f>
        <v>8</v>
      </c>
      <c r="DO107" s="8">
        <f t="shared" si="366"/>
        <v>0</v>
      </c>
      <c r="DP107" s="5">
        <f t="shared" si="366"/>
        <v>0</v>
      </c>
      <c r="DQ107" s="8">
        <f t="shared" si="286"/>
        <v>0</v>
      </c>
      <c r="DR107" s="5">
        <f t="shared" si="197"/>
        <v>0.9</v>
      </c>
      <c r="DS107" s="8">
        <f t="shared" si="287"/>
        <v>1</v>
      </c>
      <c r="DT107" s="8">
        <f t="shared" si="288"/>
        <v>-0.5</v>
      </c>
      <c r="DU107" s="8">
        <f t="shared" si="288"/>
        <v>0.5</v>
      </c>
      <c r="DV107" s="8">
        <f t="shared" si="262"/>
        <v>0.5</v>
      </c>
      <c r="DW107" s="5">
        <f t="shared" si="263"/>
        <v>0.5</v>
      </c>
      <c r="DX107" s="8">
        <f t="shared" si="289"/>
        <v>6</v>
      </c>
      <c r="DY107" s="8">
        <f t="shared" si="290"/>
        <v>0</v>
      </c>
      <c r="DZ107" s="8">
        <f t="shared" si="291"/>
        <v>0</v>
      </c>
      <c r="EA107" s="5"/>
    </row>
    <row r="108" spans="1:131" x14ac:dyDescent="0.15">
      <c r="A108" s="5">
        <v>201106</v>
      </c>
      <c r="B108" s="5" t="s">
        <v>316</v>
      </c>
      <c r="C108" s="5"/>
      <c r="D108" s="5"/>
      <c r="E108" s="5"/>
      <c r="F108" s="5">
        <v>0</v>
      </c>
      <c r="G108" s="45"/>
      <c r="H108" s="5"/>
      <c r="I108" s="5"/>
      <c r="J108" s="5"/>
      <c r="K108" s="5"/>
      <c r="L108" s="10"/>
      <c r="M108" s="5"/>
      <c r="N108" s="10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20"/>
      <c r="AF108" s="5"/>
      <c r="AG108" s="5"/>
      <c r="AH108" s="5"/>
      <c r="AI108" s="5"/>
      <c r="AJ108" s="5"/>
      <c r="AK108" s="5"/>
      <c r="AL108" s="5"/>
      <c r="AM108" s="5"/>
      <c r="AN108" s="8"/>
      <c r="AO108" s="5">
        <v>0</v>
      </c>
      <c r="AP108" s="5" t="s">
        <v>316</v>
      </c>
      <c r="AQ108" s="5">
        <v>0</v>
      </c>
      <c r="AR108" s="8">
        <f t="shared" si="264"/>
        <v>3</v>
      </c>
      <c r="AS108" s="6">
        <f t="shared" si="186"/>
        <v>54</v>
      </c>
      <c r="AT108" s="6">
        <f t="shared" si="187"/>
        <v>72</v>
      </c>
      <c r="AU108" s="5">
        <f t="shared" si="265"/>
        <v>0</v>
      </c>
      <c r="AV108" s="5">
        <f t="shared" si="266"/>
        <v>1</v>
      </c>
      <c r="AW108" s="5">
        <f t="shared" si="267"/>
        <v>1</v>
      </c>
      <c r="AX108" s="5">
        <f t="shared" ref="AX108" si="367">AX87</f>
        <v>1</v>
      </c>
      <c r="AY108" s="5">
        <f t="shared" si="267"/>
        <v>1</v>
      </c>
      <c r="AZ108" s="8">
        <f t="shared" si="269"/>
        <v>63</v>
      </c>
      <c r="BA108" s="5">
        <f t="shared" si="257"/>
        <v>203001</v>
      </c>
      <c r="BB108" s="5">
        <v>0</v>
      </c>
      <c r="BC108" s="5">
        <v>0</v>
      </c>
      <c r="BD108" s="5">
        <f t="shared" si="270"/>
        <v>0</v>
      </c>
      <c r="BE108" s="5">
        <f t="shared" si="271"/>
        <v>0</v>
      </c>
      <c r="BF108" s="5">
        <f t="shared" si="272"/>
        <v>0</v>
      </c>
      <c r="BG108" s="5">
        <f t="shared" si="272"/>
        <v>0</v>
      </c>
      <c r="BH108" s="5">
        <f t="shared" ref="BH108" si="368">BH87</f>
        <v>0</v>
      </c>
      <c r="BI108" s="5">
        <f t="shared" si="272"/>
        <v>0</v>
      </c>
      <c r="BJ108" s="5">
        <f t="shared" si="208"/>
        <v>0</v>
      </c>
      <c r="BK108" s="5">
        <v>0</v>
      </c>
      <c r="BL108" s="5">
        <f t="shared" si="312"/>
        <v>0</v>
      </c>
      <c r="BM108" s="5">
        <f t="shared" si="274"/>
        <v>0</v>
      </c>
      <c r="BN108" s="5">
        <f t="shared" si="274"/>
        <v>0</v>
      </c>
      <c r="BO108" s="5">
        <f t="shared" si="274"/>
        <v>0</v>
      </c>
      <c r="BP108" s="5">
        <f t="shared" si="259"/>
        <v>0</v>
      </c>
      <c r="BQ108" s="5">
        <f t="shared" si="259"/>
        <v>0</v>
      </c>
      <c r="BR108" s="5"/>
      <c r="BS108" s="4">
        <v>1</v>
      </c>
      <c r="BT108" s="4">
        <v>6</v>
      </c>
      <c r="BU108" s="4">
        <f t="shared" si="275"/>
        <v>0</v>
      </c>
      <c r="BV108" s="4">
        <f t="shared" si="189"/>
        <v>6</v>
      </c>
      <c r="BW108" s="4">
        <f t="shared" si="190"/>
        <v>6</v>
      </c>
      <c r="BX108" s="14">
        <f t="shared" si="191"/>
        <v>0.49999999999999994</v>
      </c>
      <c r="BY108" s="14">
        <f t="shared" si="192"/>
        <v>0.30000000000000004</v>
      </c>
      <c r="BZ108" s="5" t="s">
        <v>179</v>
      </c>
      <c r="CA108" s="8" t="str">
        <f t="shared" si="113"/>
        <v>elite_monster_01</v>
      </c>
      <c r="CB108" s="8" t="str">
        <f t="shared" si="113"/>
        <v>elite_monster_01</v>
      </c>
      <c r="CC108" s="5">
        <v>0</v>
      </c>
      <c r="CD108" s="8">
        <f t="shared" si="276"/>
        <v>2</v>
      </c>
      <c r="CE108" s="5">
        <f t="shared" si="193"/>
        <v>0</v>
      </c>
      <c r="CF108" s="5">
        <f t="shared" si="294"/>
        <v>0</v>
      </c>
      <c r="CG108" s="5" t="s">
        <v>316</v>
      </c>
      <c r="CH108" s="5">
        <f t="shared" si="278"/>
        <v>0</v>
      </c>
      <c r="CI108" s="5">
        <v>111</v>
      </c>
      <c r="CJ108" s="4">
        <v>1</v>
      </c>
      <c r="CK108" s="5">
        <v>0</v>
      </c>
      <c r="CL108" s="5">
        <v>0</v>
      </c>
      <c r="CM108" s="20">
        <f t="shared" si="279"/>
        <v>0</v>
      </c>
      <c r="CN108" s="8">
        <f t="shared" si="279"/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8">
        <f t="shared" ref="CV108:CY108" si="369">CV87</f>
        <v>1</v>
      </c>
      <c r="CW108" s="8">
        <f t="shared" si="369"/>
        <v>0.6</v>
      </c>
      <c r="CX108" s="8">
        <f t="shared" si="369"/>
        <v>1.25</v>
      </c>
      <c r="CY108" s="8">
        <f t="shared" si="369"/>
        <v>1.06</v>
      </c>
      <c r="CZ108" s="8">
        <f t="shared" si="281"/>
        <v>1</v>
      </c>
      <c r="DA108" s="6">
        <f t="shared" si="180"/>
        <v>150</v>
      </c>
      <c r="DB108" s="5">
        <f t="shared" si="282"/>
        <v>0</v>
      </c>
      <c r="DC108" s="5">
        <f t="shared" si="195"/>
        <v>0.3125</v>
      </c>
      <c r="DD108" s="6">
        <f t="shared" si="181"/>
        <v>0.3125</v>
      </c>
      <c r="DE108" s="6">
        <f t="shared" si="296"/>
        <v>0.5</v>
      </c>
      <c r="DF108" s="5">
        <v>0</v>
      </c>
      <c r="DG108" s="8">
        <f t="shared" si="283"/>
        <v>2.25</v>
      </c>
      <c r="DH108" s="5">
        <v>1.25</v>
      </c>
      <c r="DI108" s="8">
        <f t="shared" si="284"/>
        <v>1.25</v>
      </c>
      <c r="DJ108" s="5">
        <f t="shared" si="182"/>
        <v>25</v>
      </c>
      <c r="DK108" s="8">
        <v>0</v>
      </c>
      <c r="DL108" s="5">
        <f t="shared" si="183"/>
        <v>0</v>
      </c>
      <c r="DM108" s="5" t="s">
        <v>316</v>
      </c>
      <c r="DN108" s="8">
        <f t="shared" ref="DN108:DP108" si="370">DN87</f>
        <v>6</v>
      </c>
      <c r="DO108" s="8">
        <f t="shared" si="370"/>
        <v>0</v>
      </c>
      <c r="DP108" s="5">
        <f t="shared" si="370"/>
        <v>0</v>
      </c>
      <c r="DQ108" s="8">
        <f t="shared" si="286"/>
        <v>0</v>
      </c>
      <c r="DR108" s="5">
        <f t="shared" si="197"/>
        <v>2.7</v>
      </c>
      <c r="DS108" s="8">
        <f t="shared" si="287"/>
        <v>3</v>
      </c>
      <c r="DT108" s="8">
        <f t="shared" si="288"/>
        <v>-0.3</v>
      </c>
      <c r="DU108" s="8">
        <f t="shared" si="288"/>
        <v>3</v>
      </c>
      <c r="DV108" s="8">
        <f t="shared" si="262"/>
        <v>0.35</v>
      </c>
      <c r="DW108" s="5">
        <f t="shared" si="263"/>
        <v>0.58333333333333337</v>
      </c>
      <c r="DX108" s="8">
        <f t="shared" si="289"/>
        <v>7</v>
      </c>
      <c r="DY108" s="8">
        <f t="shared" si="290"/>
        <v>0</v>
      </c>
      <c r="DZ108" s="8">
        <f t="shared" si="291"/>
        <v>0</v>
      </c>
      <c r="EA108" s="5"/>
    </row>
    <row r="109" spans="1:131" x14ac:dyDescent="0.15">
      <c r="A109" s="5">
        <v>201107</v>
      </c>
      <c r="B109" s="5" t="s">
        <v>317</v>
      </c>
      <c r="C109" s="5"/>
      <c r="D109" s="5"/>
      <c r="E109" s="5"/>
      <c r="F109" s="5">
        <v>0</v>
      </c>
      <c r="G109" s="45"/>
      <c r="H109" s="5"/>
      <c r="I109" s="5"/>
      <c r="J109" s="5"/>
      <c r="K109" s="5"/>
      <c r="L109" s="10"/>
      <c r="M109" s="5"/>
      <c r="N109" s="10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20"/>
      <c r="AF109" s="5"/>
      <c r="AG109" s="5"/>
      <c r="AH109" s="5"/>
      <c r="AI109" s="5"/>
      <c r="AJ109" s="5"/>
      <c r="AK109" s="5"/>
      <c r="AL109" s="5"/>
      <c r="AM109" s="5"/>
      <c r="AN109" s="8"/>
      <c r="AO109" s="5">
        <v>0</v>
      </c>
      <c r="AP109" s="5" t="s">
        <v>317</v>
      </c>
      <c r="AQ109" s="5">
        <v>0</v>
      </c>
      <c r="AR109" s="8">
        <f t="shared" si="264"/>
        <v>3</v>
      </c>
      <c r="AS109" s="6">
        <f t="shared" si="186"/>
        <v>54</v>
      </c>
      <c r="AT109" s="6">
        <f t="shared" si="187"/>
        <v>72</v>
      </c>
      <c r="AU109" s="5">
        <f t="shared" si="265"/>
        <v>0</v>
      </c>
      <c r="AV109" s="5">
        <f t="shared" si="266"/>
        <v>1</v>
      </c>
      <c r="AW109" s="5">
        <f t="shared" si="267"/>
        <v>0</v>
      </c>
      <c r="AX109" s="5">
        <f t="shared" ref="AX109" si="371">AX88</f>
        <v>0</v>
      </c>
      <c r="AY109" s="5">
        <f t="shared" si="267"/>
        <v>0</v>
      </c>
      <c r="AZ109" s="8">
        <f t="shared" si="269"/>
        <v>63</v>
      </c>
      <c r="BA109" s="5">
        <f t="shared" si="257"/>
        <v>203002</v>
      </c>
      <c r="BB109" s="5">
        <v>0</v>
      </c>
      <c r="BC109" s="5">
        <v>0</v>
      </c>
      <c r="BD109" s="5">
        <f t="shared" si="270"/>
        <v>0</v>
      </c>
      <c r="BE109" s="5">
        <f t="shared" si="271"/>
        <v>0</v>
      </c>
      <c r="BF109" s="5">
        <f t="shared" si="272"/>
        <v>0</v>
      </c>
      <c r="BG109" s="5">
        <f t="shared" si="272"/>
        <v>0</v>
      </c>
      <c r="BH109" s="5">
        <f t="shared" ref="BH109" si="372">BH88</f>
        <v>0</v>
      </c>
      <c r="BI109" s="5">
        <f t="shared" si="272"/>
        <v>0</v>
      </c>
      <c r="BJ109" s="5">
        <f t="shared" si="208"/>
        <v>0</v>
      </c>
      <c r="BK109" s="5">
        <v>0</v>
      </c>
      <c r="BL109" s="5">
        <f t="shared" si="312"/>
        <v>0</v>
      </c>
      <c r="BM109" s="5">
        <f t="shared" si="274"/>
        <v>0</v>
      </c>
      <c r="BN109" s="5">
        <f t="shared" si="274"/>
        <v>0</v>
      </c>
      <c r="BO109" s="5">
        <f t="shared" si="274"/>
        <v>0</v>
      </c>
      <c r="BP109" s="5">
        <f t="shared" si="259"/>
        <v>0</v>
      </c>
      <c r="BQ109" s="5">
        <f t="shared" si="259"/>
        <v>0</v>
      </c>
      <c r="BR109" s="5"/>
      <c r="BS109" s="4">
        <v>1</v>
      </c>
      <c r="BT109" s="4">
        <v>6</v>
      </c>
      <c r="BU109" s="4">
        <f t="shared" si="275"/>
        <v>0</v>
      </c>
      <c r="BV109" s="4">
        <f t="shared" si="189"/>
        <v>6</v>
      </c>
      <c r="BW109" s="4">
        <f t="shared" si="190"/>
        <v>6</v>
      </c>
      <c r="BX109" s="14">
        <f t="shared" si="191"/>
        <v>0.49999999999999994</v>
      </c>
      <c r="BY109" s="14">
        <f t="shared" si="192"/>
        <v>0.30000000000000004</v>
      </c>
      <c r="BZ109" s="5" t="s">
        <v>182</v>
      </c>
      <c r="CA109" s="8" t="str">
        <f t="shared" si="113"/>
        <v>elite_monster_02</v>
      </c>
      <c r="CB109" s="8" t="str">
        <f t="shared" si="113"/>
        <v>elite_monster_02</v>
      </c>
      <c r="CC109" s="5">
        <v>0</v>
      </c>
      <c r="CD109" s="8">
        <f t="shared" si="276"/>
        <v>1</v>
      </c>
      <c r="CE109" s="5">
        <f t="shared" si="193"/>
        <v>0</v>
      </c>
      <c r="CF109" s="5">
        <f t="shared" si="294"/>
        <v>0</v>
      </c>
      <c r="CG109" s="5" t="s">
        <v>317</v>
      </c>
      <c r="CH109" s="5">
        <f t="shared" si="278"/>
        <v>3</v>
      </c>
      <c r="CI109" s="5">
        <v>0</v>
      </c>
      <c r="CJ109" s="4">
        <v>1</v>
      </c>
      <c r="CK109" s="5">
        <v>903905</v>
      </c>
      <c r="CL109" s="5">
        <v>1</v>
      </c>
      <c r="CM109" s="20">
        <f t="shared" si="279"/>
        <v>0</v>
      </c>
      <c r="CN109" s="8">
        <f t="shared" si="279"/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8">
        <f t="shared" ref="CV109:CY109" si="373">CV88</f>
        <v>0.8</v>
      </c>
      <c r="CW109" s="8">
        <f t="shared" si="373"/>
        <v>0.6</v>
      </c>
      <c r="CX109" s="8">
        <f t="shared" si="373"/>
        <v>1.34</v>
      </c>
      <c r="CY109" s="8">
        <f t="shared" si="373"/>
        <v>1.35</v>
      </c>
      <c r="CZ109" s="8">
        <f t="shared" si="281"/>
        <v>1</v>
      </c>
      <c r="DA109" s="6">
        <f t="shared" si="180"/>
        <v>150</v>
      </c>
      <c r="DB109" s="5">
        <f t="shared" si="282"/>
        <v>0</v>
      </c>
      <c r="DC109" s="5">
        <f t="shared" si="195"/>
        <v>0.625</v>
      </c>
      <c r="DD109" s="6">
        <f t="shared" si="181"/>
        <v>0.625</v>
      </c>
      <c r="DE109" s="6">
        <f t="shared" si="296"/>
        <v>1</v>
      </c>
      <c r="DF109" s="5">
        <v>0</v>
      </c>
      <c r="DG109" s="8">
        <f t="shared" si="283"/>
        <v>2.25</v>
      </c>
      <c r="DH109" s="5">
        <v>1.25</v>
      </c>
      <c r="DI109" s="8">
        <f t="shared" si="284"/>
        <v>0</v>
      </c>
      <c r="DJ109" s="5">
        <f t="shared" si="182"/>
        <v>0</v>
      </c>
      <c r="DK109" s="8">
        <v>0</v>
      </c>
      <c r="DL109" s="5">
        <f t="shared" si="183"/>
        <v>0</v>
      </c>
      <c r="DM109" s="5" t="s">
        <v>317</v>
      </c>
      <c r="DN109" s="8">
        <f t="shared" ref="DN109:DP109" si="374">DN88</f>
        <v>8</v>
      </c>
      <c r="DO109" s="8">
        <f t="shared" si="374"/>
        <v>0</v>
      </c>
      <c r="DP109" s="5">
        <f t="shared" si="374"/>
        <v>0</v>
      </c>
      <c r="DQ109" s="8">
        <f t="shared" si="286"/>
        <v>0</v>
      </c>
      <c r="DR109" s="5">
        <f t="shared" si="197"/>
        <v>0.9</v>
      </c>
      <c r="DS109" s="8">
        <f t="shared" si="287"/>
        <v>1</v>
      </c>
      <c r="DT109" s="8">
        <f t="shared" si="288"/>
        <v>-0.5</v>
      </c>
      <c r="DU109" s="8">
        <f t="shared" si="288"/>
        <v>0.5</v>
      </c>
      <c r="DV109" s="8">
        <f t="shared" si="262"/>
        <v>0.35</v>
      </c>
      <c r="DW109" s="5">
        <f t="shared" ref="DW109:DW129" si="375">DX109/12</f>
        <v>0.58333333333333337</v>
      </c>
      <c r="DX109" s="8">
        <f t="shared" si="289"/>
        <v>7</v>
      </c>
      <c r="DY109" s="8">
        <f t="shared" si="290"/>
        <v>0</v>
      </c>
      <c r="DZ109" s="8">
        <f t="shared" si="291"/>
        <v>0</v>
      </c>
      <c r="EA109" s="5"/>
    </row>
    <row r="110" spans="1:131" x14ac:dyDescent="0.15">
      <c r="A110" s="5">
        <v>201108</v>
      </c>
      <c r="B110" s="5" t="s">
        <v>318</v>
      </c>
      <c r="C110" s="5"/>
      <c r="D110" s="5"/>
      <c r="E110" s="5"/>
      <c r="F110" s="5">
        <v>0</v>
      </c>
      <c r="G110" s="45"/>
      <c r="H110" s="5"/>
      <c r="I110" s="5"/>
      <c r="J110" s="5"/>
      <c r="K110" s="5"/>
      <c r="L110" s="10"/>
      <c r="M110" s="5"/>
      <c r="N110" s="10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20"/>
      <c r="AF110" s="5"/>
      <c r="AG110" s="5"/>
      <c r="AH110" s="5"/>
      <c r="AI110" s="5"/>
      <c r="AJ110" s="5"/>
      <c r="AK110" s="5"/>
      <c r="AL110" s="5"/>
      <c r="AM110" s="5"/>
      <c r="AN110" s="8"/>
      <c r="AO110" s="5">
        <v>0</v>
      </c>
      <c r="AP110" s="5" t="s">
        <v>318</v>
      </c>
      <c r="AQ110" s="5">
        <v>0</v>
      </c>
      <c r="AR110" s="8">
        <f t="shared" si="264"/>
        <v>3</v>
      </c>
      <c r="AS110" s="6">
        <f t="shared" si="186"/>
        <v>54</v>
      </c>
      <c r="AT110" s="6">
        <f t="shared" si="187"/>
        <v>72</v>
      </c>
      <c r="AU110" s="5">
        <f t="shared" si="265"/>
        <v>0</v>
      </c>
      <c r="AV110" s="5">
        <f t="shared" si="266"/>
        <v>1</v>
      </c>
      <c r="AW110" s="5">
        <f t="shared" si="267"/>
        <v>1</v>
      </c>
      <c r="AX110" s="5">
        <f t="shared" ref="AX110" si="376">AX89</f>
        <v>1</v>
      </c>
      <c r="AY110" s="5">
        <f t="shared" si="267"/>
        <v>0</v>
      </c>
      <c r="AZ110" s="8">
        <f t="shared" si="269"/>
        <v>62</v>
      </c>
      <c r="BA110" s="5">
        <f t="shared" si="257"/>
        <v>203003</v>
      </c>
      <c r="BB110" s="5">
        <v>0</v>
      </c>
      <c r="BC110" s="5">
        <v>0</v>
      </c>
      <c r="BD110" s="5">
        <f t="shared" si="270"/>
        <v>1</v>
      </c>
      <c r="BE110" s="5">
        <f t="shared" si="271"/>
        <v>0</v>
      </c>
      <c r="BF110" s="5">
        <f t="shared" si="272"/>
        <v>0</v>
      </c>
      <c r="BG110" s="5">
        <f t="shared" si="272"/>
        <v>0</v>
      </c>
      <c r="BH110" s="5">
        <f t="shared" ref="BH110" si="377">BH89</f>
        <v>0</v>
      </c>
      <c r="BI110" s="5">
        <f t="shared" si="272"/>
        <v>0</v>
      </c>
      <c r="BJ110" s="5">
        <f t="shared" si="208"/>
        <v>0</v>
      </c>
      <c r="BK110" s="5">
        <v>0</v>
      </c>
      <c r="BL110" s="5">
        <f t="shared" si="312"/>
        <v>0</v>
      </c>
      <c r="BM110" s="5">
        <f t="shared" si="274"/>
        <v>0</v>
      </c>
      <c r="BN110" s="5">
        <f t="shared" si="274"/>
        <v>0</v>
      </c>
      <c r="BO110" s="5">
        <f t="shared" si="274"/>
        <v>0</v>
      </c>
      <c r="BP110" s="5">
        <f t="shared" si="259"/>
        <v>0</v>
      </c>
      <c r="BQ110" s="5">
        <f t="shared" si="259"/>
        <v>0</v>
      </c>
      <c r="BR110" s="5"/>
      <c r="BS110" s="4">
        <v>1</v>
      </c>
      <c r="BT110" s="4">
        <v>6</v>
      </c>
      <c r="BU110" s="4">
        <f t="shared" si="275"/>
        <v>0</v>
      </c>
      <c r="BV110" s="4">
        <f t="shared" si="189"/>
        <v>6</v>
      </c>
      <c r="BW110" s="4">
        <f t="shared" si="190"/>
        <v>6</v>
      </c>
      <c r="BX110" s="14">
        <f t="shared" si="191"/>
        <v>0.49999999999999994</v>
      </c>
      <c r="BY110" s="14">
        <f t="shared" si="192"/>
        <v>0.30000000000000004</v>
      </c>
      <c r="BZ110" s="5" t="s">
        <v>185</v>
      </c>
      <c r="CA110" s="8" t="str">
        <f t="shared" ref="CA110:CB173" si="378">CA68</f>
        <v>elite_monster_03</v>
      </c>
      <c r="CB110" s="8" t="str">
        <f t="shared" si="378"/>
        <v>elite_monster_03</v>
      </c>
      <c r="CC110" s="5">
        <v>0</v>
      </c>
      <c r="CD110" s="8">
        <f t="shared" si="276"/>
        <v>3</v>
      </c>
      <c r="CE110" s="5">
        <f t="shared" si="193"/>
        <v>6</v>
      </c>
      <c r="CF110" s="5">
        <f t="shared" si="294"/>
        <v>1</v>
      </c>
      <c r="CG110" s="5" t="s">
        <v>318</v>
      </c>
      <c r="CH110" s="5">
        <f t="shared" si="278"/>
        <v>0</v>
      </c>
      <c r="CI110" s="5">
        <v>112</v>
      </c>
      <c r="CJ110" s="4">
        <v>1</v>
      </c>
      <c r="CK110" s="5">
        <v>903906</v>
      </c>
      <c r="CL110" s="5">
        <v>0</v>
      </c>
      <c r="CM110" s="20">
        <f t="shared" si="279"/>
        <v>0</v>
      </c>
      <c r="CN110" s="8">
        <f t="shared" si="279"/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8">
        <f t="shared" ref="CV110:CY110" si="379">CV89</f>
        <v>0.8</v>
      </c>
      <c r="CW110" s="8">
        <f t="shared" si="379"/>
        <v>0.6</v>
      </c>
      <c r="CX110" s="8">
        <f t="shared" si="379"/>
        <v>1</v>
      </c>
      <c r="CY110" s="8">
        <f t="shared" si="379"/>
        <v>1</v>
      </c>
      <c r="CZ110" s="8">
        <f t="shared" si="281"/>
        <v>1</v>
      </c>
      <c r="DA110" s="6">
        <f t="shared" si="180"/>
        <v>150</v>
      </c>
      <c r="DB110" s="5">
        <f t="shared" si="282"/>
        <v>0</v>
      </c>
      <c r="DC110" s="5">
        <f t="shared" si="195"/>
        <v>0.375</v>
      </c>
      <c r="DD110" s="6">
        <f t="shared" si="181"/>
        <v>0.375</v>
      </c>
      <c r="DE110" s="6">
        <f t="shared" si="296"/>
        <v>0.6</v>
      </c>
      <c r="DF110" s="5">
        <v>0</v>
      </c>
      <c r="DG110" s="8">
        <f t="shared" si="283"/>
        <v>2</v>
      </c>
      <c r="DH110" s="5">
        <v>1</v>
      </c>
      <c r="DI110" s="8">
        <f t="shared" si="284"/>
        <v>2</v>
      </c>
      <c r="DJ110" s="5">
        <f t="shared" si="182"/>
        <v>40</v>
      </c>
      <c r="DK110" s="8">
        <v>0</v>
      </c>
      <c r="DL110" s="5">
        <f t="shared" si="183"/>
        <v>0</v>
      </c>
      <c r="DM110" s="5" t="s">
        <v>318</v>
      </c>
      <c r="DN110" s="8">
        <f t="shared" ref="DN110:DP110" si="380">DN89</f>
        <v>6</v>
      </c>
      <c r="DO110" s="8">
        <f t="shared" si="380"/>
        <v>0</v>
      </c>
      <c r="DP110" s="5">
        <f t="shared" si="380"/>
        <v>0</v>
      </c>
      <c r="DQ110" s="8">
        <f t="shared" si="286"/>
        <v>0</v>
      </c>
      <c r="DR110" s="5">
        <f t="shared" si="197"/>
        <v>0.9</v>
      </c>
      <c r="DS110" s="8">
        <f t="shared" si="287"/>
        <v>1</v>
      </c>
      <c r="DT110" s="8">
        <f t="shared" si="288"/>
        <v>-0.5</v>
      </c>
      <c r="DU110" s="8">
        <f t="shared" si="288"/>
        <v>0.5</v>
      </c>
      <c r="DV110" s="8">
        <f t="shared" si="262"/>
        <v>0.3</v>
      </c>
      <c r="DW110" s="5">
        <f t="shared" si="375"/>
        <v>0.5</v>
      </c>
      <c r="DX110" s="8">
        <f t="shared" si="289"/>
        <v>6</v>
      </c>
      <c r="DY110" s="8">
        <f t="shared" si="290"/>
        <v>0</v>
      </c>
      <c r="DZ110" s="8">
        <f t="shared" si="291"/>
        <v>0</v>
      </c>
      <c r="EA110" s="5"/>
    </row>
    <row r="111" spans="1:131" x14ac:dyDescent="0.15">
      <c r="A111" s="5">
        <v>201109</v>
      </c>
      <c r="B111" s="5" t="s">
        <v>319</v>
      </c>
      <c r="C111" s="5"/>
      <c r="D111" s="5"/>
      <c r="E111" s="5"/>
      <c r="F111" s="5">
        <v>0</v>
      </c>
      <c r="G111" s="45"/>
      <c r="H111" s="5"/>
      <c r="I111" s="5"/>
      <c r="J111" s="5"/>
      <c r="K111" s="5"/>
      <c r="L111" s="10"/>
      <c r="M111" s="5"/>
      <c r="N111" s="10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20"/>
      <c r="AF111" s="5"/>
      <c r="AG111" s="5"/>
      <c r="AH111" s="5"/>
      <c r="AI111" s="5"/>
      <c r="AJ111" s="5"/>
      <c r="AK111" s="5"/>
      <c r="AL111" s="5"/>
      <c r="AM111" s="5"/>
      <c r="AN111" s="8"/>
      <c r="AO111" s="5">
        <v>0</v>
      </c>
      <c r="AP111" s="5" t="s">
        <v>319</v>
      </c>
      <c r="AQ111" s="5">
        <v>0</v>
      </c>
      <c r="AR111" s="8">
        <f t="shared" si="264"/>
        <v>4</v>
      </c>
      <c r="AS111" s="6">
        <f t="shared" si="186"/>
        <v>72</v>
      </c>
      <c r="AT111" s="6">
        <f t="shared" si="187"/>
        <v>90</v>
      </c>
      <c r="AU111" s="5">
        <f t="shared" si="265"/>
        <v>0</v>
      </c>
      <c r="AV111" s="5">
        <f t="shared" si="266"/>
        <v>1</v>
      </c>
      <c r="AW111" s="5">
        <f t="shared" si="267"/>
        <v>1</v>
      </c>
      <c r="AX111" s="5">
        <f t="shared" ref="AX111" si="381">AX90</f>
        <v>1</v>
      </c>
      <c r="AY111" s="5">
        <f t="shared" si="267"/>
        <v>1</v>
      </c>
      <c r="AZ111" s="8">
        <f t="shared" si="269"/>
        <v>62</v>
      </c>
      <c r="BA111" s="5">
        <f t="shared" si="257"/>
        <v>203004</v>
      </c>
      <c r="BB111" s="5">
        <v>0</v>
      </c>
      <c r="BC111" s="5">
        <v>0</v>
      </c>
      <c r="BD111" s="5">
        <f t="shared" si="270"/>
        <v>0</v>
      </c>
      <c r="BE111" s="5">
        <f t="shared" si="271"/>
        <v>0</v>
      </c>
      <c r="BF111" s="5">
        <f t="shared" si="272"/>
        <v>0</v>
      </c>
      <c r="BG111" s="5">
        <f t="shared" si="272"/>
        <v>0</v>
      </c>
      <c r="BH111" s="5">
        <f t="shared" ref="BH111" si="382">BH90</f>
        <v>0</v>
      </c>
      <c r="BI111" s="5">
        <f t="shared" si="272"/>
        <v>0</v>
      </c>
      <c r="BJ111" s="5">
        <f t="shared" si="208"/>
        <v>0</v>
      </c>
      <c r="BK111" s="5">
        <v>0</v>
      </c>
      <c r="BL111" s="5">
        <f t="shared" si="312"/>
        <v>0</v>
      </c>
      <c r="BM111" s="5">
        <f t="shared" si="274"/>
        <v>0</v>
      </c>
      <c r="BN111" s="5">
        <f t="shared" si="274"/>
        <v>0</v>
      </c>
      <c r="BO111" s="5">
        <f t="shared" si="274"/>
        <v>0</v>
      </c>
      <c r="BP111" s="5">
        <f t="shared" si="259"/>
        <v>0</v>
      </c>
      <c r="BQ111" s="5">
        <f t="shared" si="259"/>
        <v>0</v>
      </c>
      <c r="BR111" s="5"/>
      <c r="BS111" s="4">
        <v>1</v>
      </c>
      <c r="BT111" s="4">
        <v>6</v>
      </c>
      <c r="BU111" s="4">
        <f t="shared" si="275"/>
        <v>0</v>
      </c>
      <c r="BV111" s="4">
        <f t="shared" si="189"/>
        <v>6</v>
      </c>
      <c r="BW111" s="4">
        <f t="shared" si="190"/>
        <v>6</v>
      </c>
      <c r="BX111" s="14">
        <f t="shared" si="191"/>
        <v>0.49999999999999994</v>
      </c>
      <c r="BY111" s="14">
        <f t="shared" si="192"/>
        <v>0.30000000000000004</v>
      </c>
      <c r="BZ111" s="5" t="s">
        <v>188</v>
      </c>
      <c r="CA111" s="8" t="str">
        <f t="shared" si="378"/>
        <v>elite_monster_04</v>
      </c>
      <c r="CB111" s="8" t="str">
        <f t="shared" si="378"/>
        <v>elite_monster_04</v>
      </c>
      <c r="CC111" s="5">
        <v>0</v>
      </c>
      <c r="CD111" s="8">
        <f t="shared" si="276"/>
        <v>1</v>
      </c>
      <c r="CE111" s="5">
        <f t="shared" si="193"/>
        <v>0</v>
      </c>
      <c r="CF111" s="5">
        <f t="shared" si="294"/>
        <v>0</v>
      </c>
      <c r="CG111" s="5" t="s">
        <v>319</v>
      </c>
      <c r="CH111" s="5">
        <f t="shared" si="278"/>
        <v>0</v>
      </c>
      <c r="CI111" s="5">
        <v>0</v>
      </c>
      <c r="CJ111" s="4">
        <v>1</v>
      </c>
      <c r="CK111" s="5">
        <v>0</v>
      </c>
      <c r="CL111" s="5">
        <v>0</v>
      </c>
      <c r="CM111" s="20">
        <f t="shared" si="279"/>
        <v>109</v>
      </c>
      <c r="CN111" s="8">
        <f t="shared" si="279"/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8">
        <f t="shared" ref="CV111:CY111" si="383">CV90</f>
        <v>0.8</v>
      </c>
      <c r="CW111" s="8">
        <f t="shared" si="383"/>
        <v>0.6</v>
      </c>
      <c r="CX111" s="8">
        <f t="shared" si="383"/>
        <v>1.25</v>
      </c>
      <c r="CY111" s="8">
        <f t="shared" si="383"/>
        <v>1</v>
      </c>
      <c r="CZ111" s="8">
        <f t="shared" si="281"/>
        <v>2</v>
      </c>
      <c r="DA111" s="6">
        <f t="shared" si="180"/>
        <v>300</v>
      </c>
      <c r="DB111" s="5">
        <f t="shared" si="282"/>
        <v>0</v>
      </c>
      <c r="DC111" s="5">
        <f t="shared" si="195"/>
        <v>0.25</v>
      </c>
      <c r="DD111" s="6">
        <f t="shared" si="181"/>
        <v>0.25</v>
      </c>
      <c r="DE111" s="6">
        <f t="shared" si="296"/>
        <v>0.4</v>
      </c>
      <c r="DF111" s="5">
        <v>0</v>
      </c>
      <c r="DG111" s="8">
        <f t="shared" si="283"/>
        <v>2</v>
      </c>
      <c r="DH111" s="5">
        <v>1</v>
      </c>
      <c r="DI111" s="8">
        <f t="shared" si="284"/>
        <v>0</v>
      </c>
      <c r="DJ111" s="5">
        <f t="shared" si="182"/>
        <v>0</v>
      </c>
      <c r="DK111" s="8">
        <v>0</v>
      </c>
      <c r="DL111" s="5">
        <f t="shared" si="183"/>
        <v>0</v>
      </c>
      <c r="DM111" s="5" t="s">
        <v>319</v>
      </c>
      <c r="DN111" s="8">
        <f t="shared" ref="DN111:DP111" si="384">DN90</f>
        <v>6</v>
      </c>
      <c r="DO111" s="8">
        <f t="shared" si="384"/>
        <v>0</v>
      </c>
      <c r="DP111" s="5">
        <f t="shared" si="384"/>
        <v>0</v>
      </c>
      <c r="DQ111" s="8">
        <f t="shared" si="286"/>
        <v>0</v>
      </c>
      <c r="DR111" s="5">
        <f t="shared" si="197"/>
        <v>0.9</v>
      </c>
      <c r="DS111" s="8">
        <f t="shared" si="287"/>
        <v>1</v>
      </c>
      <c r="DT111" s="8">
        <f t="shared" si="288"/>
        <v>-0.5</v>
      </c>
      <c r="DU111" s="8">
        <f t="shared" si="288"/>
        <v>0.5</v>
      </c>
      <c r="DV111" s="8">
        <f t="shared" si="262"/>
        <v>0.3</v>
      </c>
      <c r="DW111" s="5">
        <f t="shared" si="375"/>
        <v>0.5</v>
      </c>
      <c r="DX111" s="8">
        <f t="shared" si="289"/>
        <v>6</v>
      </c>
      <c r="DY111" s="8">
        <f t="shared" si="290"/>
        <v>0</v>
      </c>
      <c r="DZ111" s="8">
        <f t="shared" si="291"/>
        <v>0</v>
      </c>
      <c r="EA111" s="5"/>
    </row>
    <row r="112" spans="1:131" x14ac:dyDescent="0.15">
      <c r="A112" s="6">
        <v>201110</v>
      </c>
      <c r="B112" s="6" t="s">
        <v>320</v>
      </c>
      <c r="C112" s="5"/>
      <c r="D112" s="5"/>
      <c r="E112" s="5"/>
      <c r="F112" s="5">
        <v>0</v>
      </c>
      <c r="G112" s="45"/>
      <c r="H112" s="5"/>
      <c r="I112" s="5"/>
      <c r="J112" s="5"/>
      <c r="K112" s="5"/>
      <c r="L112" s="10"/>
      <c r="M112" s="5"/>
      <c r="N112" s="10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20"/>
      <c r="AF112" s="5"/>
      <c r="AG112" s="5"/>
      <c r="AH112" s="5"/>
      <c r="AI112" s="5"/>
      <c r="AJ112" s="5"/>
      <c r="AK112" s="5"/>
      <c r="AL112" s="5"/>
      <c r="AM112" s="5"/>
      <c r="AN112" s="8"/>
      <c r="AO112" s="5">
        <v>0</v>
      </c>
      <c r="AP112" s="6" t="s">
        <v>320</v>
      </c>
      <c r="AQ112" s="5">
        <v>0</v>
      </c>
      <c r="AR112" s="8">
        <f t="shared" si="264"/>
        <v>3</v>
      </c>
      <c r="AS112" s="6">
        <f t="shared" si="186"/>
        <v>54</v>
      </c>
      <c r="AT112" s="6">
        <f t="shared" si="187"/>
        <v>72</v>
      </c>
      <c r="AU112" s="5">
        <f t="shared" si="265"/>
        <v>0</v>
      </c>
      <c r="AV112" s="5">
        <f t="shared" si="266"/>
        <v>1</v>
      </c>
      <c r="AW112" s="5">
        <f t="shared" si="267"/>
        <v>1</v>
      </c>
      <c r="AX112" s="5">
        <f t="shared" ref="AX112" si="385">AX91</f>
        <v>1</v>
      </c>
      <c r="AY112" s="5">
        <f t="shared" si="267"/>
        <v>1</v>
      </c>
      <c r="AZ112" s="8">
        <f t="shared" si="269"/>
        <v>62</v>
      </c>
      <c r="BA112" s="5">
        <f t="shared" si="257"/>
        <v>203005</v>
      </c>
      <c r="BB112" s="5">
        <v>0</v>
      </c>
      <c r="BC112" s="5">
        <v>0</v>
      </c>
      <c r="BD112" s="5">
        <f t="shared" si="270"/>
        <v>0</v>
      </c>
      <c r="BE112" s="5">
        <f t="shared" si="271"/>
        <v>0</v>
      </c>
      <c r="BF112" s="5">
        <f t="shared" si="272"/>
        <v>0</v>
      </c>
      <c r="BG112" s="5">
        <f t="shared" si="272"/>
        <v>0</v>
      </c>
      <c r="BH112" s="5">
        <f t="shared" ref="BH112" si="386">BH91</f>
        <v>0</v>
      </c>
      <c r="BI112" s="5">
        <f t="shared" si="272"/>
        <v>0</v>
      </c>
      <c r="BJ112" s="5">
        <f t="shared" si="208"/>
        <v>0</v>
      </c>
      <c r="BK112" s="5">
        <v>0</v>
      </c>
      <c r="BL112" s="5">
        <f t="shared" si="312"/>
        <v>0</v>
      </c>
      <c r="BM112" s="5">
        <f t="shared" si="274"/>
        <v>0</v>
      </c>
      <c r="BN112" s="5">
        <f t="shared" si="274"/>
        <v>0</v>
      </c>
      <c r="BO112" s="5">
        <f t="shared" si="274"/>
        <v>0</v>
      </c>
      <c r="BP112" s="5">
        <f t="shared" si="259"/>
        <v>0</v>
      </c>
      <c r="BQ112" s="5">
        <f t="shared" si="259"/>
        <v>0</v>
      </c>
      <c r="BR112" s="5"/>
      <c r="BS112" s="4">
        <v>1</v>
      </c>
      <c r="BT112" s="12">
        <v>6</v>
      </c>
      <c r="BU112" s="4">
        <f t="shared" si="275"/>
        <v>0</v>
      </c>
      <c r="BV112" s="4">
        <f t="shared" si="189"/>
        <v>6</v>
      </c>
      <c r="BW112" s="4">
        <f t="shared" si="190"/>
        <v>6</v>
      </c>
      <c r="BX112" s="14">
        <f t="shared" si="191"/>
        <v>0.49999999999999994</v>
      </c>
      <c r="BY112" s="14">
        <f t="shared" si="192"/>
        <v>0.30000000000000004</v>
      </c>
      <c r="BZ112" s="6" t="s">
        <v>191</v>
      </c>
      <c r="CA112" s="8" t="str">
        <f t="shared" si="378"/>
        <v>elite_monster_05</v>
      </c>
      <c r="CB112" s="8" t="str">
        <f t="shared" si="378"/>
        <v>elite_monster_05</v>
      </c>
      <c r="CC112" s="5">
        <v>0</v>
      </c>
      <c r="CD112" s="8">
        <f t="shared" si="276"/>
        <v>3</v>
      </c>
      <c r="CE112" s="5">
        <f t="shared" si="193"/>
        <v>0</v>
      </c>
      <c r="CF112" s="5">
        <f t="shared" si="294"/>
        <v>0</v>
      </c>
      <c r="CG112" s="6" t="s">
        <v>320</v>
      </c>
      <c r="CH112" s="5">
        <f t="shared" si="278"/>
        <v>3</v>
      </c>
      <c r="CI112" s="6">
        <v>103</v>
      </c>
      <c r="CJ112" s="12">
        <v>1</v>
      </c>
      <c r="CK112" s="6">
        <v>0</v>
      </c>
      <c r="CL112" s="6">
        <v>0</v>
      </c>
      <c r="CM112" s="20">
        <v>0</v>
      </c>
      <c r="CN112" s="8">
        <v>108</v>
      </c>
      <c r="CO112" s="5">
        <v>0</v>
      </c>
      <c r="CP112" s="5">
        <v>0</v>
      </c>
      <c r="CQ112" s="5">
        <v>201105</v>
      </c>
      <c r="CR112" s="6">
        <v>3</v>
      </c>
      <c r="CS112" s="5">
        <v>0</v>
      </c>
      <c r="CT112" s="5">
        <v>0</v>
      </c>
      <c r="CU112" s="5">
        <v>0</v>
      </c>
      <c r="CV112" s="8">
        <f t="shared" ref="CV112:CY112" si="387">CV91</f>
        <v>0.8</v>
      </c>
      <c r="CW112" s="8">
        <f t="shared" si="387"/>
        <v>0.6</v>
      </c>
      <c r="CX112" s="8">
        <f t="shared" si="387"/>
        <v>0.8</v>
      </c>
      <c r="CY112" s="8">
        <f t="shared" si="387"/>
        <v>0.8</v>
      </c>
      <c r="CZ112" s="8">
        <f t="shared" si="281"/>
        <v>1</v>
      </c>
      <c r="DA112" s="6">
        <f t="shared" si="180"/>
        <v>150</v>
      </c>
      <c r="DB112" s="5">
        <f t="shared" si="282"/>
        <v>0</v>
      </c>
      <c r="DC112" s="5">
        <f t="shared" si="195"/>
        <v>0.3125</v>
      </c>
      <c r="DD112" s="6">
        <f t="shared" si="181"/>
        <v>0.3125</v>
      </c>
      <c r="DE112" s="6">
        <f t="shared" si="296"/>
        <v>0.5</v>
      </c>
      <c r="DF112" s="5">
        <v>0</v>
      </c>
      <c r="DG112" s="8">
        <f t="shared" si="283"/>
        <v>2.5</v>
      </c>
      <c r="DH112" s="5">
        <v>1.5</v>
      </c>
      <c r="DI112" s="8">
        <f t="shared" si="284"/>
        <v>0.3</v>
      </c>
      <c r="DJ112" s="5">
        <f t="shared" si="182"/>
        <v>6</v>
      </c>
      <c r="DK112" s="8">
        <v>0</v>
      </c>
      <c r="DL112" s="5">
        <f t="shared" si="183"/>
        <v>0</v>
      </c>
      <c r="DM112" s="6" t="s">
        <v>320</v>
      </c>
      <c r="DN112" s="8">
        <f t="shared" ref="DN112:DP112" si="388">DN91</f>
        <v>10</v>
      </c>
      <c r="DO112" s="8">
        <f t="shared" si="388"/>
        <v>1</v>
      </c>
      <c r="DP112" s="5">
        <f t="shared" si="388"/>
        <v>0</v>
      </c>
      <c r="DQ112" s="8">
        <f t="shared" si="286"/>
        <v>0</v>
      </c>
      <c r="DR112" s="5">
        <f t="shared" si="197"/>
        <v>4.5</v>
      </c>
      <c r="DS112" s="8">
        <f t="shared" si="287"/>
        <v>5</v>
      </c>
      <c r="DT112" s="8">
        <f t="shared" si="288"/>
        <v>-5</v>
      </c>
      <c r="DU112" s="8">
        <f t="shared" si="288"/>
        <v>5</v>
      </c>
      <c r="DV112" s="8">
        <f t="shared" si="262"/>
        <v>0.5</v>
      </c>
      <c r="DW112" s="5">
        <f t="shared" si="375"/>
        <v>0.5</v>
      </c>
      <c r="DX112" s="8">
        <f t="shared" si="289"/>
        <v>6</v>
      </c>
      <c r="DY112" s="8">
        <f t="shared" si="290"/>
        <v>0</v>
      </c>
      <c r="DZ112" s="8">
        <f t="shared" si="291"/>
        <v>0</v>
      </c>
      <c r="EA112" s="5"/>
    </row>
    <row r="113" spans="1:131" ht="14.25" x14ac:dyDescent="0.15">
      <c r="A113" s="5">
        <v>201111</v>
      </c>
      <c r="B113" s="9" t="s">
        <v>321</v>
      </c>
      <c r="C113" s="9"/>
      <c r="D113" s="9"/>
      <c r="E113" s="9"/>
      <c r="F113" s="5">
        <v>0</v>
      </c>
      <c r="G113" s="45"/>
      <c r="H113" s="5"/>
      <c r="I113" s="5"/>
      <c r="J113" s="5"/>
      <c r="K113" s="5"/>
      <c r="L113" s="10"/>
      <c r="M113" s="5"/>
      <c r="N113" s="10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20"/>
      <c r="AF113" s="5"/>
      <c r="AG113" s="5"/>
      <c r="AH113" s="5"/>
      <c r="AI113" s="5"/>
      <c r="AJ113" s="5"/>
      <c r="AK113" s="5"/>
      <c r="AL113" s="5"/>
      <c r="AM113" s="5"/>
      <c r="AN113" s="8"/>
      <c r="AO113" s="5">
        <v>0</v>
      </c>
      <c r="AP113" s="9" t="s">
        <v>321</v>
      </c>
      <c r="AQ113" s="5">
        <v>0</v>
      </c>
      <c r="AR113" s="8">
        <f t="shared" si="264"/>
        <v>4</v>
      </c>
      <c r="AS113" s="6">
        <f t="shared" si="186"/>
        <v>72</v>
      </c>
      <c r="AT113" s="6">
        <f t="shared" si="187"/>
        <v>90</v>
      </c>
      <c r="AU113" s="5">
        <f t="shared" si="265"/>
        <v>0</v>
      </c>
      <c r="AV113" s="5">
        <f t="shared" si="266"/>
        <v>1</v>
      </c>
      <c r="AW113" s="5">
        <f t="shared" si="267"/>
        <v>1</v>
      </c>
      <c r="AX113" s="5">
        <f t="shared" ref="AX113" si="389">AX92</f>
        <v>1</v>
      </c>
      <c r="AY113" s="5">
        <f t="shared" si="267"/>
        <v>1</v>
      </c>
      <c r="AZ113" s="8">
        <f t="shared" si="269"/>
        <v>61</v>
      </c>
      <c r="BA113" s="5">
        <f t="shared" si="257"/>
        <v>203006</v>
      </c>
      <c r="BB113" s="5">
        <v>0</v>
      </c>
      <c r="BC113" s="5">
        <v>0</v>
      </c>
      <c r="BD113" s="5">
        <f t="shared" si="270"/>
        <v>0</v>
      </c>
      <c r="BE113" s="5">
        <f t="shared" si="271"/>
        <v>304001</v>
      </c>
      <c r="BF113" s="5">
        <f t="shared" si="272"/>
        <v>90</v>
      </c>
      <c r="BG113" s="5">
        <f t="shared" si="272"/>
        <v>30</v>
      </c>
      <c r="BH113" s="5">
        <f t="shared" ref="BH113" si="390">BH92</f>
        <v>30</v>
      </c>
      <c r="BI113" s="5">
        <f t="shared" si="272"/>
        <v>1</v>
      </c>
      <c r="BJ113" s="5">
        <f t="shared" si="208"/>
        <v>6</v>
      </c>
      <c r="BK113" s="5">
        <v>6</v>
      </c>
      <c r="BL113" s="5">
        <f t="shared" si="312"/>
        <v>1</v>
      </c>
      <c r="BM113" s="5">
        <f t="shared" si="274"/>
        <v>30</v>
      </c>
      <c r="BN113" s="5">
        <f t="shared" si="274"/>
        <v>180</v>
      </c>
      <c r="BO113" s="5">
        <f t="shared" si="274"/>
        <v>108006</v>
      </c>
      <c r="BP113" s="5">
        <f t="shared" si="259"/>
        <v>3</v>
      </c>
      <c r="BQ113" s="5">
        <f t="shared" si="259"/>
        <v>3</v>
      </c>
      <c r="BR113" s="5">
        <f>50*BT113*3-360/BM113*BJ113*BQ113</f>
        <v>684</v>
      </c>
      <c r="BS113" s="4">
        <v>2</v>
      </c>
      <c r="BT113" s="4">
        <v>6</v>
      </c>
      <c r="BU113" s="4">
        <f t="shared" si="275"/>
        <v>0</v>
      </c>
      <c r="BV113" s="4">
        <f t="shared" si="189"/>
        <v>6</v>
      </c>
      <c r="BW113" s="4">
        <f t="shared" si="190"/>
        <v>6</v>
      </c>
      <c r="BX113" s="14">
        <f t="shared" si="191"/>
        <v>0.49999999999999994</v>
      </c>
      <c r="BY113" s="14">
        <f t="shared" si="192"/>
        <v>0.30000000000000004</v>
      </c>
      <c r="BZ113" s="5" t="s">
        <v>194</v>
      </c>
      <c r="CA113" s="8" t="str">
        <f t="shared" si="378"/>
        <v>elite_monster_06</v>
      </c>
      <c r="CB113" s="8" t="str">
        <f t="shared" si="378"/>
        <v>elite_monster_06</v>
      </c>
      <c r="CC113" s="5">
        <v>0</v>
      </c>
      <c r="CD113" s="8">
        <f t="shared" si="276"/>
        <v>1</v>
      </c>
      <c r="CE113" s="5">
        <f t="shared" si="193"/>
        <v>6</v>
      </c>
      <c r="CF113" s="5">
        <f t="shared" si="294"/>
        <v>1</v>
      </c>
      <c r="CG113" s="9" t="s">
        <v>321</v>
      </c>
      <c r="CH113" s="5">
        <f t="shared" si="278"/>
        <v>3</v>
      </c>
      <c r="CI113" s="5">
        <v>0</v>
      </c>
      <c r="CJ113" s="4">
        <v>1</v>
      </c>
      <c r="CK113" s="5">
        <v>0</v>
      </c>
      <c r="CL113" s="5">
        <v>0</v>
      </c>
      <c r="CM113" s="20">
        <f t="shared" si="279"/>
        <v>110</v>
      </c>
      <c r="CN113" s="8">
        <f t="shared" si="279"/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8">
        <f t="shared" ref="CV113:CY113" si="391">CV92</f>
        <v>0.8</v>
      </c>
      <c r="CW113" s="8">
        <f t="shared" si="391"/>
        <v>0.6</v>
      </c>
      <c r="CX113" s="8">
        <f t="shared" si="391"/>
        <v>1.25</v>
      </c>
      <c r="CY113" s="8">
        <f t="shared" si="391"/>
        <v>1</v>
      </c>
      <c r="CZ113" s="8">
        <f t="shared" si="281"/>
        <v>1</v>
      </c>
      <c r="DA113" s="6">
        <f t="shared" si="180"/>
        <v>150</v>
      </c>
      <c r="DB113" s="5">
        <f t="shared" si="282"/>
        <v>0</v>
      </c>
      <c r="DC113" s="5">
        <f t="shared" si="195"/>
        <v>0.5625</v>
      </c>
      <c r="DD113" s="6">
        <f t="shared" si="181"/>
        <v>0.5625</v>
      </c>
      <c r="DE113" s="6">
        <f t="shared" si="296"/>
        <v>0.9</v>
      </c>
      <c r="DF113" s="5">
        <v>0</v>
      </c>
      <c r="DG113" s="8">
        <f t="shared" si="283"/>
        <v>2.5</v>
      </c>
      <c r="DH113" s="5">
        <v>1.5</v>
      </c>
      <c r="DI113" s="8">
        <f t="shared" si="284"/>
        <v>0</v>
      </c>
      <c r="DJ113" s="5">
        <f t="shared" si="182"/>
        <v>0</v>
      </c>
      <c r="DK113" s="8">
        <v>0</v>
      </c>
      <c r="DL113" s="5">
        <f t="shared" si="183"/>
        <v>0</v>
      </c>
      <c r="DM113" s="9" t="s">
        <v>321</v>
      </c>
      <c r="DN113" s="8">
        <f t="shared" ref="DN113:DP113" si="392">DN92</f>
        <v>6</v>
      </c>
      <c r="DO113" s="8">
        <f t="shared" si="392"/>
        <v>0</v>
      </c>
      <c r="DP113" s="5">
        <f t="shared" si="392"/>
        <v>0</v>
      </c>
      <c r="DQ113" s="8">
        <f t="shared" si="286"/>
        <v>0</v>
      </c>
      <c r="DR113" s="5">
        <f t="shared" si="197"/>
        <v>0.9</v>
      </c>
      <c r="DS113" s="8">
        <f t="shared" si="287"/>
        <v>1</v>
      </c>
      <c r="DT113" s="8">
        <f t="shared" si="288"/>
        <v>-0.5</v>
      </c>
      <c r="DU113" s="8">
        <f t="shared" si="288"/>
        <v>0.5</v>
      </c>
      <c r="DV113" s="8">
        <f t="shared" si="262"/>
        <v>0.5</v>
      </c>
      <c r="DW113" s="5">
        <f t="shared" si="375"/>
        <v>0.41666666666666669</v>
      </c>
      <c r="DX113" s="8">
        <f t="shared" si="289"/>
        <v>5</v>
      </c>
      <c r="DY113" s="8">
        <f t="shared" si="290"/>
        <v>1.3333333333333333</v>
      </c>
      <c r="DZ113" s="8">
        <f t="shared" si="291"/>
        <v>16</v>
      </c>
      <c r="EA113" s="5"/>
    </row>
    <row r="114" spans="1:131" x14ac:dyDescent="0.15">
      <c r="A114" s="5">
        <v>201112</v>
      </c>
      <c r="B114" s="5" t="s">
        <v>322</v>
      </c>
      <c r="C114" s="5"/>
      <c r="D114" s="5"/>
      <c r="E114" s="5"/>
      <c r="F114" s="5">
        <v>0</v>
      </c>
      <c r="G114" s="45"/>
      <c r="H114" s="5"/>
      <c r="I114" s="5"/>
      <c r="J114" s="5"/>
      <c r="K114" s="5"/>
      <c r="L114" s="10"/>
      <c r="M114" s="5"/>
      <c r="N114" s="10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20"/>
      <c r="AF114" s="5"/>
      <c r="AG114" s="5"/>
      <c r="AH114" s="5"/>
      <c r="AI114" s="5"/>
      <c r="AJ114" s="5"/>
      <c r="AK114" s="5"/>
      <c r="AL114" s="5"/>
      <c r="AM114" s="5"/>
      <c r="AN114" s="8"/>
      <c r="AO114" s="5">
        <v>0</v>
      </c>
      <c r="AP114" s="5" t="s">
        <v>322</v>
      </c>
      <c r="AQ114" s="5">
        <v>0</v>
      </c>
      <c r="AR114" s="8">
        <f t="shared" si="264"/>
        <v>5</v>
      </c>
      <c r="AS114" s="6">
        <f t="shared" si="186"/>
        <v>90</v>
      </c>
      <c r="AT114" s="6">
        <f t="shared" si="187"/>
        <v>108</v>
      </c>
      <c r="AU114" s="5">
        <f t="shared" si="265"/>
        <v>0</v>
      </c>
      <c r="AV114" s="5">
        <f t="shared" si="266"/>
        <v>1</v>
      </c>
      <c r="AW114" s="5">
        <f t="shared" si="267"/>
        <v>1</v>
      </c>
      <c r="AX114" s="5">
        <f t="shared" ref="AX114" si="393">AX93</f>
        <v>1</v>
      </c>
      <c r="AY114" s="5">
        <f t="shared" si="267"/>
        <v>1</v>
      </c>
      <c r="AZ114" s="8">
        <f>AZ93+1</f>
        <v>10706</v>
      </c>
      <c r="BA114" s="5">
        <f t="shared" si="257"/>
        <v>203007</v>
      </c>
      <c r="BB114" s="5">
        <v>0</v>
      </c>
      <c r="BC114" s="5">
        <v>0</v>
      </c>
      <c r="BD114" s="5">
        <f t="shared" si="270"/>
        <v>0</v>
      </c>
      <c r="BE114" s="5">
        <f t="shared" si="271"/>
        <v>0</v>
      </c>
      <c r="BF114" s="5">
        <f t="shared" si="272"/>
        <v>0</v>
      </c>
      <c r="BG114" s="5">
        <f t="shared" si="272"/>
        <v>0</v>
      </c>
      <c r="BH114" s="5">
        <f t="shared" ref="BH114" si="394">BH93</f>
        <v>0</v>
      </c>
      <c r="BI114" s="5">
        <f t="shared" si="272"/>
        <v>0</v>
      </c>
      <c r="BJ114" s="5">
        <f t="shared" si="208"/>
        <v>0</v>
      </c>
      <c r="BK114" s="5">
        <v>0</v>
      </c>
      <c r="BL114" s="5">
        <f t="shared" si="312"/>
        <v>0</v>
      </c>
      <c r="BM114" s="5">
        <f t="shared" si="274"/>
        <v>0</v>
      </c>
      <c r="BN114" s="5">
        <f t="shared" si="274"/>
        <v>0</v>
      </c>
      <c r="BO114" s="5">
        <f t="shared" si="274"/>
        <v>0</v>
      </c>
      <c r="BP114" s="5">
        <f t="shared" si="259"/>
        <v>0</v>
      </c>
      <c r="BQ114" s="5">
        <f t="shared" si="259"/>
        <v>0</v>
      </c>
      <c r="BR114" s="5"/>
      <c r="BS114" s="4">
        <v>2</v>
      </c>
      <c r="BT114" s="4">
        <v>6</v>
      </c>
      <c r="BU114" s="4">
        <f t="shared" si="275"/>
        <v>0</v>
      </c>
      <c r="BV114" s="4">
        <f t="shared" si="189"/>
        <v>6</v>
      </c>
      <c r="BW114" s="4">
        <f t="shared" si="190"/>
        <v>6</v>
      </c>
      <c r="BX114" s="14">
        <f t="shared" si="191"/>
        <v>0.49999999999999994</v>
      </c>
      <c r="BY114" s="14">
        <f t="shared" si="192"/>
        <v>0.30000000000000004</v>
      </c>
      <c r="BZ114" s="5" t="s">
        <v>197</v>
      </c>
      <c r="CA114" s="8" t="str">
        <f t="shared" si="378"/>
        <v>elite_monster_07</v>
      </c>
      <c r="CB114" s="8" t="str">
        <f t="shared" si="378"/>
        <v>elite_monster_07</v>
      </c>
      <c r="CC114" s="5">
        <v>0</v>
      </c>
      <c r="CD114" s="8">
        <f t="shared" si="276"/>
        <v>4</v>
      </c>
      <c r="CE114" s="5">
        <f t="shared" si="193"/>
        <v>6</v>
      </c>
      <c r="CF114" s="5">
        <f t="shared" si="294"/>
        <v>1</v>
      </c>
      <c r="CG114" s="5" t="s">
        <v>322</v>
      </c>
      <c r="CH114" s="5">
        <f t="shared" si="278"/>
        <v>3</v>
      </c>
      <c r="CI114" s="5">
        <v>0</v>
      </c>
      <c r="CJ114" s="4">
        <v>1</v>
      </c>
      <c r="CK114" s="5">
        <v>903907</v>
      </c>
      <c r="CL114" s="5">
        <v>0</v>
      </c>
      <c r="CM114" s="20">
        <f t="shared" si="279"/>
        <v>0</v>
      </c>
      <c r="CN114" s="8">
        <f t="shared" si="279"/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8">
        <f t="shared" ref="CV114:CY114" si="395">CV93</f>
        <v>0.8</v>
      </c>
      <c r="CW114" s="8">
        <f t="shared" si="395"/>
        <v>0.6</v>
      </c>
      <c r="CX114" s="8">
        <f t="shared" si="395"/>
        <v>1</v>
      </c>
      <c r="CY114" s="8">
        <f t="shared" si="395"/>
        <v>1</v>
      </c>
      <c r="CZ114" s="8">
        <f t="shared" si="281"/>
        <v>1</v>
      </c>
      <c r="DA114" s="6">
        <f t="shared" si="180"/>
        <v>150</v>
      </c>
      <c r="DB114" s="5">
        <f t="shared" si="282"/>
        <v>0</v>
      </c>
      <c r="DC114" s="5">
        <f t="shared" si="195"/>
        <v>0.3125</v>
      </c>
      <c r="DD114" s="6">
        <f t="shared" si="181"/>
        <v>0.3125</v>
      </c>
      <c r="DE114" s="6">
        <f t="shared" si="296"/>
        <v>0.5</v>
      </c>
      <c r="DF114" s="5">
        <v>1</v>
      </c>
      <c r="DG114" s="8">
        <f t="shared" si="283"/>
        <v>2.25</v>
      </c>
      <c r="DH114" s="5">
        <v>1.25</v>
      </c>
      <c r="DI114" s="8">
        <f t="shared" si="284"/>
        <v>3</v>
      </c>
      <c r="DJ114" s="5">
        <f t="shared" si="182"/>
        <v>60</v>
      </c>
      <c r="DK114" s="8">
        <v>0</v>
      </c>
      <c r="DL114" s="5">
        <f t="shared" si="183"/>
        <v>0</v>
      </c>
      <c r="DM114" s="5" t="s">
        <v>322</v>
      </c>
      <c r="DN114" s="8">
        <f t="shared" ref="DN114:DP114" si="396">DN93</f>
        <v>6</v>
      </c>
      <c r="DO114" s="8">
        <f t="shared" si="396"/>
        <v>0</v>
      </c>
      <c r="DP114" s="5">
        <f t="shared" si="396"/>
        <v>1</v>
      </c>
      <c r="DQ114" s="8">
        <f t="shared" si="286"/>
        <v>0</v>
      </c>
      <c r="DR114" s="5">
        <f t="shared" si="197"/>
        <v>1.1700000000000002</v>
      </c>
      <c r="DS114" s="8">
        <f t="shared" si="287"/>
        <v>1.3</v>
      </c>
      <c r="DT114" s="8">
        <f t="shared" si="288"/>
        <v>-0.5</v>
      </c>
      <c r="DU114" s="8">
        <f t="shared" si="288"/>
        <v>0.5</v>
      </c>
      <c r="DV114" s="8">
        <f t="shared" si="262"/>
        <v>0.6</v>
      </c>
      <c r="DW114" s="5">
        <f t="shared" si="375"/>
        <v>0.5</v>
      </c>
      <c r="DX114" s="8">
        <f t="shared" si="289"/>
        <v>6</v>
      </c>
      <c r="DY114" s="8">
        <f t="shared" si="290"/>
        <v>0</v>
      </c>
      <c r="DZ114" s="8">
        <f t="shared" si="291"/>
        <v>0</v>
      </c>
      <c r="EA114" s="5"/>
    </row>
    <row r="115" spans="1:131" x14ac:dyDescent="0.15">
      <c r="A115" s="5">
        <v>201113</v>
      </c>
      <c r="B115" s="5" t="s">
        <v>323</v>
      </c>
      <c r="C115" s="5"/>
      <c r="D115" s="5"/>
      <c r="E115" s="5"/>
      <c r="F115" s="5">
        <v>0</v>
      </c>
      <c r="G115" s="45"/>
      <c r="H115" s="5"/>
      <c r="I115" s="5"/>
      <c r="J115" s="5"/>
      <c r="K115" s="5"/>
      <c r="L115" s="10"/>
      <c r="M115" s="5"/>
      <c r="N115" s="10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20"/>
      <c r="AF115" s="5"/>
      <c r="AG115" s="5"/>
      <c r="AH115" s="5"/>
      <c r="AI115" s="5"/>
      <c r="AJ115" s="5"/>
      <c r="AK115" s="5"/>
      <c r="AL115" s="5"/>
      <c r="AM115" s="5"/>
      <c r="AN115" s="8"/>
      <c r="AO115" s="5">
        <v>0</v>
      </c>
      <c r="AP115" s="5" t="s">
        <v>323</v>
      </c>
      <c r="AQ115" s="5">
        <v>0</v>
      </c>
      <c r="AR115" s="8">
        <f t="shared" si="264"/>
        <v>4</v>
      </c>
      <c r="AS115" s="6">
        <f t="shared" si="186"/>
        <v>72</v>
      </c>
      <c r="AT115" s="6">
        <f t="shared" si="187"/>
        <v>90</v>
      </c>
      <c r="AU115" s="5">
        <f t="shared" si="265"/>
        <v>0</v>
      </c>
      <c r="AV115" s="5">
        <f t="shared" si="266"/>
        <v>1</v>
      </c>
      <c r="AW115" s="5">
        <f t="shared" si="267"/>
        <v>0</v>
      </c>
      <c r="AX115" s="5">
        <f t="shared" ref="AX115" si="397">AX94</f>
        <v>0</v>
      </c>
      <c r="AY115" s="5">
        <f t="shared" si="267"/>
        <v>1</v>
      </c>
      <c r="AZ115" s="8">
        <f t="shared" si="269"/>
        <v>63</v>
      </c>
      <c r="BA115" s="5">
        <f t="shared" si="257"/>
        <v>203008</v>
      </c>
      <c r="BB115" s="5">
        <v>0</v>
      </c>
      <c r="BC115" s="5">
        <v>0</v>
      </c>
      <c r="BD115" s="5">
        <f t="shared" si="270"/>
        <v>0</v>
      </c>
      <c r="BE115" s="5">
        <f t="shared" si="271"/>
        <v>0</v>
      </c>
      <c r="BF115" s="5">
        <f t="shared" si="272"/>
        <v>0</v>
      </c>
      <c r="BG115" s="5">
        <f t="shared" si="272"/>
        <v>0</v>
      </c>
      <c r="BH115" s="5">
        <f t="shared" ref="BH115" si="398">BH94</f>
        <v>0</v>
      </c>
      <c r="BI115" s="5">
        <f t="shared" si="272"/>
        <v>0</v>
      </c>
      <c r="BJ115" s="5">
        <f t="shared" si="208"/>
        <v>0</v>
      </c>
      <c r="BK115" s="5">
        <v>0</v>
      </c>
      <c r="BL115" s="5">
        <f t="shared" si="312"/>
        <v>0</v>
      </c>
      <c r="BM115" s="5">
        <f t="shared" si="274"/>
        <v>0</v>
      </c>
      <c r="BN115" s="5">
        <f t="shared" si="274"/>
        <v>0</v>
      </c>
      <c r="BO115" s="5">
        <f t="shared" si="274"/>
        <v>0</v>
      </c>
      <c r="BP115" s="5">
        <f t="shared" si="259"/>
        <v>0</v>
      </c>
      <c r="BQ115" s="5">
        <f t="shared" si="259"/>
        <v>0</v>
      </c>
      <c r="BR115" s="5"/>
      <c r="BS115" s="4">
        <v>2</v>
      </c>
      <c r="BT115" s="4">
        <v>6</v>
      </c>
      <c r="BU115" s="4">
        <f t="shared" si="275"/>
        <v>1</v>
      </c>
      <c r="BV115" s="4">
        <f t="shared" si="189"/>
        <v>6</v>
      </c>
      <c r="BW115" s="4">
        <f t="shared" si="190"/>
        <v>6</v>
      </c>
      <c r="BX115" s="14">
        <f t="shared" si="191"/>
        <v>0.49999999999999994</v>
      </c>
      <c r="BY115" s="14">
        <f t="shared" si="192"/>
        <v>0.30000000000000004</v>
      </c>
      <c r="BZ115" s="5" t="s">
        <v>200</v>
      </c>
      <c r="CA115" s="8" t="str">
        <f t="shared" si="378"/>
        <v>elite_monster_08</v>
      </c>
      <c r="CB115" s="8" t="str">
        <f t="shared" si="378"/>
        <v>elite_monster_08</v>
      </c>
      <c r="CC115" s="5">
        <v>0</v>
      </c>
      <c r="CD115" s="8">
        <f t="shared" si="276"/>
        <v>1</v>
      </c>
      <c r="CE115" s="5">
        <f t="shared" si="193"/>
        <v>0</v>
      </c>
      <c r="CF115" s="5">
        <f t="shared" si="294"/>
        <v>0</v>
      </c>
      <c r="CG115" s="5" t="s">
        <v>323</v>
      </c>
      <c r="CH115" s="5">
        <f>CH93</f>
        <v>3</v>
      </c>
      <c r="CI115" s="5">
        <v>0</v>
      </c>
      <c r="CJ115" s="4">
        <v>1</v>
      </c>
      <c r="CK115" s="5">
        <v>0</v>
      </c>
      <c r="CL115" s="5">
        <v>0</v>
      </c>
      <c r="CM115" s="20">
        <f t="shared" si="279"/>
        <v>112</v>
      </c>
      <c r="CN115" s="8">
        <f t="shared" si="279"/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8">
        <f t="shared" ref="CV115:CY115" si="399">CV94</f>
        <v>0.8</v>
      </c>
      <c r="CW115" s="8">
        <f t="shared" si="399"/>
        <v>0.6</v>
      </c>
      <c r="CX115" s="8">
        <f t="shared" si="399"/>
        <v>1</v>
      </c>
      <c r="CY115" s="8">
        <f t="shared" si="399"/>
        <v>1</v>
      </c>
      <c r="CZ115" s="8">
        <f t="shared" si="281"/>
        <v>0.4</v>
      </c>
      <c r="DA115" s="6">
        <f t="shared" si="180"/>
        <v>60</v>
      </c>
      <c r="DB115" s="5">
        <f t="shared" si="282"/>
        <v>0</v>
      </c>
      <c r="DC115" s="5">
        <f t="shared" si="195"/>
        <v>0.75</v>
      </c>
      <c r="DD115" s="6">
        <f t="shared" si="181"/>
        <v>0.75</v>
      </c>
      <c r="DE115" s="6">
        <f t="shared" si="296"/>
        <v>1.2</v>
      </c>
      <c r="DF115" s="5">
        <v>0</v>
      </c>
      <c r="DG115" s="8">
        <f t="shared" si="283"/>
        <v>2.25</v>
      </c>
      <c r="DH115" s="5">
        <v>1.25</v>
      </c>
      <c r="DI115" s="8">
        <f t="shared" si="284"/>
        <v>0</v>
      </c>
      <c r="DJ115" s="5">
        <f t="shared" si="182"/>
        <v>0</v>
      </c>
      <c r="DK115" s="8">
        <v>0</v>
      </c>
      <c r="DL115" s="5">
        <f t="shared" si="183"/>
        <v>0</v>
      </c>
      <c r="DM115" s="5" t="s">
        <v>323</v>
      </c>
      <c r="DN115" s="8">
        <f t="shared" ref="DN115:DP115" si="400">DN94</f>
        <v>6</v>
      </c>
      <c r="DO115" s="8">
        <f t="shared" si="400"/>
        <v>0</v>
      </c>
      <c r="DP115" s="5">
        <f t="shared" si="400"/>
        <v>0</v>
      </c>
      <c r="DQ115" s="8">
        <f t="shared" si="286"/>
        <v>0</v>
      </c>
      <c r="DR115" s="5">
        <f t="shared" si="197"/>
        <v>0.9</v>
      </c>
      <c r="DS115" s="8">
        <f t="shared" si="287"/>
        <v>1</v>
      </c>
      <c r="DT115" s="8">
        <f t="shared" si="288"/>
        <v>-0.5</v>
      </c>
      <c r="DU115" s="8">
        <f t="shared" si="288"/>
        <v>0.5</v>
      </c>
      <c r="DV115" s="8">
        <f t="shared" si="262"/>
        <v>0.75</v>
      </c>
      <c r="DW115" s="5">
        <f t="shared" si="375"/>
        <v>0.5</v>
      </c>
      <c r="DX115" s="8">
        <f t="shared" si="289"/>
        <v>6</v>
      </c>
      <c r="DY115" s="8">
        <f t="shared" si="290"/>
        <v>0</v>
      </c>
      <c r="DZ115" s="8">
        <f t="shared" si="291"/>
        <v>0</v>
      </c>
      <c r="EA115" s="5"/>
    </row>
    <row r="116" spans="1:131" x14ac:dyDescent="0.15">
      <c r="A116" s="5">
        <v>201114</v>
      </c>
      <c r="B116" s="5" t="s">
        <v>324</v>
      </c>
      <c r="C116" s="5"/>
      <c r="D116" s="5"/>
      <c r="E116" s="5"/>
      <c r="F116" s="5">
        <v>0</v>
      </c>
      <c r="G116" s="45"/>
      <c r="H116" s="5"/>
      <c r="I116" s="5"/>
      <c r="J116" s="5"/>
      <c r="K116" s="5"/>
      <c r="L116" s="10"/>
      <c r="M116" s="5"/>
      <c r="N116" s="10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20"/>
      <c r="AF116" s="5"/>
      <c r="AG116" s="5"/>
      <c r="AH116" s="5"/>
      <c r="AI116" s="5"/>
      <c r="AJ116" s="5"/>
      <c r="AK116" s="5"/>
      <c r="AL116" s="5"/>
      <c r="AM116" s="5"/>
      <c r="AN116" s="8"/>
      <c r="AO116" s="5">
        <v>0</v>
      </c>
      <c r="AP116" s="5" t="s">
        <v>324</v>
      </c>
      <c r="AQ116" s="5">
        <v>0</v>
      </c>
      <c r="AR116" s="8">
        <f t="shared" si="264"/>
        <v>0.65</v>
      </c>
      <c r="AS116" s="6">
        <f t="shared" si="186"/>
        <v>11.700000000000001</v>
      </c>
      <c r="AT116" s="6">
        <f t="shared" si="187"/>
        <v>29.699999999999996</v>
      </c>
      <c r="AU116" s="5">
        <f t="shared" si="265"/>
        <v>0</v>
      </c>
      <c r="AV116" s="5">
        <f t="shared" si="266"/>
        <v>1</v>
      </c>
      <c r="AW116" s="5">
        <f t="shared" si="267"/>
        <v>0</v>
      </c>
      <c r="AX116" s="5">
        <f t="shared" ref="AX116" si="401">AX95</f>
        <v>0</v>
      </c>
      <c r="AY116" s="5">
        <f t="shared" si="267"/>
        <v>1</v>
      </c>
      <c r="AZ116" s="8">
        <f t="shared" si="269"/>
        <v>63</v>
      </c>
      <c r="BA116" s="5">
        <f t="shared" si="257"/>
        <v>203009</v>
      </c>
      <c r="BB116" s="5">
        <v>0</v>
      </c>
      <c r="BC116" s="5">
        <v>0</v>
      </c>
      <c r="BD116" s="5">
        <f t="shared" si="270"/>
        <v>0</v>
      </c>
      <c r="BE116" s="5">
        <f t="shared" si="271"/>
        <v>0</v>
      </c>
      <c r="BF116" s="5">
        <f t="shared" si="272"/>
        <v>0</v>
      </c>
      <c r="BG116" s="5">
        <f t="shared" si="272"/>
        <v>0</v>
      </c>
      <c r="BH116" s="5">
        <f t="shared" ref="BH116" si="402">BH95</f>
        <v>0</v>
      </c>
      <c r="BI116" s="5">
        <f t="shared" si="272"/>
        <v>0</v>
      </c>
      <c r="BJ116" s="5">
        <f t="shared" si="208"/>
        <v>0</v>
      </c>
      <c r="BK116" s="5">
        <v>0</v>
      </c>
      <c r="BL116" s="5">
        <f t="shared" si="312"/>
        <v>0</v>
      </c>
      <c r="BM116" s="5">
        <f t="shared" si="274"/>
        <v>0</v>
      </c>
      <c r="BN116" s="5">
        <f t="shared" si="274"/>
        <v>0</v>
      </c>
      <c r="BO116" s="5">
        <f t="shared" si="274"/>
        <v>0</v>
      </c>
      <c r="BP116" s="5">
        <f t="shared" si="259"/>
        <v>0</v>
      </c>
      <c r="BQ116" s="5">
        <f t="shared" si="259"/>
        <v>0</v>
      </c>
      <c r="BR116" s="5"/>
      <c r="BS116" s="4">
        <v>2</v>
      </c>
      <c r="BT116" s="4">
        <v>6</v>
      </c>
      <c r="BU116" s="4">
        <f t="shared" si="275"/>
        <v>0</v>
      </c>
      <c r="BV116" s="4">
        <f t="shared" si="189"/>
        <v>6</v>
      </c>
      <c r="BW116" s="4">
        <f t="shared" si="190"/>
        <v>6</v>
      </c>
      <c r="BX116" s="14">
        <f t="shared" si="191"/>
        <v>0.49999999999999994</v>
      </c>
      <c r="BY116" s="14">
        <f t="shared" si="192"/>
        <v>0.30000000000000004</v>
      </c>
      <c r="BZ116" s="5" t="s">
        <v>203</v>
      </c>
      <c r="CA116" s="8" t="str">
        <f t="shared" si="378"/>
        <v>elite_monster_09</v>
      </c>
      <c r="CB116" s="8" t="str">
        <f t="shared" si="378"/>
        <v>elite_monster_09</v>
      </c>
      <c r="CC116" s="5">
        <v>0</v>
      </c>
      <c r="CD116" s="8">
        <f t="shared" si="276"/>
        <v>1</v>
      </c>
      <c r="CE116" s="5">
        <f t="shared" si="193"/>
        <v>0</v>
      </c>
      <c r="CF116" s="5">
        <f t="shared" si="294"/>
        <v>0</v>
      </c>
      <c r="CG116" s="5" t="s">
        <v>324</v>
      </c>
      <c r="CH116" s="5">
        <f t="shared" si="278"/>
        <v>3</v>
      </c>
      <c r="CI116" s="5">
        <v>0</v>
      </c>
      <c r="CJ116" s="4">
        <v>1</v>
      </c>
      <c r="CK116" s="5">
        <v>0</v>
      </c>
      <c r="CL116" s="5">
        <v>0</v>
      </c>
      <c r="CM116" s="20">
        <f t="shared" si="279"/>
        <v>0</v>
      </c>
      <c r="CN116" s="8">
        <f t="shared" si="279"/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8">
        <f t="shared" ref="CV116:CY116" si="403">CV95</f>
        <v>0.1</v>
      </c>
      <c r="CW116" s="8">
        <f t="shared" si="403"/>
        <v>0.6</v>
      </c>
      <c r="CX116" s="8">
        <f t="shared" si="403"/>
        <v>1</v>
      </c>
      <c r="CY116" s="8">
        <f t="shared" si="403"/>
        <v>1</v>
      </c>
      <c r="CZ116" s="8">
        <f t="shared" si="281"/>
        <v>0.3</v>
      </c>
      <c r="DA116" s="6">
        <f t="shared" si="180"/>
        <v>45</v>
      </c>
      <c r="DB116" s="5">
        <f t="shared" si="282"/>
        <v>1</v>
      </c>
      <c r="DC116" s="5">
        <f t="shared" si="195"/>
        <v>0.5</v>
      </c>
      <c r="DD116" s="6">
        <f t="shared" si="181"/>
        <v>0.5</v>
      </c>
      <c r="DE116" s="6">
        <f t="shared" si="296"/>
        <v>0.8</v>
      </c>
      <c r="DF116" s="5">
        <v>0</v>
      </c>
      <c r="DG116" s="8">
        <f t="shared" si="283"/>
        <v>3</v>
      </c>
      <c r="DH116" s="5">
        <v>1.5</v>
      </c>
      <c r="DI116" s="8">
        <f t="shared" si="284"/>
        <v>0</v>
      </c>
      <c r="DJ116" s="5">
        <f t="shared" si="182"/>
        <v>0</v>
      </c>
      <c r="DK116" s="8">
        <v>0</v>
      </c>
      <c r="DL116" s="5">
        <f t="shared" si="183"/>
        <v>0</v>
      </c>
      <c r="DM116" s="5" t="s">
        <v>324</v>
      </c>
      <c r="DN116" s="8">
        <f t="shared" ref="DN116:DP116" si="404">DN95</f>
        <v>6</v>
      </c>
      <c r="DO116" s="8">
        <f t="shared" si="404"/>
        <v>0</v>
      </c>
      <c r="DP116" s="5">
        <f t="shared" si="404"/>
        <v>0</v>
      </c>
      <c r="DQ116" s="8">
        <f t="shared" si="286"/>
        <v>0</v>
      </c>
      <c r="DR116" s="5">
        <f t="shared" si="197"/>
        <v>1.8</v>
      </c>
      <c r="DS116" s="8">
        <f t="shared" si="287"/>
        <v>2</v>
      </c>
      <c r="DT116" s="8">
        <f t="shared" si="288"/>
        <v>-2</v>
      </c>
      <c r="DU116" s="8">
        <f t="shared" si="288"/>
        <v>2</v>
      </c>
      <c r="DV116" s="8">
        <f t="shared" si="262"/>
        <v>0.1</v>
      </c>
      <c r="DW116" s="5">
        <f t="shared" si="375"/>
        <v>8.3333333333333329E-2</v>
      </c>
      <c r="DX116" s="8">
        <f t="shared" si="289"/>
        <v>1</v>
      </c>
      <c r="DY116" s="8">
        <f t="shared" si="290"/>
        <v>0</v>
      </c>
      <c r="DZ116" s="8">
        <f t="shared" si="291"/>
        <v>0</v>
      </c>
      <c r="EA116" s="5"/>
    </row>
    <row r="117" spans="1:131" x14ac:dyDescent="0.15">
      <c r="A117" s="5">
        <v>201115</v>
      </c>
      <c r="B117" s="5" t="s">
        <v>325</v>
      </c>
      <c r="C117" s="5"/>
      <c r="D117" s="5"/>
      <c r="E117" s="5"/>
      <c r="F117" s="5">
        <v>0</v>
      </c>
      <c r="G117" s="45"/>
      <c r="H117" s="5"/>
      <c r="I117" s="5"/>
      <c r="J117" s="5"/>
      <c r="K117" s="5"/>
      <c r="L117" s="10"/>
      <c r="M117" s="5"/>
      <c r="N117" s="10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20"/>
      <c r="AF117" s="5"/>
      <c r="AG117" s="5"/>
      <c r="AH117" s="5"/>
      <c r="AI117" s="5"/>
      <c r="AJ117" s="5"/>
      <c r="AK117" s="5"/>
      <c r="AL117" s="5"/>
      <c r="AM117" s="5"/>
      <c r="AN117" s="8"/>
      <c r="AO117" s="5">
        <v>0</v>
      </c>
      <c r="AP117" s="5" t="s">
        <v>325</v>
      </c>
      <c r="AQ117" s="5">
        <v>0</v>
      </c>
      <c r="AR117" s="8">
        <f t="shared" si="264"/>
        <v>1</v>
      </c>
      <c r="AS117" s="6">
        <f t="shared" si="186"/>
        <v>18</v>
      </c>
      <c r="AT117" s="6">
        <f t="shared" si="187"/>
        <v>36</v>
      </c>
      <c r="AU117" s="5">
        <f t="shared" si="265"/>
        <v>0.2</v>
      </c>
      <c r="AV117" s="5">
        <f t="shared" si="266"/>
        <v>1</v>
      </c>
      <c r="AW117" s="5">
        <f t="shared" si="267"/>
        <v>1</v>
      </c>
      <c r="AX117" s="5">
        <f t="shared" ref="AX117" si="405">AX96</f>
        <v>1</v>
      </c>
      <c r="AY117" s="5">
        <f t="shared" si="267"/>
        <v>1</v>
      </c>
      <c r="AZ117" s="8">
        <v>201115</v>
      </c>
      <c r="BA117" s="5">
        <f t="shared" si="257"/>
        <v>203010</v>
      </c>
      <c r="BB117" s="5">
        <v>0</v>
      </c>
      <c r="BC117" s="5">
        <v>0</v>
      </c>
      <c r="BD117" s="5">
        <f t="shared" si="270"/>
        <v>0</v>
      </c>
      <c r="BE117" s="5">
        <f t="shared" si="271"/>
        <v>305003</v>
      </c>
      <c r="BF117" s="5">
        <f t="shared" si="272"/>
        <v>180</v>
      </c>
      <c r="BG117" s="5">
        <f t="shared" si="272"/>
        <v>0</v>
      </c>
      <c r="BH117" s="5">
        <f t="shared" ref="BH117" si="406">BH96</f>
        <v>0</v>
      </c>
      <c r="BI117" s="5">
        <f t="shared" si="272"/>
        <v>0</v>
      </c>
      <c r="BJ117" s="5">
        <f t="shared" si="208"/>
        <v>6</v>
      </c>
      <c r="BK117" s="5">
        <v>6</v>
      </c>
      <c r="BL117" s="5">
        <f t="shared" si="312"/>
        <v>1</v>
      </c>
      <c r="BM117" s="5">
        <f t="shared" si="274"/>
        <v>30</v>
      </c>
      <c r="BN117" s="5">
        <f t="shared" si="274"/>
        <v>180</v>
      </c>
      <c r="BO117" s="5">
        <f t="shared" si="274"/>
        <v>108006</v>
      </c>
      <c r="BP117" s="5">
        <f t="shared" si="259"/>
        <v>2</v>
      </c>
      <c r="BQ117" s="5">
        <f t="shared" si="259"/>
        <v>2</v>
      </c>
      <c r="BR117" s="5">
        <f>50*BT117*3-360/BM117*BJ117*BQ117</f>
        <v>756</v>
      </c>
      <c r="BS117" s="4">
        <v>2</v>
      </c>
      <c r="BT117" s="4">
        <v>6</v>
      </c>
      <c r="BU117" s="4">
        <f t="shared" si="275"/>
        <v>0</v>
      </c>
      <c r="BV117" s="4">
        <f t="shared" si="189"/>
        <v>6</v>
      </c>
      <c r="BW117" s="4">
        <f t="shared" si="190"/>
        <v>6</v>
      </c>
      <c r="BX117" s="14">
        <f t="shared" si="191"/>
        <v>0.49999999999999994</v>
      </c>
      <c r="BY117" s="14">
        <f t="shared" si="192"/>
        <v>0.30000000000000004</v>
      </c>
      <c r="BZ117" s="5" t="s">
        <v>206</v>
      </c>
      <c r="CA117" s="8" t="str">
        <f t="shared" si="378"/>
        <v>elite_monster_10</v>
      </c>
      <c r="CB117" s="8" t="str">
        <f t="shared" si="378"/>
        <v>elite_monster_10</v>
      </c>
      <c r="CC117" s="5">
        <v>0</v>
      </c>
      <c r="CD117" s="8">
        <f t="shared" si="276"/>
        <v>1</v>
      </c>
      <c r="CE117" s="5">
        <f t="shared" si="193"/>
        <v>0</v>
      </c>
      <c r="CF117" s="5">
        <f t="shared" si="294"/>
        <v>0</v>
      </c>
      <c r="CG117" s="5" t="s">
        <v>325</v>
      </c>
      <c r="CH117" s="5">
        <f t="shared" si="278"/>
        <v>3</v>
      </c>
      <c r="CI117" s="5">
        <v>0</v>
      </c>
      <c r="CJ117" s="4">
        <v>1</v>
      </c>
      <c r="CK117" s="5">
        <v>0</v>
      </c>
      <c r="CL117" s="5">
        <v>0</v>
      </c>
      <c r="CM117" s="20">
        <f t="shared" si="279"/>
        <v>0</v>
      </c>
      <c r="CN117" s="8">
        <f t="shared" si="279"/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8">
        <f t="shared" ref="CV117:CY117" si="407">CV96</f>
        <v>0.8</v>
      </c>
      <c r="CW117" s="8">
        <f t="shared" si="407"/>
        <v>0.6</v>
      </c>
      <c r="CX117" s="8">
        <f t="shared" si="407"/>
        <v>1</v>
      </c>
      <c r="CY117" s="8">
        <f t="shared" si="407"/>
        <v>1</v>
      </c>
      <c r="CZ117" s="8">
        <f t="shared" si="281"/>
        <v>1</v>
      </c>
      <c r="DA117" s="6">
        <f t="shared" si="180"/>
        <v>150</v>
      </c>
      <c r="DB117" s="5">
        <f t="shared" si="282"/>
        <v>0</v>
      </c>
      <c r="DC117" s="5">
        <f t="shared" si="195"/>
        <v>0.15625</v>
      </c>
      <c r="DD117" s="6">
        <f t="shared" si="181"/>
        <v>0.15625</v>
      </c>
      <c r="DE117" s="6">
        <f t="shared" si="296"/>
        <v>0.25</v>
      </c>
      <c r="DF117" s="5">
        <v>0</v>
      </c>
      <c r="DG117" s="8">
        <f t="shared" si="283"/>
        <v>2.5</v>
      </c>
      <c r="DH117" s="5">
        <v>1.5</v>
      </c>
      <c r="DI117" s="8">
        <f t="shared" si="284"/>
        <v>0</v>
      </c>
      <c r="DJ117" s="5">
        <f t="shared" si="182"/>
        <v>0</v>
      </c>
      <c r="DK117" s="8">
        <v>0</v>
      </c>
      <c r="DL117" s="5">
        <f t="shared" si="183"/>
        <v>0</v>
      </c>
      <c r="DM117" s="5" t="s">
        <v>326</v>
      </c>
      <c r="DN117" s="8">
        <f t="shared" ref="DN117:DP117" si="408">DN96</f>
        <v>6</v>
      </c>
      <c r="DO117" s="8">
        <f t="shared" si="408"/>
        <v>0</v>
      </c>
      <c r="DP117" s="5">
        <f t="shared" si="408"/>
        <v>0</v>
      </c>
      <c r="DQ117" s="8">
        <f t="shared" si="286"/>
        <v>0</v>
      </c>
      <c r="DR117" s="5">
        <f t="shared" si="197"/>
        <v>0.9</v>
      </c>
      <c r="DS117" s="8">
        <f t="shared" si="287"/>
        <v>1</v>
      </c>
      <c r="DT117" s="8">
        <f t="shared" si="288"/>
        <v>-0.5</v>
      </c>
      <c r="DU117" s="8">
        <f t="shared" si="288"/>
        <v>0.5</v>
      </c>
      <c r="DV117" s="8">
        <f t="shared" si="262"/>
        <v>0.5</v>
      </c>
      <c r="DW117" s="5">
        <f t="shared" si="375"/>
        <v>0.75</v>
      </c>
      <c r="DX117" s="8">
        <f t="shared" si="289"/>
        <v>9</v>
      </c>
      <c r="DY117" s="8">
        <f t="shared" si="290"/>
        <v>0</v>
      </c>
      <c r="DZ117" s="8">
        <f t="shared" si="291"/>
        <v>0</v>
      </c>
      <c r="EA117" s="5"/>
    </row>
    <row r="118" spans="1:131" x14ac:dyDescent="0.15">
      <c r="A118" s="5">
        <v>201116</v>
      </c>
      <c r="B118" s="5" t="s">
        <v>327</v>
      </c>
      <c r="C118" s="5"/>
      <c r="D118" s="5"/>
      <c r="E118" s="5"/>
      <c r="F118" s="5">
        <v>0</v>
      </c>
      <c r="G118" s="45"/>
      <c r="H118" s="5"/>
      <c r="I118" s="5"/>
      <c r="J118" s="5"/>
      <c r="K118" s="5"/>
      <c r="L118" s="10"/>
      <c r="M118" s="5"/>
      <c r="N118" s="10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20"/>
      <c r="AF118" s="5"/>
      <c r="AG118" s="5"/>
      <c r="AH118" s="5"/>
      <c r="AI118" s="5"/>
      <c r="AJ118" s="5"/>
      <c r="AK118" s="5"/>
      <c r="AL118" s="5"/>
      <c r="AM118" s="5"/>
      <c r="AN118" s="8"/>
      <c r="AO118" s="5">
        <v>0</v>
      </c>
      <c r="AP118" s="5" t="s">
        <v>327</v>
      </c>
      <c r="AQ118" s="5">
        <v>0</v>
      </c>
      <c r="AR118" s="8">
        <f t="shared" si="264"/>
        <v>2</v>
      </c>
      <c r="AS118" s="6">
        <f t="shared" si="186"/>
        <v>36</v>
      </c>
      <c r="AT118" s="6">
        <f t="shared" si="187"/>
        <v>54</v>
      </c>
      <c r="AU118" s="5">
        <f t="shared" si="265"/>
        <v>0</v>
      </c>
      <c r="AV118" s="5">
        <f t="shared" si="266"/>
        <v>1</v>
      </c>
      <c r="AW118" s="5">
        <f t="shared" si="267"/>
        <v>1</v>
      </c>
      <c r="AX118" s="5">
        <f t="shared" ref="AX118" si="409">AX97</f>
        <v>1</v>
      </c>
      <c r="AY118" s="5">
        <f t="shared" si="267"/>
        <v>1</v>
      </c>
      <c r="AZ118" s="8">
        <f t="shared" si="269"/>
        <v>63</v>
      </c>
      <c r="BA118" s="5">
        <f t="shared" si="257"/>
        <v>203011</v>
      </c>
      <c r="BB118" s="5">
        <v>0</v>
      </c>
      <c r="BC118" s="5">
        <v>0</v>
      </c>
      <c r="BD118" s="5">
        <f t="shared" si="270"/>
        <v>0</v>
      </c>
      <c r="BE118" s="5">
        <f t="shared" si="271"/>
        <v>304002</v>
      </c>
      <c r="BF118" s="5">
        <f t="shared" si="272"/>
        <v>180</v>
      </c>
      <c r="BG118" s="5">
        <f t="shared" si="272"/>
        <v>30</v>
      </c>
      <c r="BH118" s="5">
        <f t="shared" ref="BH118" si="410">BH97</f>
        <v>30</v>
      </c>
      <c r="BI118" s="5">
        <f t="shared" si="272"/>
        <v>1</v>
      </c>
      <c r="BJ118" s="5">
        <f t="shared" si="208"/>
        <v>6</v>
      </c>
      <c r="BK118" s="5">
        <v>6</v>
      </c>
      <c r="BL118" s="5">
        <f t="shared" si="312"/>
        <v>1</v>
      </c>
      <c r="BM118" s="5">
        <f t="shared" si="274"/>
        <v>30</v>
      </c>
      <c r="BN118" s="5">
        <f t="shared" si="274"/>
        <v>180</v>
      </c>
      <c r="BO118" s="5">
        <f t="shared" si="274"/>
        <v>108006</v>
      </c>
      <c r="BP118" s="5">
        <f t="shared" si="259"/>
        <v>3</v>
      </c>
      <c r="BQ118" s="5">
        <f t="shared" si="259"/>
        <v>2</v>
      </c>
      <c r="BR118" s="5">
        <f>50*BT118*3-360/BM118*BJ118*BQ118</f>
        <v>756</v>
      </c>
      <c r="BS118" s="4">
        <v>3</v>
      </c>
      <c r="BT118" s="4">
        <v>6</v>
      </c>
      <c r="BU118" s="4">
        <f t="shared" si="275"/>
        <v>0</v>
      </c>
      <c r="BV118" s="4">
        <f t="shared" si="189"/>
        <v>6</v>
      </c>
      <c r="BW118" s="4">
        <f t="shared" si="190"/>
        <v>6</v>
      </c>
      <c r="BX118" s="14">
        <f t="shared" si="191"/>
        <v>0.49999999999999994</v>
      </c>
      <c r="BY118" s="14">
        <f t="shared" si="192"/>
        <v>0.30000000000000004</v>
      </c>
      <c r="BZ118" s="5" t="s">
        <v>210</v>
      </c>
      <c r="CA118" s="8" t="str">
        <f t="shared" si="378"/>
        <v>elite_monster_11</v>
      </c>
      <c r="CB118" s="8" t="str">
        <f t="shared" si="378"/>
        <v>elite_monster_11</v>
      </c>
      <c r="CC118" s="5">
        <v>0</v>
      </c>
      <c r="CD118" s="8">
        <f t="shared" si="276"/>
        <v>1</v>
      </c>
      <c r="CE118" s="5">
        <f t="shared" si="193"/>
        <v>0</v>
      </c>
      <c r="CF118" s="5">
        <f t="shared" si="294"/>
        <v>0</v>
      </c>
      <c r="CG118" s="5" t="s">
        <v>327</v>
      </c>
      <c r="CH118" s="5">
        <f t="shared" si="278"/>
        <v>3</v>
      </c>
      <c r="CI118" s="5">
        <v>0</v>
      </c>
      <c r="CJ118" s="4">
        <v>1</v>
      </c>
      <c r="CK118" s="5">
        <v>0</v>
      </c>
      <c r="CL118" s="5">
        <v>0</v>
      </c>
      <c r="CM118" s="20">
        <f t="shared" si="279"/>
        <v>0</v>
      </c>
      <c r="CN118" s="8">
        <f t="shared" si="279"/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8">
        <f t="shared" ref="CV118:CY118" si="411">CV97</f>
        <v>0.8</v>
      </c>
      <c r="CW118" s="8">
        <f t="shared" si="411"/>
        <v>0.6</v>
      </c>
      <c r="CX118" s="8">
        <f t="shared" si="411"/>
        <v>1</v>
      </c>
      <c r="CY118" s="8">
        <f t="shared" si="411"/>
        <v>1</v>
      </c>
      <c r="CZ118" s="8">
        <f t="shared" si="281"/>
        <v>2</v>
      </c>
      <c r="DA118" s="6">
        <f t="shared" si="180"/>
        <v>300</v>
      </c>
      <c r="DB118" s="5">
        <f t="shared" si="282"/>
        <v>0</v>
      </c>
      <c r="DC118" s="5">
        <f t="shared" si="195"/>
        <v>0.3125</v>
      </c>
      <c r="DD118" s="6">
        <f t="shared" si="181"/>
        <v>0.3125</v>
      </c>
      <c r="DE118" s="6">
        <f t="shared" si="296"/>
        <v>0.5</v>
      </c>
      <c r="DF118" s="5">
        <v>0</v>
      </c>
      <c r="DG118" s="8">
        <f t="shared" si="283"/>
        <v>3</v>
      </c>
      <c r="DH118" s="5">
        <v>2</v>
      </c>
      <c r="DI118" s="8">
        <f t="shared" si="284"/>
        <v>0</v>
      </c>
      <c r="DJ118" s="5">
        <f t="shared" si="182"/>
        <v>0</v>
      </c>
      <c r="DK118" s="8">
        <v>0</v>
      </c>
      <c r="DL118" s="5">
        <f t="shared" si="183"/>
        <v>0</v>
      </c>
      <c r="DM118" s="5" t="s">
        <v>327</v>
      </c>
      <c r="DN118" s="8">
        <f t="shared" ref="DN118:DP118" si="412">DN97</f>
        <v>6</v>
      </c>
      <c r="DO118" s="8">
        <f t="shared" si="412"/>
        <v>0</v>
      </c>
      <c r="DP118" s="5">
        <f t="shared" si="412"/>
        <v>1</v>
      </c>
      <c r="DQ118" s="8">
        <f t="shared" si="286"/>
        <v>1</v>
      </c>
      <c r="DR118" s="5">
        <f t="shared" si="197"/>
        <v>1.1700000000000002</v>
      </c>
      <c r="DS118" s="8">
        <f t="shared" si="287"/>
        <v>1.3</v>
      </c>
      <c r="DT118" s="8">
        <f t="shared" si="288"/>
        <v>-0.5</v>
      </c>
      <c r="DU118" s="8">
        <f t="shared" si="288"/>
        <v>0.5</v>
      </c>
      <c r="DV118" s="8">
        <f t="shared" si="262"/>
        <v>0.2</v>
      </c>
      <c r="DW118" s="5">
        <f t="shared" si="375"/>
        <v>0.41666666666666669</v>
      </c>
      <c r="DX118" s="8">
        <f t="shared" si="289"/>
        <v>5</v>
      </c>
      <c r="DY118" s="8">
        <f t="shared" si="290"/>
        <v>0</v>
      </c>
      <c r="DZ118" s="8">
        <f t="shared" si="291"/>
        <v>0</v>
      </c>
      <c r="EA118" s="5"/>
    </row>
    <row r="119" spans="1:131" x14ac:dyDescent="0.15">
      <c r="A119" s="5">
        <v>201117</v>
      </c>
      <c r="B119" s="5" t="s">
        <v>328</v>
      </c>
      <c r="C119" s="5"/>
      <c r="D119" s="5"/>
      <c r="E119" s="5"/>
      <c r="F119" s="5">
        <v>0</v>
      </c>
      <c r="G119" s="45"/>
      <c r="H119" s="5"/>
      <c r="I119" s="5"/>
      <c r="J119" s="5"/>
      <c r="K119" s="5"/>
      <c r="L119" s="10"/>
      <c r="M119" s="5"/>
      <c r="N119" s="10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20"/>
      <c r="AF119" s="5"/>
      <c r="AG119" s="5"/>
      <c r="AH119" s="5"/>
      <c r="AI119" s="5"/>
      <c r="AJ119" s="5"/>
      <c r="AK119" s="5"/>
      <c r="AL119" s="5"/>
      <c r="AM119" s="5"/>
      <c r="AN119" s="8"/>
      <c r="AO119" s="5">
        <v>0</v>
      </c>
      <c r="AP119" s="5" t="s">
        <v>328</v>
      </c>
      <c r="AQ119" s="5">
        <v>0</v>
      </c>
      <c r="AR119" s="8">
        <f t="shared" si="264"/>
        <v>5</v>
      </c>
      <c r="AS119" s="6">
        <f t="shared" si="186"/>
        <v>90</v>
      </c>
      <c r="AT119" s="6">
        <f t="shared" si="187"/>
        <v>108</v>
      </c>
      <c r="AU119" s="5">
        <f t="shared" si="265"/>
        <v>0</v>
      </c>
      <c r="AV119" s="5">
        <f t="shared" si="266"/>
        <v>1</v>
      </c>
      <c r="AW119" s="5">
        <f t="shared" si="267"/>
        <v>0</v>
      </c>
      <c r="AX119" s="5">
        <f t="shared" ref="AX119" si="413">AX98</f>
        <v>0</v>
      </c>
      <c r="AY119" s="5">
        <f t="shared" si="267"/>
        <v>1</v>
      </c>
      <c r="AZ119" s="8">
        <f t="shared" si="269"/>
        <v>63</v>
      </c>
      <c r="BA119" s="5">
        <f t="shared" si="257"/>
        <v>203012</v>
      </c>
      <c r="BB119" s="5">
        <v>0</v>
      </c>
      <c r="BC119" s="5">
        <v>0</v>
      </c>
      <c r="BD119" s="5">
        <f t="shared" si="270"/>
        <v>0</v>
      </c>
      <c r="BE119" s="5">
        <f t="shared" si="271"/>
        <v>0</v>
      </c>
      <c r="BF119" s="5">
        <f t="shared" si="272"/>
        <v>0</v>
      </c>
      <c r="BG119" s="5">
        <f t="shared" si="272"/>
        <v>0</v>
      </c>
      <c r="BH119" s="5">
        <f t="shared" ref="BH119" si="414">BH98</f>
        <v>0</v>
      </c>
      <c r="BI119" s="5">
        <f t="shared" si="272"/>
        <v>0</v>
      </c>
      <c r="BJ119" s="5">
        <f t="shared" si="208"/>
        <v>0</v>
      </c>
      <c r="BK119" s="5">
        <v>0</v>
      </c>
      <c r="BL119" s="5">
        <f t="shared" si="312"/>
        <v>0</v>
      </c>
      <c r="BM119" s="5">
        <f t="shared" si="274"/>
        <v>0</v>
      </c>
      <c r="BN119" s="5">
        <f t="shared" si="274"/>
        <v>0</v>
      </c>
      <c r="BO119" s="5">
        <f t="shared" si="274"/>
        <v>0</v>
      </c>
      <c r="BP119" s="5">
        <f t="shared" si="259"/>
        <v>0</v>
      </c>
      <c r="BQ119" s="5">
        <f t="shared" si="259"/>
        <v>0</v>
      </c>
      <c r="BR119" s="5"/>
      <c r="BS119" s="4">
        <v>3</v>
      </c>
      <c r="BT119" s="4">
        <v>6</v>
      </c>
      <c r="BU119" s="4">
        <f t="shared" si="275"/>
        <v>0</v>
      </c>
      <c r="BV119" s="4">
        <f t="shared" si="189"/>
        <v>6</v>
      </c>
      <c r="BW119" s="4">
        <f t="shared" si="190"/>
        <v>6</v>
      </c>
      <c r="BX119" s="14">
        <f t="shared" si="191"/>
        <v>0.49999999999999994</v>
      </c>
      <c r="BY119" s="14">
        <f t="shared" si="192"/>
        <v>0.30000000000000004</v>
      </c>
      <c r="BZ119" s="5" t="s">
        <v>213</v>
      </c>
      <c r="CA119" s="8" t="str">
        <f t="shared" si="378"/>
        <v>elite_monster_12</v>
      </c>
      <c r="CB119" s="8" t="str">
        <f t="shared" si="378"/>
        <v>elite_monster_12</v>
      </c>
      <c r="CC119" s="5">
        <v>0</v>
      </c>
      <c r="CD119" s="8">
        <f t="shared" si="276"/>
        <v>1</v>
      </c>
      <c r="CE119" s="5">
        <f t="shared" si="193"/>
        <v>0</v>
      </c>
      <c r="CF119" s="5">
        <f t="shared" si="294"/>
        <v>0</v>
      </c>
      <c r="CG119" s="5" t="s">
        <v>328</v>
      </c>
      <c r="CH119" s="5">
        <f t="shared" si="278"/>
        <v>0</v>
      </c>
      <c r="CI119" s="5">
        <v>0</v>
      </c>
      <c r="CJ119" s="4">
        <v>1</v>
      </c>
      <c r="CK119" s="5">
        <v>0</v>
      </c>
      <c r="CL119" s="5">
        <v>0</v>
      </c>
      <c r="CM119" s="20">
        <f t="shared" si="279"/>
        <v>0</v>
      </c>
      <c r="CN119" s="8">
        <f t="shared" si="279"/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8">
        <f t="shared" ref="CV119:CY119" si="415">CV98</f>
        <v>0.8</v>
      </c>
      <c r="CW119" s="8">
        <f t="shared" si="415"/>
        <v>0.6</v>
      </c>
      <c r="CX119" s="8">
        <f t="shared" si="415"/>
        <v>1</v>
      </c>
      <c r="CY119" s="8">
        <f t="shared" si="415"/>
        <v>1</v>
      </c>
      <c r="CZ119" s="8">
        <f t="shared" si="281"/>
        <v>0.8</v>
      </c>
      <c r="DA119" s="6">
        <f t="shared" si="180"/>
        <v>120</v>
      </c>
      <c r="DB119" s="5">
        <f t="shared" si="282"/>
        <v>1</v>
      </c>
      <c r="DC119" s="5">
        <f t="shared" si="195"/>
        <v>0.5</v>
      </c>
      <c r="DD119" s="6">
        <f t="shared" si="181"/>
        <v>0.5</v>
      </c>
      <c r="DE119" s="6">
        <f t="shared" si="296"/>
        <v>0.8</v>
      </c>
      <c r="DF119" s="5">
        <v>0</v>
      </c>
      <c r="DG119" s="8">
        <f t="shared" si="283"/>
        <v>3.5</v>
      </c>
      <c r="DH119" s="5">
        <v>2</v>
      </c>
      <c r="DI119" s="8">
        <f t="shared" si="284"/>
        <v>0</v>
      </c>
      <c r="DJ119" s="5">
        <f t="shared" si="182"/>
        <v>0</v>
      </c>
      <c r="DK119" s="8">
        <v>0</v>
      </c>
      <c r="DL119" s="5">
        <f t="shared" si="183"/>
        <v>0</v>
      </c>
      <c r="DM119" s="5" t="s">
        <v>328</v>
      </c>
      <c r="DN119" s="8">
        <f t="shared" ref="DN119:DP119" si="416">DN98</f>
        <v>4</v>
      </c>
      <c r="DO119" s="8">
        <f t="shared" si="416"/>
        <v>0</v>
      </c>
      <c r="DP119" s="5">
        <f t="shared" si="416"/>
        <v>0</v>
      </c>
      <c r="DQ119" s="8">
        <f t="shared" si="286"/>
        <v>0</v>
      </c>
      <c r="DR119" s="5">
        <f t="shared" si="197"/>
        <v>0.9</v>
      </c>
      <c r="DS119" s="8">
        <f t="shared" si="287"/>
        <v>1</v>
      </c>
      <c r="DT119" s="8">
        <f t="shared" si="288"/>
        <v>-0.5</v>
      </c>
      <c r="DU119" s="8">
        <f t="shared" si="288"/>
        <v>0.5</v>
      </c>
      <c r="DV119" s="8">
        <f t="shared" si="262"/>
        <v>0.2</v>
      </c>
      <c r="DW119" s="5">
        <f t="shared" si="375"/>
        <v>0.33333333333333331</v>
      </c>
      <c r="DX119" s="8">
        <f t="shared" si="289"/>
        <v>4</v>
      </c>
      <c r="DY119" s="8">
        <f t="shared" si="290"/>
        <v>0</v>
      </c>
      <c r="DZ119" s="8">
        <f t="shared" si="291"/>
        <v>0</v>
      </c>
      <c r="EA119" s="5"/>
    </row>
    <row r="120" spans="1:131" x14ac:dyDescent="0.15">
      <c r="A120" s="5">
        <v>201118</v>
      </c>
      <c r="B120" s="5" t="s">
        <v>329</v>
      </c>
      <c r="C120" s="5"/>
      <c r="D120" s="5"/>
      <c r="E120" s="5"/>
      <c r="F120" s="5">
        <v>0</v>
      </c>
      <c r="G120" s="45"/>
      <c r="H120" s="5"/>
      <c r="I120" s="5"/>
      <c r="J120" s="5"/>
      <c r="K120" s="5"/>
      <c r="L120" s="10"/>
      <c r="M120" s="5"/>
      <c r="N120" s="10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20"/>
      <c r="AF120" s="5"/>
      <c r="AG120" s="5"/>
      <c r="AH120" s="5"/>
      <c r="AI120" s="5"/>
      <c r="AJ120" s="5"/>
      <c r="AK120" s="5"/>
      <c r="AL120" s="5"/>
      <c r="AM120" s="5"/>
      <c r="AN120" s="8"/>
      <c r="AO120" s="5">
        <v>0</v>
      </c>
      <c r="AP120" s="5" t="s">
        <v>329</v>
      </c>
      <c r="AQ120" s="5">
        <v>0</v>
      </c>
      <c r="AR120" s="8">
        <f t="shared" si="264"/>
        <v>2</v>
      </c>
      <c r="AS120" s="6">
        <f t="shared" si="186"/>
        <v>36</v>
      </c>
      <c r="AT120" s="6">
        <f t="shared" si="187"/>
        <v>54</v>
      </c>
      <c r="AU120" s="5">
        <f t="shared" si="265"/>
        <v>0</v>
      </c>
      <c r="AV120" s="5">
        <f t="shared" si="266"/>
        <v>1</v>
      </c>
      <c r="AW120" s="5">
        <f t="shared" si="267"/>
        <v>1</v>
      </c>
      <c r="AX120" s="5">
        <f t="shared" ref="AX120" si="417">AX99</f>
        <v>1</v>
      </c>
      <c r="AY120" s="5">
        <f t="shared" si="267"/>
        <v>1</v>
      </c>
      <c r="AZ120" s="8">
        <f t="shared" si="269"/>
        <v>63</v>
      </c>
      <c r="BA120" s="5">
        <f t="shared" si="257"/>
        <v>203013</v>
      </c>
      <c r="BB120" s="5">
        <v>0</v>
      </c>
      <c r="BC120" s="5">
        <v>0</v>
      </c>
      <c r="BD120" s="5">
        <f t="shared" si="270"/>
        <v>0</v>
      </c>
      <c r="BE120" s="5">
        <f t="shared" si="271"/>
        <v>0</v>
      </c>
      <c r="BF120" s="5">
        <f t="shared" si="272"/>
        <v>0</v>
      </c>
      <c r="BG120" s="5">
        <f t="shared" si="272"/>
        <v>0</v>
      </c>
      <c r="BH120" s="5">
        <f t="shared" ref="BH120" si="418">BH99</f>
        <v>0</v>
      </c>
      <c r="BI120" s="5">
        <f t="shared" si="272"/>
        <v>0</v>
      </c>
      <c r="BJ120" s="5">
        <f t="shared" si="208"/>
        <v>0</v>
      </c>
      <c r="BK120" s="5">
        <v>0</v>
      </c>
      <c r="BL120" s="5">
        <f t="shared" si="312"/>
        <v>0</v>
      </c>
      <c r="BM120" s="5">
        <f t="shared" si="274"/>
        <v>0</v>
      </c>
      <c r="BN120" s="5">
        <f t="shared" si="274"/>
        <v>0</v>
      </c>
      <c r="BO120" s="5">
        <f t="shared" si="274"/>
        <v>0</v>
      </c>
      <c r="BP120" s="5">
        <f t="shared" si="259"/>
        <v>0</v>
      </c>
      <c r="BQ120" s="5">
        <f t="shared" si="259"/>
        <v>0</v>
      </c>
      <c r="BR120" s="5"/>
      <c r="BS120" s="4">
        <v>3</v>
      </c>
      <c r="BT120" s="4">
        <v>6</v>
      </c>
      <c r="BU120" s="4">
        <f t="shared" si="275"/>
        <v>0</v>
      </c>
      <c r="BV120" s="4">
        <f t="shared" si="189"/>
        <v>6</v>
      </c>
      <c r="BW120" s="4">
        <f t="shared" si="190"/>
        <v>6</v>
      </c>
      <c r="BX120" s="14">
        <f t="shared" si="191"/>
        <v>0.49999999999999994</v>
      </c>
      <c r="BY120" s="14">
        <f t="shared" si="192"/>
        <v>0.30000000000000004</v>
      </c>
      <c r="BZ120" s="5" t="s">
        <v>216</v>
      </c>
      <c r="CA120" s="8" t="str">
        <f t="shared" si="378"/>
        <v>elite_monster_13</v>
      </c>
      <c r="CB120" s="8" t="str">
        <f t="shared" si="378"/>
        <v>elite_monster_13</v>
      </c>
      <c r="CC120" s="5">
        <v>0</v>
      </c>
      <c r="CD120" s="8">
        <f t="shared" si="276"/>
        <v>1</v>
      </c>
      <c r="CE120" s="5">
        <f t="shared" si="193"/>
        <v>0</v>
      </c>
      <c r="CF120" s="5">
        <f t="shared" si="294"/>
        <v>0</v>
      </c>
      <c r="CG120" s="5" t="s">
        <v>329</v>
      </c>
      <c r="CH120" s="5">
        <f t="shared" si="278"/>
        <v>3</v>
      </c>
      <c r="CI120" s="5">
        <v>0</v>
      </c>
      <c r="CJ120" s="4">
        <v>1</v>
      </c>
      <c r="CK120" s="5">
        <v>0</v>
      </c>
      <c r="CL120" s="5">
        <v>0</v>
      </c>
      <c r="CM120" s="20">
        <f t="shared" si="279"/>
        <v>0</v>
      </c>
      <c r="CN120" s="8">
        <f t="shared" si="279"/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8">
        <f t="shared" ref="CV120:CY120" si="419">CV99</f>
        <v>0.8</v>
      </c>
      <c r="CW120" s="8">
        <f t="shared" si="419"/>
        <v>0.6</v>
      </c>
      <c r="CX120" s="8">
        <f t="shared" si="419"/>
        <v>1</v>
      </c>
      <c r="CY120" s="8">
        <f t="shared" si="419"/>
        <v>1</v>
      </c>
      <c r="CZ120" s="8">
        <f t="shared" si="281"/>
        <v>1</v>
      </c>
      <c r="DA120" s="6">
        <f t="shared" si="180"/>
        <v>150</v>
      </c>
      <c r="DB120" s="5">
        <f t="shared" si="282"/>
        <v>0</v>
      </c>
      <c r="DC120" s="5">
        <f t="shared" si="195"/>
        <v>0.5625</v>
      </c>
      <c r="DD120" s="6">
        <f t="shared" si="181"/>
        <v>0.5625</v>
      </c>
      <c r="DE120" s="6">
        <f t="shared" si="296"/>
        <v>0.9</v>
      </c>
      <c r="DF120" s="5">
        <v>0</v>
      </c>
      <c r="DG120" s="8">
        <f t="shared" si="283"/>
        <v>2.75</v>
      </c>
      <c r="DH120" s="5">
        <v>1.75</v>
      </c>
      <c r="DI120" s="8">
        <f t="shared" si="284"/>
        <v>0</v>
      </c>
      <c r="DJ120" s="5">
        <f t="shared" si="182"/>
        <v>0</v>
      </c>
      <c r="DK120" s="8">
        <v>0</v>
      </c>
      <c r="DL120" s="5">
        <f t="shared" si="183"/>
        <v>0</v>
      </c>
      <c r="DM120" s="5" t="s">
        <v>329</v>
      </c>
      <c r="DN120" s="8">
        <f t="shared" ref="DN120:DP120" si="420">DN99</f>
        <v>6</v>
      </c>
      <c r="DO120" s="8">
        <f t="shared" si="420"/>
        <v>0</v>
      </c>
      <c r="DP120" s="5">
        <f t="shared" si="420"/>
        <v>0</v>
      </c>
      <c r="DQ120" s="8">
        <f t="shared" si="286"/>
        <v>0</v>
      </c>
      <c r="DR120" s="5">
        <f t="shared" si="197"/>
        <v>0.9</v>
      </c>
      <c r="DS120" s="8">
        <f t="shared" si="287"/>
        <v>1</v>
      </c>
      <c r="DT120" s="8">
        <f t="shared" si="288"/>
        <v>-0.5</v>
      </c>
      <c r="DU120" s="8">
        <f t="shared" si="288"/>
        <v>0.5</v>
      </c>
      <c r="DV120" s="8">
        <f t="shared" si="262"/>
        <v>0.25</v>
      </c>
      <c r="DW120" s="5">
        <f t="shared" si="375"/>
        <v>0.66666666666666663</v>
      </c>
      <c r="DX120" s="8">
        <f t="shared" si="289"/>
        <v>8</v>
      </c>
      <c r="DY120" s="8">
        <f t="shared" si="290"/>
        <v>0</v>
      </c>
      <c r="DZ120" s="8">
        <f t="shared" si="291"/>
        <v>0</v>
      </c>
      <c r="EA120" s="5"/>
    </row>
    <row r="121" spans="1:131" x14ac:dyDescent="0.15">
      <c r="A121" s="5">
        <v>201119</v>
      </c>
      <c r="B121" s="5" t="s">
        <v>330</v>
      </c>
      <c r="C121" s="5"/>
      <c r="D121" s="5"/>
      <c r="E121" s="5"/>
      <c r="F121" s="5">
        <v>0</v>
      </c>
      <c r="G121" s="45"/>
      <c r="H121" s="5"/>
      <c r="I121" s="5"/>
      <c r="J121" s="5"/>
      <c r="K121" s="5"/>
      <c r="L121" s="10"/>
      <c r="M121" s="5"/>
      <c r="N121" s="10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20"/>
      <c r="AF121" s="5"/>
      <c r="AG121" s="5"/>
      <c r="AH121" s="5"/>
      <c r="AI121" s="5"/>
      <c r="AJ121" s="5"/>
      <c r="AK121" s="5"/>
      <c r="AL121" s="5"/>
      <c r="AM121" s="5"/>
      <c r="AN121" s="8"/>
      <c r="AO121" s="5">
        <v>0</v>
      </c>
      <c r="AP121" s="5" t="s">
        <v>330</v>
      </c>
      <c r="AQ121" s="5">
        <v>0</v>
      </c>
      <c r="AR121" s="8">
        <f t="shared" si="264"/>
        <v>5</v>
      </c>
      <c r="AS121" s="6">
        <f t="shared" si="186"/>
        <v>90</v>
      </c>
      <c r="AT121" s="6">
        <f t="shared" si="187"/>
        <v>108</v>
      </c>
      <c r="AU121" s="5">
        <f t="shared" si="265"/>
        <v>0</v>
      </c>
      <c r="AV121" s="5">
        <f t="shared" si="266"/>
        <v>1</v>
      </c>
      <c r="AW121" s="5">
        <f t="shared" si="267"/>
        <v>0</v>
      </c>
      <c r="AX121" s="5">
        <f t="shared" ref="AX121" si="421">AX100</f>
        <v>0</v>
      </c>
      <c r="AY121" s="5">
        <f t="shared" si="267"/>
        <v>0</v>
      </c>
      <c r="AZ121" s="8">
        <f t="shared" si="269"/>
        <v>63</v>
      </c>
      <c r="BA121" s="5">
        <f t="shared" si="257"/>
        <v>203014</v>
      </c>
      <c r="BB121" s="5">
        <v>0</v>
      </c>
      <c r="BC121" s="5">
        <v>0</v>
      </c>
      <c r="BD121" s="5">
        <f t="shared" si="270"/>
        <v>0</v>
      </c>
      <c r="BE121" s="5">
        <f t="shared" si="271"/>
        <v>0</v>
      </c>
      <c r="BF121" s="5">
        <f t="shared" si="272"/>
        <v>0</v>
      </c>
      <c r="BG121" s="5">
        <f t="shared" si="272"/>
        <v>0</v>
      </c>
      <c r="BH121" s="5">
        <f t="shared" ref="BH121" si="422">BH100</f>
        <v>0</v>
      </c>
      <c r="BI121" s="5">
        <f t="shared" si="272"/>
        <v>0</v>
      </c>
      <c r="BJ121" s="5">
        <f t="shared" si="208"/>
        <v>0</v>
      </c>
      <c r="BK121" s="5">
        <v>0</v>
      </c>
      <c r="BL121" s="5">
        <f t="shared" si="312"/>
        <v>0</v>
      </c>
      <c r="BM121" s="5">
        <f t="shared" si="274"/>
        <v>0</v>
      </c>
      <c r="BN121" s="5">
        <f t="shared" si="274"/>
        <v>0</v>
      </c>
      <c r="BO121" s="5">
        <f t="shared" si="274"/>
        <v>0</v>
      </c>
      <c r="BP121" s="5">
        <f t="shared" si="259"/>
        <v>0</v>
      </c>
      <c r="BQ121" s="5">
        <f t="shared" si="259"/>
        <v>0</v>
      </c>
      <c r="BR121" s="5"/>
      <c r="BS121" s="4">
        <v>3</v>
      </c>
      <c r="BT121" s="4">
        <v>6</v>
      </c>
      <c r="BU121" s="4">
        <f t="shared" si="275"/>
        <v>0</v>
      </c>
      <c r="BV121" s="4">
        <f t="shared" si="189"/>
        <v>6</v>
      </c>
      <c r="BW121" s="4">
        <f t="shared" si="190"/>
        <v>6</v>
      </c>
      <c r="BX121" s="14">
        <f t="shared" si="191"/>
        <v>0.49999999999999994</v>
      </c>
      <c r="BY121" s="14">
        <f t="shared" si="192"/>
        <v>0.30000000000000004</v>
      </c>
      <c r="BZ121" s="5" t="s">
        <v>219</v>
      </c>
      <c r="CA121" s="8" t="str">
        <f t="shared" si="378"/>
        <v>elite_monster_14</v>
      </c>
      <c r="CB121" s="8" t="str">
        <f t="shared" si="378"/>
        <v>elite_monster_14</v>
      </c>
      <c r="CC121" s="5">
        <v>0</v>
      </c>
      <c r="CD121" s="8">
        <f t="shared" si="276"/>
        <v>1</v>
      </c>
      <c r="CE121" s="5">
        <f t="shared" si="193"/>
        <v>12</v>
      </c>
      <c r="CF121" s="5">
        <f t="shared" si="294"/>
        <v>2</v>
      </c>
      <c r="CG121" s="5" t="s">
        <v>330</v>
      </c>
      <c r="CH121" s="5">
        <f t="shared" si="278"/>
        <v>0</v>
      </c>
      <c r="CI121" s="5">
        <v>113</v>
      </c>
      <c r="CJ121" s="4">
        <v>1</v>
      </c>
      <c r="CK121" s="5">
        <v>0</v>
      </c>
      <c r="CL121" s="5">
        <v>0</v>
      </c>
      <c r="CM121" s="20">
        <f t="shared" si="279"/>
        <v>113</v>
      </c>
      <c r="CN121" s="8">
        <f t="shared" si="279"/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8">
        <f t="shared" ref="CV121:CY121" si="423">CV100</f>
        <v>0.8</v>
      </c>
      <c r="CW121" s="8">
        <f t="shared" si="423"/>
        <v>0.6</v>
      </c>
      <c r="CX121" s="8">
        <f t="shared" si="423"/>
        <v>1</v>
      </c>
      <c r="CY121" s="8">
        <f t="shared" si="423"/>
        <v>1</v>
      </c>
      <c r="CZ121" s="8">
        <f t="shared" si="281"/>
        <v>1</v>
      </c>
      <c r="DA121" s="6">
        <f t="shared" si="180"/>
        <v>150</v>
      </c>
      <c r="DB121" s="5">
        <f t="shared" si="282"/>
        <v>1</v>
      </c>
      <c r="DC121" s="5">
        <f t="shared" si="195"/>
        <v>0.9375</v>
      </c>
      <c r="DD121" s="6">
        <f t="shared" si="181"/>
        <v>0.9375</v>
      </c>
      <c r="DE121" s="6">
        <f t="shared" si="296"/>
        <v>1.5</v>
      </c>
      <c r="DF121" s="5">
        <v>0</v>
      </c>
      <c r="DG121" s="8">
        <f t="shared" si="283"/>
        <v>2.75</v>
      </c>
      <c r="DH121" s="5">
        <v>1.75</v>
      </c>
      <c r="DI121" s="8">
        <f t="shared" si="284"/>
        <v>0</v>
      </c>
      <c r="DJ121" s="5">
        <f t="shared" si="182"/>
        <v>0</v>
      </c>
      <c r="DK121" s="8">
        <v>0</v>
      </c>
      <c r="DL121" s="5">
        <f t="shared" si="183"/>
        <v>0</v>
      </c>
      <c r="DM121" s="5" t="s">
        <v>330</v>
      </c>
      <c r="DN121" s="8">
        <f t="shared" ref="DN121:DP121" si="424">DN100</f>
        <v>6</v>
      </c>
      <c r="DO121" s="8">
        <f t="shared" si="424"/>
        <v>0</v>
      </c>
      <c r="DP121" s="5">
        <f t="shared" si="424"/>
        <v>1</v>
      </c>
      <c r="DQ121" s="8">
        <f t="shared" ref="DQ121:DQ152" si="425">DQ100</f>
        <v>0</v>
      </c>
      <c r="DR121" s="5">
        <f t="shared" si="197"/>
        <v>0.9</v>
      </c>
      <c r="DS121" s="8">
        <f t="shared" si="287"/>
        <v>1</v>
      </c>
      <c r="DT121" s="8">
        <f t="shared" si="288"/>
        <v>-0.5</v>
      </c>
      <c r="DU121" s="8">
        <f t="shared" si="288"/>
        <v>0.5</v>
      </c>
      <c r="DV121" s="8">
        <f t="shared" si="262"/>
        <v>0.25</v>
      </c>
      <c r="DW121" s="5">
        <f t="shared" si="375"/>
        <v>0.33333333333333331</v>
      </c>
      <c r="DX121" s="8">
        <f t="shared" si="289"/>
        <v>4</v>
      </c>
      <c r="DY121" s="8">
        <f t="shared" si="290"/>
        <v>0</v>
      </c>
      <c r="DZ121" s="8">
        <f t="shared" si="291"/>
        <v>0</v>
      </c>
      <c r="EA121" s="5"/>
    </row>
    <row r="122" spans="1:131" x14ac:dyDescent="0.15">
      <c r="A122" s="5">
        <v>201120</v>
      </c>
      <c r="B122" s="5" t="s">
        <v>331</v>
      </c>
      <c r="C122" s="5"/>
      <c r="D122" s="5"/>
      <c r="E122" s="5"/>
      <c r="F122" s="5">
        <v>0</v>
      </c>
      <c r="G122" s="45"/>
      <c r="H122" s="5"/>
      <c r="I122" s="5"/>
      <c r="J122" s="5"/>
      <c r="K122" s="5"/>
      <c r="L122" s="10"/>
      <c r="M122" s="5"/>
      <c r="N122" s="10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20"/>
      <c r="AF122" s="5"/>
      <c r="AG122" s="5"/>
      <c r="AH122" s="5"/>
      <c r="AI122" s="5"/>
      <c r="AJ122" s="5"/>
      <c r="AK122" s="5"/>
      <c r="AL122" s="5"/>
      <c r="AM122" s="5"/>
      <c r="AN122" s="8"/>
      <c r="AO122" s="5">
        <v>0</v>
      </c>
      <c r="AP122" s="5" t="s">
        <v>331</v>
      </c>
      <c r="AQ122" s="5">
        <v>0</v>
      </c>
      <c r="AR122" s="8">
        <f t="shared" si="264"/>
        <v>2</v>
      </c>
      <c r="AS122" s="6">
        <f t="shared" si="186"/>
        <v>36</v>
      </c>
      <c r="AT122" s="6">
        <f t="shared" si="187"/>
        <v>54</v>
      </c>
      <c r="AU122" s="5">
        <f t="shared" si="265"/>
        <v>0</v>
      </c>
      <c r="AV122" s="5">
        <f t="shared" si="266"/>
        <v>0</v>
      </c>
      <c r="AW122" s="5">
        <f t="shared" si="267"/>
        <v>1</v>
      </c>
      <c r="AX122" s="5">
        <f t="shared" ref="AX122" si="426">AX101</f>
        <v>1</v>
      </c>
      <c r="AY122" s="5">
        <f t="shared" si="267"/>
        <v>0</v>
      </c>
      <c r="AZ122" s="8">
        <f t="shared" si="269"/>
        <v>62</v>
      </c>
      <c r="BA122" s="5">
        <f t="shared" si="257"/>
        <v>203015</v>
      </c>
      <c r="BB122" s="5">
        <v>0</v>
      </c>
      <c r="BC122" s="5">
        <v>0</v>
      </c>
      <c r="BD122" s="5">
        <f t="shared" si="270"/>
        <v>0</v>
      </c>
      <c r="BE122" s="5">
        <f t="shared" si="271"/>
        <v>0</v>
      </c>
      <c r="BF122" s="5">
        <f t="shared" si="272"/>
        <v>0</v>
      </c>
      <c r="BG122" s="5">
        <f t="shared" si="272"/>
        <v>0</v>
      </c>
      <c r="BH122" s="5">
        <f t="shared" ref="BH122" si="427">BH101</f>
        <v>0</v>
      </c>
      <c r="BI122" s="5">
        <f t="shared" si="272"/>
        <v>0</v>
      </c>
      <c r="BJ122" s="5">
        <f t="shared" si="208"/>
        <v>0</v>
      </c>
      <c r="BK122" s="5">
        <v>0</v>
      </c>
      <c r="BL122" s="5">
        <f t="shared" si="312"/>
        <v>0</v>
      </c>
      <c r="BM122" s="5">
        <f t="shared" si="274"/>
        <v>0</v>
      </c>
      <c r="BN122" s="5">
        <f t="shared" si="274"/>
        <v>0</v>
      </c>
      <c r="BO122" s="5">
        <f t="shared" si="274"/>
        <v>0</v>
      </c>
      <c r="BP122" s="5">
        <f t="shared" si="259"/>
        <v>0</v>
      </c>
      <c r="BQ122" s="5">
        <f t="shared" si="259"/>
        <v>0</v>
      </c>
      <c r="BR122" s="5"/>
      <c r="BS122" s="4">
        <v>3</v>
      </c>
      <c r="BT122" s="4">
        <v>6</v>
      </c>
      <c r="BU122" s="4">
        <f t="shared" si="275"/>
        <v>0</v>
      </c>
      <c r="BV122" s="4">
        <f t="shared" si="189"/>
        <v>6</v>
      </c>
      <c r="BW122" s="4">
        <f t="shared" si="190"/>
        <v>6</v>
      </c>
      <c r="BX122" s="14">
        <f t="shared" si="191"/>
        <v>0.49999999999999994</v>
      </c>
      <c r="BY122" s="14">
        <f t="shared" si="192"/>
        <v>0.30000000000000004</v>
      </c>
      <c r="BZ122" s="5" t="s">
        <v>222</v>
      </c>
      <c r="CA122" s="8" t="str">
        <f t="shared" si="378"/>
        <v>elite_monster_15</v>
      </c>
      <c r="CB122" s="8" t="str">
        <f t="shared" si="378"/>
        <v>elite_monster_15</v>
      </c>
      <c r="CC122" s="5">
        <v>0</v>
      </c>
      <c r="CD122" s="8">
        <f t="shared" si="276"/>
        <v>1</v>
      </c>
      <c r="CE122" s="5">
        <f t="shared" si="193"/>
        <v>0</v>
      </c>
      <c r="CF122" s="5">
        <f t="shared" si="294"/>
        <v>0</v>
      </c>
      <c r="CG122" s="5" t="s">
        <v>331</v>
      </c>
      <c r="CH122" s="5">
        <f t="shared" si="278"/>
        <v>0</v>
      </c>
      <c r="CI122" s="5">
        <v>0</v>
      </c>
      <c r="CJ122" s="4">
        <v>1</v>
      </c>
      <c r="CK122" s="5">
        <v>0</v>
      </c>
      <c r="CL122" s="5">
        <v>0</v>
      </c>
      <c r="CM122" s="20">
        <f t="shared" si="279"/>
        <v>0</v>
      </c>
      <c r="CN122" s="8">
        <f t="shared" si="279"/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8">
        <f t="shared" ref="CV122:CY122" si="428">CV101</f>
        <v>0.8</v>
      </c>
      <c r="CW122" s="8">
        <f t="shared" si="428"/>
        <v>0.6</v>
      </c>
      <c r="CX122" s="8">
        <f t="shared" si="428"/>
        <v>1</v>
      </c>
      <c r="CY122" s="8">
        <f t="shared" si="428"/>
        <v>1</v>
      </c>
      <c r="CZ122" s="8">
        <f t="shared" si="281"/>
        <v>2</v>
      </c>
      <c r="DA122" s="6">
        <f t="shared" si="180"/>
        <v>300</v>
      </c>
      <c r="DB122" s="5">
        <f t="shared" si="282"/>
        <v>0</v>
      </c>
      <c r="DC122" s="5">
        <f t="shared" si="195"/>
        <v>0.1875</v>
      </c>
      <c r="DD122" s="6">
        <f t="shared" si="181"/>
        <v>0.1875</v>
      </c>
      <c r="DE122" s="6">
        <f t="shared" si="296"/>
        <v>0.3</v>
      </c>
      <c r="DF122" s="5">
        <v>0</v>
      </c>
      <c r="DG122" s="8">
        <f t="shared" si="283"/>
        <v>3</v>
      </c>
      <c r="DH122" s="5">
        <v>2</v>
      </c>
      <c r="DI122" s="8">
        <f t="shared" si="284"/>
        <v>0</v>
      </c>
      <c r="DJ122" s="5">
        <f t="shared" si="182"/>
        <v>0</v>
      </c>
      <c r="DK122" s="8">
        <v>0</v>
      </c>
      <c r="DL122" s="5">
        <f t="shared" si="183"/>
        <v>0</v>
      </c>
      <c r="DM122" s="5" t="s">
        <v>331</v>
      </c>
      <c r="DN122" s="8">
        <f t="shared" ref="DN122:DP122" si="429">DN101</f>
        <v>6</v>
      </c>
      <c r="DO122" s="8">
        <f t="shared" si="429"/>
        <v>0</v>
      </c>
      <c r="DP122" s="5">
        <f t="shared" si="429"/>
        <v>0</v>
      </c>
      <c r="DQ122" s="8">
        <f t="shared" si="425"/>
        <v>0</v>
      </c>
      <c r="DR122" s="5">
        <f t="shared" si="197"/>
        <v>0.9</v>
      </c>
      <c r="DS122" s="8">
        <f t="shared" si="287"/>
        <v>1</v>
      </c>
      <c r="DT122" s="8">
        <f t="shared" si="288"/>
        <v>-0.5</v>
      </c>
      <c r="DU122" s="8">
        <f t="shared" si="288"/>
        <v>0.5</v>
      </c>
      <c r="DV122" s="8">
        <f t="shared" si="262"/>
        <v>0.2</v>
      </c>
      <c r="DW122" s="5">
        <f t="shared" si="375"/>
        <v>0.58333333333333337</v>
      </c>
      <c r="DX122" s="8">
        <f t="shared" si="289"/>
        <v>7</v>
      </c>
      <c r="DY122" s="8">
        <f t="shared" si="290"/>
        <v>0</v>
      </c>
      <c r="DZ122" s="8">
        <f t="shared" si="291"/>
        <v>0</v>
      </c>
      <c r="EA122" s="5"/>
    </row>
    <row r="123" spans="1:131" x14ac:dyDescent="0.15">
      <c r="A123" s="5">
        <v>201121</v>
      </c>
      <c r="B123" s="5" t="s">
        <v>332</v>
      </c>
      <c r="C123" s="5"/>
      <c r="D123" s="5"/>
      <c r="E123" s="5"/>
      <c r="F123" s="5">
        <v>0</v>
      </c>
      <c r="G123" s="45"/>
      <c r="H123" s="5"/>
      <c r="I123" s="5"/>
      <c r="J123" s="5"/>
      <c r="K123" s="5"/>
      <c r="L123" s="10"/>
      <c r="M123" s="5"/>
      <c r="N123" s="10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20"/>
      <c r="AF123" s="5"/>
      <c r="AG123" s="5"/>
      <c r="AH123" s="5"/>
      <c r="AI123" s="5"/>
      <c r="AJ123" s="5"/>
      <c r="AK123" s="5"/>
      <c r="AL123" s="5"/>
      <c r="AM123" s="5"/>
      <c r="AN123" s="8"/>
      <c r="AO123" s="5">
        <v>0</v>
      </c>
      <c r="AP123" s="5" t="s">
        <v>332</v>
      </c>
      <c r="AQ123" s="5">
        <v>0</v>
      </c>
      <c r="AR123" s="8">
        <f t="shared" si="264"/>
        <v>2</v>
      </c>
      <c r="AS123" s="6">
        <f t="shared" si="186"/>
        <v>36</v>
      </c>
      <c r="AT123" s="6">
        <f t="shared" si="187"/>
        <v>54</v>
      </c>
      <c r="AU123" s="5">
        <f t="shared" si="265"/>
        <v>0</v>
      </c>
      <c r="AV123" s="5">
        <f t="shared" si="266"/>
        <v>1</v>
      </c>
      <c r="AW123" s="5">
        <f t="shared" si="267"/>
        <v>0</v>
      </c>
      <c r="AX123" s="5">
        <f t="shared" ref="AX123" si="430">AX102</f>
        <v>0</v>
      </c>
      <c r="AY123" s="5">
        <f t="shared" si="267"/>
        <v>1</v>
      </c>
      <c r="AZ123" s="8">
        <f t="shared" si="269"/>
        <v>63</v>
      </c>
      <c r="BA123" s="5">
        <f t="shared" si="257"/>
        <v>203016</v>
      </c>
      <c r="BB123" s="5">
        <v>0</v>
      </c>
      <c r="BC123" s="5">
        <v>0</v>
      </c>
      <c r="BD123" s="5">
        <f t="shared" si="270"/>
        <v>0</v>
      </c>
      <c r="BE123" s="5">
        <f t="shared" si="271"/>
        <v>306001</v>
      </c>
      <c r="BF123" s="5">
        <f t="shared" si="272"/>
        <v>0</v>
      </c>
      <c r="BG123" s="5">
        <f t="shared" si="272"/>
        <v>0</v>
      </c>
      <c r="BH123" s="5">
        <f t="shared" ref="BH123" si="431">BH102</f>
        <v>0</v>
      </c>
      <c r="BI123" s="5">
        <f t="shared" si="272"/>
        <v>0</v>
      </c>
      <c r="BJ123" s="5">
        <f t="shared" si="208"/>
        <v>6</v>
      </c>
      <c r="BK123" s="5">
        <f>BJ123*360/BM123</f>
        <v>12</v>
      </c>
      <c r="BL123" s="5">
        <f t="shared" si="312"/>
        <v>1</v>
      </c>
      <c r="BM123" s="5">
        <f t="shared" si="274"/>
        <v>180</v>
      </c>
      <c r="BN123" s="5">
        <f t="shared" si="274"/>
        <v>180</v>
      </c>
      <c r="BO123" s="5">
        <f t="shared" si="274"/>
        <v>203017</v>
      </c>
      <c r="BP123" s="5">
        <f t="shared" si="259"/>
        <v>3</v>
      </c>
      <c r="BQ123" s="5">
        <f t="shared" si="259"/>
        <v>4</v>
      </c>
      <c r="BR123" s="5">
        <f>50*BT123*3-360/BM123*BJ123*BQ123</f>
        <v>852</v>
      </c>
      <c r="BS123" s="4">
        <v>4</v>
      </c>
      <c r="BT123" s="4">
        <v>6</v>
      </c>
      <c r="BU123" s="4">
        <f t="shared" si="275"/>
        <v>0</v>
      </c>
      <c r="BV123" s="4">
        <f t="shared" si="189"/>
        <v>6</v>
      </c>
      <c r="BW123" s="4">
        <f t="shared" si="190"/>
        <v>6</v>
      </c>
      <c r="BX123" s="14">
        <f t="shared" si="191"/>
        <v>0.49999999999999994</v>
      </c>
      <c r="BY123" s="14">
        <f t="shared" si="192"/>
        <v>0.30000000000000004</v>
      </c>
      <c r="BZ123" s="5" t="s">
        <v>225</v>
      </c>
      <c r="CA123" s="8" t="str">
        <f t="shared" si="378"/>
        <v>elite_monster_16</v>
      </c>
      <c r="CB123" s="8" t="str">
        <f t="shared" si="378"/>
        <v>elite_monster_16</v>
      </c>
      <c r="CC123" s="5">
        <v>0</v>
      </c>
      <c r="CD123" s="8">
        <f t="shared" si="276"/>
        <v>2</v>
      </c>
      <c r="CE123" s="5">
        <f t="shared" si="193"/>
        <v>0</v>
      </c>
      <c r="CF123" s="5">
        <f t="shared" si="294"/>
        <v>0</v>
      </c>
      <c r="CG123" s="5" t="s">
        <v>332</v>
      </c>
      <c r="CH123" s="5">
        <f t="shared" si="278"/>
        <v>3</v>
      </c>
      <c r="CI123" s="5">
        <v>114</v>
      </c>
      <c r="CJ123" s="4">
        <v>1</v>
      </c>
      <c r="CK123" s="5">
        <v>0</v>
      </c>
      <c r="CL123" s="5">
        <v>0</v>
      </c>
      <c r="CM123" s="20">
        <f t="shared" si="279"/>
        <v>0</v>
      </c>
      <c r="CN123" s="8">
        <f t="shared" si="279"/>
        <v>0</v>
      </c>
      <c r="CO123" s="5">
        <v>0</v>
      </c>
      <c r="CP123" s="5">
        <v>0</v>
      </c>
      <c r="CQ123" s="5">
        <v>201101</v>
      </c>
      <c r="CR123" s="5">
        <v>5</v>
      </c>
      <c r="CS123" s="5">
        <v>0</v>
      </c>
      <c r="CT123" s="5">
        <v>0</v>
      </c>
      <c r="CU123" s="5">
        <v>0</v>
      </c>
      <c r="CV123" s="8">
        <f t="shared" ref="CV123:CY123" si="432">CV102</f>
        <v>0.8</v>
      </c>
      <c r="CW123" s="8">
        <f t="shared" si="432"/>
        <v>0.6</v>
      </c>
      <c r="CX123" s="8">
        <f t="shared" si="432"/>
        <v>1</v>
      </c>
      <c r="CY123" s="8">
        <f t="shared" si="432"/>
        <v>1</v>
      </c>
      <c r="CZ123" s="8">
        <f t="shared" si="281"/>
        <v>0.8</v>
      </c>
      <c r="DA123" s="6">
        <f t="shared" si="180"/>
        <v>120</v>
      </c>
      <c r="DB123" s="5">
        <f t="shared" si="282"/>
        <v>1</v>
      </c>
      <c r="DC123" s="5">
        <f t="shared" si="195"/>
        <v>0.32500000000000001</v>
      </c>
      <c r="DD123" s="6">
        <f t="shared" si="181"/>
        <v>0.32500000000000001</v>
      </c>
      <c r="DE123" s="6">
        <f t="shared" si="296"/>
        <v>0.52</v>
      </c>
      <c r="DF123" s="5">
        <v>0</v>
      </c>
      <c r="DG123" s="8">
        <f t="shared" si="283"/>
        <v>3</v>
      </c>
      <c r="DH123" s="5">
        <v>2</v>
      </c>
      <c r="DI123" s="8">
        <f t="shared" si="284"/>
        <v>2</v>
      </c>
      <c r="DJ123" s="5">
        <f t="shared" si="182"/>
        <v>40</v>
      </c>
      <c r="DK123" s="8">
        <v>0</v>
      </c>
      <c r="DL123" s="5">
        <f t="shared" si="183"/>
        <v>0</v>
      </c>
      <c r="DM123" s="5" t="s">
        <v>332</v>
      </c>
      <c r="DN123" s="8">
        <f t="shared" ref="DN123:DP123" si="433">DN102</f>
        <v>6</v>
      </c>
      <c r="DO123" s="8">
        <f t="shared" si="433"/>
        <v>0</v>
      </c>
      <c r="DP123" s="5">
        <f t="shared" si="433"/>
        <v>0</v>
      </c>
      <c r="DQ123" s="8">
        <f t="shared" si="425"/>
        <v>0</v>
      </c>
      <c r="DR123" s="5">
        <f t="shared" si="197"/>
        <v>4.5</v>
      </c>
      <c r="DS123" s="8">
        <f t="shared" si="287"/>
        <v>5</v>
      </c>
      <c r="DT123" s="8">
        <f t="shared" si="288"/>
        <v>-5</v>
      </c>
      <c r="DU123" s="8">
        <f t="shared" si="288"/>
        <v>0</v>
      </c>
      <c r="DV123" s="8">
        <f t="shared" si="262"/>
        <v>0.2</v>
      </c>
      <c r="DW123" s="5">
        <f t="shared" si="375"/>
        <v>0.5</v>
      </c>
      <c r="DX123" s="8">
        <f t="shared" si="289"/>
        <v>6</v>
      </c>
      <c r="DY123" s="8">
        <f t="shared" si="290"/>
        <v>0</v>
      </c>
      <c r="DZ123" s="8">
        <f t="shared" si="291"/>
        <v>0</v>
      </c>
      <c r="EA123" s="5"/>
    </row>
    <row r="124" spans="1:131" x14ac:dyDescent="0.15">
      <c r="A124" s="5">
        <v>201122</v>
      </c>
      <c r="B124" s="5" t="s">
        <v>333</v>
      </c>
      <c r="C124" s="5"/>
      <c r="D124" s="5"/>
      <c r="E124" s="5"/>
      <c r="F124" s="5">
        <v>0</v>
      </c>
      <c r="G124" s="45"/>
      <c r="H124" s="5"/>
      <c r="I124" s="5"/>
      <c r="J124" s="5"/>
      <c r="K124" s="5"/>
      <c r="L124" s="10"/>
      <c r="M124" s="5"/>
      <c r="N124" s="10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20"/>
      <c r="AF124" s="5"/>
      <c r="AG124" s="5"/>
      <c r="AH124" s="5"/>
      <c r="AI124" s="5"/>
      <c r="AJ124" s="5"/>
      <c r="AK124" s="5"/>
      <c r="AL124" s="5"/>
      <c r="AM124" s="5"/>
      <c r="AN124" s="8"/>
      <c r="AO124" s="5">
        <v>0</v>
      </c>
      <c r="AP124" s="5" t="s">
        <v>333</v>
      </c>
      <c r="AQ124" s="5">
        <v>0</v>
      </c>
      <c r="AR124" s="8">
        <f t="shared" si="264"/>
        <v>1.5</v>
      </c>
      <c r="AS124" s="6">
        <f t="shared" si="186"/>
        <v>27</v>
      </c>
      <c r="AT124" s="6">
        <f t="shared" si="187"/>
        <v>45</v>
      </c>
      <c r="AU124" s="5">
        <f t="shared" si="265"/>
        <v>0.8</v>
      </c>
      <c r="AV124" s="5">
        <f t="shared" si="266"/>
        <v>1</v>
      </c>
      <c r="AW124" s="5">
        <f t="shared" si="267"/>
        <v>0</v>
      </c>
      <c r="AX124" s="5">
        <f t="shared" ref="AX124" si="434">AX103</f>
        <v>0</v>
      </c>
      <c r="AY124" s="5">
        <f t="shared" si="267"/>
        <v>1</v>
      </c>
      <c r="AZ124" s="8">
        <f t="shared" si="269"/>
        <v>63</v>
      </c>
      <c r="BA124" s="5">
        <f t="shared" si="257"/>
        <v>203017</v>
      </c>
      <c r="BB124" s="5">
        <v>0</v>
      </c>
      <c r="BC124" s="5">
        <v>0</v>
      </c>
      <c r="BD124" s="5">
        <f t="shared" si="270"/>
        <v>0</v>
      </c>
      <c r="BE124" s="5">
        <f t="shared" si="271"/>
        <v>0</v>
      </c>
      <c r="BF124" s="5">
        <f t="shared" si="272"/>
        <v>0</v>
      </c>
      <c r="BG124" s="5">
        <f t="shared" si="272"/>
        <v>15</v>
      </c>
      <c r="BH124" s="5">
        <f t="shared" ref="BH124" si="435">BH103</f>
        <v>270</v>
      </c>
      <c r="BI124" s="5">
        <f t="shared" si="272"/>
        <v>0</v>
      </c>
      <c r="BJ124" s="5">
        <f t="shared" si="208"/>
        <v>0</v>
      </c>
      <c r="BK124" s="5">
        <v>0</v>
      </c>
      <c r="BL124" s="5">
        <f t="shared" si="312"/>
        <v>0</v>
      </c>
      <c r="BM124" s="5">
        <f t="shared" si="274"/>
        <v>0</v>
      </c>
      <c r="BN124" s="5">
        <f t="shared" si="274"/>
        <v>0</v>
      </c>
      <c r="BO124" s="5">
        <f t="shared" si="274"/>
        <v>0</v>
      </c>
      <c r="BP124" s="5">
        <f t="shared" si="259"/>
        <v>0</v>
      </c>
      <c r="BQ124" s="5">
        <f t="shared" si="259"/>
        <v>0</v>
      </c>
      <c r="BR124" s="5"/>
      <c r="BS124" s="4">
        <v>4</v>
      </c>
      <c r="BT124" s="4">
        <v>6</v>
      </c>
      <c r="BU124" s="4">
        <f t="shared" si="275"/>
        <v>0</v>
      </c>
      <c r="BV124" s="4">
        <f t="shared" si="189"/>
        <v>6</v>
      </c>
      <c r="BW124" s="4">
        <f t="shared" si="190"/>
        <v>6</v>
      </c>
      <c r="BX124" s="14">
        <f t="shared" si="191"/>
        <v>0.49999999999999994</v>
      </c>
      <c r="BY124" s="14">
        <f t="shared" si="192"/>
        <v>0.30000000000000004</v>
      </c>
      <c r="BZ124" s="5" t="s">
        <v>228</v>
      </c>
      <c r="CA124" s="8" t="str">
        <f t="shared" si="378"/>
        <v>elite_monster_17</v>
      </c>
      <c r="CB124" s="8" t="str">
        <f t="shared" si="378"/>
        <v>elite_monster_17</v>
      </c>
      <c r="CC124" s="5">
        <v>0</v>
      </c>
      <c r="CD124" s="8">
        <f t="shared" si="276"/>
        <v>2</v>
      </c>
      <c r="CE124" s="5">
        <f t="shared" si="193"/>
        <v>0</v>
      </c>
      <c r="CF124" s="5">
        <f t="shared" si="294"/>
        <v>0</v>
      </c>
      <c r="CG124" s="5" t="s">
        <v>333</v>
      </c>
      <c r="CH124" s="5">
        <f t="shared" si="278"/>
        <v>3</v>
      </c>
      <c r="CI124" s="5">
        <v>0</v>
      </c>
      <c r="CJ124" s="4">
        <v>1</v>
      </c>
      <c r="CK124" s="5">
        <v>0</v>
      </c>
      <c r="CL124" s="5">
        <v>0</v>
      </c>
      <c r="CM124" s="20">
        <f t="shared" si="279"/>
        <v>0</v>
      </c>
      <c r="CN124" s="8">
        <f t="shared" si="279"/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201121</v>
      </c>
      <c r="CT124" s="5">
        <v>0</v>
      </c>
      <c r="CU124" s="5">
        <v>0</v>
      </c>
      <c r="CV124" s="8">
        <f t="shared" ref="CV124:CY124" si="436">CV103</f>
        <v>0.8</v>
      </c>
      <c r="CW124" s="8">
        <f t="shared" si="436"/>
        <v>0.6</v>
      </c>
      <c r="CX124" s="8">
        <f t="shared" si="436"/>
        <v>1</v>
      </c>
      <c r="CY124" s="8">
        <f t="shared" si="436"/>
        <v>1</v>
      </c>
      <c r="CZ124" s="8">
        <f t="shared" si="281"/>
        <v>1</v>
      </c>
      <c r="DA124" s="6">
        <f t="shared" si="180"/>
        <v>150</v>
      </c>
      <c r="DB124" s="5">
        <f t="shared" si="282"/>
        <v>1</v>
      </c>
      <c r="DC124" s="5">
        <f t="shared" si="195"/>
        <v>0.15625</v>
      </c>
      <c r="DD124" s="6">
        <f t="shared" si="181"/>
        <v>0.15625</v>
      </c>
      <c r="DE124" s="6">
        <f t="shared" si="296"/>
        <v>0.25</v>
      </c>
      <c r="DF124" s="5">
        <v>0</v>
      </c>
      <c r="DG124" s="8">
        <f t="shared" si="283"/>
        <v>3</v>
      </c>
      <c r="DH124" s="5">
        <v>2</v>
      </c>
      <c r="DI124" s="8">
        <f t="shared" si="284"/>
        <v>0</v>
      </c>
      <c r="DJ124" s="5">
        <f t="shared" si="182"/>
        <v>0</v>
      </c>
      <c r="DK124" s="8">
        <v>0</v>
      </c>
      <c r="DL124" s="5">
        <f t="shared" si="183"/>
        <v>0</v>
      </c>
      <c r="DM124" s="5" t="s">
        <v>333</v>
      </c>
      <c r="DN124" s="8">
        <f t="shared" ref="DN124:DP124" si="437">DN103</f>
        <v>0</v>
      </c>
      <c r="DO124" s="8">
        <f t="shared" si="437"/>
        <v>0</v>
      </c>
      <c r="DP124" s="5">
        <f t="shared" si="437"/>
        <v>0</v>
      </c>
      <c r="DQ124" s="8">
        <f t="shared" si="425"/>
        <v>0</v>
      </c>
      <c r="DR124" s="5">
        <f t="shared" si="197"/>
        <v>3.15</v>
      </c>
      <c r="DS124" s="8">
        <f t="shared" si="287"/>
        <v>3.5</v>
      </c>
      <c r="DT124" s="8">
        <f t="shared" si="288"/>
        <v>-0.5</v>
      </c>
      <c r="DU124" s="8">
        <f t="shared" si="288"/>
        <v>0.5</v>
      </c>
      <c r="DV124" s="8">
        <f t="shared" si="262"/>
        <v>0.2</v>
      </c>
      <c r="DW124" s="5">
        <f t="shared" si="375"/>
        <v>0</v>
      </c>
      <c r="DX124" s="8">
        <f t="shared" si="289"/>
        <v>0</v>
      </c>
      <c r="DY124" s="8">
        <f t="shared" si="290"/>
        <v>0</v>
      </c>
      <c r="DZ124" s="8">
        <f t="shared" si="291"/>
        <v>0</v>
      </c>
      <c r="EA124" s="5"/>
    </row>
    <row r="125" spans="1:131" x14ac:dyDescent="0.15">
      <c r="A125" s="5">
        <v>201123</v>
      </c>
      <c r="B125" s="5" t="s">
        <v>334</v>
      </c>
      <c r="C125" s="5"/>
      <c r="D125" s="5"/>
      <c r="E125" s="5"/>
      <c r="F125" s="5">
        <v>0</v>
      </c>
      <c r="G125" s="45"/>
      <c r="H125" s="5"/>
      <c r="I125" s="5"/>
      <c r="J125" s="5"/>
      <c r="K125" s="5"/>
      <c r="L125" s="10"/>
      <c r="M125" s="5"/>
      <c r="N125" s="10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20"/>
      <c r="AF125" s="5"/>
      <c r="AG125" s="5"/>
      <c r="AH125" s="5"/>
      <c r="AI125" s="5"/>
      <c r="AJ125" s="5"/>
      <c r="AK125" s="5"/>
      <c r="AL125" s="5"/>
      <c r="AM125" s="5"/>
      <c r="AN125" s="8"/>
      <c r="AO125" s="5">
        <v>0</v>
      </c>
      <c r="AP125" s="5" t="s">
        <v>334</v>
      </c>
      <c r="AQ125" s="5">
        <v>0</v>
      </c>
      <c r="AR125" s="8">
        <f t="shared" si="264"/>
        <v>2</v>
      </c>
      <c r="AS125" s="6">
        <f t="shared" si="186"/>
        <v>36</v>
      </c>
      <c r="AT125" s="6">
        <f t="shared" si="187"/>
        <v>54</v>
      </c>
      <c r="AU125" s="5">
        <f t="shared" si="265"/>
        <v>0</v>
      </c>
      <c r="AV125" s="5">
        <f t="shared" si="266"/>
        <v>1</v>
      </c>
      <c r="AW125" s="5">
        <f t="shared" si="267"/>
        <v>1</v>
      </c>
      <c r="AX125" s="5">
        <f t="shared" ref="AX125" si="438">AX104</f>
        <v>1</v>
      </c>
      <c r="AY125" s="5">
        <f t="shared" si="267"/>
        <v>1</v>
      </c>
      <c r="AZ125" s="8">
        <f t="shared" si="269"/>
        <v>62</v>
      </c>
      <c r="BA125" s="5">
        <f t="shared" si="257"/>
        <v>203018</v>
      </c>
      <c r="BB125" s="5">
        <v>0</v>
      </c>
      <c r="BC125" s="5">
        <v>0</v>
      </c>
      <c r="BD125" s="5">
        <f t="shared" si="270"/>
        <v>0</v>
      </c>
      <c r="BE125" s="5">
        <f t="shared" si="271"/>
        <v>604001</v>
      </c>
      <c r="BF125" s="5">
        <f t="shared" si="272"/>
        <v>0</v>
      </c>
      <c r="BG125" s="5">
        <f t="shared" si="272"/>
        <v>0</v>
      </c>
      <c r="BH125" s="5">
        <f t="shared" ref="BH125" si="439">BH104</f>
        <v>0</v>
      </c>
      <c r="BI125" s="5">
        <f t="shared" si="272"/>
        <v>0</v>
      </c>
      <c r="BJ125" s="5">
        <v>48</v>
      </c>
      <c r="BK125" s="5">
        <f>BJ125*360/BM125</f>
        <v>192</v>
      </c>
      <c r="BL125" s="5">
        <f t="shared" si="312"/>
        <v>2</v>
      </c>
      <c r="BM125" s="5">
        <f t="shared" si="274"/>
        <v>90</v>
      </c>
      <c r="BN125" s="5">
        <f t="shared" si="274"/>
        <v>180</v>
      </c>
      <c r="BO125" s="5">
        <f t="shared" si="274"/>
        <v>203019</v>
      </c>
      <c r="BP125" s="5">
        <f t="shared" si="259"/>
        <v>3</v>
      </c>
      <c r="BQ125" s="5">
        <f t="shared" si="259"/>
        <v>2</v>
      </c>
      <c r="BR125" s="5">
        <f>50*BT125*3-360/BM125*BJ125*BQ125</f>
        <v>516</v>
      </c>
      <c r="BS125" s="4">
        <v>4</v>
      </c>
      <c r="BT125" s="4">
        <v>6</v>
      </c>
      <c r="BU125" s="4">
        <f t="shared" si="275"/>
        <v>0</v>
      </c>
      <c r="BV125" s="4">
        <f t="shared" si="189"/>
        <v>6</v>
      </c>
      <c r="BW125" s="4">
        <f t="shared" si="190"/>
        <v>6</v>
      </c>
      <c r="BX125" s="14">
        <f t="shared" si="191"/>
        <v>0.49999999999999994</v>
      </c>
      <c r="BY125" s="14">
        <f t="shared" si="192"/>
        <v>0.30000000000000004</v>
      </c>
      <c r="BZ125" s="5" t="s">
        <v>231</v>
      </c>
      <c r="CA125" s="8" t="str">
        <f t="shared" si="378"/>
        <v>elite_monster_18</v>
      </c>
      <c r="CB125" s="8" t="str">
        <f t="shared" si="378"/>
        <v>elite_monster_18</v>
      </c>
      <c r="CC125" s="5">
        <v>0</v>
      </c>
      <c r="CD125" s="8">
        <f t="shared" si="276"/>
        <v>2</v>
      </c>
      <c r="CE125" s="5">
        <f t="shared" si="193"/>
        <v>6</v>
      </c>
      <c r="CF125" s="5">
        <f t="shared" si="294"/>
        <v>1</v>
      </c>
      <c r="CG125" s="5" t="s">
        <v>334</v>
      </c>
      <c r="CH125" s="5">
        <f>CH103</f>
        <v>3</v>
      </c>
      <c r="CI125" s="5">
        <v>105</v>
      </c>
      <c r="CJ125" s="4">
        <v>1</v>
      </c>
      <c r="CK125" s="5">
        <v>0</v>
      </c>
      <c r="CL125" s="5">
        <v>0</v>
      </c>
      <c r="CM125" s="20">
        <f t="shared" si="279"/>
        <v>0</v>
      </c>
      <c r="CN125" s="8">
        <f t="shared" si="279"/>
        <v>0</v>
      </c>
      <c r="CO125" s="5">
        <v>0</v>
      </c>
      <c r="CP125" s="5">
        <v>0</v>
      </c>
      <c r="CQ125" s="5">
        <v>201103</v>
      </c>
      <c r="CR125" s="5">
        <v>5</v>
      </c>
      <c r="CS125" s="5">
        <v>0</v>
      </c>
      <c r="CT125" s="5">
        <v>0</v>
      </c>
      <c r="CU125" s="5">
        <v>0</v>
      </c>
      <c r="CV125" s="8">
        <f t="shared" ref="CV125:CY125" si="440">CV104</f>
        <v>0.8</v>
      </c>
      <c r="CW125" s="8">
        <f t="shared" si="440"/>
        <v>0.6</v>
      </c>
      <c r="CX125" s="8">
        <f t="shared" si="440"/>
        <v>1</v>
      </c>
      <c r="CY125" s="8">
        <f t="shared" si="440"/>
        <v>1</v>
      </c>
      <c r="CZ125" s="8">
        <f t="shared" si="281"/>
        <v>1</v>
      </c>
      <c r="DA125" s="6">
        <f t="shared" si="180"/>
        <v>150</v>
      </c>
      <c r="DB125" s="5">
        <f t="shared" si="282"/>
        <v>0</v>
      </c>
      <c r="DC125" s="5">
        <f t="shared" si="195"/>
        <v>0.15625</v>
      </c>
      <c r="DD125" s="6">
        <f t="shared" si="181"/>
        <v>0.15625</v>
      </c>
      <c r="DE125" s="6">
        <f t="shared" si="296"/>
        <v>0.25</v>
      </c>
      <c r="DF125" s="5">
        <v>0</v>
      </c>
      <c r="DG125" s="8">
        <f t="shared" si="283"/>
        <v>2.25</v>
      </c>
      <c r="DH125" s="5">
        <v>1.25</v>
      </c>
      <c r="DI125" s="8">
        <f t="shared" si="284"/>
        <v>4</v>
      </c>
      <c r="DJ125" s="5">
        <f t="shared" si="182"/>
        <v>80</v>
      </c>
      <c r="DK125" s="8">
        <v>0</v>
      </c>
      <c r="DL125" s="5">
        <f t="shared" si="183"/>
        <v>0</v>
      </c>
      <c r="DM125" s="5" t="s">
        <v>335</v>
      </c>
      <c r="DN125" s="8">
        <f t="shared" ref="DN125:DP125" si="441">DN104</f>
        <v>6</v>
      </c>
      <c r="DO125" s="8">
        <f t="shared" si="441"/>
        <v>0</v>
      </c>
      <c r="DP125" s="5">
        <f t="shared" si="441"/>
        <v>0</v>
      </c>
      <c r="DQ125" s="8">
        <f t="shared" si="425"/>
        <v>0</v>
      </c>
      <c r="DR125" s="5">
        <f t="shared" si="197"/>
        <v>1.35</v>
      </c>
      <c r="DS125" s="8">
        <f t="shared" si="287"/>
        <v>1.5</v>
      </c>
      <c r="DT125" s="8">
        <f t="shared" si="288"/>
        <v>-0.5</v>
      </c>
      <c r="DU125" s="8">
        <f t="shared" si="288"/>
        <v>0.5</v>
      </c>
      <c r="DV125" s="8">
        <f t="shared" si="262"/>
        <v>0.35</v>
      </c>
      <c r="DW125" s="5">
        <f t="shared" si="375"/>
        <v>0.33333333333333331</v>
      </c>
      <c r="DX125" s="8">
        <f t="shared" si="289"/>
        <v>4</v>
      </c>
      <c r="DY125" s="8">
        <f t="shared" si="290"/>
        <v>0</v>
      </c>
      <c r="DZ125" s="8">
        <f t="shared" si="291"/>
        <v>0</v>
      </c>
      <c r="EA125" s="5"/>
    </row>
    <row r="126" spans="1:131" x14ac:dyDescent="0.15">
      <c r="A126" s="5">
        <v>201124</v>
      </c>
      <c r="B126" s="5" t="s">
        <v>336</v>
      </c>
      <c r="C126" s="5"/>
      <c r="D126" s="5"/>
      <c r="E126" s="5"/>
      <c r="F126" s="5">
        <v>0</v>
      </c>
      <c r="G126" s="45"/>
      <c r="H126" s="5"/>
      <c r="I126" s="5"/>
      <c r="J126" s="5"/>
      <c r="K126" s="5"/>
      <c r="L126" s="10"/>
      <c r="M126" s="5"/>
      <c r="N126" s="10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20"/>
      <c r="AF126" s="5"/>
      <c r="AG126" s="5"/>
      <c r="AH126" s="5"/>
      <c r="AI126" s="5"/>
      <c r="AJ126" s="5"/>
      <c r="AK126" s="5"/>
      <c r="AL126" s="5"/>
      <c r="AM126" s="5"/>
      <c r="AN126" s="8"/>
      <c r="AO126" s="5">
        <v>0</v>
      </c>
      <c r="AP126" s="5" t="s">
        <v>336</v>
      </c>
      <c r="AQ126" s="5">
        <v>0</v>
      </c>
      <c r="AR126" s="8">
        <f t="shared" si="264"/>
        <v>1.5</v>
      </c>
      <c r="AS126" s="6">
        <f t="shared" si="186"/>
        <v>27</v>
      </c>
      <c r="AT126" s="6">
        <f t="shared" si="187"/>
        <v>45</v>
      </c>
      <c r="AU126" s="5">
        <f t="shared" si="265"/>
        <v>0</v>
      </c>
      <c r="AV126" s="5">
        <f t="shared" si="266"/>
        <v>1</v>
      </c>
      <c r="AW126" s="5">
        <f t="shared" si="267"/>
        <v>1</v>
      </c>
      <c r="AX126" s="5">
        <f t="shared" ref="AX126" si="442">AX105</f>
        <v>1</v>
      </c>
      <c r="AY126" s="5">
        <f t="shared" si="267"/>
        <v>1</v>
      </c>
      <c r="AZ126" s="8">
        <f t="shared" si="269"/>
        <v>62</v>
      </c>
      <c r="BA126" s="5">
        <f t="shared" si="257"/>
        <v>203019</v>
      </c>
      <c r="BB126" s="5">
        <v>0</v>
      </c>
      <c r="BC126" s="5">
        <v>0</v>
      </c>
      <c r="BD126" s="5">
        <f t="shared" si="270"/>
        <v>0</v>
      </c>
      <c r="BE126" s="5">
        <f t="shared" si="271"/>
        <v>0</v>
      </c>
      <c r="BF126" s="5">
        <f t="shared" si="272"/>
        <v>0</v>
      </c>
      <c r="BG126" s="5">
        <f t="shared" si="272"/>
        <v>15</v>
      </c>
      <c r="BH126" s="5">
        <f t="shared" ref="BH126" si="443">BH105</f>
        <v>270</v>
      </c>
      <c r="BI126" s="5">
        <f t="shared" si="272"/>
        <v>0</v>
      </c>
      <c r="BJ126" s="5">
        <f t="shared" si="208"/>
        <v>0</v>
      </c>
      <c r="BK126" s="5">
        <v>0</v>
      </c>
      <c r="BL126" s="5">
        <f t="shared" si="312"/>
        <v>0</v>
      </c>
      <c r="BM126" s="5">
        <f t="shared" si="274"/>
        <v>0</v>
      </c>
      <c r="BN126" s="5">
        <f t="shared" si="274"/>
        <v>0</v>
      </c>
      <c r="BO126" s="5">
        <f t="shared" si="274"/>
        <v>0</v>
      </c>
      <c r="BP126" s="5">
        <f t="shared" si="259"/>
        <v>0</v>
      </c>
      <c r="BQ126" s="5">
        <f t="shared" si="259"/>
        <v>0</v>
      </c>
      <c r="BR126" s="5"/>
      <c r="BS126" s="4">
        <v>4</v>
      </c>
      <c r="BT126" s="4">
        <v>6</v>
      </c>
      <c r="BU126" s="4">
        <f t="shared" si="275"/>
        <v>0</v>
      </c>
      <c r="BV126" s="4">
        <f t="shared" si="189"/>
        <v>6</v>
      </c>
      <c r="BW126" s="4">
        <f t="shared" si="190"/>
        <v>6</v>
      </c>
      <c r="BX126" s="14">
        <f t="shared" si="191"/>
        <v>0.49999999999999994</v>
      </c>
      <c r="BY126" s="14">
        <f t="shared" si="192"/>
        <v>0.30000000000000004</v>
      </c>
      <c r="BZ126" s="5" t="s">
        <v>235</v>
      </c>
      <c r="CA126" s="8" t="str">
        <f t="shared" si="378"/>
        <v>elite_monster_19</v>
      </c>
      <c r="CB126" s="8" t="str">
        <f t="shared" si="378"/>
        <v>elite_monster_19</v>
      </c>
      <c r="CC126" s="5">
        <v>0</v>
      </c>
      <c r="CD126" s="8">
        <f t="shared" si="276"/>
        <v>2</v>
      </c>
      <c r="CE126" s="5">
        <f t="shared" si="193"/>
        <v>0</v>
      </c>
      <c r="CF126" s="5">
        <f t="shared" si="294"/>
        <v>0</v>
      </c>
      <c r="CG126" s="5" t="s">
        <v>336</v>
      </c>
      <c r="CH126" s="5">
        <f t="shared" si="278"/>
        <v>3</v>
      </c>
      <c r="CI126" s="5">
        <v>0</v>
      </c>
      <c r="CJ126" s="4">
        <v>1</v>
      </c>
      <c r="CK126" s="5">
        <v>0</v>
      </c>
      <c r="CL126" s="5">
        <v>0</v>
      </c>
      <c r="CM126" s="20">
        <f t="shared" si="279"/>
        <v>0</v>
      </c>
      <c r="CN126" s="8">
        <f t="shared" si="279"/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201123</v>
      </c>
      <c r="CT126" s="5">
        <v>0</v>
      </c>
      <c r="CU126" s="5">
        <v>0</v>
      </c>
      <c r="CV126" s="8">
        <f t="shared" ref="CV126:CY126" si="444">CV105</f>
        <v>0.8</v>
      </c>
      <c r="CW126" s="8">
        <f t="shared" si="444"/>
        <v>0.6</v>
      </c>
      <c r="CX126" s="8">
        <f t="shared" si="444"/>
        <v>1</v>
      </c>
      <c r="CY126" s="8">
        <f t="shared" si="444"/>
        <v>1</v>
      </c>
      <c r="CZ126" s="8">
        <f t="shared" si="281"/>
        <v>1</v>
      </c>
      <c r="DA126" s="6">
        <f t="shared" si="180"/>
        <v>150</v>
      </c>
      <c r="DB126" s="5">
        <f t="shared" si="282"/>
        <v>0</v>
      </c>
      <c r="DC126" s="5">
        <f t="shared" si="195"/>
        <v>0.15625</v>
      </c>
      <c r="DD126" s="6">
        <f t="shared" si="181"/>
        <v>0.15625</v>
      </c>
      <c r="DE126" s="6">
        <f t="shared" si="296"/>
        <v>0.25</v>
      </c>
      <c r="DF126" s="5">
        <v>0</v>
      </c>
      <c r="DG126" s="8">
        <f t="shared" si="283"/>
        <v>2.25</v>
      </c>
      <c r="DH126" s="5">
        <v>1.25</v>
      </c>
      <c r="DI126" s="8">
        <f t="shared" si="284"/>
        <v>0</v>
      </c>
      <c r="DJ126" s="5">
        <f t="shared" si="182"/>
        <v>0</v>
      </c>
      <c r="DK126" s="8">
        <v>0</v>
      </c>
      <c r="DL126" s="5">
        <f t="shared" si="183"/>
        <v>0</v>
      </c>
      <c r="DM126" s="5" t="s">
        <v>337</v>
      </c>
      <c r="DN126" s="8">
        <f t="shared" ref="DN126:DP126" si="445">DN105</f>
        <v>0</v>
      </c>
      <c r="DO126" s="8">
        <f t="shared" si="445"/>
        <v>0</v>
      </c>
      <c r="DP126" s="5">
        <f t="shared" si="445"/>
        <v>0</v>
      </c>
      <c r="DQ126" s="8">
        <f t="shared" si="425"/>
        <v>0</v>
      </c>
      <c r="DR126" s="5">
        <f t="shared" si="197"/>
        <v>1.35</v>
      </c>
      <c r="DS126" s="8">
        <f t="shared" si="287"/>
        <v>1.5</v>
      </c>
      <c r="DT126" s="8">
        <f t="shared" si="288"/>
        <v>-0.5</v>
      </c>
      <c r="DU126" s="8">
        <f t="shared" si="288"/>
        <v>0.5</v>
      </c>
      <c r="DV126" s="8">
        <f t="shared" si="262"/>
        <v>0.35</v>
      </c>
      <c r="DW126" s="5">
        <f t="shared" si="375"/>
        <v>0</v>
      </c>
      <c r="DX126" s="8">
        <f t="shared" si="289"/>
        <v>0</v>
      </c>
      <c r="DY126" s="8">
        <f t="shared" si="290"/>
        <v>0</v>
      </c>
      <c r="DZ126" s="8">
        <f t="shared" si="291"/>
        <v>0</v>
      </c>
      <c r="EA126" s="5"/>
    </row>
    <row r="127" spans="1:131" x14ac:dyDescent="0.15">
      <c r="A127" s="5">
        <v>201125</v>
      </c>
      <c r="B127" s="5" t="s">
        <v>338</v>
      </c>
      <c r="C127" s="5"/>
      <c r="D127" s="5"/>
      <c r="E127" s="5"/>
      <c r="F127" s="5">
        <v>0</v>
      </c>
      <c r="G127" s="45"/>
      <c r="H127" s="5"/>
      <c r="I127" s="5"/>
      <c r="J127" s="5"/>
      <c r="K127" s="5"/>
      <c r="L127" s="10"/>
      <c r="M127" s="5"/>
      <c r="N127" s="10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20"/>
      <c r="AF127" s="5"/>
      <c r="AG127" s="5"/>
      <c r="AH127" s="5"/>
      <c r="AI127" s="5"/>
      <c r="AJ127" s="5"/>
      <c r="AK127" s="5"/>
      <c r="AL127" s="5"/>
      <c r="AM127" s="5"/>
      <c r="AN127" s="8"/>
      <c r="AO127" s="5">
        <v>0</v>
      </c>
      <c r="AP127" s="5" t="s">
        <v>338</v>
      </c>
      <c r="AQ127" s="5">
        <v>0</v>
      </c>
      <c r="AR127" s="8">
        <f t="shared" si="264"/>
        <v>3</v>
      </c>
      <c r="AS127" s="6">
        <f t="shared" si="186"/>
        <v>54</v>
      </c>
      <c r="AT127" s="6">
        <f t="shared" si="187"/>
        <v>72</v>
      </c>
      <c r="AU127" s="5">
        <f t="shared" si="265"/>
        <v>0</v>
      </c>
      <c r="AV127" s="5">
        <f t="shared" si="266"/>
        <v>1</v>
      </c>
      <c r="AW127" s="5">
        <f t="shared" si="267"/>
        <v>0</v>
      </c>
      <c r="AX127" s="5">
        <f t="shared" ref="AX127" si="446">AX106</f>
        <v>0</v>
      </c>
      <c r="AY127" s="5">
        <f t="shared" si="267"/>
        <v>0</v>
      </c>
      <c r="AZ127" s="8">
        <f t="shared" si="269"/>
        <v>61</v>
      </c>
      <c r="BA127" s="5">
        <f t="shared" si="257"/>
        <v>203020</v>
      </c>
      <c r="BB127" s="5">
        <v>0</v>
      </c>
      <c r="BC127" s="5">
        <v>0</v>
      </c>
      <c r="BD127" s="5">
        <f t="shared" si="270"/>
        <v>0</v>
      </c>
      <c r="BE127" s="5">
        <f t="shared" si="271"/>
        <v>0</v>
      </c>
      <c r="BF127" s="5">
        <f t="shared" si="272"/>
        <v>0</v>
      </c>
      <c r="BG127" s="5">
        <f t="shared" si="272"/>
        <v>0</v>
      </c>
      <c r="BH127" s="5">
        <f t="shared" ref="BH127" si="447">BH106</f>
        <v>0</v>
      </c>
      <c r="BI127" s="5">
        <f t="shared" si="272"/>
        <v>0</v>
      </c>
      <c r="BJ127" s="5">
        <f t="shared" si="208"/>
        <v>0</v>
      </c>
      <c r="BK127" s="5">
        <v>0</v>
      </c>
      <c r="BL127" s="5">
        <f t="shared" si="312"/>
        <v>0</v>
      </c>
      <c r="BM127" s="5">
        <f t="shared" si="274"/>
        <v>0</v>
      </c>
      <c r="BN127" s="5">
        <f t="shared" si="274"/>
        <v>0</v>
      </c>
      <c r="BO127" s="5">
        <f t="shared" si="274"/>
        <v>0</v>
      </c>
      <c r="BP127" s="5">
        <f t="shared" si="259"/>
        <v>0</v>
      </c>
      <c r="BQ127" s="5">
        <f t="shared" si="259"/>
        <v>0</v>
      </c>
      <c r="BR127" s="5"/>
      <c r="BS127" s="4">
        <v>4</v>
      </c>
      <c r="BT127" s="4">
        <v>6</v>
      </c>
      <c r="BU127" s="4">
        <f t="shared" si="275"/>
        <v>0</v>
      </c>
      <c r="BV127" s="4">
        <f t="shared" si="189"/>
        <v>6</v>
      </c>
      <c r="BW127" s="4">
        <f t="shared" si="190"/>
        <v>6</v>
      </c>
      <c r="BX127" s="14">
        <f t="shared" si="191"/>
        <v>0.49999999999999994</v>
      </c>
      <c r="BY127" s="14">
        <f t="shared" si="192"/>
        <v>0.30000000000000004</v>
      </c>
      <c r="BZ127" s="5" t="s">
        <v>239</v>
      </c>
      <c r="CA127" s="8" t="str">
        <f t="shared" si="378"/>
        <v>elite_monster_20</v>
      </c>
      <c r="CB127" s="8" t="str">
        <f t="shared" si="378"/>
        <v>elite_monster_20</v>
      </c>
      <c r="CC127" s="5">
        <v>0</v>
      </c>
      <c r="CD127" s="8">
        <f t="shared" si="276"/>
        <v>1</v>
      </c>
      <c r="CE127" s="5">
        <f t="shared" si="193"/>
        <v>0</v>
      </c>
      <c r="CF127" s="5">
        <f t="shared" si="294"/>
        <v>0</v>
      </c>
      <c r="CG127" s="5" t="s">
        <v>338</v>
      </c>
      <c r="CH127" s="5">
        <f t="shared" si="278"/>
        <v>3</v>
      </c>
      <c r="CI127" s="5">
        <v>0</v>
      </c>
      <c r="CJ127" s="4">
        <v>1</v>
      </c>
      <c r="CK127" s="5">
        <v>0</v>
      </c>
      <c r="CL127" s="5">
        <v>0</v>
      </c>
      <c r="CM127" s="20">
        <f t="shared" si="279"/>
        <v>0</v>
      </c>
      <c r="CN127" s="8">
        <f t="shared" si="279"/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201104</v>
      </c>
      <c r="CT127" s="5">
        <v>0</v>
      </c>
      <c r="CU127" s="5">
        <v>0</v>
      </c>
      <c r="CV127" s="8">
        <f t="shared" ref="CV127:CY127" si="448">CV106</f>
        <v>0.8</v>
      </c>
      <c r="CW127" s="8">
        <f t="shared" si="448"/>
        <v>0.6</v>
      </c>
      <c r="CX127" s="8">
        <f t="shared" si="448"/>
        <v>1</v>
      </c>
      <c r="CY127" s="8">
        <f t="shared" si="448"/>
        <v>1</v>
      </c>
      <c r="CZ127" s="8">
        <f t="shared" si="281"/>
        <v>1</v>
      </c>
      <c r="DA127" s="6">
        <f t="shared" si="180"/>
        <v>150</v>
      </c>
      <c r="DB127" s="5">
        <f t="shared" si="282"/>
        <v>0</v>
      </c>
      <c r="DC127" s="5">
        <f t="shared" si="195"/>
        <v>8.1250000000000003E-2</v>
      </c>
      <c r="DD127" s="6">
        <f t="shared" si="181"/>
        <v>8.1250000000000003E-2</v>
      </c>
      <c r="DE127" s="6">
        <f t="shared" si="296"/>
        <v>0.13</v>
      </c>
      <c r="DF127" s="5">
        <v>0</v>
      </c>
      <c r="DG127" s="8">
        <f t="shared" si="283"/>
        <v>2.25</v>
      </c>
      <c r="DH127" s="5">
        <v>1.25</v>
      </c>
      <c r="DI127" s="8">
        <f t="shared" si="284"/>
        <v>0</v>
      </c>
      <c r="DJ127" s="5">
        <f t="shared" si="182"/>
        <v>0</v>
      </c>
      <c r="DK127" s="8">
        <v>0</v>
      </c>
      <c r="DL127" s="5">
        <f t="shared" si="183"/>
        <v>0</v>
      </c>
      <c r="DM127" s="5" t="s">
        <v>338</v>
      </c>
      <c r="DN127" s="8">
        <f t="shared" ref="DN127:DP127" si="449">DN106</f>
        <v>6</v>
      </c>
      <c r="DO127" s="8">
        <f t="shared" si="449"/>
        <v>0</v>
      </c>
      <c r="DP127" s="5">
        <f t="shared" si="449"/>
        <v>0</v>
      </c>
      <c r="DQ127" s="8">
        <f t="shared" si="425"/>
        <v>0</v>
      </c>
      <c r="DR127" s="5">
        <f t="shared" si="197"/>
        <v>0.9</v>
      </c>
      <c r="DS127" s="8">
        <f t="shared" si="287"/>
        <v>1</v>
      </c>
      <c r="DT127" s="8">
        <f t="shared" si="288"/>
        <v>-0.5</v>
      </c>
      <c r="DU127" s="8">
        <f t="shared" si="288"/>
        <v>0.5</v>
      </c>
      <c r="DV127" s="8">
        <f t="shared" si="262"/>
        <v>0.35</v>
      </c>
      <c r="DW127" s="5">
        <f t="shared" si="375"/>
        <v>0.41666666666666669</v>
      </c>
      <c r="DX127" s="8">
        <f t="shared" si="289"/>
        <v>5</v>
      </c>
      <c r="DY127" s="8">
        <f t="shared" si="290"/>
        <v>0</v>
      </c>
      <c r="DZ127" s="8">
        <f t="shared" si="291"/>
        <v>0</v>
      </c>
      <c r="EA127" s="5"/>
    </row>
    <row r="128" spans="1:131" x14ac:dyDescent="0.15">
      <c r="A128" s="5">
        <v>201126</v>
      </c>
      <c r="B128" s="5" t="s">
        <v>339</v>
      </c>
      <c r="C128" s="5"/>
      <c r="D128" s="5"/>
      <c r="E128" s="5"/>
      <c r="F128" s="5">
        <v>0</v>
      </c>
      <c r="G128" s="45"/>
      <c r="H128" s="5"/>
      <c r="I128" s="5"/>
      <c r="J128" s="5"/>
      <c r="K128" s="5"/>
      <c r="L128" s="10"/>
      <c r="M128" s="5"/>
      <c r="N128" s="10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20"/>
      <c r="AF128" s="5"/>
      <c r="AG128" s="5"/>
      <c r="AH128" s="5"/>
      <c r="AI128" s="5"/>
      <c r="AJ128" s="5"/>
      <c r="AK128" s="5"/>
      <c r="AL128" s="5"/>
      <c r="AM128" s="5"/>
      <c r="AN128" s="8"/>
      <c r="AO128" s="5">
        <v>0</v>
      </c>
      <c r="AP128" s="5" t="s">
        <v>339</v>
      </c>
      <c r="AQ128" s="5">
        <v>0</v>
      </c>
      <c r="AR128" s="8">
        <f t="shared" si="264"/>
        <v>2</v>
      </c>
      <c r="AS128" s="6">
        <f t="shared" si="186"/>
        <v>36</v>
      </c>
      <c r="AT128" s="6">
        <f t="shared" si="187"/>
        <v>54</v>
      </c>
      <c r="AU128" s="5">
        <f t="shared" si="265"/>
        <v>0</v>
      </c>
      <c r="AV128" s="5">
        <f t="shared" si="266"/>
        <v>1</v>
      </c>
      <c r="AW128" s="5">
        <f t="shared" si="267"/>
        <v>1</v>
      </c>
      <c r="AX128" s="5">
        <f t="shared" ref="AX128" si="450">AX107</f>
        <v>1</v>
      </c>
      <c r="AY128" s="5">
        <f t="shared" si="267"/>
        <v>1</v>
      </c>
      <c r="AZ128" s="8">
        <f t="shared" si="269"/>
        <v>63</v>
      </c>
      <c r="BA128" s="5">
        <f t="shared" si="257"/>
        <v>203021</v>
      </c>
      <c r="BB128" s="5">
        <v>0</v>
      </c>
      <c r="BC128" s="5">
        <v>0</v>
      </c>
      <c r="BD128" s="5">
        <f t="shared" si="270"/>
        <v>0</v>
      </c>
      <c r="BE128" s="5">
        <f t="shared" si="271"/>
        <v>0</v>
      </c>
      <c r="BF128" s="5">
        <f t="shared" si="272"/>
        <v>0</v>
      </c>
      <c r="BG128" s="5">
        <f t="shared" si="272"/>
        <v>0</v>
      </c>
      <c r="BH128" s="5">
        <f t="shared" ref="BH128" si="451">BH107</f>
        <v>0</v>
      </c>
      <c r="BI128" s="5">
        <f t="shared" si="272"/>
        <v>0</v>
      </c>
      <c r="BJ128" s="5">
        <f t="shared" si="208"/>
        <v>0</v>
      </c>
      <c r="BK128" s="5">
        <v>0</v>
      </c>
      <c r="BL128" s="5">
        <f t="shared" si="312"/>
        <v>0</v>
      </c>
      <c r="BM128" s="5">
        <f t="shared" si="274"/>
        <v>0</v>
      </c>
      <c r="BN128" s="5">
        <f t="shared" si="274"/>
        <v>0</v>
      </c>
      <c r="BO128" s="5">
        <f t="shared" si="274"/>
        <v>0</v>
      </c>
      <c r="BP128" s="5">
        <f t="shared" si="259"/>
        <v>0</v>
      </c>
      <c r="BQ128" s="5">
        <f t="shared" si="259"/>
        <v>0</v>
      </c>
      <c r="BR128" s="5"/>
      <c r="BS128" s="4">
        <v>4</v>
      </c>
      <c r="BT128" s="4">
        <v>6</v>
      </c>
      <c r="BU128" s="4">
        <f t="shared" si="275"/>
        <v>0</v>
      </c>
      <c r="BV128" s="4">
        <f t="shared" si="189"/>
        <v>6</v>
      </c>
      <c r="BW128" s="4">
        <f t="shared" si="190"/>
        <v>6</v>
      </c>
      <c r="BX128" s="14">
        <f t="shared" si="191"/>
        <v>0.49999999999999994</v>
      </c>
      <c r="BY128" s="14">
        <f t="shared" si="192"/>
        <v>0.30000000000000004</v>
      </c>
      <c r="BZ128" s="5" t="s">
        <v>242</v>
      </c>
      <c r="CA128" s="8" t="str">
        <f t="shared" si="378"/>
        <v>elite_monster_05_brood</v>
      </c>
      <c r="CB128" s="8" t="str">
        <f t="shared" si="378"/>
        <v>elite_monster_05_brood</v>
      </c>
      <c r="CC128" s="5">
        <v>0</v>
      </c>
      <c r="CD128" s="8">
        <f t="shared" si="276"/>
        <v>1</v>
      </c>
      <c r="CE128" s="5">
        <f t="shared" si="193"/>
        <v>0</v>
      </c>
      <c r="CF128" s="5">
        <f t="shared" si="294"/>
        <v>0</v>
      </c>
      <c r="CG128" s="5" t="s">
        <v>339</v>
      </c>
      <c r="CH128" s="5">
        <f t="shared" si="278"/>
        <v>3</v>
      </c>
      <c r="CI128" s="5">
        <v>0</v>
      </c>
      <c r="CJ128" s="4">
        <v>1</v>
      </c>
      <c r="CK128" s="5">
        <v>0</v>
      </c>
      <c r="CL128" s="5">
        <v>0</v>
      </c>
      <c r="CM128" s="20">
        <f t="shared" si="279"/>
        <v>0</v>
      </c>
      <c r="CN128" s="8">
        <f t="shared" si="279"/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8">
        <f t="shared" ref="CV128:CY128" si="452">CV107</f>
        <v>0.8</v>
      </c>
      <c r="CW128" s="8">
        <f t="shared" si="452"/>
        <v>0.6</v>
      </c>
      <c r="CX128" s="8">
        <f t="shared" si="452"/>
        <v>1</v>
      </c>
      <c r="CY128" s="8">
        <f t="shared" si="452"/>
        <v>1</v>
      </c>
      <c r="CZ128" s="8">
        <f t="shared" si="281"/>
        <v>1</v>
      </c>
      <c r="DA128" s="6">
        <f t="shared" si="180"/>
        <v>150</v>
      </c>
      <c r="DB128" s="5">
        <f t="shared" si="282"/>
        <v>0</v>
      </c>
      <c r="DC128" s="5">
        <f t="shared" si="195"/>
        <v>0.375</v>
      </c>
      <c r="DD128" s="6">
        <f t="shared" si="181"/>
        <v>0.375</v>
      </c>
      <c r="DE128" s="6">
        <f t="shared" si="296"/>
        <v>0.6</v>
      </c>
      <c r="DF128" s="5">
        <v>1</v>
      </c>
      <c r="DG128" s="8">
        <f t="shared" si="283"/>
        <v>2.5</v>
      </c>
      <c r="DH128" s="5">
        <v>1.5</v>
      </c>
      <c r="DI128" s="8">
        <f t="shared" si="284"/>
        <v>0</v>
      </c>
      <c r="DJ128" s="5">
        <f t="shared" si="182"/>
        <v>0</v>
      </c>
      <c r="DK128" s="8">
        <v>0</v>
      </c>
      <c r="DL128" s="5">
        <f t="shared" si="183"/>
        <v>0</v>
      </c>
      <c r="DM128" s="5" t="s">
        <v>339</v>
      </c>
      <c r="DN128" s="8">
        <f t="shared" ref="DN128:DP128" si="453">DN107</f>
        <v>8</v>
      </c>
      <c r="DO128" s="8">
        <f t="shared" si="453"/>
        <v>0</v>
      </c>
      <c r="DP128" s="5">
        <f t="shared" si="453"/>
        <v>0</v>
      </c>
      <c r="DQ128" s="8">
        <f t="shared" si="425"/>
        <v>0</v>
      </c>
      <c r="DR128" s="5">
        <f t="shared" si="197"/>
        <v>0.9</v>
      </c>
      <c r="DS128" s="8">
        <f t="shared" si="287"/>
        <v>1</v>
      </c>
      <c r="DT128" s="8">
        <f t="shared" si="288"/>
        <v>-0.5</v>
      </c>
      <c r="DU128" s="8">
        <f t="shared" si="288"/>
        <v>0.5</v>
      </c>
      <c r="DV128" s="8">
        <f t="shared" si="262"/>
        <v>0.5</v>
      </c>
      <c r="DW128" s="5">
        <f t="shared" si="375"/>
        <v>0.5</v>
      </c>
      <c r="DX128" s="8">
        <f t="shared" si="289"/>
        <v>6</v>
      </c>
      <c r="DY128" s="8">
        <f t="shared" si="290"/>
        <v>0</v>
      </c>
      <c r="DZ128" s="8">
        <f t="shared" si="291"/>
        <v>0</v>
      </c>
      <c r="EA128" s="5"/>
    </row>
    <row r="129" spans="1:131" x14ac:dyDescent="0.15">
      <c r="A129" s="5">
        <v>201127</v>
      </c>
      <c r="B129" s="5" t="s">
        <v>340</v>
      </c>
      <c r="C129" s="5"/>
      <c r="D129" s="5"/>
      <c r="E129" s="5"/>
      <c r="F129" s="5">
        <v>0</v>
      </c>
      <c r="G129" s="45"/>
      <c r="H129" s="5"/>
      <c r="I129" s="5"/>
      <c r="J129" s="5"/>
      <c r="K129" s="5"/>
      <c r="L129" s="10"/>
      <c r="M129" s="5"/>
      <c r="N129" s="10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20"/>
      <c r="AF129" s="5"/>
      <c r="AG129" s="5"/>
      <c r="AH129" s="5"/>
      <c r="AI129" s="5"/>
      <c r="AJ129" s="5"/>
      <c r="AK129" s="5"/>
      <c r="AL129" s="5"/>
      <c r="AM129" s="5"/>
      <c r="AN129" s="8"/>
      <c r="AO129" s="5">
        <v>0</v>
      </c>
      <c r="AP129" s="5" t="s">
        <v>340</v>
      </c>
      <c r="AQ129" s="5">
        <v>0</v>
      </c>
      <c r="AR129" s="8">
        <f t="shared" si="264"/>
        <v>3</v>
      </c>
      <c r="AS129" s="6">
        <f t="shared" si="186"/>
        <v>63</v>
      </c>
      <c r="AT129" s="6">
        <f t="shared" si="187"/>
        <v>84</v>
      </c>
      <c r="AU129" s="5">
        <f t="shared" si="265"/>
        <v>0</v>
      </c>
      <c r="AV129" s="5">
        <f t="shared" si="266"/>
        <v>1</v>
      </c>
      <c r="AW129" s="5">
        <f t="shared" si="267"/>
        <v>1</v>
      </c>
      <c r="AX129" s="5">
        <f t="shared" ref="AX129" si="454">AX108</f>
        <v>1</v>
      </c>
      <c r="AY129" s="5">
        <f t="shared" si="267"/>
        <v>1</v>
      </c>
      <c r="AZ129" s="8">
        <f t="shared" si="269"/>
        <v>73</v>
      </c>
      <c r="BA129" s="5">
        <f t="shared" si="257"/>
        <v>203001</v>
      </c>
      <c r="BB129" s="5">
        <v>0</v>
      </c>
      <c r="BC129" s="5">
        <v>0</v>
      </c>
      <c r="BD129" s="5">
        <f t="shared" si="270"/>
        <v>0</v>
      </c>
      <c r="BE129" s="5">
        <f t="shared" si="271"/>
        <v>0</v>
      </c>
      <c r="BF129" s="5">
        <f t="shared" si="272"/>
        <v>0</v>
      </c>
      <c r="BG129" s="5">
        <f t="shared" si="272"/>
        <v>0</v>
      </c>
      <c r="BH129" s="5">
        <f t="shared" ref="BH129" si="455">BH108</f>
        <v>0</v>
      </c>
      <c r="BI129" s="5">
        <f t="shared" si="272"/>
        <v>0</v>
      </c>
      <c r="BJ129" s="5">
        <f t="shared" si="208"/>
        <v>0</v>
      </c>
      <c r="BK129" s="5">
        <v>0</v>
      </c>
      <c r="BL129" s="5">
        <f t="shared" si="312"/>
        <v>0</v>
      </c>
      <c r="BM129" s="5">
        <f t="shared" si="274"/>
        <v>0</v>
      </c>
      <c r="BN129" s="5">
        <f t="shared" si="274"/>
        <v>0</v>
      </c>
      <c r="BO129" s="5">
        <f t="shared" si="274"/>
        <v>0</v>
      </c>
      <c r="BP129" s="5">
        <f t="shared" si="259"/>
        <v>0</v>
      </c>
      <c r="BQ129" s="5">
        <f t="shared" si="259"/>
        <v>0</v>
      </c>
      <c r="BR129" s="5"/>
      <c r="BS129" s="4">
        <v>1</v>
      </c>
      <c r="BT129" s="4">
        <v>7</v>
      </c>
      <c r="BU129" s="4">
        <f t="shared" si="275"/>
        <v>0</v>
      </c>
      <c r="BV129" s="4">
        <f t="shared" si="189"/>
        <v>7</v>
      </c>
      <c r="BW129" s="4">
        <f t="shared" si="190"/>
        <v>7</v>
      </c>
      <c r="BX129" s="14">
        <f t="shared" si="191"/>
        <v>0.42999999999999994</v>
      </c>
      <c r="BY129" s="14">
        <f t="shared" si="192"/>
        <v>0.25</v>
      </c>
      <c r="BZ129" s="5" t="s">
        <v>117</v>
      </c>
      <c r="CA129" s="8" t="str">
        <f t="shared" si="378"/>
        <v>monster_01</v>
      </c>
      <c r="CB129" s="8" t="str">
        <f t="shared" si="378"/>
        <v>monster_01</v>
      </c>
      <c r="CC129" s="5">
        <v>0</v>
      </c>
      <c r="CD129" s="8">
        <f t="shared" si="276"/>
        <v>2</v>
      </c>
      <c r="CE129" s="5">
        <f t="shared" si="193"/>
        <v>0</v>
      </c>
      <c r="CF129" s="5">
        <f t="shared" si="294"/>
        <v>0</v>
      </c>
      <c r="CG129" s="5" t="s">
        <v>340</v>
      </c>
      <c r="CH129" s="5">
        <f t="shared" si="278"/>
        <v>0</v>
      </c>
      <c r="CI129" s="5">
        <v>101</v>
      </c>
      <c r="CJ129" s="4">
        <v>0</v>
      </c>
      <c r="CK129" s="5">
        <v>0</v>
      </c>
      <c r="CL129" s="5">
        <v>0</v>
      </c>
      <c r="CM129" s="20">
        <f t="shared" si="279"/>
        <v>0</v>
      </c>
      <c r="CN129" s="8">
        <f t="shared" si="279"/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8">
        <f t="shared" ref="CV129:CY129" si="456">CV108</f>
        <v>1</v>
      </c>
      <c r="CW129" s="8">
        <f t="shared" si="456"/>
        <v>0.6</v>
      </c>
      <c r="CX129" s="8">
        <f t="shared" si="456"/>
        <v>1.25</v>
      </c>
      <c r="CY129" s="8">
        <f t="shared" si="456"/>
        <v>1.06</v>
      </c>
      <c r="CZ129" s="8">
        <f t="shared" si="281"/>
        <v>1</v>
      </c>
      <c r="DA129" s="6">
        <f t="shared" si="180"/>
        <v>175</v>
      </c>
      <c r="DB129" s="5">
        <f t="shared" si="282"/>
        <v>0</v>
      </c>
      <c r="DC129" s="5">
        <f t="shared" si="195"/>
        <v>0.32500000000000001</v>
      </c>
      <c r="DD129" s="6">
        <f t="shared" si="181"/>
        <v>0.32500000000000001</v>
      </c>
      <c r="DE129" s="6">
        <f t="shared" si="296"/>
        <v>0.5</v>
      </c>
      <c r="DF129" s="5">
        <v>0</v>
      </c>
      <c r="DG129" s="8">
        <f t="shared" si="283"/>
        <v>2.25</v>
      </c>
      <c r="DH129" s="5">
        <v>1.25</v>
      </c>
      <c r="DI129" s="8">
        <f t="shared" si="284"/>
        <v>1.25</v>
      </c>
      <c r="DJ129" s="5">
        <f t="shared" si="182"/>
        <v>28.125</v>
      </c>
      <c r="DK129" s="8">
        <v>0</v>
      </c>
      <c r="DL129" s="5">
        <f t="shared" si="183"/>
        <v>0</v>
      </c>
      <c r="DM129" s="5" t="s">
        <v>340</v>
      </c>
      <c r="DN129" s="8">
        <f t="shared" ref="DN129:DP129" si="457">DN108</f>
        <v>6</v>
      </c>
      <c r="DO129" s="8">
        <f t="shared" si="457"/>
        <v>0</v>
      </c>
      <c r="DP129" s="5">
        <f t="shared" si="457"/>
        <v>0</v>
      </c>
      <c r="DQ129" s="8">
        <f t="shared" si="425"/>
        <v>0</v>
      </c>
      <c r="DR129" s="5">
        <f t="shared" si="197"/>
        <v>2.7</v>
      </c>
      <c r="DS129" s="8">
        <f t="shared" si="287"/>
        <v>3</v>
      </c>
      <c r="DT129" s="8">
        <f t="shared" si="288"/>
        <v>-0.3</v>
      </c>
      <c r="DU129" s="8">
        <f t="shared" si="288"/>
        <v>3</v>
      </c>
      <c r="DV129" s="8">
        <f t="shared" si="262"/>
        <v>0.35</v>
      </c>
      <c r="DW129" s="5">
        <f t="shared" si="375"/>
        <v>0.58333333333333337</v>
      </c>
      <c r="DX129" s="8">
        <f t="shared" si="289"/>
        <v>7</v>
      </c>
      <c r="DY129" s="8">
        <f t="shared" si="290"/>
        <v>0</v>
      </c>
      <c r="DZ129" s="8">
        <f t="shared" si="291"/>
        <v>0</v>
      </c>
      <c r="EA129" s="5"/>
    </row>
    <row r="130" spans="1:131" x14ac:dyDescent="0.15">
      <c r="A130" s="5">
        <v>201128</v>
      </c>
      <c r="B130" s="5" t="s">
        <v>341</v>
      </c>
      <c r="C130" s="5"/>
      <c r="D130" s="5"/>
      <c r="E130" s="5"/>
      <c r="F130" s="5">
        <v>0</v>
      </c>
      <c r="G130" s="45"/>
      <c r="H130" s="5"/>
      <c r="I130" s="5"/>
      <c r="J130" s="5"/>
      <c r="K130" s="5"/>
      <c r="L130" s="10"/>
      <c r="M130" s="5"/>
      <c r="N130" s="10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20"/>
      <c r="AF130" s="5"/>
      <c r="AG130" s="5"/>
      <c r="AH130" s="5"/>
      <c r="AI130" s="5"/>
      <c r="AJ130" s="5"/>
      <c r="AK130" s="5"/>
      <c r="AL130" s="5"/>
      <c r="AM130" s="5"/>
      <c r="AN130" s="8"/>
      <c r="AO130" s="5">
        <v>0</v>
      </c>
      <c r="AP130" s="5" t="s">
        <v>341</v>
      </c>
      <c r="AQ130" s="5">
        <v>0</v>
      </c>
      <c r="AR130" s="8">
        <f t="shared" si="264"/>
        <v>3</v>
      </c>
      <c r="AS130" s="6">
        <f t="shared" si="186"/>
        <v>63</v>
      </c>
      <c r="AT130" s="6">
        <f t="shared" si="187"/>
        <v>84</v>
      </c>
      <c r="AU130" s="5">
        <f t="shared" si="265"/>
        <v>0</v>
      </c>
      <c r="AV130" s="5">
        <f t="shared" si="266"/>
        <v>1</v>
      </c>
      <c r="AW130" s="5">
        <f t="shared" si="267"/>
        <v>0</v>
      </c>
      <c r="AX130" s="5">
        <f t="shared" ref="AX130" si="458">AX109</f>
        <v>0</v>
      </c>
      <c r="AY130" s="5">
        <f t="shared" si="267"/>
        <v>0</v>
      </c>
      <c r="AZ130" s="8">
        <f t="shared" si="269"/>
        <v>73</v>
      </c>
      <c r="BA130" s="5">
        <f t="shared" si="257"/>
        <v>203002</v>
      </c>
      <c r="BB130" s="5">
        <v>0</v>
      </c>
      <c r="BC130" s="5">
        <v>0</v>
      </c>
      <c r="BD130" s="5">
        <f t="shared" si="270"/>
        <v>0</v>
      </c>
      <c r="BE130" s="5">
        <f t="shared" si="271"/>
        <v>0</v>
      </c>
      <c r="BF130" s="5">
        <f t="shared" si="272"/>
        <v>0</v>
      </c>
      <c r="BG130" s="5">
        <f t="shared" si="272"/>
        <v>0</v>
      </c>
      <c r="BH130" s="5">
        <f t="shared" ref="BH130" si="459">BH109</f>
        <v>0</v>
      </c>
      <c r="BI130" s="5">
        <f t="shared" si="272"/>
        <v>0</v>
      </c>
      <c r="BJ130" s="5">
        <f t="shared" si="208"/>
        <v>0</v>
      </c>
      <c r="BK130" s="5">
        <v>0</v>
      </c>
      <c r="BL130" s="5">
        <f t="shared" si="312"/>
        <v>0</v>
      </c>
      <c r="BM130" s="5">
        <f t="shared" si="274"/>
        <v>0</v>
      </c>
      <c r="BN130" s="5">
        <f t="shared" si="274"/>
        <v>0</v>
      </c>
      <c r="BO130" s="5">
        <f t="shared" si="274"/>
        <v>0</v>
      </c>
      <c r="BP130" s="5">
        <f t="shared" si="259"/>
        <v>0</v>
      </c>
      <c r="BQ130" s="5">
        <f t="shared" si="259"/>
        <v>0</v>
      </c>
      <c r="BR130" s="5"/>
      <c r="BS130" s="4">
        <v>1</v>
      </c>
      <c r="BT130" s="4">
        <v>7</v>
      </c>
      <c r="BU130" s="4">
        <f t="shared" si="275"/>
        <v>0</v>
      </c>
      <c r="BV130" s="4">
        <f t="shared" si="189"/>
        <v>7</v>
      </c>
      <c r="BW130" s="4">
        <f t="shared" si="190"/>
        <v>7</v>
      </c>
      <c r="BX130" s="14">
        <f t="shared" si="191"/>
        <v>0.42999999999999994</v>
      </c>
      <c r="BY130" s="14">
        <f t="shared" si="192"/>
        <v>0.25</v>
      </c>
      <c r="BZ130" s="5" t="s">
        <v>120</v>
      </c>
      <c r="CA130" s="8" t="str">
        <f t="shared" si="378"/>
        <v>monster_02</v>
      </c>
      <c r="CB130" s="8" t="str">
        <f t="shared" si="378"/>
        <v>monster_02</v>
      </c>
      <c r="CC130" s="5">
        <v>0</v>
      </c>
      <c r="CD130" s="8">
        <f t="shared" si="276"/>
        <v>1</v>
      </c>
      <c r="CE130" s="5">
        <f t="shared" si="193"/>
        <v>0</v>
      </c>
      <c r="CF130" s="5">
        <f t="shared" si="294"/>
        <v>0</v>
      </c>
      <c r="CG130" s="5" t="s">
        <v>341</v>
      </c>
      <c r="CH130" s="5">
        <f t="shared" si="278"/>
        <v>3</v>
      </c>
      <c r="CI130" s="5">
        <v>0</v>
      </c>
      <c r="CJ130" s="4">
        <v>0</v>
      </c>
      <c r="CK130" s="5">
        <v>0</v>
      </c>
      <c r="CL130" s="5">
        <v>0</v>
      </c>
      <c r="CM130" s="20">
        <f t="shared" si="279"/>
        <v>0</v>
      </c>
      <c r="CN130" s="8">
        <f t="shared" si="279"/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8">
        <f t="shared" ref="CV130:CY130" si="460">CV109</f>
        <v>0.8</v>
      </c>
      <c r="CW130" s="8">
        <f t="shared" si="460"/>
        <v>0.6</v>
      </c>
      <c r="CX130" s="8">
        <f t="shared" si="460"/>
        <v>1.34</v>
      </c>
      <c r="CY130" s="8">
        <f t="shared" si="460"/>
        <v>1.35</v>
      </c>
      <c r="CZ130" s="8">
        <f t="shared" si="281"/>
        <v>1</v>
      </c>
      <c r="DA130" s="6">
        <f t="shared" si="180"/>
        <v>175</v>
      </c>
      <c r="DB130" s="5">
        <f t="shared" si="282"/>
        <v>0</v>
      </c>
      <c r="DC130" s="5">
        <f t="shared" si="195"/>
        <v>0.65</v>
      </c>
      <c r="DD130" s="6">
        <f t="shared" si="181"/>
        <v>0.65</v>
      </c>
      <c r="DE130" s="6">
        <f t="shared" si="296"/>
        <v>1</v>
      </c>
      <c r="DF130" s="5">
        <v>0</v>
      </c>
      <c r="DG130" s="8">
        <f t="shared" si="283"/>
        <v>2.25</v>
      </c>
      <c r="DH130" s="5">
        <v>1.25</v>
      </c>
      <c r="DI130" s="8">
        <f t="shared" si="284"/>
        <v>0</v>
      </c>
      <c r="DJ130" s="5">
        <f t="shared" si="182"/>
        <v>0</v>
      </c>
      <c r="DK130" s="8">
        <v>0</v>
      </c>
      <c r="DL130" s="5">
        <f t="shared" si="183"/>
        <v>0</v>
      </c>
      <c r="DM130" s="5" t="s">
        <v>341</v>
      </c>
      <c r="DN130" s="8">
        <f t="shared" ref="DN130:DP130" si="461">DN109</f>
        <v>8</v>
      </c>
      <c r="DO130" s="8">
        <f t="shared" si="461"/>
        <v>0</v>
      </c>
      <c r="DP130" s="5">
        <f t="shared" si="461"/>
        <v>0</v>
      </c>
      <c r="DQ130" s="8">
        <f t="shared" si="425"/>
        <v>0</v>
      </c>
      <c r="DR130" s="5">
        <f t="shared" si="197"/>
        <v>0.9</v>
      </c>
      <c r="DS130" s="8">
        <f t="shared" si="287"/>
        <v>1</v>
      </c>
      <c r="DT130" s="8">
        <f t="shared" si="288"/>
        <v>-0.5</v>
      </c>
      <c r="DU130" s="8">
        <f t="shared" si="288"/>
        <v>0.5</v>
      </c>
      <c r="DV130" s="8">
        <f t="shared" si="262"/>
        <v>0.35</v>
      </c>
      <c r="DW130" s="5">
        <f t="shared" ref="DW130:DW150" si="462">DX130/12</f>
        <v>0.58333333333333337</v>
      </c>
      <c r="DX130" s="8">
        <f t="shared" si="289"/>
        <v>7</v>
      </c>
      <c r="DY130" s="8">
        <f t="shared" si="290"/>
        <v>0</v>
      </c>
      <c r="DZ130" s="8">
        <f t="shared" si="291"/>
        <v>0</v>
      </c>
      <c r="EA130" s="5"/>
    </row>
    <row r="131" spans="1:131" x14ac:dyDescent="0.15">
      <c r="A131" s="5">
        <v>201129</v>
      </c>
      <c r="B131" s="5" t="s">
        <v>342</v>
      </c>
      <c r="C131" s="5"/>
      <c r="D131" s="5"/>
      <c r="E131" s="5"/>
      <c r="F131" s="5">
        <v>0</v>
      </c>
      <c r="G131" s="45"/>
      <c r="H131" s="5"/>
      <c r="I131" s="5"/>
      <c r="J131" s="5"/>
      <c r="K131" s="5"/>
      <c r="L131" s="10"/>
      <c r="M131" s="5"/>
      <c r="N131" s="10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20"/>
      <c r="AF131" s="5"/>
      <c r="AG131" s="5"/>
      <c r="AH131" s="5"/>
      <c r="AI131" s="5"/>
      <c r="AJ131" s="5"/>
      <c r="AK131" s="5"/>
      <c r="AL131" s="5"/>
      <c r="AM131" s="5"/>
      <c r="AN131" s="8"/>
      <c r="AO131" s="5">
        <v>0</v>
      </c>
      <c r="AP131" s="5" t="s">
        <v>342</v>
      </c>
      <c r="AQ131" s="5">
        <v>0</v>
      </c>
      <c r="AR131" s="8">
        <f t="shared" si="264"/>
        <v>3</v>
      </c>
      <c r="AS131" s="6">
        <f t="shared" si="186"/>
        <v>63</v>
      </c>
      <c r="AT131" s="6">
        <f t="shared" si="187"/>
        <v>84</v>
      </c>
      <c r="AU131" s="5">
        <f t="shared" si="265"/>
        <v>0</v>
      </c>
      <c r="AV131" s="5">
        <f t="shared" si="266"/>
        <v>1</v>
      </c>
      <c r="AW131" s="5">
        <f t="shared" si="267"/>
        <v>1</v>
      </c>
      <c r="AX131" s="5">
        <f t="shared" ref="AX131" si="463">AX110</f>
        <v>1</v>
      </c>
      <c r="AY131" s="5">
        <f t="shared" si="267"/>
        <v>0</v>
      </c>
      <c r="AZ131" s="8">
        <f t="shared" si="269"/>
        <v>72</v>
      </c>
      <c r="BA131" s="5">
        <f t="shared" si="257"/>
        <v>203003</v>
      </c>
      <c r="BB131" s="5">
        <v>0</v>
      </c>
      <c r="BC131" s="5">
        <v>0</v>
      </c>
      <c r="BD131" s="5">
        <f t="shared" si="270"/>
        <v>1</v>
      </c>
      <c r="BE131" s="5">
        <f t="shared" si="271"/>
        <v>0</v>
      </c>
      <c r="BF131" s="5">
        <f t="shared" si="272"/>
        <v>0</v>
      </c>
      <c r="BG131" s="5">
        <f t="shared" si="272"/>
        <v>0</v>
      </c>
      <c r="BH131" s="5">
        <f t="shared" ref="BH131" si="464">BH110</f>
        <v>0</v>
      </c>
      <c r="BI131" s="5">
        <f t="shared" si="272"/>
        <v>0</v>
      </c>
      <c r="BJ131" s="5">
        <f t="shared" si="208"/>
        <v>0</v>
      </c>
      <c r="BK131" s="5">
        <v>0</v>
      </c>
      <c r="BL131" s="5">
        <f t="shared" si="312"/>
        <v>0</v>
      </c>
      <c r="BM131" s="5">
        <f t="shared" si="274"/>
        <v>0</v>
      </c>
      <c r="BN131" s="5">
        <f t="shared" si="274"/>
        <v>0</v>
      </c>
      <c r="BO131" s="5">
        <f t="shared" si="274"/>
        <v>0</v>
      </c>
      <c r="BP131" s="5">
        <f t="shared" si="259"/>
        <v>0</v>
      </c>
      <c r="BQ131" s="5">
        <f t="shared" si="259"/>
        <v>0</v>
      </c>
      <c r="BR131" s="5"/>
      <c r="BS131" s="4">
        <v>1</v>
      </c>
      <c r="BT131" s="4">
        <v>7</v>
      </c>
      <c r="BU131" s="4">
        <f t="shared" si="275"/>
        <v>0</v>
      </c>
      <c r="BV131" s="4">
        <f t="shared" si="189"/>
        <v>7</v>
      </c>
      <c r="BW131" s="4">
        <f t="shared" si="190"/>
        <v>7</v>
      </c>
      <c r="BX131" s="14">
        <f t="shared" si="191"/>
        <v>0.42999999999999994</v>
      </c>
      <c r="BY131" s="14">
        <f t="shared" si="192"/>
        <v>0.25</v>
      </c>
      <c r="BZ131" s="5" t="s">
        <v>123</v>
      </c>
      <c r="CA131" s="8" t="str">
        <f t="shared" si="378"/>
        <v>monster_03</v>
      </c>
      <c r="CB131" s="8" t="str">
        <f t="shared" si="378"/>
        <v>monster_03</v>
      </c>
      <c r="CC131" s="5">
        <v>0</v>
      </c>
      <c r="CD131" s="8">
        <f t="shared" si="276"/>
        <v>3</v>
      </c>
      <c r="CE131" s="5">
        <f t="shared" si="193"/>
        <v>7</v>
      </c>
      <c r="CF131" s="5">
        <f t="shared" si="294"/>
        <v>1</v>
      </c>
      <c r="CG131" s="5" t="s">
        <v>342</v>
      </c>
      <c r="CH131" s="5">
        <f t="shared" si="278"/>
        <v>0</v>
      </c>
      <c r="CI131" s="5">
        <v>102</v>
      </c>
      <c r="CJ131" s="4">
        <v>0</v>
      </c>
      <c r="CK131" s="5">
        <v>0</v>
      </c>
      <c r="CL131" s="5">
        <v>0</v>
      </c>
      <c r="CM131" s="20">
        <f t="shared" si="279"/>
        <v>0</v>
      </c>
      <c r="CN131" s="8">
        <f t="shared" si="279"/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8">
        <f t="shared" ref="CV131:CY131" si="465">CV110</f>
        <v>0.8</v>
      </c>
      <c r="CW131" s="8">
        <f t="shared" si="465"/>
        <v>0.6</v>
      </c>
      <c r="CX131" s="8">
        <f t="shared" si="465"/>
        <v>1</v>
      </c>
      <c r="CY131" s="8">
        <f t="shared" si="465"/>
        <v>1</v>
      </c>
      <c r="CZ131" s="8">
        <f t="shared" si="281"/>
        <v>1</v>
      </c>
      <c r="DA131" s="6">
        <f t="shared" ref="DA131:DA194" si="466">CZ131*25*BV131</f>
        <v>175</v>
      </c>
      <c r="DB131" s="5">
        <f t="shared" si="282"/>
        <v>0</v>
      </c>
      <c r="DC131" s="5">
        <f t="shared" si="195"/>
        <v>0.39</v>
      </c>
      <c r="DD131" s="6">
        <f t="shared" ref="DD131:DD194" si="467">(1+(BT131-1)*0.05)*DE131*0.5</f>
        <v>0.39</v>
      </c>
      <c r="DE131" s="6">
        <f t="shared" si="296"/>
        <v>0.6</v>
      </c>
      <c r="DF131" s="5">
        <v>0</v>
      </c>
      <c r="DG131" s="8">
        <f t="shared" si="283"/>
        <v>2</v>
      </c>
      <c r="DH131" s="5">
        <v>1</v>
      </c>
      <c r="DI131" s="8">
        <f t="shared" si="284"/>
        <v>2</v>
      </c>
      <c r="DJ131" s="5">
        <f t="shared" ref="DJ131:DJ194" si="468">DI131*5*(1+BV131/2)</f>
        <v>45</v>
      </c>
      <c r="DK131" s="8">
        <v>0</v>
      </c>
      <c r="DL131" s="5">
        <f t="shared" ref="DL131:DL194" si="469">DK131*5*(1+BV131/2)</f>
        <v>0</v>
      </c>
      <c r="DM131" s="5" t="s">
        <v>342</v>
      </c>
      <c r="DN131" s="8">
        <f t="shared" ref="DN131:DP131" si="470">DN110</f>
        <v>6</v>
      </c>
      <c r="DO131" s="8">
        <f t="shared" si="470"/>
        <v>0</v>
      </c>
      <c r="DP131" s="5">
        <f t="shared" si="470"/>
        <v>0</v>
      </c>
      <c r="DQ131" s="8">
        <f t="shared" si="425"/>
        <v>0</v>
      </c>
      <c r="DR131" s="5">
        <f t="shared" si="197"/>
        <v>0.9</v>
      </c>
      <c r="DS131" s="8">
        <f t="shared" si="287"/>
        <v>1</v>
      </c>
      <c r="DT131" s="8">
        <f t="shared" si="288"/>
        <v>-0.5</v>
      </c>
      <c r="DU131" s="8">
        <f t="shared" si="288"/>
        <v>0.5</v>
      </c>
      <c r="DV131" s="8">
        <f t="shared" si="262"/>
        <v>0.3</v>
      </c>
      <c r="DW131" s="5">
        <f t="shared" si="462"/>
        <v>0.5</v>
      </c>
      <c r="DX131" s="8">
        <f t="shared" si="289"/>
        <v>6</v>
      </c>
      <c r="DY131" s="8">
        <f t="shared" si="290"/>
        <v>0</v>
      </c>
      <c r="DZ131" s="8">
        <f t="shared" si="291"/>
        <v>0</v>
      </c>
      <c r="EA131" s="5"/>
    </row>
    <row r="132" spans="1:131" x14ac:dyDescent="0.15">
      <c r="A132" s="5">
        <v>201130</v>
      </c>
      <c r="B132" s="5" t="s">
        <v>343</v>
      </c>
      <c r="C132" s="5"/>
      <c r="D132" s="5"/>
      <c r="E132" s="5"/>
      <c r="F132" s="5">
        <v>0</v>
      </c>
      <c r="G132" s="45"/>
      <c r="H132" s="5"/>
      <c r="I132" s="5"/>
      <c r="J132" s="5"/>
      <c r="K132" s="5"/>
      <c r="L132" s="10"/>
      <c r="M132" s="5"/>
      <c r="N132" s="10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20"/>
      <c r="AF132" s="5"/>
      <c r="AG132" s="5"/>
      <c r="AH132" s="5"/>
      <c r="AI132" s="5"/>
      <c r="AJ132" s="5"/>
      <c r="AK132" s="5"/>
      <c r="AL132" s="5"/>
      <c r="AM132" s="5"/>
      <c r="AN132" s="8"/>
      <c r="AO132" s="5">
        <v>0</v>
      </c>
      <c r="AP132" s="5" t="s">
        <v>343</v>
      </c>
      <c r="AQ132" s="5">
        <v>0</v>
      </c>
      <c r="AR132" s="8">
        <f t="shared" si="264"/>
        <v>4</v>
      </c>
      <c r="AS132" s="6">
        <f t="shared" ref="AS132:AS195" si="471">AR132*3*BV132</f>
        <v>84</v>
      </c>
      <c r="AT132" s="6">
        <f t="shared" ref="AT132:AT195" si="472">(AR132+1)*3*BV132</f>
        <v>105</v>
      </c>
      <c r="AU132" s="5">
        <f t="shared" si="265"/>
        <v>0</v>
      </c>
      <c r="AV132" s="5">
        <f t="shared" si="266"/>
        <v>1</v>
      </c>
      <c r="AW132" s="5">
        <f t="shared" si="267"/>
        <v>1</v>
      </c>
      <c r="AX132" s="5">
        <f t="shared" ref="AX132" si="473">AX111</f>
        <v>1</v>
      </c>
      <c r="AY132" s="5">
        <f t="shared" si="267"/>
        <v>1</v>
      </c>
      <c r="AZ132" s="8">
        <f t="shared" si="269"/>
        <v>72</v>
      </c>
      <c r="BA132" s="5">
        <f t="shared" si="257"/>
        <v>203004</v>
      </c>
      <c r="BB132" s="5">
        <v>0</v>
      </c>
      <c r="BC132" s="5">
        <v>0</v>
      </c>
      <c r="BD132" s="5">
        <f t="shared" si="270"/>
        <v>0</v>
      </c>
      <c r="BE132" s="5">
        <f t="shared" si="271"/>
        <v>0</v>
      </c>
      <c r="BF132" s="5">
        <f t="shared" si="272"/>
        <v>0</v>
      </c>
      <c r="BG132" s="5">
        <f t="shared" si="272"/>
        <v>0</v>
      </c>
      <c r="BH132" s="5">
        <f t="shared" ref="BH132" si="474">BH111</f>
        <v>0</v>
      </c>
      <c r="BI132" s="5">
        <f t="shared" si="272"/>
        <v>0</v>
      </c>
      <c r="BJ132" s="5">
        <f t="shared" si="208"/>
        <v>0</v>
      </c>
      <c r="BK132" s="5">
        <v>0</v>
      </c>
      <c r="BL132" s="5">
        <f t="shared" si="312"/>
        <v>0</v>
      </c>
      <c r="BM132" s="5">
        <f t="shared" si="274"/>
        <v>0</v>
      </c>
      <c r="BN132" s="5">
        <f t="shared" si="274"/>
        <v>0</v>
      </c>
      <c r="BO132" s="5">
        <f t="shared" si="274"/>
        <v>0</v>
      </c>
      <c r="BP132" s="5">
        <f t="shared" si="259"/>
        <v>0</v>
      </c>
      <c r="BQ132" s="5">
        <f t="shared" si="259"/>
        <v>0</v>
      </c>
      <c r="BR132" s="5"/>
      <c r="BS132" s="4">
        <v>1</v>
      </c>
      <c r="BT132" s="4">
        <v>7</v>
      </c>
      <c r="BU132" s="4">
        <f t="shared" si="275"/>
        <v>0</v>
      </c>
      <c r="BV132" s="4">
        <f t="shared" ref="BV132:BV195" si="475">BT132</f>
        <v>7</v>
      </c>
      <c r="BW132" s="4">
        <f t="shared" ref="BW132:BW195" si="476">BT132</f>
        <v>7</v>
      </c>
      <c r="BX132" s="14">
        <f t="shared" ref="BX132:BX195" si="477">0.85-(BT132-1)*0.07</f>
        <v>0.42999999999999994</v>
      </c>
      <c r="BY132" s="14">
        <f t="shared" ref="BY132:BY195" si="478">0.55-(BT132-1)*0.05</f>
        <v>0.25</v>
      </c>
      <c r="BZ132" s="5" t="s">
        <v>126</v>
      </c>
      <c r="CA132" s="8" t="str">
        <f t="shared" si="378"/>
        <v>monster_04</v>
      </c>
      <c r="CB132" s="8" t="str">
        <f t="shared" si="378"/>
        <v>monster_04</v>
      </c>
      <c r="CC132" s="5">
        <v>0</v>
      </c>
      <c r="CD132" s="8">
        <f t="shared" si="276"/>
        <v>1</v>
      </c>
      <c r="CE132" s="5">
        <f t="shared" ref="CE132:CE195" si="479">BT132*CF132</f>
        <v>0</v>
      </c>
      <c r="CF132" s="5">
        <f t="shared" si="294"/>
        <v>0</v>
      </c>
      <c r="CG132" s="5" t="s">
        <v>343</v>
      </c>
      <c r="CH132" s="5">
        <f t="shared" si="278"/>
        <v>0</v>
      </c>
      <c r="CI132" s="5">
        <v>0</v>
      </c>
      <c r="CJ132" s="4">
        <v>0</v>
      </c>
      <c r="CK132" s="5">
        <v>0</v>
      </c>
      <c r="CL132" s="5">
        <v>0</v>
      </c>
      <c r="CM132" s="20">
        <f t="shared" si="279"/>
        <v>109</v>
      </c>
      <c r="CN132" s="8">
        <f t="shared" si="279"/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8">
        <f t="shared" ref="CV132:CY132" si="480">CV111</f>
        <v>0.8</v>
      </c>
      <c r="CW132" s="8">
        <f t="shared" si="480"/>
        <v>0.6</v>
      </c>
      <c r="CX132" s="8">
        <f t="shared" si="480"/>
        <v>1.25</v>
      </c>
      <c r="CY132" s="8">
        <f t="shared" si="480"/>
        <v>1</v>
      </c>
      <c r="CZ132" s="8">
        <f t="shared" si="281"/>
        <v>2</v>
      </c>
      <c r="DA132" s="6">
        <f t="shared" si="466"/>
        <v>350</v>
      </c>
      <c r="DB132" s="5">
        <f t="shared" si="282"/>
        <v>0</v>
      </c>
      <c r="DC132" s="5">
        <f t="shared" ref="DC132:DC195" si="481">DD132</f>
        <v>0.26</v>
      </c>
      <c r="DD132" s="6">
        <f t="shared" si="467"/>
        <v>0.26</v>
      </c>
      <c r="DE132" s="6">
        <f t="shared" si="296"/>
        <v>0.4</v>
      </c>
      <c r="DF132" s="5">
        <v>0</v>
      </c>
      <c r="DG132" s="8">
        <f t="shared" si="283"/>
        <v>2</v>
      </c>
      <c r="DH132" s="5">
        <v>1</v>
      </c>
      <c r="DI132" s="8">
        <f t="shared" si="284"/>
        <v>0</v>
      </c>
      <c r="DJ132" s="5">
        <f t="shared" si="468"/>
        <v>0</v>
      </c>
      <c r="DK132" s="8">
        <v>0</v>
      </c>
      <c r="DL132" s="5">
        <f t="shared" si="469"/>
        <v>0</v>
      </c>
      <c r="DM132" s="5" t="s">
        <v>343</v>
      </c>
      <c r="DN132" s="8">
        <f t="shared" ref="DN132:DP132" si="482">DN111</f>
        <v>6</v>
      </c>
      <c r="DO132" s="8">
        <f t="shared" si="482"/>
        <v>0</v>
      </c>
      <c r="DP132" s="5">
        <f t="shared" si="482"/>
        <v>0</v>
      </c>
      <c r="DQ132" s="8">
        <f t="shared" si="425"/>
        <v>0</v>
      </c>
      <c r="DR132" s="5">
        <f t="shared" ref="DR132:DR195" si="483">DS132*0.9</f>
        <v>0.9</v>
      </c>
      <c r="DS132" s="8">
        <f t="shared" si="287"/>
        <v>1</v>
      </c>
      <c r="DT132" s="8">
        <f t="shared" si="288"/>
        <v>-0.5</v>
      </c>
      <c r="DU132" s="8">
        <f t="shared" si="288"/>
        <v>0.5</v>
      </c>
      <c r="DV132" s="8">
        <f t="shared" si="262"/>
        <v>0.3</v>
      </c>
      <c r="DW132" s="5">
        <f t="shared" si="462"/>
        <v>0.5</v>
      </c>
      <c r="DX132" s="8">
        <f t="shared" si="289"/>
        <v>6</v>
      </c>
      <c r="DY132" s="8">
        <f t="shared" si="290"/>
        <v>0</v>
      </c>
      <c r="DZ132" s="8">
        <f t="shared" si="291"/>
        <v>0</v>
      </c>
      <c r="EA132" s="5"/>
    </row>
    <row r="133" spans="1:131" x14ac:dyDescent="0.15">
      <c r="A133" s="5">
        <v>201131</v>
      </c>
      <c r="B133" s="5" t="s">
        <v>344</v>
      </c>
      <c r="C133" s="5"/>
      <c r="D133" s="5"/>
      <c r="E133" s="5"/>
      <c r="F133" s="5">
        <v>0</v>
      </c>
      <c r="G133" s="45"/>
      <c r="H133" s="5"/>
      <c r="I133" s="5"/>
      <c r="J133" s="5"/>
      <c r="K133" s="5"/>
      <c r="L133" s="10"/>
      <c r="M133" s="5"/>
      <c r="N133" s="10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20"/>
      <c r="AF133" s="5"/>
      <c r="AG133" s="5"/>
      <c r="AH133" s="5"/>
      <c r="AI133" s="5"/>
      <c r="AJ133" s="5"/>
      <c r="AK133" s="5"/>
      <c r="AL133" s="5"/>
      <c r="AM133" s="5"/>
      <c r="AN133" s="8"/>
      <c r="AO133" s="5">
        <v>0</v>
      </c>
      <c r="AP133" s="5" t="s">
        <v>344</v>
      </c>
      <c r="AQ133" s="5">
        <v>0</v>
      </c>
      <c r="AR133" s="8">
        <f t="shared" si="264"/>
        <v>3</v>
      </c>
      <c r="AS133" s="6">
        <f t="shared" si="471"/>
        <v>63</v>
      </c>
      <c r="AT133" s="6">
        <f t="shared" si="472"/>
        <v>84</v>
      </c>
      <c r="AU133" s="5">
        <f t="shared" si="265"/>
        <v>0</v>
      </c>
      <c r="AV133" s="5">
        <f t="shared" si="266"/>
        <v>1</v>
      </c>
      <c r="AW133" s="5">
        <f t="shared" si="267"/>
        <v>1</v>
      </c>
      <c r="AX133" s="5">
        <f t="shared" ref="AX133" si="484">AX112</f>
        <v>1</v>
      </c>
      <c r="AY133" s="5">
        <f t="shared" si="267"/>
        <v>1</v>
      </c>
      <c r="AZ133" s="8">
        <f t="shared" si="269"/>
        <v>72</v>
      </c>
      <c r="BA133" s="5">
        <f t="shared" si="257"/>
        <v>203005</v>
      </c>
      <c r="BB133" s="5">
        <v>0</v>
      </c>
      <c r="BC133" s="5">
        <v>0</v>
      </c>
      <c r="BD133" s="5">
        <f t="shared" si="270"/>
        <v>0</v>
      </c>
      <c r="BE133" s="5">
        <f t="shared" si="271"/>
        <v>0</v>
      </c>
      <c r="BF133" s="5">
        <f t="shared" si="272"/>
        <v>0</v>
      </c>
      <c r="BG133" s="5">
        <f t="shared" si="272"/>
        <v>0</v>
      </c>
      <c r="BH133" s="5">
        <f t="shared" ref="BH133" si="485">BH112</f>
        <v>0</v>
      </c>
      <c r="BI133" s="5">
        <f t="shared" si="272"/>
        <v>0</v>
      </c>
      <c r="BJ133" s="5">
        <f t="shared" si="208"/>
        <v>0</v>
      </c>
      <c r="BK133" s="5">
        <v>0</v>
      </c>
      <c r="BL133" s="5">
        <f t="shared" si="312"/>
        <v>0</v>
      </c>
      <c r="BM133" s="5">
        <f t="shared" si="274"/>
        <v>0</v>
      </c>
      <c r="BN133" s="5">
        <f t="shared" si="274"/>
        <v>0</v>
      </c>
      <c r="BO133" s="5">
        <f t="shared" si="274"/>
        <v>0</v>
      </c>
      <c r="BP133" s="5">
        <f t="shared" si="259"/>
        <v>0</v>
      </c>
      <c r="BQ133" s="5">
        <f t="shared" si="259"/>
        <v>0</v>
      </c>
      <c r="BR133" s="5"/>
      <c r="BS133" s="4">
        <v>1</v>
      </c>
      <c r="BT133" s="4">
        <v>7</v>
      </c>
      <c r="BU133" s="4">
        <f t="shared" si="275"/>
        <v>0</v>
      </c>
      <c r="BV133" s="4">
        <f t="shared" si="475"/>
        <v>7</v>
      </c>
      <c r="BW133" s="4">
        <f t="shared" si="476"/>
        <v>7</v>
      </c>
      <c r="BX133" s="14">
        <f t="shared" si="477"/>
        <v>0.42999999999999994</v>
      </c>
      <c r="BY133" s="14">
        <f t="shared" si="478"/>
        <v>0.25</v>
      </c>
      <c r="BZ133" s="5" t="s">
        <v>129</v>
      </c>
      <c r="CA133" s="8" t="str">
        <f t="shared" si="378"/>
        <v>monster_05</v>
      </c>
      <c r="CB133" s="8" t="str">
        <f t="shared" si="378"/>
        <v>monster_05</v>
      </c>
      <c r="CC133" s="5">
        <v>0</v>
      </c>
      <c r="CD133" s="8">
        <f t="shared" si="276"/>
        <v>3</v>
      </c>
      <c r="CE133" s="5">
        <f t="shared" si="479"/>
        <v>0</v>
      </c>
      <c r="CF133" s="5">
        <f t="shared" si="294"/>
        <v>0</v>
      </c>
      <c r="CG133" s="5" t="s">
        <v>344</v>
      </c>
      <c r="CH133" s="5">
        <f t="shared" si="278"/>
        <v>3</v>
      </c>
      <c r="CI133" s="5">
        <v>103</v>
      </c>
      <c r="CJ133" s="4">
        <v>0</v>
      </c>
      <c r="CK133" s="5">
        <v>0</v>
      </c>
      <c r="CL133" s="5">
        <v>0</v>
      </c>
      <c r="CM133" s="20">
        <v>0</v>
      </c>
      <c r="CN133" s="8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8">
        <f t="shared" ref="CV133:CY133" si="486">CV112</f>
        <v>0.8</v>
      </c>
      <c r="CW133" s="8">
        <f t="shared" si="486"/>
        <v>0.6</v>
      </c>
      <c r="CX133" s="8">
        <f t="shared" si="486"/>
        <v>0.8</v>
      </c>
      <c r="CY133" s="8">
        <f t="shared" si="486"/>
        <v>0.8</v>
      </c>
      <c r="CZ133" s="8">
        <f t="shared" si="281"/>
        <v>1</v>
      </c>
      <c r="DA133" s="6">
        <f t="shared" si="466"/>
        <v>175</v>
      </c>
      <c r="DB133" s="5">
        <f t="shared" si="282"/>
        <v>0</v>
      </c>
      <c r="DC133" s="5">
        <f t="shared" si="481"/>
        <v>0.32500000000000001</v>
      </c>
      <c r="DD133" s="6">
        <f t="shared" si="467"/>
        <v>0.32500000000000001</v>
      </c>
      <c r="DE133" s="6">
        <f t="shared" si="296"/>
        <v>0.5</v>
      </c>
      <c r="DF133" s="5">
        <v>0</v>
      </c>
      <c r="DG133" s="8">
        <f t="shared" si="283"/>
        <v>2.5</v>
      </c>
      <c r="DH133" s="5">
        <v>1.5</v>
      </c>
      <c r="DI133" s="8">
        <f t="shared" si="284"/>
        <v>0.3</v>
      </c>
      <c r="DJ133" s="5">
        <f t="shared" si="468"/>
        <v>6.75</v>
      </c>
      <c r="DK133" s="8">
        <v>0</v>
      </c>
      <c r="DL133" s="5">
        <f t="shared" si="469"/>
        <v>0</v>
      </c>
      <c r="DM133" s="5" t="s">
        <v>344</v>
      </c>
      <c r="DN133" s="8">
        <f t="shared" ref="DN133:DP133" si="487">DN112</f>
        <v>10</v>
      </c>
      <c r="DO133" s="8">
        <f t="shared" si="487"/>
        <v>1</v>
      </c>
      <c r="DP133" s="5">
        <f t="shared" si="487"/>
        <v>0</v>
      </c>
      <c r="DQ133" s="8">
        <f t="shared" si="425"/>
        <v>0</v>
      </c>
      <c r="DR133" s="5">
        <f t="shared" si="483"/>
        <v>4.5</v>
      </c>
      <c r="DS133" s="8">
        <f t="shared" si="287"/>
        <v>5</v>
      </c>
      <c r="DT133" s="8">
        <f t="shared" si="288"/>
        <v>-5</v>
      </c>
      <c r="DU133" s="8">
        <f t="shared" si="288"/>
        <v>5</v>
      </c>
      <c r="DV133" s="8">
        <f t="shared" si="262"/>
        <v>0.5</v>
      </c>
      <c r="DW133" s="5">
        <f t="shared" si="462"/>
        <v>0.5</v>
      </c>
      <c r="DX133" s="8">
        <f t="shared" si="289"/>
        <v>6</v>
      </c>
      <c r="DY133" s="8">
        <f t="shared" si="290"/>
        <v>0</v>
      </c>
      <c r="DZ133" s="8">
        <f t="shared" si="291"/>
        <v>0</v>
      </c>
      <c r="EA133" s="5"/>
    </row>
    <row r="134" spans="1:131" ht="14.25" x14ac:dyDescent="0.15">
      <c r="A134" s="5">
        <v>201132</v>
      </c>
      <c r="B134" s="9" t="s">
        <v>345</v>
      </c>
      <c r="C134" s="9"/>
      <c r="D134" s="9"/>
      <c r="E134" s="9"/>
      <c r="F134" s="5">
        <v>0</v>
      </c>
      <c r="G134" s="45"/>
      <c r="H134" s="5"/>
      <c r="I134" s="5"/>
      <c r="J134" s="5"/>
      <c r="K134" s="5"/>
      <c r="L134" s="10"/>
      <c r="M134" s="5"/>
      <c r="N134" s="10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20"/>
      <c r="AF134" s="5"/>
      <c r="AG134" s="5"/>
      <c r="AH134" s="5"/>
      <c r="AI134" s="5"/>
      <c r="AJ134" s="5"/>
      <c r="AK134" s="5"/>
      <c r="AL134" s="5"/>
      <c r="AM134" s="5"/>
      <c r="AN134" s="8"/>
      <c r="AO134" s="5">
        <v>0</v>
      </c>
      <c r="AP134" s="9" t="s">
        <v>345</v>
      </c>
      <c r="AQ134" s="5">
        <v>0</v>
      </c>
      <c r="AR134" s="8">
        <f t="shared" si="264"/>
        <v>4</v>
      </c>
      <c r="AS134" s="6">
        <f t="shared" si="471"/>
        <v>84</v>
      </c>
      <c r="AT134" s="6">
        <f t="shared" si="472"/>
        <v>105</v>
      </c>
      <c r="AU134" s="5">
        <f t="shared" si="265"/>
        <v>0</v>
      </c>
      <c r="AV134" s="5">
        <f t="shared" si="266"/>
        <v>1</v>
      </c>
      <c r="AW134" s="5">
        <f t="shared" si="267"/>
        <v>1</v>
      </c>
      <c r="AX134" s="5">
        <f t="shared" ref="AX134" si="488">AX113</f>
        <v>1</v>
      </c>
      <c r="AY134" s="5">
        <f t="shared" si="267"/>
        <v>1</v>
      </c>
      <c r="AZ134" s="8">
        <f t="shared" si="269"/>
        <v>71</v>
      </c>
      <c r="BA134" s="5">
        <f t="shared" si="257"/>
        <v>203006</v>
      </c>
      <c r="BB134" s="5">
        <v>0</v>
      </c>
      <c r="BC134" s="5">
        <v>0</v>
      </c>
      <c r="BD134" s="5">
        <f t="shared" si="270"/>
        <v>0</v>
      </c>
      <c r="BE134" s="5">
        <f t="shared" si="271"/>
        <v>304001</v>
      </c>
      <c r="BF134" s="5">
        <f t="shared" si="272"/>
        <v>90</v>
      </c>
      <c r="BG134" s="5">
        <f t="shared" si="272"/>
        <v>30</v>
      </c>
      <c r="BH134" s="5">
        <f t="shared" ref="BH134" si="489">BH113</f>
        <v>30</v>
      </c>
      <c r="BI134" s="5">
        <f t="shared" si="272"/>
        <v>1</v>
      </c>
      <c r="BJ134" s="5">
        <f t="shared" si="208"/>
        <v>7</v>
      </c>
      <c r="BK134" s="5">
        <v>7</v>
      </c>
      <c r="BL134" s="5">
        <f t="shared" si="312"/>
        <v>1</v>
      </c>
      <c r="BM134" s="5">
        <f t="shared" si="274"/>
        <v>30</v>
      </c>
      <c r="BN134" s="5">
        <f t="shared" si="274"/>
        <v>180</v>
      </c>
      <c r="BO134" s="5">
        <f t="shared" si="274"/>
        <v>108006</v>
      </c>
      <c r="BP134" s="5">
        <f t="shared" si="259"/>
        <v>3</v>
      </c>
      <c r="BQ134" s="5">
        <f t="shared" si="259"/>
        <v>3</v>
      </c>
      <c r="BR134" s="5">
        <f>50*BT134*3-360/BM134*BJ134*BQ134</f>
        <v>798</v>
      </c>
      <c r="BS134" s="4">
        <v>2</v>
      </c>
      <c r="BT134" s="4">
        <v>7</v>
      </c>
      <c r="BU134" s="4">
        <f t="shared" si="275"/>
        <v>0</v>
      </c>
      <c r="BV134" s="4">
        <f t="shared" si="475"/>
        <v>7</v>
      </c>
      <c r="BW134" s="4">
        <f t="shared" si="476"/>
        <v>7</v>
      </c>
      <c r="BX134" s="14">
        <f t="shared" si="477"/>
        <v>0.42999999999999994</v>
      </c>
      <c r="BY134" s="14">
        <f t="shared" si="478"/>
        <v>0.25</v>
      </c>
      <c r="BZ134" s="5" t="s">
        <v>132</v>
      </c>
      <c r="CA134" s="8" t="str">
        <f t="shared" si="378"/>
        <v>monster_06</v>
      </c>
      <c r="CB134" s="8" t="str">
        <f t="shared" si="378"/>
        <v>monster_06</v>
      </c>
      <c r="CC134" s="5">
        <v>0</v>
      </c>
      <c r="CD134" s="8">
        <f t="shared" si="276"/>
        <v>1</v>
      </c>
      <c r="CE134" s="5">
        <f t="shared" si="479"/>
        <v>7</v>
      </c>
      <c r="CF134" s="5">
        <f t="shared" si="294"/>
        <v>1</v>
      </c>
      <c r="CG134" s="9" t="s">
        <v>345</v>
      </c>
      <c r="CH134" s="5">
        <f t="shared" si="278"/>
        <v>3</v>
      </c>
      <c r="CI134" s="5">
        <v>0</v>
      </c>
      <c r="CJ134" s="4">
        <v>0</v>
      </c>
      <c r="CK134" s="5">
        <v>0</v>
      </c>
      <c r="CL134" s="5">
        <v>0</v>
      </c>
      <c r="CM134" s="20">
        <f t="shared" si="279"/>
        <v>110</v>
      </c>
      <c r="CN134" s="8">
        <f t="shared" si="279"/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8">
        <f t="shared" ref="CV134:CY134" si="490">CV113</f>
        <v>0.8</v>
      </c>
      <c r="CW134" s="8">
        <f t="shared" si="490"/>
        <v>0.6</v>
      </c>
      <c r="CX134" s="8">
        <f t="shared" si="490"/>
        <v>1.25</v>
      </c>
      <c r="CY134" s="8">
        <f t="shared" si="490"/>
        <v>1</v>
      </c>
      <c r="CZ134" s="8">
        <f t="shared" si="281"/>
        <v>1</v>
      </c>
      <c r="DA134" s="6">
        <f t="shared" si="466"/>
        <v>175</v>
      </c>
      <c r="DB134" s="5">
        <f t="shared" si="282"/>
        <v>0</v>
      </c>
      <c r="DC134" s="5">
        <f t="shared" si="481"/>
        <v>0.58500000000000008</v>
      </c>
      <c r="DD134" s="6">
        <f t="shared" si="467"/>
        <v>0.58500000000000008</v>
      </c>
      <c r="DE134" s="6">
        <f t="shared" si="296"/>
        <v>0.9</v>
      </c>
      <c r="DF134" s="5">
        <v>0</v>
      </c>
      <c r="DG134" s="8">
        <f t="shared" si="283"/>
        <v>2.5</v>
      </c>
      <c r="DH134" s="5">
        <v>1.5</v>
      </c>
      <c r="DI134" s="8">
        <f t="shared" si="284"/>
        <v>0</v>
      </c>
      <c r="DJ134" s="5">
        <f t="shared" si="468"/>
        <v>0</v>
      </c>
      <c r="DK134" s="8">
        <v>0</v>
      </c>
      <c r="DL134" s="5">
        <f t="shared" si="469"/>
        <v>0</v>
      </c>
      <c r="DM134" s="9" t="s">
        <v>345</v>
      </c>
      <c r="DN134" s="8">
        <f t="shared" ref="DN134:DP134" si="491">DN113</f>
        <v>6</v>
      </c>
      <c r="DO134" s="8">
        <f t="shared" si="491"/>
        <v>0</v>
      </c>
      <c r="DP134" s="5">
        <f t="shared" si="491"/>
        <v>0</v>
      </c>
      <c r="DQ134" s="8">
        <f t="shared" si="425"/>
        <v>0</v>
      </c>
      <c r="DR134" s="5">
        <f t="shared" si="483"/>
        <v>0.9</v>
      </c>
      <c r="DS134" s="8">
        <f t="shared" si="287"/>
        <v>1</v>
      </c>
      <c r="DT134" s="8">
        <f t="shared" si="288"/>
        <v>-0.5</v>
      </c>
      <c r="DU134" s="8">
        <f t="shared" si="288"/>
        <v>0.5</v>
      </c>
      <c r="DV134" s="8">
        <f t="shared" si="262"/>
        <v>0.5</v>
      </c>
      <c r="DW134" s="5">
        <f t="shared" si="462"/>
        <v>0.41666666666666669</v>
      </c>
      <c r="DX134" s="8">
        <f t="shared" si="289"/>
        <v>5</v>
      </c>
      <c r="DY134" s="8">
        <f t="shared" si="290"/>
        <v>1.3333333333333333</v>
      </c>
      <c r="DZ134" s="8">
        <f t="shared" si="291"/>
        <v>16</v>
      </c>
      <c r="EA134" s="5"/>
    </row>
    <row r="135" spans="1:131" x14ac:dyDescent="0.15">
      <c r="A135" s="5">
        <v>201133</v>
      </c>
      <c r="B135" s="5" t="s">
        <v>346</v>
      </c>
      <c r="C135" s="5"/>
      <c r="D135" s="5"/>
      <c r="E135" s="5"/>
      <c r="F135" s="5">
        <v>0</v>
      </c>
      <c r="G135" s="45"/>
      <c r="H135" s="5"/>
      <c r="I135" s="5"/>
      <c r="J135" s="5"/>
      <c r="K135" s="5"/>
      <c r="L135" s="10"/>
      <c r="M135" s="5"/>
      <c r="N135" s="10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20"/>
      <c r="AF135" s="5"/>
      <c r="AG135" s="5"/>
      <c r="AH135" s="5"/>
      <c r="AI135" s="5"/>
      <c r="AJ135" s="5"/>
      <c r="AK135" s="5"/>
      <c r="AL135" s="5"/>
      <c r="AM135" s="5"/>
      <c r="AN135" s="8"/>
      <c r="AO135" s="5">
        <v>0</v>
      </c>
      <c r="AP135" s="5" t="s">
        <v>346</v>
      </c>
      <c r="AQ135" s="5">
        <v>0</v>
      </c>
      <c r="AR135" s="8">
        <f t="shared" si="264"/>
        <v>5</v>
      </c>
      <c r="AS135" s="6">
        <f t="shared" si="471"/>
        <v>105</v>
      </c>
      <c r="AT135" s="6">
        <f t="shared" si="472"/>
        <v>126</v>
      </c>
      <c r="AU135" s="5">
        <f t="shared" si="265"/>
        <v>0</v>
      </c>
      <c r="AV135" s="5">
        <f t="shared" si="266"/>
        <v>1</v>
      </c>
      <c r="AW135" s="5">
        <f t="shared" si="267"/>
        <v>1</v>
      </c>
      <c r="AX135" s="5">
        <f t="shared" ref="AX135" si="492">AX114</f>
        <v>1</v>
      </c>
      <c r="AY135" s="5">
        <f t="shared" si="267"/>
        <v>1</v>
      </c>
      <c r="AZ135" s="8">
        <f>AZ114+1</f>
        <v>10707</v>
      </c>
      <c r="BA135" s="5">
        <f t="shared" si="257"/>
        <v>203007</v>
      </c>
      <c r="BB135" s="5">
        <v>0</v>
      </c>
      <c r="BC135" s="5">
        <v>0</v>
      </c>
      <c r="BD135" s="5">
        <f t="shared" si="270"/>
        <v>0</v>
      </c>
      <c r="BE135" s="5">
        <f t="shared" si="271"/>
        <v>0</v>
      </c>
      <c r="BF135" s="5">
        <f t="shared" si="272"/>
        <v>0</v>
      </c>
      <c r="BG135" s="5">
        <f t="shared" si="272"/>
        <v>0</v>
      </c>
      <c r="BH135" s="5">
        <f t="shared" ref="BH135" si="493">BH114</f>
        <v>0</v>
      </c>
      <c r="BI135" s="5">
        <f t="shared" si="272"/>
        <v>0</v>
      </c>
      <c r="BJ135" s="5">
        <f t="shared" si="208"/>
        <v>0</v>
      </c>
      <c r="BK135" s="5">
        <v>0</v>
      </c>
      <c r="BL135" s="5">
        <f t="shared" si="312"/>
        <v>0</v>
      </c>
      <c r="BM135" s="5">
        <f t="shared" si="274"/>
        <v>0</v>
      </c>
      <c r="BN135" s="5">
        <f t="shared" si="274"/>
        <v>0</v>
      </c>
      <c r="BO135" s="5">
        <f t="shared" si="274"/>
        <v>0</v>
      </c>
      <c r="BP135" s="5">
        <f t="shared" si="259"/>
        <v>0</v>
      </c>
      <c r="BQ135" s="5">
        <f t="shared" si="259"/>
        <v>0</v>
      </c>
      <c r="BR135" s="5"/>
      <c r="BS135" s="4">
        <v>2</v>
      </c>
      <c r="BT135" s="4">
        <v>7</v>
      </c>
      <c r="BU135" s="4">
        <f t="shared" si="275"/>
        <v>0</v>
      </c>
      <c r="BV135" s="4">
        <f t="shared" si="475"/>
        <v>7</v>
      </c>
      <c r="BW135" s="4">
        <f t="shared" si="476"/>
        <v>7</v>
      </c>
      <c r="BX135" s="14">
        <f t="shared" si="477"/>
        <v>0.42999999999999994</v>
      </c>
      <c r="BY135" s="14">
        <f t="shared" si="478"/>
        <v>0.25</v>
      </c>
      <c r="BZ135" s="5" t="s">
        <v>135</v>
      </c>
      <c r="CA135" s="8" t="str">
        <f t="shared" si="378"/>
        <v>monster_07</v>
      </c>
      <c r="CB135" s="8" t="str">
        <f t="shared" si="378"/>
        <v>monster_07</v>
      </c>
      <c r="CC135" s="5">
        <v>0</v>
      </c>
      <c r="CD135" s="8">
        <f t="shared" si="276"/>
        <v>4</v>
      </c>
      <c r="CE135" s="5">
        <f t="shared" si="479"/>
        <v>7</v>
      </c>
      <c r="CF135" s="5">
        <f t="shared" si="294"/>
        <v>1</v>
      </c>
      <c r="CG135" s="5" t="s">
        <v>346</v>
      </c>
      <c r="CH135" s="5">
        <f>CH113</f>
        <v>3</v>
      </c>
      <c r="CI135" s="5">
        <v>0</v>
      </c>
      <c r="CJ135" s="4">
        <v>0</v>
      </c>
      <c r="CK135" s="5">
        <v>0</v>
      </c>
      <c r="CL135" s="5">
        <v>0</v>
      </c>
      <c r="CM135" s="20">
        <f t="shared" si="279"/>
        <v>0</v>
      </c>
      <c r="CN135" s="8">
        <f t="shared" si="279"/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8">
        <f t="shared" ref="CV135:CY135" si="494">CV114</f>
        <v>0.8</v>
      </c>
      <c r="CW135" s="8">
        <f t="shared" si="494"/>
        <v>0.6</v>
      </c>
      <c r="CX135" s="8">
        <f t="shared" si="494"/>
        <v>1</v>
      </c>
      <c r="CY135" s="8">
        <f t="shared" si="494"/>
        <v>1</v>
      </c>
      <c r="CZ135" s="8">
        <f t="shared" si="281"/>
        <v>1</v>
      </c>
      <c r="DA135" s="6">
        <f t="shared" si="466"/>
        <v>175</v>
      </c>
      <c r="DB135" s="5">
        <f t="shared" si="282"/>
        <v>0</v>
      </c>
      <c r="DC135" s="5">
        <f t="shared" si="481"/>
        <v>0.32500000000000001</v>
      </c>
      <c r="DD135" s="6">
        <f t="shared" si="467"/>
        <v>0.32500000000000001</v>
      </c>
      <c r="DE135" s="6">
        <f t="shared" si="296"/>
        <v>0.5</v>
      </c>
      <c r="DF135" s="5">
        <v>1</v>
      </c>
      <c r="DG135" s="8">
        <f t="shared" si="283"/>
        <v>2.25</v>
      </c>
      <c r="DH135" s="5">
        <v>1.25</v>
      </c>
      <c r="DI135" s="8">
        <f t="shared" si="284"/>
        <v>3</v>
      </c>
      <c r="DJ135" s="5">
        <f t="shared" si="468"/>
        <v>67.5</v>
      </c>
      <c r="DK135" s="8">
        <v>0</v>
      </c>
      <c r="DL135" s="5">
        <f t="shared" si="469"/>
        <v>0</v>
      </c>
      <c r="DM135" s="5" t="s">
        <v>346</v>
      </c>
      <c r="DN135" s="8">
        <f t="shared" ref="DN135:DP135" si="495">DN114</f>
        <v>6</v>
      </c>
      <c r="DO135" s="8">
        <f t="shared" si="495"/>
        <v>0</v>
      </c>
      <c r="DP135" s="5">
        <f t="shared" si="495"/>
        <v>1</v>
      </c>
      <c r="DQ135" s="8">
        <f t="shared" si="425"/>
        <v>0</v>
      </c>
      <c r="DR135" s="5">
        <f t="shared" si="483"/>
        <v>1.1700000000000002</v>
      </c>
      <c r="DS135" s="8">
        <f t="shared" si="287"/>
        <v>1.3</v>
      </c>
      <c r="DT135" s="8">
        <f t="shared" si="288"/>
        <v>-0.5</v>
      </c>
      <c r="DU135" s="8">
        <f t="shared" si="288"/>
        <v>0.5</v>
      </c>
      <c r="DV135" s="8">
        <f t="shared" si="262"/>
        <v>0.6</v>
      </c>
      <c r="DW135" s="5">
        <f t="shared" si="462"/>
        <v>0.5</v>
      </c>
      <c r="DX135" s="8">
        <f t="shared" si="289"/>
        <v>6</v>
      </c>
      <c r="DY135" s="8">
        <f t="shared" si="290"/>
        <v>0</v>
      </c>
      <c r="DZ135" s="8">
        <f t="shared" si="291"/>
        <v>0</v>
      </c>
      <c r="EA135" s="5"/>
    </row>
    <row r="136" spans="1:131" x14ac:dyDescent="0.15">
      <c r="A136" s="5">
        <v>201134</v>
      </c>
      <c r="B136" s="5" t="s">
        <v>347</v>
      </c>
      <c r="C136" s="5"/>
      <c r="D136" s="5"/>
      <c r="E136" s="5"/>
      <c r="F136" s="5">
        <v>0</v>
      </c>
      <c r="G136" s="45"/>
      <c r="H136" s="5"/>
      <c r="I136" s="5"/>
      <c r="J136" s="5"/>
      <c r="K136" s="5"/>
      <c r="L136" s="10"/>
      <c r="M136" s="5"/>
      <c r="N136" s="10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20"/>
      <c r="AF136" s="5"/>
      <c r="AG136" s="5"/>
      <c r="AH136" s="5"/>
      <c r="AI136" s="5"/>
      <c r="AJ136" s="5"/>
      <c r="AK136" s="5"/>
      <c r="AL136" s="5"/>
      <c r="AM136" s="5"/>
      <c r="AN136" s="8"/>
      <c r="AO136" s="5">
        <v>0</v>
      </c>
      <c r="AP136" s="5" t="s">
        <v>347</v>
      </c>
      <c r="AQ136" s="5">
        <v>0</v>
      </c>
      <c r="AR136" s="8">
        <f t="shared" si="264"/>
        <v>4</v>
      </c>
      <c r="AS136" s="6">
        <f t="shared" si="471"/>
        <v>84</v>
      </c>
      <c r="AT136" s="6">
        <f t="shared" si="472"/>
        <v>105</v>
      </c>
      <c r="AU136" s="5">
        <f t="shared" si="265"/>
        <v>0.2</v>
      </c>
      <c r="AV136" s="5">
        <f t="shared" si="266"/>
        <v>1</v>
      </c>
      <c r="AW136" s="5">
        <f t="shared" si="267"/>
        <v>0</v>
      </c>
      <c r="AX136" s="5">
        <f t="shared" ref="AX136" si="496">AX115</f>
        <v>0</v>
      </c>
      <c r="AY136" s="5">
        <f t="shared" si="267"/>
        <v>1</v>
      </c>
      <c r="AZ136" s="8">
        <f t="shared" si="269"/>
        <v>73</v>
      </c>
      <c r="BA136" s="5">
        <f t="shared" si="257"/>
        <v>203008</v>
      </c>
      <c r="BB136" s="5">
        <v>0</v>
      </c>
      <c r="BC136" s="5">
        <v>0</v>
      </c>
      <c r="BD136" s="5">
        <f t="shared" si="270"/>
        <v>0</v>
      </c>
      <c r="BE136" s="5">
        <f t="shared" si="271"/>
        <v>0</v>
      </c>
      <c r="BF136" s="5">
        <f t="shared" si="272"/>
        <v>0</v>
      </c>
      <c r="BG136" s="5">
        <f t="shared" si="272"/>
        <v>0</v>
      </c>
      <c r="BH136" s="5">
        <f t="shared" ref="BH136" si="497">BH115</f>
        <v>0</v>
      </c>
      <c r="BI136" s="5">
        <f t="shared" si="272"/>
        <v>0</v>
      </c>
      <c r="BJ136" s="5">
        <f t="shared" ref="BJ136:BJ199" si="498">BL136*BT136</f>
        <v>0</v>
      </c>
      <c r="BK136" s="5">
        <v>0</v>
      </c>
      <c r="BL136" s="5">
        <f t="shared" si="312"/>
        <v>0</v>
      </c>
      <c r="BM136" s="5">
        <f t="shared" si="274"/>
        <v>0</v>
      </c>
      <c r="BN136" s="5">
        <f t="shared" si="274"/>
        <v>0</v>
      </c>
      <c r="BO136" s="5">
        <f t="shared" si="274"/>
        <v>0</v>
      </c>
      <c r="BP136" s="5">
        <f t="shared" si="259"/>
        <v>0</v>
      </c>
      <c r="BQ136" s="5">
        <f t="shared" si="259"/>
        <v>0</v>
      </c>
      <c r="BR136" s="5"/>
      <c r="BS136" s="4">
        <v>2</v>
      </c>
      <c r="BT136" s="4">
        <v>7</v>
      </c>
      <c r="BU136" s="4">
        <f t="shared" si="275"/>
        <v>1</v>
      </c>
      <c r="BV136" s="4">
        <f t="shared" si="475"/>
        <v>7</v>
      </c>
      <c r="BW136" s="4">
        <f t="shared" si="476"/>
        <v>7</v>
      </c>
      <c r="BX136" s="14">
        <f t="shared" si="477"/>
        <v>0.42999999999999994</v>
      </c>
      <c r="BY136" s="14">
        <f t="shared" si="478"/>
        <v>0.25</v>
      </c>
      <c r="BZ136" s="5" t="s">
        <v>138</v>
      </c>
      <c r="CA136" s="8" t="str">
        <f t="shared" si="378"/>
        <v>monster_08</v>
      </c>
      <c r="CB136" s="8" t="str">
        <f t="shared" si="378"/>
        <v>monster_08</v>
      </c>
      <c r="CC136" s="5">
        <v>0</v>
      </c>
      <c r="CD136" s="8">
        <f t="shared" si="276"/>
        <v>1</v>
      </c>
      <c r="CE136" s="5">
        <f t="shared" si="479"/>
        <v>0</v>
      </c>
      <c r="CF136" s="5">
        <f t="shared" si="294"/>
        <v>0</v>
      </c>
      <c r="CG136" s="5" t="s">
        <v>347</v>
      </c>
      <c r="CH136" s="5">
        <f t="shared" si="278"/>
        <v>3</v>
      </c>
      <c r="CI136" s="5">
        <v>0</v>
      </c>
      <c r="CJ136" s="4">
        <v>0</v>
      </c>
      <c r="CK136" s="5">
        <v>0</v>
      </c>
      <c r="CL136" s="5">
        <v>0</v>
      </c>
      <c r="CM136" s="20">
        <f t="shared" si="279"/>
        <v>112</v>
      </c>
      <c r="CN136" s="8">
        <f t="shared" si="279"/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8">
        <f t="shared" ref="CV136:CY136" si="499">CV115</f>
        <v>0.8</v>
      </c>
      <c r="CW136" s="8">
        <f t="shared" si="499"/>
        <v>0.6</v>
      </c>
      <c r="CX136" s="8">
        <f t="shared" si="499"/>
        <v>1</v>
      </c>
      <c r="CY136" s="8">
        <f t="shared" si="499"/>
        <v>1</v>
      </c>
      <c r="CZ136" s="8">
        <f t="shared" si="281"/>
        <v>0.4</v>
      </c>
      <c r="DA136" s="6">
        <f t="shared" si="466"/>
        <v>70</v>
      </c>
      <c r="DB136" s="5">
        <f t="shared" si="282"/>
        <v>0</v>
      </c>
      <c r="DC136" s="5">
        <f t="shared" si="481"/>
        <v>0.78</v>
      </c>
      <c r="DD136" s="6">
        <f t="shared" si="467"/>
        <v>0.78</v>
      </c>
      <c r="DE136" s="6">
        <f t="shared" si="296"/>
        <v>1.2</v>
      </c>
      <c r="DF136" s="5">
        <v>0</v>
      </c>
      <c r="DG136" s="8">
        <f t="shared" si="283"/>
        <v>2.25</v>
      </c>
      <c r="DH136" s="5">
        <v>1.25</v>
      </c>
      <c r="DI136" s="8">
        <f t="shared" si="284"/>
        <v>0</v>
      </c>
      <c r="DJ136" s="5">
        <f t="shared" si="468"/>
        <v>0</v>
      </c>
      <c r="DK136" s="8">
        <v>0</v>
      </c>
      <c r="DL136" s="5">
        <f t="shared" si="469"/>
        <v>0</v>
      </c>
      <c r="DM136" s="5" t="s">
        <v>347</v>
      </c>
      <c r="DN136" s="8">
        <f t="shared" ref="DN136:DP136" si="500">DN115</f>
        <v>6</v>
      </c>
      <c r="DO136" s="8">
        <f t="shared" si="500"/>
        <v>0</v>
      </c>
      <c r="DP136" s="5">
        <f t="shared" si="500"/>
        <v>0</v>
      </c>
      <c r="DQ136" s="8">
        <f t="shared" si="425"/>
        <v>0</v>
      </c>
      <c r="DR136" s="5">
        <f t="shared" si="483"/>
        <v>0.9</v>
      </c>
      <c r="DS136" s="8">
        <f t="shared" si="287"/>
        <v>1</v>
      </c>
      <c r="DT136" s="8">
        <f t="shared" si="288"/>
        <v>-0.5</v>
      </c>
      <c r="DU136" s="8">
        <f t="shared" si="288"/>
        <v>0.5</v>
      </c>
      <c r="DV136" s="8">
        <f t="shared" si="262"/>
        <v>0.75</v>
      </c>
      <c r="DW136" s="5">
        <f t="shared" si="462"/>
        <v>0.5</v>
      </c>
      <c r="DX136" s="8">
        <f t="shared" si="289"/>
        <v>6</v>
      </c>
      <c r="DY136" s="8">
        <f t="shared" si="290"/>
        <v>0</v>
      </c>
      <c r="DZ136" s="8">
        <f t="shared" si="291"/>
        <v>0</v>
      </c>
      <c r="EA136" s="5"/>
    </row>
    <row r="137" spans="1:131" x14ac:dyDescent="0.15">
      <c r="A137" s="5">
        <v>201135</v>
      </c>
      <c r="B137" s="5" t="s">
        <v>348</v>
      </c>
      <c r="C137" s="5"/>
      <c r="D137" s="5"/>
      <c r="E137" s="5"/>
      <c r="F137" s="5">
        <v>0</v>
      </c>
      <c r="G137" s="45"/>
      <c r="H137" s="5"/>
      <c r="I137" s="5"/>
      <c r="J137" s="5"/>
      <c r="K137" s="5"/>
      <c r="L137" s="10"/>
      <c r="M137" s="5"/>
      <c r="N137" s="10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20"/>
      <c r="AF137" s="5"/>
      <c r="AG137" s="5"/>
      <c r="AH137" s="5"/>
      <c r="AI137" s="5"/>
      <c r="AJ137" s="5"/>
      <c r="AK137" s="5"/>
      <c r="AL137" s="5"/>
      <c r="AM137" s="5"/>
      <c r="AN137" s="8"/>
      <c r="AO137" s="5">
        <v>0</v>
      </c>
      <c r="AP137" s="5" t="s">
        <v>348</v>
      </c>
      <c r="AQ137" s="5">
        <v>0</v>
      </c>
      <c r="AR137" s="8">
        <f t="shared" si="264"/>
        <v>0.65</v>
      </c>
      <c r="AS137" s="6">
        <f t="shared" si="471"/>
        <v>13.650000000000002</v>
      </c>
      <c r="AT137" s="6">
        <f t="shared" si="472"/>
        <v>34.649999999999991</v>
      </c>
      <c r="AU137" s="5">
        <f t="shared" si="265"/>
        <v>0</v>
      </c>
      <c r="AV137" s="5">
        <f t="shared" si="266"/>
        <v>1</v>
      </c>
      <c r="AW137" s="5">
        <f t="shared" si="267"/>
        <v>0</v>
      </c>
      <c r="AX137" s="5">
        <f t="shared" ref="AX137" si="501">AX116</f>
        <v>0</v>
      </c>
      <c r="AY137" s="5">
        <f t="shared" si="267"/>
        <v>1</v>
      </c>
      <c r="AZ137" s="8">
        <f t="shared" si="269"/>
        <v>73</v>
      </c>
      <c r="BA137" s="5">
        <f t="shared" si="257"/>
        <v>203009</v>
      </c>
      <c r="BB137" s="5">
        <v>0</v>
      </c>
      <c r="BC137" s="5">
        <v>0</v>
      </c>
      <c r="BD137" s="5">
        <f t="shared" si="270"/>
        <v>0</v>
      </c>
      <c r="BE137" s="5">
        <f t="shared" si="271"/>
        <v>0</v>
      </c>
      <c r="BF137" s="5">
        <f t="shared" si="272"/>
        <v>0</v>
      </c>
      <c r="BG137" s="5">
        <f t="shared" si="272"/>
        <v>0</v>
      </c>
      <c r="BH137" s="5">
        <f t="shared" ref="BH137" si="502">BH116</f>
        <v>0</v>
      </c>
      <c r="BI137" s="5">
        <f t="shared" si="272"/>
        <v>0</v>
      </c>
      <c r="BJ137" s="5">
        <f t="shared" si="498"/>
        <v>0</v>
      </c>
      <c r="BK137" s="5">
        <v>0</v>
      </c>
      <c r="BL137" s="5">
        <f t="shared" si="312"/>
        <v>0</v>
      </c>
      <c r="BM137" s="5">
        <f t="shared" si="274"/>
        <v>0</v>
      </c>
      <c r="BN137" s="5">
        <f t="shared" si="274"/>
        <v>0</v>
      </c>
      <c r="BO137" s="5">
        <f t="shared" si="274"/>
        <v>0</v>
      </c>
      <c r="BP137" s="5">
        <f t="shared" si="259"/>
        <v>0</v>
      </c>
      <c r="BQ137" s="5">
        <f t="shared" si="259"/>
        <v>0</v>
      </c>
      <c r="BR137" s="5"/>
      <c r="BS137" s="4">
        <v>2</v>
      </c>
      <c r="BT137" s="4">
        <v>7</v>
      </c>
      <c r="BU137" s="4">
        <f t="shared" si="275"/>
        <v>0</v>
      </c>
      <c r="BV137" s="4">
        <f t="shared" si="475"/>
        <v>7</v>
      </c>
      <c r="BW137" s="4">
        <f t="shared" si="476"/>
        <v>7</v>
      </c>
      <c r="BX137" s="14">
        <f t="shared" si="477"/>
        <v>0.42999999999999994</v>
      </c>
      <c r="BY137" s="14">
        <f t="shared" si="478"/>
        <v>0.25</v>
      </c>
      <c r="BZ137" s="5" t="s">
        <v>141</v>
      </c>
      <c r="CA137" s="8" t="str">
        <f t="shared" si="378"/>
        <v>monster_09</v>
      </c>
      <c r="CB137" s="8" t="str">
        <f t="shared" si="378"/>
        <v>monster_09</v>
      </c>
      <c r="CC137" s="5">
        <v>0</v>
      </c>
      <c r="CD137" s="8">
        <f t="shared" si="276"/>
        <v>1</v>
      </c>
      <c r="CE137" s="5">
        <f t="shared" si="479"/>
        <v>0</v>
      </c>
      <c r="CF137" s="5">
        <f t="shared" si="294"/>
        <v>0</v>
      </c>
      <c r="CG137" s="5" t="s">
        <v>348</v>
      </c>
      <c r="CH137" s="5">
        <f t="shared" si="278"/>
        <v>3</v>
      </c>
      <c r="CI137" s="5">
        <v>0</v>
      </c>
      <c r="CJ137" s="4">
        <v>0</v>
      </c>
      <c r="CK137" s="5">
        <v>0</v>
      </c>
      <c r="CL137" s="5">
        <v>0</v>
      </c>
      <c r="CM137" s="20">
        <f t="shared" si="279"/>
        <v>0</v>
      </c>
      <c r="CN137" s="8">
        <f t="shared" si="279"/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8">
        <f t="shared" ref="CV137:CY137" si="503">CV116</f>
        <v>0.1</v>
      </c>
      <c r="CW137" s="8">
        <f t="shared" si="503"/>
        <v>0.6</v>
      </c>
      <c r="CX137" s="8">
        <f t="shared" si="503"/>
        <v>1</v>
      </c>
      <c r="CY137" s="8">
        <f t="shared" si="503"/>
        <v>1</v>
      </c>
      <c r="CZ137" s="8">
        <f t="shared" si="281"/>
        <v>0.3</v>
      </c>
      <c r="DA137" s="6">
        <f t="shared" si="466"/>
        <v>52.5</v>
      </c>
      <c r="DB137" s="5">
        <f t="shared" si="282"/>
        <v>1</v>
      </c>
      <c r="DC137" s="5">
        <f t="shared" si="481"/>
        <v>0.52</v>
      </c>
      <c r="DD137" s="6">
        <f t="shared" si="467"/>
        <v>0.52</v>
      </c>
      <c r="DE137" s="6">
        <f t="shared" si="296"/>
        <v>0.8</v>
      </c>
      <c r="DF137" s="5">
        <v>0</v>
      </c>
      <c r="DG137" s="8">
        <f t="shared" si="283"/>
        <v>3</v>
      </c>
      <c r="DH137" s="5">
        <v>1.5</v>
      </c>
      <c r="DI137" s="8">
        <f t="shared" si="284"/>
        <v>0</v>
      </c>
      <c r="DJ137" s="5">
        <f t="shared" si="468"/>
        <v>0</v>
      </c>
      <c r="DK137" s="8">
        <v>0</v>
      </c>
      <c r="DL137" s="5">
        <f t="shared" si="469"/>
        <v>0</v>
      </c>
      <c r="DM137" s="5" t="s">
        <v>348</v>
      </c>
      <c r="DN137" s="8">
        <f t="shared" ref="DN137:DP137" si="504">DN116</f>
        <v>6</v>
      </c>
      <c r="DO137" s="8">
        <f t="shared" si="504"/>
        <v>0</v>
      </c>
      <c r="DP137" s="5">
        <f t="shared" si="504"/>
        <v>0</v>
      </c>
      <c r="DQ137" s="8">
        <f t="shared" si="425"/>
        <v>0</v>
      </c>
      <c r="DR137" s="5">
        <f t="shared" si="483"/>
        <v>1.8</v>
      </c>
      <c r="DS137" s="8">
        <f t="shared" si="287"/>
        <v>2</v>
      </c>
      <c r="DT137" s="8">
        <f t="shared" si="288"/>
        <v>-2</v>
      </c>
      <c r="DU137" s="8">
        <f t="shared" si="288"/>
        <v>2</v>
      </c>
      <c r="DV137" s="8">
        <f t="shared" si="262"/>
        <v>0.1</v>
      </c>
      <c r="DW137" s="5">
        <f t="shared" si="462"/>
        <v>8.3333333333333329E-2</v>
      </c>
      <c r="DX137" s="8">
        <f t="shared" si="289"/>
        <v>1</v>
      </c>
      <c r="DY137" s="8">
        <f t="shared" si="290"/>
        <v>0</v>
      </c>
      <c r="DZ137" s="8">
        <f t="shared" si="291"/>
        <v>0</v>
      </c>
      <c r="EA137" s="5"/>
    </row>
    <row r="138" spans="1:131" x14ac:dyDescent="0.15">
      <c r="A138" s="5">
        <v>201136</v>
      </c>
      <c r="B138" s="5" t="s">
        <v>349</v>
      </c>
      <c r="C138" s="5"/>
      <c r="D138" s="5"/>
      <c r="E138" s="5"/>
      <c r="F138" s="5">
        <v>0</v>
      </c>
      <c r="G138" s="45"/>
      <c r="H138" s="5"/>
      <c r="I138" s="5"/>
      <c r="J138" s="5"/>
      <c r="K138" s="5"/>
      <c r="L138" s="10"/>
      <c r="M138" s="5"/>
      <c r="N138" s="10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20"/>
      <c r="AF138" s="5"/>
      <c r="AG138" s="5"/>
      <c r="AH138" s="5"/>
      <c r="AI138" s="5"/>
      <c r="AJ138" s="5"/>
      <c r="AK138" s="5"/>
      <c r="AL138" s="5"/>
      <c r="AM138" s="5"/>
      <c r="AN138" s="8"/>
      <c r="AO138" s="5">
        <v>0</v>
      </c>
      <c r="AP138" s="5" t="s">
        <v>349</v>
      </c>
      <c r="AQ138" s="5">
        <v>0</v>
      </c>
      <c r="AR138" s="8">
        <f t="shared" si="264"/>
        <v>1</v>
      </c>
      <c r="AS138" s="6">
        <f t="shared" si="471"/>
        <v>21</v>
      </c>
      <c r="AT138" s="6">
        <f t="shared" si="472"/>
        <v>42</v>
      </c>
      <c r="AU138" s="5">
        <f t="shared" si="265"/>
        <v>0</v>
      </c>
      <c r="AV138" s="5">
        <f t="shared" si="266"/>
        <v>1</v>
      </c>
      <c r="AW138" s="5">
        <f t="shared" si="267"/>
        <v>1</v>
      </c>
      <c r="AX138" s="5">
        <f t="shared" ref="AX138" si="505">AX117</f>
        <v>1</v>
      </c>
      <c r="AY138" s="5">
        <f t="shared" si="267"/>
        <v>1</v>
      </c>
      <c r="AZ138" s="8">
        <v>201136</v>
      </c>
      <c r="BA138" s="5">
        <f t="shared" si="257"/>
        <v>203010</v>
      </c>
      <c r="BB138" s="5">
        <v>0</v>
      </c>
      <c r="BC138" s="5">
        <v>0</v>
      </c>
      <c r="BD138" s="5">
        <f t="shared" si="270"/>
        <v>0</v>
      </c>
      <c r="BE138" s="5">
        <f t="shared" si="271"/>
        <v>305003</v>
      </c>
      <c r="BF138" s="5">
        <f t="shared" si="272"/>
        <v>180</v>
      </c>
      <c r="BG138" s="5">
        <f t="shared" si="272"/>
        <v>0</v>
      </c>
      <c r="BH138" s="5">
        <f t="shared" ref="BH138" si="506">BH117</f>
        <v>0</v>
      </c>
      <c r="BI138" s="5">
        <f t="shared" si="272"/>
        <v>0</v>
      </c>
      <c r="BJ138" s="5">
        <f t="shared" si="498"/>
        <v>7</v>
      </c>
      <c r="BK138" s="5">
        <v>7</v>
      </c>
      <c r="BL138" s="5">
        <f t="shared" si="312"/>
        <v>1</v>
      </c>
      <c r="BM138" s="5">
        <f t="shared" si="274"/>
        <v>30</v>
      </c>
      <c r="BN138" s="5">
        <f t="shared" si="274"/>
        <v>180</v>
      </c>
      <c r="BO138" s="5">
        <f t="shared" si="274"/>
        <v>108006</v>
      </c>
      <c r="BP138" s="5">
        <f t="shared" si="259"/>
        <v>2</v>
      </c>
      <c r="BQ138" s="5">
        <f t="shared" si="259"/>
        <v>2</v>
      </c>
      <c r="BR138" s="5">
        <f>50*BT138*3-360/BM138*BJ138*BQ138</f>
        <v>882</v>
      </c>
      <c r="BS138" s="4">
        <v>2</v>
      </c>
      <c r="BT138" s="4">
        <v>7</v>
      </c>
      <c r="BU138" s="4">
        <f t="shared" si="275"/>
        <v>0</v>
      </c>
      <c r="BV138" s="4">
        <f t="shared" si="475"/>
        <v>7</v>
      </c>
      <c r="BW138" s="4">
        <f t="shared" si="476"/>
        <v>7</v>
      </c>
      <c r="BX138" s="14">
        <f t="shared" si="477"/>
        <v>0.42999999999999994</v>
      </c>
      <c r="BY138" s="14">
        <f t="shared" si="478"/>
        <v>0.25</v>
      </c>
      <c r="BZ138" s="5" t="s">
        <v>143</v>
      </c>
      <c r="CA138" s="8" t="str">
        <f t="shared" si="378"/>
        <v>monster_10</v>
      </c>
      <c r="CB138" s="8" t="str">
        <f t="shared" si="378"/>
        <v>monster_10</v>
      </c>
      <c r="CC138" s="5">
        <v>0</v>
      </c>
      <c r="CD138" s="8">
        <f t="shared" si="276"/>
        <v>1</v>
      </c>
      <c r="CE138" s="5">
        <f t="shared" si="479"/>
        <v>0</v>
      </c>
      <c r="CF138" s="5">
        <f t="shared" si="294"/>
        <v>0</v>
      </c>
      <c r="CG138" s="5" t="s">
        <v>349</v>
      </c>
      <c r="CH138" s="5">
        <f t="shared" si="278"/>
        <v>3</v>
      </c>
      <c r="CI138" s="5">
        <v>0</v>
      </c>
      <c r="CJ138" s="4">
        <v>0</v>
      </c>
      <c r="CK138" s="5">
        <v>0</v>
      </c>
      <c r="CL138" s="5">
        <v>0</v>
      </c>
      <c r="CM138" s="20">
        <f t="shared" si="279"/>
        <v>0</v>
      </c>
      <c r="CN138" s="8">
        <f t="shared" si="279"/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8">
        <f t="shared" ref="CV138:CY138" si="507">CV117</f>
        <v>0.8</v>
      </c>
      <c r="CW138" s="8">
        <f t="shared" si="507"/>
        <v>0.6</v>
      </c>
      <c r="CX138" s="8">
        <f t="shared" si="507"/>
        <v>1</v>
      </c>
      <c r="CY138" s="8">
        <f t="shared" si="507"/>
        <v>1</v>
      </c>
      <c r="CZ138" s="8">
        <f t="shared" si="281"/>
        <v>1</v>
      </c>
      <c r="DA138" s="6">
        <f t="shared" si="466"/>
        <v>175</v>
      </c>
      <c r="DB138" s="5">
        <f t="shared" si="282"/>
        <v>0</v>
      </c>
      <c r="DC138" s="5">
        <f t="shared" si="481"/>
        <v>0.16250000000000001</v>
      </c>
      <c r="DD138" s="6">
        <f t="shared" si="467"/>
        <v>0.16250000000000001</v>
      </c>
      <c r="DE138" s="6">
        <f t="shared" si="296"/>
        <v>0.25</v>
      </c>
      <c r="DF138" s="5">
        <v>0</v>
      </c>
      <c r="DG138" s="8">
        <f t="shared" si="283"/>
        <v>2.5</v>
      </c>
      <c r="DH138" s="5">
        <v>1.5</v>
      </c>
      <c r="DI138" s="8">
        <f t="shared" si="284"/>
        <v>0</v>
      </c>
      <c r="DJ138" s="5">
        <f t="shared" si="468"/>
        <v>0</v>
      </c>
      <c r="DK138" s="8">
        <v>0</v>
      </c>
      <c r="DL138" s="5">
        <f t="shared" si="469"/>
        <v>0</v>
      </c>
      <c r="DM138" s="5" t="s">
        <v>350</v>
      </c>
      <c r="DN138" s="8">
        <f t="shared" ref="DN138:DP138" si="508">DN117</f>
        <v>6</v>
      </c>
      <c r="DO138" s="8">
        <f t="shared" si="508"/>
        <v>0</v>
      </c>
      <c r="DP138" s="5">
        <f t="shared" si="508"/>
        <v>0</v>
      </c>
      <c r="DQ138" s="8">
        <f t="shared" si="425"/>
        <v>0</v>
      </c>
      <c r="DR138" s="5">
        <f t="shared" si="483"/>
        <v>0.9</v>
      </c>
      <c r="DS138" s="8">
        <f t="shared" si="287"/>
        <v>1</v>
      </c>
      <c r="DT138" s="8">
        <f t="shared" si="288"/>
        <v>-0.5</v>
      </c>
      <c r="DU138" s="8">
        <f t="shared" si="288"/>
        <v>0.5</v>
      </c>
      <c r="DV138" s="8">
        <f t="shared" si="262"/>
        <v>0.5</v>
      </c>
      <c r="DW138" s="5">
        <f t="shared" si="462"/>
        <v>0.75</v>
      </c>
      <c r="DX138" s="8">
        <f t="shared" si="289"/>
        <v>9</v>
      </c>
      <c r="DY138" s="8">
        <f t="shared" si="290"/>
        <v>0</v>
      </c>
      <c r="DZ138" s="8">
        <f t="shared" si="291"/>
        <v>0</v>
      </c>
      <c r="EA138" s="5"/>
    </row>
    <row r="139" spans="1:131" x14ac:dyDescent="0.15">
      <c r="A139" s="5">
        <v>201137</v>
      </c>
      <c r="B139" s="5" t="s">
        <v>351</v>
      </c>
      <c r="C139" s="5"/>
      <c r="D139" s="5"/>
      <c r="E139" s="5"/>
      <c r="F139" s="5">
        <v>0</v>
      </c>
      <c r="G139" s="45"/>
      <c r="H139" s="5"/>
      <c r="I139" s="5"/>
      <c r="J139" s="5"/>
      <c r="K139" s="5"/>
      <c r="L139" s="10"/>
      <c r="M139" s="5"/>
      <c r="N139" s="10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20"/>
      <c r="AF139" s="5"/>
      <c r="AG139" s="5"/>
      <c r="AH139" s="5"/>
      <c r="AI139" s="5"/>
      <c r="AJ139" s="5"/>
      <c r="AK139" s="5"/>
      <c r="AL139" s="5"/>
      <c r="AM139" s="5"/>
      <c r="AN139" s="8"/>
      <c r="AO139" s="5">
        <v>0</v>
      </c>
      <c r="AP139" s="5" t="s">
        <v>351</v>
      </c>
      <c r="AQ139" s="5">
        <v>0</v>
      </c>
      <c r="AR139" s="8">
        <f t="shared" si="264"/>
        <v>2</v>
      </c>
      <c r="AS139" s="6">
        <f t="shared" si="471"/>
        <v>42</v>
      </c>
      <c r="AT139" s="6">
        <f t="shared" si="472"/>
        <v>63</v>
      </c>
      <c r="AU139" s="5">
        <f t="shared" si="265"/>
        <v>0</v>
      </c>
      <c r="AV139" s="5">
        <f t="shared" si="266"/>
        <v>1</v>
      </c>
      <c r="AW139" s="5">
        <f t="shared" si="267"/>
        <v>1</v>
      </c>
      <c r="AX139" s="5">
        <f t="shared" ref="AX139" si="509">AX118</f>
        <v>1</v>
      </c>
      <c r="AY139" s="5">
        <f t="shared" si="267"/>
        <v>1</v>
      </c>
      <c r="AZ139" s="8">
        <f t="shared" si="269"/>
        <v>73</v>
      </c>
      <c r="BA139" s="5">
        <f t="shared" si="257"/>
        <v>203011</v>
      </c>
      <c r="BB139" s="5">
        <v>0</v>
      </c>
      <c r="BC139" s="5">
        <v>0</v>
      </c>
      <c r="BD139" s="5">
        <f t="shared" si="270"/>
        <v>0</v>
      </c>
      <c r="BE139" s="5">
        <f t="shared" si="271"/>
        <v>304002</v>
      </c>
      <c r="BF139" s="5">
        <f t="shared" si="272"/>
        <v>180</v>
      </c>
      <c r="BG139" s="5">
        <f t="shared" si="272"/>
        <v>30</v>
      </c>
      <c r="BH139" s="5">
        <f t="shared" ref="BH139" si="510">BH118</f>
        <v>30</v>
      </c>
      <c r="BI139" s="5">
        <f t="shared" si="272"/>
        <v>1</v>
      </c>
      <c r="BJ139" s="5">
        <f t="shared" si="498"/>
        <v>7</v>
      </c>
      <c r="BK139" s="5">
        <v>7</v>
      </c>
      <c r="BL139" s="5">
        <f t="shared" si="312"/>
        <v>1</v>
      </c>
      <c r="BM139" s="5">
        <f t="shared" si="274"/>
        <v>30</v>
      </c>
      <c r="BN139" s="5">
        <f t="shared" si="274"/>
        <v>180</v>
      </c>
      <c r="BO139" s="5">
        <f t="shared" si="274"/>
        <v>108006</v>
      </c>
      <c r="BP139" s="5">
        <f t="shared" si="259"/>
        <v>3</v>
      </c>
      <c r="BQ139" s="5">
        <f t="shared" si="259"/>
        <v>2</v>
      </c>
      <c r="BR139" s="5">
        <f>50*BT139*3-360/BM139*BJ139*BQ139</f>
        <v>882</v>
      </c>
      <c r="BS139" s="4">
        <v>3</v>
      </c>
      <c r="BT139" s="4">
        <v>7</v>
      </c>
      <c r="BU139" s="4">
        <f t="shared" si="275"/>
        <v>0</v>
      </c>
      <c r="BV139" s="4">
        <f t="shared" si="475"/>
        <v>7</v>
      </c>
      <c r="BW139" s="4">
        <f t="shared" si="476"/>
        <v>7</v>
      </c>
      <c r="BX139" s="14">
        <f t="shared" si="477"/>
        <v>0.42999999999999994</v>
      </c>
      <c r="BY139" s="14">
        <f t="shared" si="478"/>
        <v>0.25</v>
      </c>
      <c r="BZ139" s="5" t="s">
        <v>146</v>
      </c>
      <c r="CA139" s="8" t="str">
        <f t="shared" si="378"/>
        <v>monster_11</v>
      </c>
      <c r="CB139" s="8" t="str">
        <f t="shared" si="378"/>
        <v>monster_11</v>
      </c>
      <c r="CC139" s="5">
        <v>0</v>
      </c>
      <c r="CD139" s="8">
        <f t="shared" si="276"/>
        <v>1</v>
      </c>
      <c r="CE139" s="5">
        <f t="shared" si="479"/>
        <v>0</v>
      </c>
      <c r="CF139" s="5">
        <f t="shared" si="294"/>
        <v>0</v>
      </c>
      <c r="CG139" s="5" t="s">
        <v>351</v>
      </c>
      <c r="CH139" s="5">
        <f t="shared" si="278"/>
        <v>3</v>
      </c>
      <c r="CI139" s="5">
        <v>0</v>
      </c>
      <c r="CJ139" s="4">
        <v>0</v>
      </c>
      <c r="CK139" s="5">
        <v>0</v>
      </c>
      <c r="CL139" s="5">
        <v>0</v>
      </c>
      <c r="CM139" s="20">
        <f t="shared" si="279"/>
        <v>0</v>
      </c>
      <c r="CN139" s="8">
        <f t="shared" si="279"/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8">
        <f t="shared" ref="CV139:CY139" si="511">CV118</f>
        <v>0.8</v>
      </c>
      <c r="CW139" s="8">
        <f t="shared" si="511"/>
        <v>0.6</v>
      </c>
      <c r="CX139" s="8">
        <f t="shared" si="511"/>
        <v>1</v>
      </c>
      <c r="CY139" s="8">
        <f t="shared" si="511"/>
        <v>1</v>
      </c>
      <c r="CZ139" s="8">
        <f t="shared" si="281"/>
        <v>2</v>
      </c>
      <c r="DA139" s="6">
        <f t="shared" si="466"/>
        <v>350</v>
      </c>
      <c r="DB139" s="5">
        <f t="shared" si="282"/>
        <v>0</v>
      </c>
      <c r="DC139" s="5">
        <f t="shared" si="481"/>
        <v>0.32500000000000001</v>
      </c>
      <c r="DD139" s="6">
        <f t="shared" si="467"/>
        <v>0.32500000000000001</v>
      </c>
      <c r="DE139" s="6">
        <f t="shared" si="296"/>
        <v>0.5</v>
      </c>
      <c r="DF139" s="5">
        <v>0</v>
      </c>
      <c r="DG139" s="8">
        <f t="shared" si="283"/>
        <v>3</v>
      </c>
      <c r="DH139" s="5">
        <v>2</v>
      </c>
      <c r="DI139" s="8">
        <f t="shared" si="284"/>
        <v>0</v>
      </c>
      <c r="DJ139" s="5">
        <f t="shared" si="468"/>
        <v>0</v>
      </c>
      <c r="DK139" s="8">
        <v>0</v>
      </c>
      <c r="DL139" s="5">
        <f t="shared" si="469"/>
        <v>0</v>
      </c>
      <c r="DM139" s="5" t="s">
        <v>351</v>
      </c>
      <c r="DN139" s="8">
        <f t="shared" ref="DN139:DP139" si="512">DN118</f>
        <v>6</v>
      </c>
      <c r="DO139" s="8">
        <f t="shared" si="512"/>
        <v>0</v>
      </c>
      <c r="DP139" s="5">
        <f t="shared" si="512"/>
        <v>1</v>
      </c>
      <c r="DQ139" s="8">
        <f t="shared" si="425"/>
        <v>1</v>
      </c>
      <c r="DR139" s="5">
        <f t="shared" si="483"/>
        <v>1.1700000000000002</v>
      </c>
      <c r="DS139" s="8">
        <f t="shared" si="287"/>
        <v>1.3</v>
      </c>
      <c r="DT139" s="8">
        <f t="shared" si="288"/>
        <v>-0.5</v>
      </c>
      <c r="DU139" s="8">
        <f t="shared" si="288"/>
        <v>0.5</v>
      </c>
      <c r="DV139" s="8">
        <f t="shared" si="262"/>
        <v>0.2</v>
      </c>
      <c r="DW139" s="5">
        <f t="shared" si="462"/>
        <v>0.41666666666666669</v>
      </c>
      <c r="DX139" s="8">
        <f t="shared" si="289"/>
        <v>5</v>
      </c>
      <c r="DY139" s="8">
        <f t="shared" si="290"/>
        <v>0</v>
      </c>
      <c r="DZ139" s="8">
        <f t="shared" si="291"/>
        <v>0</v>
      </c>
      <c r="EA139" s="5"/>
    </row>
    <row r="140" spans="1:131" x14ac:dyDescent="0.15">
      <c r="A140" s="5">
        <v>201138</v>
      </c>
      <c r="B140" s="5" t="s">
        <v>352</v>
      </c>
      <c r="C140" s="5"/>
      <c r="D140" s="5"/>
      <c r="E140" s="5"/>
      <c r="F140" s="5">
        <v>0</v>
      </c>
      <c r="G140" s="45"/>
      <c r="H140" s="5"/>
      <c r="I140" s="5"/>
      <c r="J140" s="5"/>
      <c r="K140" s="5"/>
      <c r="L140" s="10"/>
      <c r="M140" s="5"/>
      <c r="N140" s="10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20"/>
      <c r="AF140" s="5"/>
      <c r="AG140" s="5"/>
      <c r="AH140" s="5"/>
      <c r="AI140" s="5"/>
      <c r="AJ140" s="5"/>
      <c r="AK140" s="5"/>
      <c r="AL140" s="5"/>
      <c r="AM140" s="5"/>
      <c r="AN140" s="8"/>
      <c r="AO140" s="5">
        <v>0</v>
      </c>
      <c r="AP140" s="5" t="s">
        <v>352</v>
      </c>
      <c r="AQ140" s="5">
        <v>0</v>
      </c>
      <c r="AR140" s="8">
        <f t="shared" si="264"/>
        <v>5</v>
      </c>
      <c r="AS140" s="6">
        <f t="shared" si="471"/>
        <v>105</v>
      </c>
      <c r="AT140" s="6">
        <f t="shared" si="472"/>
        <v>126</v>
      </c>
      <c r="AU140" s="5">
        <f t="shared" si="265"/>
        <v>0</v>
      </c>
      <c r="AV140" s="5">
        <f t="shared" si="266"/>
        <v>1</v>
      </c>
      <c r="AW140" s="5">
        <f t="shared" si="267"/>
        <v>0</v>
      </c>
      <c r="AX140" s="5">
        <f t="shared" ref="AX140" si="513">AX119</f>
        <v>0</v>
      </c>
      <c r="AY140" s="5">
        <f t="shared" si="267"/>
        <v>1</v>
      </c>
      <c r="AZ140" s="8">
        <f t="shared" si="269"/>
        <v>73</v>
      </c>
      <c r="BA140" s="5">
        <f t="shared" si="257"/>
        <v>203012</v>
      </c>
      <c r="BB140" s="5">
        <v>0</v>
      </c>
      <c r="BC140" s="5">
        <v>0</v>
      </c>
      <c r="BD140" s="5">
        <f t="shared" si="270"/>
        <v>0</v>
      </c>
      <c r="BE140" s="5">
        <f t="shared" si="271"/>
        <v>0</v>
      </c>
      <c r="BF140" s="5">
        <f t="shared" si="272"/>
        <v>0</v>
      </c>
      <c r="BG140" s="5">
        <f t="shared" si="272"/>
        <v>0</v>
      </c>
      <c r="BH140" s="5">
        <f t="shared" ref="BH140" si="514">BH119</f>
        <v>0</v>
      </c>
      <c r="BI140" s="5">
        <f t="shared" si="272"/>
        <v>0</v>
      </c>
      <c r="BJ140" s="5">
        <f t="shared" si="498"/>
        <v>0</v>
      </c>
      <c r="BK140" s="5">
        <v>0</v>
      </c>
      <c r="BL140" s="5">
        <f t="shared" si="312"/>
        <v>0</v>
      </c>
      <c r="BM140" s="5">
        <f t="shared" si="274"/>
        <v>0</v>
      </c>
      <c r="BN140" s="5">
        <f t="shared" si="274"/>
        <v>0</v>
      </c>
      <c r="BO140" s="5">
        <f t="shared" si="274"/>
        <v>0</v>
      </c>
      <c r="BP140" s="5">
        <f t="shared" si="259"/>
        <v>0</v>
      </c>
      <c r="BQ140" s="5">
        <f t="shared" si="259"/>
        <v>0</v>
      </c>
      <c r="BR140" s="5"/>
      <c r="BS140" s="4">
        <v>3</v>
      </c>
      <c r="BT140" s="4">
        <v>7</v>
      </c>
      <c r="BU140" s="4">
        <f t="shared" si="275"/>
        <v>0</v>
      </c>
      <c r="BV140" s="4">
        <f t="shared" si="475"/>
        <v>7</v>
      </c>
      <c r="BW140" s="4">
        <f t="shared" si="476"/>
        <v>7</v>
      </c>
      <c r="BX140" s="14">
        <f t="shared" si="477"/>
        <v>0.42999999999999994</v>
      </c>
      <c r="BY140" s="14">
        <f t="shared" si="478"/>
        <v>0.25</v>
      </c>
      <c r="BZ140" s="5" t="s">
        <v>149</v>
      </c>
      <c r="CA140" s="8" t="str">
        <f t="shared" si="378"/>
        <v>monster_12</v>
      </c>
      <c r="CB140" s="8" t="str">
        <f t="shared" si="378"/>
        <v>monster_12</v>
      </c>
      <c r="CC140" s="5">
        <v>0</v>
      </c>
      <c r="CD140" s="8">
        <f t="shared" si="276"/>
        <v>1</v>
      </c>
      <c r="CE140" s="5">
        <f t="shared" si="479"/>
        <v>0</v>
      </c>
      <c r="CF140" s="5">
        <f t="shared" si="294"/>
        <v>0</v>
      </c>
      <c r="CG140" s="5" t="s">
        <v>352</v>
      </c>
      <c r="CH140" s="5">
        <f t="shared" si="278"/>
        <v>0</v>
      </c>
      <c r="CI140" s="5">
        <v>0</v>
      </c>
      <c r="CJ140" s="4">
        <v>0</v>
      </c>
      <c r="CK140" s="5">
        <v>0</v>
      </c>
      <c r="CL140" s="5">
        <v>0</v>
      </c>
      <c r="CM140" s="20">
        <f t="shared" si="279"/>
        <v>0</v>
      </c>
      <c r="CN140" s="8">
        <f t="shared" si="279"/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8">
        <f t="shared" ref="CV140:CY140" si="515">CV119</f>
        <v>0.8</v>
      </c>
      <c r="CW140" s="8">
        <f t="shared" si="515"/>
        <v>0.6</v>
      </c>
      <c r="CX140" s="8">
        <f t="shared" si="515"/>
        <v>1</v>
      </c>
      <c r="CY140" s="8">
        <f t="shared" si="515"/>
        <v>1</v>
      </c>
      <c r="CZ140" s="8">
        <f t="shared" si="281"/>
        <v>0.8</v>
      </c>
      <c r="DA140" s="6">
        <f t="shared" si="466"/>
        <v>140</v>
      </c>
      <c r="DB140" s="5">
        <f t="shared" si="282"/>
        <v>1</v>
      </c>
      <c r="DC140" s="5">
        <f t="shared" si="481"/>
        <v>0.52</v>
      </c>
      <c r="DD140" s="6">
        <f t="shared" si="467"/>
        <v>0.52</v>
      </c>
      <c r="DE140" s="6">
        <f t="shared" si="296"/>
        <v>0.8</v>
      </c>
      <c r="DF140" s="5">
        <v>0</v>
      </c>
      <c r="DG140" s="8">
        <f t="shared" si="283"/>
        <v>3.5</v>
      </c>
      <c r="DH140" s="5">
        <v>2</v>
      </c>
      <c r="DI140" s="8">
        <f t="shared" si="284"/>
        <v>0</v>
      </c>
      <c r="DJ140" s="5">
        <f t="shared" si="468"/>
        <v>0</v>
      </c>
      <c r="DK140" s="8">
        <v>0</v>
      </c>
      <c r="DL140" s="5">
        <f t="shared" si="469"/>
        <v>0</v>
      </c>
      <c r="DM140" s="5" t="s">
        <v>352</v>
      </c>
      <c r="DN140" s="8">
        <f t="shared" ref="DN140:DP140" si="516">DN119</f>
        <v>4</v>
      </c>
      <c r="DO140" s="8">
        <f t="shared" si="516"/>
        <v>0</v>
      </c>
      <c r="DP140" s="5">
        <f t="shared" si="516"/>
        <v>0</v>
      </c>
      <c r="DQ140" s="8">
        <f t="shared" si="425"/>
        <v>0</v>
      </c>
      <c r="DR140" s="5">
        <f t="shared" si="483"/>
        <v>0.9</v>
      </c>
      <c r="DS140" s="8">
        <f t="shared" si="287"/>
        <v>1</v>
      </c>
      <c r="DT140" s="8">
        <f t="shared" si="288"/>
        <v>-0.5</v>
      </c>
      <c r="DU140" s="8">
        <f t="shared" si="288"/>
        <v>0.5</v>
      </c>
      <c r="DV140" s="8">
        <f t="shared" si="262"/>
        <v>0.2</v>
      </c>
      <c r="DW140" s="5">
        <f t="shared" si="462"/>
        <v>0.33333333333333331</v>
      </c>
      <c r="DX140" s="8">
        <f t="shared" si="289"/>
        <v>4</v>
      </c>
      <c r="DY140" s="8">
        <f t="shared" si="290"/>
        <v>0</v>
      </c>
      <c r="DZ140" s="8">
        <f t="shared" si="291"/>
        <v>0</v>
      </c>
      <c r="EA140" s="5"/>
    </row>
    <row r="141" spans="1:131" x14ac:dyDescent="0.15">
      <c r="A141" s="5">
        <v>201139</v>
      </c>
      <c r="B141" s="5" t="s">
        <v>353</v>
      </c>
      <c r="C141" s="5"/>
      <c r="D141" s="5"/>
      <c r="E141" s="5"/>
      <c r="F141" s="5">
        <v>0</v>
      </c>
      <c r="G141" s="45"/>
      <c r="H141" s="5"/>
      <c r="I141" s="5"/>
      <c r="J141" s="5"/>
      <c r="K141" s="5"/>
      <c r="L141" s="10"/>
      <c r="M141" s="5"/>
      <c r="N141" s="10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20"/>
      <c r="AF141" s="5"/>
      <c r="AG141" s="5"/>
      <c r="AH141" s="5"/>
      <c r="AI141" s="5"/>
      <c r="AJ141" s="5"/>
      <c r="AK141" s="5"/>
      <c r="AL141" s="5"/>
      <c r="AM141" s="5"/>
      <c r="AN141" s="8"/>
      <c r="AO141" s="5">
        <v>0</v>
      </c>
      <c r="AP141" s="5" t="s">
        <v>353</v>
      </c>
      <c r="AQ141" s="5">
        <v>0</v>
      </c>
      <c r="AR141" s="8">
        <f t="shared" si="264"/>
        <v>2</v>
      </c>
      <c r="AS141" s="6">
        <f t="shared" si="471"/>
        <v>42</v>
      </c>
      <c r="AT141" s="6">
        <f t="shared" si="472"/>
        <v>63</v>
      </c>
      <c r="AU141" s="5">
        <f t="shared" si="265"/>
        <v>0</v>
      </c>
      <c r="AV141" s="5">
        <f t="shared" si="266"/>
        <v>1</v>
      </c>
      <c r="AW141" s="5">
        <f t="shared" si="267"/>
        <v>1</v>
      </c>
      <c r="AX141" s="5">
        <f t="shared" ref="AX141" si="517">AX120</f>
        <v>1</v>
      </c>
      <c r="AY141" s="5">
        <f t="shared" si="267"/>
        <v>1</v>
      </c>
      <c r="AZ141" s="8">
        <f t="shared" si="269"/>
        <v>73</v>
      </c>
      <c r="BA141" s="5">
        <f t="shared" si="257"/>
        <v>203013</v>
      </c>
      <c r="BB141" s="5">
        <v>0</v>
      </c>
      <c r="BC141" s="5">
        <v>0</v>
      </c>
      <c r="BD141" s="5">
        <f t="shared" si="270"/>
        <v>0</v>
      </c>
      <c r="BE141" s="5">
        <f t="shared" si="271"/>
        <v>0</v>
      </c>
      <c r="BF141" s="5">
        <f t="shared" si="272"/>
        <v>0</v>
      </c>
      <c r="BG141" s="5">
        <f t="shared" si="272"/>
        <v>0</v>
      </c>
      <c r="BH141" s="5">
        <f t="shared" ref="BH141" si="518">BH120</f>
        <v>0</v>
      </c>
      <c r="BI141" s="5">
        <f t="shared" si="272"/>
        <v>0</v>
      </c>
      <c r="BJ141" s="5">
        <f t="shared" si="498"/>
        <v>0</v>
      </c>
      <c r="BK141" s="5">
        <v>0</v>
      </c>
      <c r="BL141" s="5">
        <f t="shared" si="312"/>
        <v>0</v>
      </c>
      <c r="BM141" s="5">
        <f t="shared" si="274"/>
        <v>0</v>
      </c>
      <c r="BN141" s="5">
        <f t="shared" si="274"/>
        <v>0</v>
      </c>
      <c r="BO141" s="5">
        <f t="shared" si="274"/>
        <v>0</v>
      </c>
      <c r="BP141" s="5">
        <f t="shared" si="259"/>
        <v>0</v>
      </c>
      <c r="BQ141" s="5">
        <f t="shared" si="259"/>
        <v>0</v>
      </c>
      <c r="BR141" s="5"/>
      <c r="BS141" s="4">
        <v>3</v>
      </c>
      <c r="BT141" s="4">
        <v>7</v>
      </c>
      <c r="BU141" s="4">
        <f t="shared" si="275"/>
        <v>0</v>
      </c>
      <c r="BV141" s="4">
        <f t="shared" si="475"/>
        <v>7</v>
      </c>
      <c r="BW141" s="4">
        <f t="shared" si="476"/>
        <v>7</v>
      </c>
      <c r="BX141" s="14">
        <f t="shared" si="477"/>
        <v>0.42999999999999994</v>
      </c>
      <c r="BY141" s="14">
        <f t="shared" si="478"/>
        <v>0.25</v>
      </c>
      <c r="BZ141" s="5" t="s">
        <v>152</v>
      </c>
      <c r="CA141" s="8" t="str">
        <f t="shared" si="378"/>
        <v>monster_13</v>
      </c>
      <c r="CB141" s="8" t="str">
        <f t="shared" si="378"/>
        <v>monster_13</v>
      </c>
      <c r="CC141" s="5">
        <v>0</v>
      </c>
      <c r="CD141" s="8">
        <f t="shared" si="276"/>
        <v>1</v>
      </c>
      <c r="CE141" s="5">
        <f t="shared" si="479"/>
        <v>0</v>
      </c>
      <c r="CF141" s="5">
        <f t="shared" si="294"/>
        <v>0</v>
      </c>
      <c r="CG141" s="5" t="s">
        <v>353</v>
      </c>
      <c r="CH141" s="5">
        <f t="shared" si="278"/>
        <v>3</v>
      </c>
      <c r="CI141" s="5">
        <v>0</v>
      </c>
      <c r="CJ141" s="4">
        <v>0</v>
      </c>
      <c r="CK141" s="5">
        <v>0</v>
      </c>
      <c r="CL141" s="5">
        <v>0</v>
      </c>
      <c r="CM141" s="20">
        <f t="shared" si="279"/>
        <v>0</v>
      </c>
      <c r="CN141" s="8">
        <f t="shared" si="279"/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8">
        <f t="shared" ref="CV141:CY141" si="519">CV120</f>
        <v>0.8</v>
      </c>
      <c r="CW141" s="8">
        <f t="shared" si="519"/>
        <v>0.6</v>
      </c>
      <c r="CX141" s="8">
        <f t="shared" si="519"/>
        <v>1</v>
      </c>
      <c r="CY141" s="8">
        <f t="shared" si="519"/>
        <v>1</v>
      </c>
      <c r="CZ141" s="8">
        <f t="shared" si="281"/>
        <v>1</v>
      </c>
      <c r="DA141" s="6">
        <f t="shared" si="466"/>
        <v>175</v>
      </c>
      <c r="DB141" s="5">
        <f t="shared" si="282"/>
        <v>0</v>
      </c>
      <c r="DC141" s="5">
        <f t="shared" si="481"/>
        <v>0.58500000000000008</v>
      </c>
      <c r="DD141" s="6">
        <f t="shared" si="467"/>
        <v>0.58500000000000008</v>
      </c>
      <c r="DE141" s="6">
        <f t="shared" si="296"/>
        <v>0.9</v>
      </c>
      <c r="DF141" s="5">
        <v>0</v>
      </c>
      <c r="DG141" s="8">
        <f t="shared" si="283"/>
        <v>2.75</v>
      </c>
      <c r="DH141" s="5">
        <v>1.75</v>
      </c>
      <c r="DI141" s="8">
        <f t="shared" si="284"/>
        <v>0</v>
      </c>
      <c r="DJ141" s="5">
        <f t="shared" si="468"/>
        <v>0</v>
      </c>
      <c r="DK141" s="8">
        <v>0</v>
      </c>
      <c r="DL141" s="5">
        <f t="shared" si="469"/>
        <v>0</v>
      </c>
      <c r="DM141" s="5" t="s">
        <v>353</v>
      </c>
      <c r="DN141" s="8">
        <f t="shared" ref="DN141:DP141" si="520">DN120</f>
        <v>6</v>
      </c>
      <c r="DO141" s="8">
        <f t="shared" si="520"/>
        <v>0</v>
      </c>
      <c r="DP141" s="5">
        <f t="shared" si="520"/>
        <v>0</v>
      </c>
      <c r="DQ141" s="8">
        <f t="shared" si="425"/>
        <v>0</v>
      </c>
      <c r="DR141" s="5">
        <f t="shared" si="483"/>
        <v>0.9</v>
      </c>
      <c r="DS141" s="8">
        <f t="shared" si="287"/>
        <v>1</v>
      </c>
      <c r="DT141" s="8">
        <f t="shared" si="288"/>
        <v>-0.5</v>
      </c>
      <c r="DU141" s="8">
        <f t="shared" si="288"/>
        <v>0.5</v>
      </c>
      <c r="DV141" s="8">
        <f t="shared" si="262"/>
        <v>0.25</v>
      </c>
      <c r="DW141" s="5">
        <f t="shared" si="462"/>
        <v>0.66666666666666663</v>
      </c>
      <c r="DX141" s="8">
        <f t="shared" si="289"/>
        <v>8</v>
      </c>
      <c r="DY141" s="8">
        <f t="shared" si="290"/>
        <v>0</v>
      </c>
      <c r="DZ141" s="8">
        <f t="shared" si="291"/>
        <v>0</v>
      </c>
      <c r="EA141" s="5"/>
    </row>
    <row r="142" spans="1:131" x14ac:dyDescent="0.15">
      <c r="A142" s="5">
        <v>201140</v>
      </c>
      <c r="B142" s="5" t="s">
        <v>354</v>
      </c>
      <c r="C142" s="5"/>
      <c r="D142" s="5"/>
      <c r="E142" s="5"/>
      <c r="F142" s="5">
        <v>0</v>
      </c>
      <c r="G142" s="45"/>
      <c r="H142" s="5"/>
      <c r="I142" s="5"/>
      <c r="J142" s="5"/>
      <c r="K142" s="5"/>
      <c r="L142" s="10"/>
      <c r="M142" s="5"/>
      <c r="N142" s="10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20"/>
      <c r="AF142" s="5"/>
      <c r="AG142" s="5"/>
      <c r="AH142" s="5"/>
      <c r="AI142" s="5"/>
      <c r="AJ142" s="5"/>
      <c r="AK142" s="5"/>
      <c r="AL142" s="5"/>
      <c r="AM142" s="5"/>
      <c r="AN142" s="8"/>
      <c r="AO142" s="5">
        <v>0</v>
      </c>
      <c r="AP142" s="5" t="s">
        <v>354</v>
      </c>
      <c r="AQ142" s="5">
        <v>0</v>
      </c>
      <c r="AR142" s="8">
        <f t="shared" si="264"/>
        <v>5</v>
      </c>
      <c r="AS142" s="6">
        <f t="shared" si="471"/>
        <v>105</v>
      </c>
      <c r="AT142" s="6">
        <f t="shared" si="472"/>
        <v>126</v>
      </c>
      <c r="AU142" s="5">
        <f t="shared" si="265"/>
        <v>0</v>
      </c>
      <c r="AV142" s="5">
        <f t="shared" si="266"/>
        <v>1</v>
      </c>
      <c r="AW142" s="5">
        <f t="shared" si="267"/>
        <v>0</v>
      </c>
      <c r="AX142" s="5">
        <f t="shared" ref="AX142" si="521">AX121</f>
        <v>0</v>
      </c>
      <c r="AY142" s="5">
        <f t="shared" si="267"/>
        <v>0</v>
      </c>
      <c r="AZ142" s="8">
        <f t="shared" si="269"/>
        <v>73</v>
      </c>
      <c r="BA142" s="5">
        <f t="shared" si="257"/>
        <v>203014</v>
      </c>
      <c r="BB142" s="5">
        <v>0</v>
      </c>
      <c r="BC142" s="5">
        <v>0</v>
      </c>
      <c r="BD142" s="5">
        <f t="shared" si="270"/>
        <v>0</v>
      </c>
      <c r="BE142" s="5">
        <f t="shared" si="271"/>
        <v>0</v>
      </c>
      <c r="BF142" s="5">
        <f t="shared" si="272"/>
        <v>0</v>
      </c>
      <c r="BG142" s="5">
        <f t="shared" si="272"/>
        <v>0</v>
      </c>
      <c r="BH142" s="5">
        <f t="shared" ref="BH142" si="522">BH121</f>
        <v>0</v>
      </c>
      <c r="BI142" s="5">
        <f t="shared" si="272"/>
        <v>0</v>
      </c>
      <c r="BJ142" s="5">
        <f t="shared" si="498"/>
        <v>0</v>
      </c>
      <c r="BK142" s="5">
        <v>0</v>
      </c>
      <c r="BL142" s="5">
        <f t="shared" si="312"/>
        <v>0</v>
      </c>
      <c r="BM142" s="5">
        <f t="shared" si="274"/>
        <v>0</v>
      </c>
      <c r="BN142" s="5">
        <f t="shared" si="274"/>
        <v>0</v>
      </c>
      <c r="BO142" s="5">
        <f t="shared" si="274"/>
        <v>0</v>
      </c>
      <c r="BP142" s="5">
        <f t="shared" si="259"/>
        <v>0</v>
      </c>
      <c r="BQ142" s="5">
        <f t="shared" si="259"/>
        <v>0</v>
      </c>
      <c r="BR142" s="5"/>
      <c r="BS142" s="4">
        <v>3</v>
      </c>
      <c r="BT142" s="4">
        <v>7</v>
      </c>
      <c r="BU142" s="4">
        <f t="shared" si="275"/>
        <v>0</v>
      </c>
      <c r="BV142" s="4">
        <f t="shared" si="475"/>
        <v>7</v>
      </c>
      <c r="BW142" s="4">
        <f t="shared" si="476"/>
        <v>7</v>
      </c>
      <c r="BX142" s="14">
        <f t="shared" si="477"/>
        <v>0.42999999999999994</v>
      </c>
      <c r="BY142" s="14">
        <f t="shared" si="478"/>
        <v>0.25</v>
      </c>
      <c r="BZ142" s="5" t="s">
        <v>155</v>
      </c>
      <c r="CA142" s="8" t="str">
        <f t="shared" si="378"/>
        <v>monster_14</v>
      </c>
      <c r="CB142" s="8" t="str">
        <f t="shared" si="378"/>
        <v>monster_14</v>
      </c>
      <c r="CC142" s="5">
        <v>0</v>
      </c>
      <c r="CD142" s="8">
        <f t="shared" si="276"/>
        <v>1</v>
      </c>
      <c r="CE142" s="5">
        <f t="shared" si="479"/>
        <v>14</v>
      </c>
      <c r="CF142" s="5">
        <f t="shared" si="294"/>
        <v>2</v>
      </c>
      <c r="CG142" s="5" t="s">
        <v>354</v>
      </c>
      <c r="CH142" s="5">
        <f t="shared" si="278"/>
        <v>0</v>
      </c>
      <c r="CI142" s="5">
        <v>0</v>
      </c>
      <c r="CJ142" s="4">
        <v>0</v>
      </c>
      <c r="CK142" s="5">
        <v>0</v>
      </c>
      <c r="CL142" s="5">
        <v>0</v>
      </c>
      <c r="CM142" s="20">
        <f t="shared" si="279"/>
        <v>113</v>
      </c>
      <c r="CN142" s="8">
        <f t="shared" si="279"/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8">
        <f t="shared" ref="CV142:CY142" si="523">CV121</f>
        <v>0.8</v>
      </c>
      <c r="CW142" s="8">
        <f t="shared" si="523"/>
        <v>0.6</v>
      </c>
      <c r="CX142" s="8">
        <f t="shared" si="523"/>
        <v>1</v>
      </c>
      <c r="CY142" s="8">
        <f t="shared" si="523"/>
        <v>1</v>
      </c>
      <c r="CZ142" s="8">
        <f t="shared" si="281"/>
        <v>1</v>
      </c>
      <c r="DA142" s="6">
        <f t="shared" si="466"/>
        <v>175</v>
      </c>
      <c r="DB142" s="5">
        <f t="shared" si="282"/>
        <v>1</v>
      </c>
      <c r="DC142" s="5">
        <f t="shared" si="481"/>
        <v>0.97500000000000009</v>
      </c>
      <c r="DD142" s="6">
        <f t="shared" si="467"/>
        <v>0.97500000000000009</v>
      </c>
      <c r="DE142" s="6">
        <f t="shared" si="296"/>
        <v>1.5</v>
      </c>
      <c r="DF142" s="5">
        <v>0</v>
      </c>
      <c r="DG142" s="8">
        <f t="shared" si="283"/>
        <v>2.75</v>
      </c>
      <c r="DH142" s="5">
        <v>1.75</v>
      </c>
      <c r="DI142" s="8">
        <f t="shared" si="284"/>
        <v>0</v>
      </c>
      <c r="DJ142" s="5">
        <f t="shared" si="468"/>
        <v>0</v>
      </c>
      <c r="DK142" s="8">
        <v>0</v>
      </c>
      <c r="DL142" s="5">
        <f t="shared" si="469"/>
        <v>0</v>
      </c>
      <c r="DM142" s="5" t="s">
        <v>354</v>
      </c>
      <c r="DN142" s="8">
        <f t="shared" ref="DN142:DP142" si="524">DN121</f>
        <v>6</v>
      </c>
      <c r="DO142" s="8">
        <f t="shared" si="524"/>
        <v>0</v>
      </c>
      <c r="DP142" s="5">
        <f t="shared" si="524"/>
        <v>1</v>
      </c>
      <c r="DQ142" s="8">
        <f t="shared" si="425"/>
        <v>0</v>
      </c>
      <c r="DR142" s="5">
        <f t="shared" si="483"/>
        <v>0.9</v>
      </c>
      <c r="DS142" s="8">
        <f t="shared" si="287"/>
        <v>1</v>
      </c>
      <c r="DT142" s="8">
        <f t="shared" si="288"/>
        <v>-0.5</v>
      </c>
      <c r="DU142" s="8">
        <f t="shared" si="288"/>
        <v>0.5</v>
      </c>
      <c r="DV142" s="8">
        <f t="shared" si="262"/>
        <v>0.25</v>
      </c>
      <c r="DW142" s="5">
        <f t="shared" si="462"/>
        <v>0.33333333333333331</v>
      </c>
      <c r="DX142" s="8">
        <f t="shared" si="289"/>
        <v>4</v>
      </c>
      <c r="DY142" s="8">
        <f t="shared" si="290"/>
        <v>0</v>
      </c>
      <c r="DZ142" s="8">
        <f t="shared" si="291"/>
        <v>0</v>
      </c>
      <c r="EA142" s="5"/>
    </row>
    <row r="143" spans="1:131" x14ac:dyDescent="0.15">
      <c r="A143" s="5">
        <v>201141</v>
      </c>
      <c r="B143" s="5" t="s">
        <v>355</v>
      </c>
      <c r="C143" s="5"/>
      <c r="D143" s="5"/>
      <c r="E143" s="5"/>
      <c r="F143" s="5">
        <v>0</v>
      </c>
      <c r="G143" s="45"/>
      <c r="H143" s="5"/>
      <c r="I143" s="5"/>
      <c r="J143" s="5"/>
      <c r="K143" s="5"/>
      <c r="L143" s="10"/>
      <c r="M143" s="5"/>
      <c r="N143" s="10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20"/>
      <c r="AF143" s="5"/>
      <c r="AG143" s="5"/>
      <c r="AH143" s="5"/>
      <c r="AI143" s="5"/>
      <c r="AJ143" s="5"/>
      <c r="AK143" s="5"/>
      <c r="AL143" s="5"/>
      <c r="AM143" s="5"/>
      <c r="AN143" s="8"/>
      <c r="AO143" s="5">
        <v>0</v>
      </c>
      <c r="AP143" s="5" t="s">
        <v>355</v>
      </c>
      <c r="AQ143" s="5">
        <v>0</v>
      </c>
      <c r="AR143" s="8">
        <f t="shared" si="264"/>
        <v>2</v>
      </c>
      <c r="AS143" s="6">
        <f t="shared" si="471"/>
        <v>42</v>
      </c>
      <c r="AT143" s="6">
        <f t="shared" si="472"/>
        <v>63</v>
      </c>
      <c r="AU143" s="5">
        <f t="shared" si="265"/>
        <v>0.8</v>
      </c>
      <c r="AV143" s="5">
        <f t="shared" si="266"/>
        <v>0</v>
      </c>
      <c r="AW143" s="5">
        <f t="shared" si="267"/>
        <v>1</v>
      </c>
      <c r="AX143" s="5">
        <f t="shared" ref="AX143" si="525">AX122</f>
        <v>1</v>
      </c>
      <c r="AY143" s="5">
        <f t="shared" si="267"/>
        <v>0</v>
      </c>
      <c r="AZ143" s="8">
        <f t="shared" si="269"/>
        <v>72</v>
      </c>
      <c r="BA143" s="5">
        <f t="shared" si="257"/>
        <v>203015</v>
      </c>
      <c r="BB143" s="5">
        <v>0</v>
      </c>
      <c r="BC143" s="5">
        <v>0</v>
      </c>
      <c r="BD143" s="5">
        <f t="shared" si="270"/>
        <v>0</v>
      </c>
      <c r="BE143" s="5">
        <f t="shared" si="271"/>
        <v>0</v>
      </c>
      <c r="BF143" s="5">
        <f t="shared" si="272"/>
        <v>0</v>
      </c>
      <c r="BG143" s="5">
        <f t="shared" si="272"/>
        <v>0</v>
      </c>
      <c r="BH143" s="5">
        <f t="shared" ref="BH143" si="526">BH122</f>
        <v>0</v>
      </c>
      <c r="BI143" s="5">
        <f t="shared" si="272"/>
        <v>0</v>
      </c>
      <c r="BJ143" s="5">
        <f t="shared" si="498"/>
        <v>0</v>
      </c>
      <c r="BK143" s="5">
        <v>0</v>
      </c>
      <c r="BL143" s="5">
        <f t="shared" si="312"/>
        <v>0</v>
      </c>
      <c r="BM143" s="5">
        <f t="shared" si="274"/>
        <v>0</v>
      </c>
      <c r="BN143" s="5">
        <f t="shared" si="274"/>
        <v>0</v>
      </c>
      <c r="BO143" s="5">
        <f t="shared" si="274"/>
        <v>0</v>
      </c>
      <c r="BP143" s="5">
        <f t="shared" si="259"/>
        <v>0</v>
      </c>
      <c r="BQ143" s="5">
        <f t="shared" si="259"/>
        <v>0</v>
      </c>
      <c r="BR143" s="5"/>
      <c r="BS143" s="4">
        <v>3</v>
      </c>
      <c r="BT143" s="4">
        <v>7</v>
      </c>
      <c r="BU143" s="4">
        <f t="shared" si="275"/>
        <v>0</v>
      </c>
      <c r="BV143" s="4">
        <f t="shared" si="475"/>
        <v>7</v>
      </c>
      <c r="BW143" s="4">
        <f t="shared" si="476"/>
        <v>7</v>
      </c>
      <c r="BX143" s="14">
        <f t="shared" si="477"/>
        <v>0.42999999999999994</v>
      </c>
      <c r="BY143" s="14">
        <f t="shared" si="478"/>
        <v>0.25</v>
      </c>
      <c r="BZ143" s="5" t="s">
        <v>158</v>
      </c>
      <c r="CA143" s="8" t="str">
        <f t="shared" si="378"/>
        <v>monster_15</v>
      </c>
      <c r="CB143" s="8" t="str">
        <f t="shared" si="378"/>
        <v>monster_15</v>
      </c>
      <c r="CC143" s="5">
        <v>0</v>
      </c>
      <c r="CD143" s="8">
        <f t="shared" si="276"/>
        <v>1</v>
      </c>
      <c r="CE143" s="5">
        <f t="shared" si="479"/>
        <v>0</v>
      </c>
      <c r="CF143" s="5">
        <f t="shared" si="294"/>
        <v>0</v>
      </c>
      <c r="CG143" s="5" t="s">
        <v>355</v>
      </c>
      <c r="CH143" s="5">
        <f t="shared" si="278"/>
        <v>0</v>
      </c>
      <c r="CI143" s="5">
        <v>0</v>
      </c>
      <c r="CJ143" s="4">
        <v>0</v>
      </c>
      <c r="CK143" s="5">
        <v>0</v>
      </c>
      <c r="CL143" s="5">
        <v>0</v>
      </c>
      <c r="CM143" s="20">
        <f t="shared" si="279"/>
        <v>0</v>
      </c>
      <c r="CN143" s="8">
        <f t="shared" si="279"/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8">
        <f t="shared" ref="CV143:CY143" si="527">CV122</f>
        <v>0.8</v>
      </c>
      <c r="CW143" s="8">
        <f t="shared" si="527"/>
        <v>0.6</v>
      </c>
      <c r="CX143" s="8">
        <f t="shared" si="527"/>
        <v>1</v>
      </c>
      <c r="CY143" s="8">
        <f t="shared" si="527"/>
        <v>1</v>
      </c>
      <c r="CZ143" s="8">
        <f t="shared" si="281"/>
        <v>2</v>
      </c>
      <c r="DA143" s="6">
        <f t="shared" si="466"/>
        <v>350</v>
      </c>
      <c r="DB143" s="5">
        <f t="shared" si="282"/>
        <v>0</v>
      </c>
      <c r="DC143" s="5">
        <f t="shared" si="481"/>
        <v>0.19500000000000001</v>
      </c>
      <c r="DD143" s="6">
        <f t="shared" si="467"/>
        <v>0.19500000000000001</v>
      </c>
      <c r="DE143" s="6">
        <f t="shared" si="296"/>
        <v>0.3</v>
      </c>
      <c r="DF143" s="5">
        <v>0</v>
      </c>
      <c r="DG143" s="8">
        <f t="shared" si="283"/>
        <v>3</v>
      </c>
      <c r="DH143" s="5">
        <v>2</v>
      </c>
      <c r="DI143" s="8">
        <f t="shared" si="284"/>
        <v>0</v>
      </c>
      <c r="DJ143" s="5">
        <f t="shared" si="468"/>
        <v>0</v>
      </c>
      <c r="DK143" s="8">
        <v>0</v>
      </c>
      <c r="DL143" s="5">
        <f t="shared" si="469"/>
        <v>0</v>
      </c>
      <c r="DM143" s="5" t="s">
        <v>355</v>
      </c>
      <c r="DN143" s="8">
        <f t="shared" ref="DN143:DP143" si="528">DN122</f>
        <v>6</v>
      </c>
      <c r="DO143" s="8">
        <f t="shared" si="528"/>
        <v>0</v>
      </c>
      <c r="DP143" s="5">
        <f t="shared" si="528"/>
        <v>0</v>
      </c>
      <c r="DQ143" s="8">
        <f t="shared" si="425"/>
        <v>0</v>
      </c>
      <c r="DR143" s="5">
        <f t="shared" si="483"/>
        <v>0.9</v>
      </c>
      <c r="DS143" s="8">
        <f t="shared" si="287"/>
        <v>1</v>
      </c>
      <c r="DT143" s="8">
        <f t="shared" si="288"/>
        <v>-0.5</v>
      </c>
      <c r="DU143" s="8">
        <f t="shared" si="288"/>
        <v>0.5</v>
      </c>
      <c r="DV143" s="8">
        <f t="shared" si="262"/>
        <v>0.2</v>
      </c>
      <c r="DW143" s="5">
        <f t="shared" si="462"/>
        <v>0.58333333333333337</v>
      </c>
      <c r="DX143" s="8">
        <f t="shared" si="289"/>
        <v>7</v>
      </c>
      <c r="DY143" s="8">
        <f t="shared" si="290"/>
        <v>0</v>
      </c>
      <c r="DZ143" s="8">
        <f t="shared" si="291"/>
        <v>0</v>
      </c>
      <c r="EA143" s="5"/>
    </row>
    <row r="144" spans="1:131" x14ac:dyDescent="0.15">
      <c r="A144" s="5">
        <v>201142</v>
      </c>
      <c r="B144" s="5" t="s">
        <v>356</v>
      </c>
      <c r="C144" s="5"/>
      <c r="D144" s="5"/>
      <c r="E144" s="5"/>
      <c r="F144" s="5">
        <v>0</v>
      </c>
      <c r="G144" s="45"/>
      <c r="H144" s="5"/>
      <c r="I144" s="5"/>
      <c r="J144" s="5"/>
      <c r="K144" s="5"/>
      <c r="L144" s="10"/>
      <c r="M144" s="5"/>
      <c r="N144" s="10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20"/>
      <c r="AF144" s="5"/>
      <c r="AG144" s="5"/>
      <c r="AH144" s="5"/>
      <c r="AI144" s="5"/>
      <c r="AJ144" s="5"/>
      <c r="AK144" s="5"/>
      <c r="AL144" s="5"/>
      <c r="AM144" s="5"/>
      <c r="AN144" s="8"/>
      <c r="AO144" s="5">
        <v>0</v>
      </c>
      <c r="AP144" s="5" t="s">
        <v>356</v>
      </c>
      <c r="AQ144" s="5">
        <v>0</v>
      </c>
      <c r="AR144" s="8">
        <f t="shared" si="264"/>
        <v>2</v>
      </c>
      <c r="AS144" s="6">
        <f t="shared" si="471"/>
        <v>42</v>
      </c>
      <c r="AT144" s="6">
        <f t="shared" si="472"/>
        <v>63</v>
      </c>
      <c r="AU144" s="5">
        <f t="shared" si="265"/>
        <v>0</v>
      </c>
      <c r="AV144" s="5">
        <f t="shared" si="266"/>
        <v>1</v>
      </c>
      <c r="AW144" s="5">
        <f t="shared" si="267"/>
        <v>0</v>
      </c>
      <c r="AX144" s="5">
        <f t="shared" ref="AX144" si="529">AX123</f>
        <v>0</v>
      </c>
      <c r="AY144" s="5">
        <f t="shared" si="267"/>
        <v>1</v>
      </c>
      <c r="AZ144" s="8">
        <f t="shared" si="269"/>
        <v>73</v>
      </c>
      <c r="BA144" s="5">
        <f t="shared" si="257"/>
        <v>203016</v>
      </c>
      <c r="BB144" s="5">
        <v>0</v>
      </c>
      <c r="BC144" s="5">
        <v>0</v>
      </c>
      <c r="BD144" s="5">
        <f t="shared" si="270"/>
        <v>0</v>
      </c>
      <c r="BE144" s="5">
        <f t="shared" si="271"/>
        <v>306001</v>
      </c>
      <c r="BF144" s="5">
        <f t="shared" si="272"/>
        <v>0</v>
      </c>
      <c r="BG144" s="5">
        <f t="shared" si="272"/>
        <v>0</v>
      </c>
      <c r="BH144" s="5">
        <f t="shared" ref="BH144" si="530">BH123</f>
        <v>0</v>
      </c>
      <c r="BI144" s="5">
        <f t="shared" si="272"/>
        <v>0</v>
      </c>
      <c r="BJ144" s="5">
        <f t="shared" si="498"/>
        <v>7</v>
      </c>
      <c r="BK144" s="5">
        <f>BJ144*360/BM144</f>
        <v>14</v>
      </c>
      <c r="BL144" s="5">
        <f t="shared" si="312"/>
        <v>1</v>
      </c>
      <c r="BM144" s="5">
        <f t="shared" si="274"/>
        <v>180</v>
      </c>
      <c r="BN144" s="5">
        <f t="shared" si="274"/>
        <v>180</v>
      </c>
      <c r="BO144" s="5">
        <f t="shared" si="274"/>
        <v>203017</v>
      </c>
      <c r="BP144" s="5">
        <f t="shared" si="259"/>
        <v>3</v>
      </c>
      <c r="BQ144" s="5">
        <f t="shared" si="259"/>
        <v>4</v>
      </c>
      <c r="BR144" s="5">
        <f>50*BT144*3-360/BM144*BJ144*BQ144</f>
        <v>994</v>
      </c>
      <c r="BS144" s="4">
        <v>4</v>
      </c>
      <c r="BT144" s="4">
        <v>7</v>
      </c>
      <c r="BU144" s="4">
        <f t="shared" si="275"/>
        <v>0</v>
      </c>
      <c r="BV144" s="4">
        <f t="shared" si="475"/>
        <v>7</v>
      </c>
      <c r="BW144" s="4">
        <f t="shared" si="476"/>
        <v>7</v>
      </c>
      <c r="BX144" s="14">
        <f t="shared" si="477"/>
        <v>0.42999999999999994</v>
      </c>
      <c r="BY144" s="14">
        <f t="shared" si="478"/>
        <v>0.25</v>
      </c>
      <c r="BZ144" s="5" t="s">
        <v>161</v>
      </c>
      <c r="CA144" s="8" t="str">
        <f t="shared" si="378"/>
        <v>monster_16</v>
      </c>
      <c r="CB144" s="8" t="str">
        <f t="shared" si="378"/>
        <v>monster_16</v>
      </c>
      <c r="CC144" s="5">
        <v>0</v>
      </c>
      <c r="CD144" s="8">
        <f t="shared" si="276"/>
        <v>2</v>
      </c>
      <c r="CE144" s="5">
        <f t="shared" si="479"/>
        <v>0</v>
      </c>
      <c r="CF144" s="5">
        <f t="shared" si="294"/>
        <v>0</v>
      </c>
      <c r="CG144" s="5" t="s">
        <v>356</v>
      </c>
      <c r="CH144" s="5">
        <f t="shared" si="278"/>
        <v>3</v>
      </c>
      <c r="CI144" s="5">
        <v>104</v>
      </c>
      <c r="CJ144" s="4">
        <v>0</v>
      </c>
      <c r="CK144" s="5">
        <v>0</v>
      </c>
      <c r="CL144" s="5">
        <v>0</v>
      </c>
      <c r="CM144" s="20">
        <f t="shared" si="279"/>
        <v>0</v>
      </c>
      <c r="CN144" s="8">
        <f t="shared" si="279"/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8">
        <f t="shared" ref="CV144:CY144" si="531">CV123</f>
        <v>0.8</v>
      </c>
      <c r="CW144" s="8">
        <f t="shared" si="531"/>
        <v>0.6</v>
      </c>
      <c r="CX144" s="8">
        <f t="shared" si="531"/>
        <v>1</v>
      </c>
      <c r="CY144" s="8">
        <f t="shared" si="531"/>
        <v>1</v>
      </c>
      <c r="CZ144" s="8">
        <f t="shared" si="281"/>
        <v>0.8</v>
      </c>
      <c r="DA144" s="6">
        <f t="shared" si="466"/>
        <v>140</v>
      </c>
      <c r="DB144" s="5">
        <f t="shared" si="282"/>
        <v>1</v>
      </c>
      <c r="DC144" s="5">
        <f t="shared" si="481"/>
        <v>0.33800000000000002</v>
      </c>
      <c r="DD144" s="6">
        <f t="shared" si="467"/>
        <v>0.33800000000000002</v>
      </c>
      <c r="DE144" s="6">
        <f t="shared" si="296"/>
        <v>0.52</v>
      </c>
      <c r="DF144" s="5">
        <v>0</v>
      </c>
      <c r="DG144" s="8">
        <f t="shared" si="283"/>
        <v>3</v>
      </c>
      <c r="DH144" s="5">
        <v>2</v>
      </c>
      <c r="DI144" s="8">
        <f t="shared" si="284"/>
        <v>2</v>
      </c>
      <c r="DJ144" s="5">
        <f t="shared" si="468"/>
        <v>45</v>
      </c>
      <c r="DK144" s="8">
        <v>0</v>
      </c>
      <c r="DL144" s="5">
        <f t="shared" si="469"/>
        <v>0</v>
      </c>
      <c r="DM144" s="5" t="s">
        <v>356</v>
      </c>
      <c r="DN144" s="8">
        <f t="shared" ref="DN144:DP144" si="532">DN123</f>
        <v>6</v>
      </c>
      <c r="DO144" s="8">
        <f t="shared" si="532"/>
        <v>0</v>
      </c>
      <c r="DP144" s="5">
        <f t="shared" si="532"/>
        <v>0</v>
      </c>
      <c r="DQ144" s="8">
        <f t="shared" si="425"/>
        <v>0</v>
      </c>
      <c r="DR144" s="5">
        <f t="shared" si="483"/>
        <v>4.5</v>
      </c>
      <c r="DS144" s="8">
        <f t="shared" si="287"/>
        <v>5</v>
      </c>
      <c r="DT144" s="8">
        <f t="shared" si="288"/>
        <v>-5</v>
      </c>
      <c r="DU144" s="8">
        <f t="shared" si="288"/>
        <v>0</v>
      </c>
      <c r="DV144" s="8">
        <f t="shared" si="262"/>
        <v>0.2</v>
      </c>
      <c r="DW144" s="5">
        <f t="shared" si="462"/>
        <v>0.5</v>
      </c>
      <c r="DX144" s="8">
        <f t="shared" si="289"/>
        <v>6</v>
      </c>
      <c r="DY144" s="8">
        <f t="shared" si="290"/>
        <v>0</v>
      </c>
      <c r="DZ144" s="8">
        <f t="shared" si="291"/>
        <v>0</v>
      </c>
      <c r="EA144" s="5"/>
    </row>
    <row r="145" spans="1:131" x14ac:dyDescent="0.15">
      <c r="A145" s="5">
        <v>201143</v>
      </c>
      <c r="B145" s="5" t="s">
        <v>357</v>
      </c>
      <c r="C145" s="5"/>
      <c r="D145" s="5"/>
      <c r="E145" s="5"/>
      <c r="F145" s="5">
        <v>0</v>
      </c>
      <c r="G145" s="45"/>
      <c r="H145" s="5"/>
      <c r="I145" s="5"/>
      <c r="J145" s="5"/>
      <c r="K145" s="5"/>
      <c r="L145" s="10"/>
      <c r="M145" s="5"/>
      <c r="N145" s="10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20"/>
      <c r="AF145" s="5"/>
      <c r="AG145" s="5"/>
      <c r="AH145" s="5"/>
      <c r="AI145" s="5"/>
      <c r="AJ145" s="5"/>
      <c r="AK145" s="5"/>
      <c r="AL145" s="5"/>
      <c r="AM145" s="5"/>
      <c r="AN145" s="8"/>
      <c r="AO145" s="5">
        <v>0</v>
      </c>
      <c r="AP145" s="5" t="s">
        <v>357</v>
      </c>
      <c r="AQ145" s="5">
        <v>0</v>
      </c>
      <c r="AR145" s="8">
        <f t="shared" si="264"/>
        <v>1.5</v>
      </c>
      <c r="AS145" s="6">
        <f t="shared" si="471"/>
        <v>31.5</v>
      </c>
      <c r="AT145" s="6">
        <f t="shared" si="472"/>
        <v>52.5</v>
      </c>
      <c r="AU145" s="5">
        <f t="shared" si="265"/>
        <v>0</v>
      </c>
      <c r="AV145" s="5">
        <f t="shared" si="266"/>
        <v>1</v>
      </c>
      <c r="AW145" s="5">
        <f t="shared" si="267"/>
        <v>0</v>
      </c>
      <c r="AX145" s="5">
        <f t="shared" ref="AX145" si="533">AX124</f>
        <v>0</v>
      </c>
      <c r="AY145" s="5">
        <f t="shared" si="267"/>
        <v>1</v>
      </c>
      <c r="AZ145" s="8">
        <f t="shared" si="269"/>
        <v>73</v>
      </c>
      <c r="BA145" s="5">
        <f t="shared" si="257"/>
        <v>203017</v>
      </c>
      <c r="BB145" s="5">
        <v>0</v>
      </c>
      <c r="BC145" s="5">
        <v>0</v>
      </c>
      <c r="BD145" s="5">
        <f t="shared" si="270"/>
        <v>0</v>
      </c>
      <c r="BE145" s="5">
        <f t="shared" si="271"/>
        <v>0</v>
      </c>
      <c r="BF145" s="5">
        <f t="shared" si="272"/>
        <v>0</v>
      </c>
      <c r="BG145" s="5">
        <f t="shared" si="272"/>
        <v>15</v>
      </c>
      <c r="BH145" s="5">
        <f t="shared" ref="BH145" si="534">BH124</f>
        <v>270</v>
      </c>
      <c r="BI145" s="5">
        <f t="shared" si="272"/>
        <v>0</v>
      </c>
      <c r="BJ145" s="5">
        <f t="shared" si="498"/>
        <v>0</v>
      </c>
      <c r="BK145" s="5">
        <v>0</v>
      </c>
      <c r="BL145" s="5">
        <f t="shared" si="312"/>
        <v>0</v>
      </c>
      <c r="BM145" s="5">
        <f t="shared" si="274"/>
        <v>0</v>
      </c>
      <c r="BN145" s="5">
        <f t="shared" si="274"/>
        <v>0</v>
      </c>
      <c r="BO145" s="5">
        <f t="shared" si="274"/>
        <v>0</v>
      </c>
      <c r="BP145" s="5">
        <f t="shared" si="259"/>
        <v>0</v>
      </c>
      <c r="BQ145" s="5">
        <f t="shared" si="259"/>
        <v>0</v>
      </c>
      <c r="BR145" s="5"/>
      <c r="BS145" s="4">
        <v>4</v>
      </c>
      <c r="BT145" s="4">
        <v>7</v>
      </c>
      <c r="BU145" s="4">
        <f t="shared" si="275"/>
        <v>0</v>
      </c>
      <c r="BV145" s="4">
        <f t="shared" si="475"/>
        <v>7</v>
      </c>
      <c r="BW145" s="4">
        <f t="shared" si="476"/>
        <v>7</v>
      </c>
      <c r="BX145" s="14">
        <f t="shared" si="477"/>
        <v>0.42999999999999994</v>
      </c>
      <c r="BY145" s="14">
        <f t="shared" si="478"/>
        <v>0.25</v>
      </c>
      <c r="BZ145" s="5" t="s">
        <v>164</v>
      </c>
      <c r="CA145" s="8" t="str">
        <f t="shared" si="378"/>
        <v>monster_17</v>
      </c>
      <c r="CB145" s="8" t="str">
        <f t="shared" si="378"/>
        <v>monster_17</v>
      </c>
      <c r="CC145" s="5">
        <v>0</v>
      </c>
      <c r="CD145" s="8">
        <f t="shared" si="276"/>
        <v>2</v>
      </c>
      <c r="CE145" s="5">
        <f t="shared" si="479"/>
        <v>0</v>
      </c>
      <c r="CF145" s="5">
        <f t="shared" si="294"/>
        <v>0</v>
      </c>
      <c r="CG145" s="5" t="s">
        <v>357</v>
      </c>
      <c r="CH145" s="5">
        <f>CH123</f>
        <v>3</v>
      </c>
      <c r="CI145" s="5">
        <v>0</v>
      </c>
      <c r="CJ145" s="4">
        <v>0</v>
      </c>
      <c r="CK145" s="5">
        <v>0</v>
      </c>
      <c r="CL145" s="5">
        <v>0</v>
      </c>
      <c r="CM145" s="20">
        <f t="shared" si="279"/>
        <v>0</v>
      </c>
      <c r="CN145" s="8">
        <f t="shared" si="279"/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201142</v>
      </c>
      <c r="CT145" s="5">
        <v>0</v>
      </c>
      <c r="CU145" s="5">
        <v>0</v>
      </c>
      <c r="CV145" s="8">
        <f t="shared" ref="CV145:CY145" si="535">CV124</f>
        <v>0.8</v>
      </c>
      <c r="CW145" s="8">
        <f t="shared" si="535"/>
        <v>0.6</v>
      </c>
      <c r="CX145" s="8">
        <f t="shared" si="535"/>
        <v>1</v>
      </c>
      <c r="CY145" s="8">
        <f t="shared" si="535"/>
        <v>1</v>
      </c>
      <c r="CZ145" s="8">
        <f t="shared" si="281"/>
        <v>1</v>
      </c>
      <c r="DA145" s="6">
        <f t="shared" si="466"/>
        <v>175</v>
      </c>
      <c r="DB145" s="5">
        <f t="shared" si="282"/>
        <v>1</v>
      </c>
      <c r="DC145" s="5">
        <f t="shared" si="481"/>
        <v>0.16250000000000001</v>
      </c>
      <c r="DD145" s="6">
        <f t="shared" si="467"/>
        <v>0.16250000000000001</v>
      </c>
      <c r="DE145" s="6">
        <f t="shared" si="296"/>
        <v>0.25</v>
      </c>
      <c r="DF145" s="5">
        <v>0</v>
      </c>
      <c r="DG145" s="8">
        <f t="shared" si="283"/>
        <v>3</v>
      </c>
      <c r="DH145" s="5">
        <v>2</v>
      </c>
      <c r="DI145" s="8">
        <f t="shared" si="284"/>
        <v>0</v>
      </c>
      <c r="DJ145" s="5">
        <f t="shared" si="468"/>
        <v>0</v>
      </c>
      <c r="DK145" s="8">
        <v>0</v>
      </c>
      <c r="DL145" s="5">
        <f t="shared" si="469"/>
        <v>0</v>
      </c>
      <c r="DM145" s="5" t="s">
        <v>357</v>
      </c>
      <c r="DN145" s="8">
        <f t="shared" ref="DN145:DP145" si="536">DN124</f>
        <v>0</v>
      </c>
      <c r="DO145" s="8">
        <f t="shared" si="536"/>
        <v>0</v>
      </c>
      <c r="DP145" s="5">
        <f t="shared" si="536"/>
        <v>0</v>
      </c>
      <c r="DQ145" s="8">
        <f t="shared" si="425"/>
        <v>0</v>
      </c>
      <c r="DR145" s="5">
        <f t="shared" si="483"/>
        <v>3.15</v>
      </c>
      <c r="DS145" s="8">
        <f t="shared" si="287"/>
        <v>3.5</v>
      </c>
      <c r="DT145" s="8">
        <f t="shared" si="288"/>
        <v>-0.5</v>
      </c>
      <c r="DU145" s="8">
        <f t="shared" si="288"/>
        <v>0.5</v>
      </c>
      <c r="DV145" s="8">
        <f t="shared" si="262"/>
        <v>0.2</v>
      </c>
      <c r="DW145" s="5">
        <f t="shared" si="462"/>
        <v>0</v>
      </c>
      <c r="DX145" s="8">
        <f t="shared" si="289"/>
        <v>0</v>
      </c>
      <c r="DY145" s="8">
        <f t="shared" si="290"/>
        <v>0</v>
      </c>
      <c r="DZ145" s="8">
        <f t="shared" si="291"/>
        <v>0</v>
      </c>
      <c r="EA145" s="5"/>
    </row>
    <row r="146" spans="1:131" x14ac:dyDescent="0.15">
      <c r="A146" s="5">
        <v>201144</v>
      </c>
      <c r="B146" s="5" t="s">
        <v>358</v>
      </c>
      <c r="C146" s="5"/>
      <c r="D146" s="5"/>
      <c r="E146" s="5"/>
      <c r="F146" s="5">
        <v>0</v>
      </c>
      <c r="G146" s="45"/>
      <c r="H146" s="5"/>
      <c r="I146" s="5"/>
      <c r="J146" s="5"/>
      <c r="K146" s="5"/>
      <c r="L146" s="10"/>
      <c r="M146" s="5"/>
      <c r="N146" s="10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20"/>
      <c r="AF146" s="5"/>
      <c r="AG146" s="5"/>
      <c r="AH146" s="5"/>
      <c r="AI146" s="5"/>
      <c r="AJ146" s="5"/>
      <c r="AK146" s="5"/>
      <c r="AL146" s="5"/>
      <c r="AM146" s="5"/>
      <c r="AN146" s="8"/>
      <c r="AO146" s="5">
        <v>0</v>
      </c>
      <c r="AP146" s="5" t="s">
        <v>358</v>
      </c>
      <c r="AQ146" s="5">
        <v>0</v>
      </c>
      <c r="AR146" s="8">
        <f t="shared" si="264"/>
        <v>2</v>
      </c>
      <c r="AS146" s="6">
        <f t="shared" si="471"/>
        <v>42</v>
      </c>
      <c r="AT146" s="6">
        <f t="shared" si="472"/>
        <v>63</v>
      </c>
      <c r="AU146" s="5">
        <f t="shared" si="265"/>
        <v>0</v>
      </c>
      <c r="AV146" s="5">
        <f t="shared" si="266"/>
        <v>1</v>
      </c>
      <c r="AW146" s="5">
        <f t="shared" si="267"/>
        <v>1</v>
      </c>
      <c r="AX146" s="5">
        <f t="shared" ref="AX146" si="537">AX125</f>
        <v>1</v>
      </c>
      <c r="AY146" s="5">
        <f t="shared" si="267"/>
        <v>1</v>
      </c>
      <c r="AZ146" s="8">
        <f t="shared" si="269"/>
        <v>72</v>
      </c>
      <c r="BA146" s="5">
        <f t="shared" si="257"/>
        <v>203018</v>
      </c>
      <c r="BB146" s="5">
        <v>0</v>
      </c>
      <c r="BC146" s="5">
        <v>0</v>
      </c>
      <c r="BD146" s="5">
        <f t="shared" si="270"/>
        <v>0</v>
      </c>
      <c r="BE146" s="5">
        <f t="shared" si="271"/>
        <v>604001</v>
      </c>
      <c r="BF146" s="5">
        <f t="shared" si="272"/>
        <v>0</v>
      </c>
      <c r="BG146" s="5">
        <f t="shared" si="272"/>
        <v>0</v>
      </c>
      <c r="BH146" s="5">
        <f t="shared" ref="BH146" si="538">BH125</f>
        <v>0</v>
      </c>
      <c r="BI146" s="5">
        <f t="shared" si="272"/>
        <v>0</v>
      </c>
      <c r="BJ146" s="5">
        <v>28</v>
      </c>
      <c r="BK146" s="5">
        <f>BJ146*360/BM146</f>
        <v>112</v>
      </c>
      <c r="BL146" s="5">
        <f t="shared" si="312"/>
        <v>2</v>
      </c>
      <c r="BM146" s="5">
        <f t="shared" si="274"/>
        <v>90</v>
      </c>
      <c r="BN146" s="5">
        <f t="shared" si="274"/>
        <v>180</v>
      </c>
      <c r="BO146" s="5">
        <f t="shared" si="274"/>
        <v>203019</v>
      </c>
      <c r="BP146" s="5">
        <f t="shared" si="259"/>
        <v>3</v>
      </c>
      <c r="BQ146" s="5">
        <f t="shared" si="259"/>
        <v>2</v>
      </c>
      <c r="BR146" s="5">
        <f>50*BT146*3-360/BM146*BJ146*BQ146</f>
        <v>826</v>
      </c>
      <c r="BS146" s="4">
        <v>4</v>
      </c>
      <c r="BT146" s="4">
        <v>7</v>
      </c>
      <c r="BU146" s="4">
        <f t="shared" si="275"/>
        <v>0</v>
      </c>
      <c r="BV146" s="4">
        <f t="shared" si="475"/>
        <v>7</v>
      </c>
      <c r="BW146" s="4">
        <f t="shared" si="476"/>
        <v>7</v>
      </c>
      <c r="BX146" s="14">
        <f t="shared" si="477"/>
        <v>0.42999999999999994</v>
      </c>
      <c r="BY146" s="14">
        <f t="shared" si="478"/>
        <v>0.25</v>
      </c>
      <c r="BZ146" s="5" t="s">
        <v>167</v>
      </c>
      <c r="CA146" s="8" t="str">
        <f t="shared" si="378"/>
        <v>monster_18</v>
      </c>
      <c r="CB146" s="8" t="str">
        <f t="shared" si="378"/>
        <v>monster_18</v>
      </c>
      <c r="CC146" s="5">
        <v>0</v>
      </c>
      <c r="CD146" s="8">
        <f t="shared" si="276"/>
        <v>2</v>
      </c>
      <c r="CE146" s="5">
        <f t="shared" si="479"/>
        <v>7</v>
      </c>
      <c r="CF146" s="5">
        <f t="shared" si="294"/>
        <v>1</v>
      </c>
      <c r="CG146" s="5" t="s">
        <v>358</v>
      </c>
      <c r="CH146" s="5">
        <f t="shared" si="278"/>
        <v>3</v>
      </c>
      <c r="CI146" s="5">
        <v>105</v>
      </c>
      <c r="CJ146" s="4">
        <v>0</v>
      </c>
      <c r="CK146" s="5">
        <v>0</v>
      </c>
      <c r="CL146" s="5">
        <v>0</v>
      </c>
      <c r="CM146" s="20">
        <f t="shared" si="279"/>
        <v>0</v>
      </c>
      <c r="CN146" s="8">
        <f t="shared" si="279"/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8">
        <f t="shared" ref="CV146:CY146" si="539">CV125</f>
        <v>0.8</v>
      </c>
      <c r="CW146" s="8">
        <f t="shared" si="539"/>
        <v>0.6</v>
      </c>
      <c r="CX146" s="8">
        <f t="shared" si="539"/>
        <v>1</v>
      </c>
      <c r="CY146" s="8">
        <f t="shared" si="539"/>
        <v>1</v>
      </c>
      <c r="CZ146" s="8">
        <f t="shared" si="281"/>
        <v>1</v>
      </c>
      <c r="DA146" s="6">
        <f t="shared" si="466"/>
        <v>175</v>
      </c>
      <c r="DB146" s="5">
        <f t="shared" si="282"/>
        <v>0</v>
      </c>
      <c r="DC146" s="5">
        <f t="shared" si="481"/>
        <v>0.16250000000000001</v>
      </c>
      <c r="DD146" s="6">
        <f t="shared" si="467"/>
        <v>0.16250000000000001</v>
      </c>
      <c r="DE146" s="6">
        <f t="shared" si="296"/>
        <v>0.25</v>
      </c>
      <c r="DF146" s="5">
        <v>0</v>
      </c>
      <c r="DG146" s="8">
        <f t="shared" si="283"/>
        <v>2.25</v>
      </c>
      <c r="DH146" s="5">
        <v>1.25</v>
      </c>
      <c r="DI146" s="8">
        <f t="shared" si="284"/>
        <v>4</v>
      </c>
      <c r="DJ146" s="5">
        <f t="shared" si="468"/>
        <v>90</v>
      </c>
      <c r="DK146" s="8">
        <v>0</v>
      </c>
      <c r="DL146" s="5">
        <f t="shared" si="469"/>
        <v>0</v>
      </c>
      <c r="DM146" s="5" t="s">
        <v>359</v>
      </c>
      <c r="DN146" s="8">
        <f t="shared" ref="DN146:DP146" si="540">DN125</f>
        <v>6</v>
      </c>
      <c r="DO146" s="8">
        <f t="shared" si="540"/>
        <v>0</v>
      </c>
      <c r="DP146" s="5">
        <f t="shared" si="540"/>
        <v>0</v>
      </c>
      <c r="DQ146" s="8">
        <f t="shared" si="425"/>
        <v>0</v>
      </c>
      <c r="DR146" s="5">
        <f t="shared" si="483"/>
        <v>1.35</v>
      </c>
      <c r="DS146" s="8">
        <f t="shared" si="287"/>
        <v>1.5</v>
      </c>
      <c r="DT146" s="8">
        <f t="shared" si="288"/>
        <v>-0.5</v>
      </c>
      <c r="DU146" s="8">
        <f t="shared" si="288"/>
        <v>0.5</v>
      </c>
      <c r="DV146" s="8">
        <f t="shared" si="262"/>
        <v>0.35</v>
      </c>
      <c r="DW146" s="5">
        <f t="shared" si="462"/>
        <v>0.33333333333333331</v>
      </c>
      <c r="DX146" s="8">
        <f t="shared" si="289"/>
        <v>4</v>
      </c>
      <c r="DY146" s="8">
        <f t="shared" si="290"/>
        <v>0</v>
      </c>
      <c r="DZ146" s="8">
        <f t="shared" si="291"/>
        <v>0</v>
      </c>
      <c r="EA146" s="5"/>
    </row>
    <row r="147" spans="1:131" x14ac:dyDescent="0.15">
      <c r="A147" s="5">
        <v>201145</v>
      </c>
      <c r="B147" s="5" t="s">
        <v>360</v>
      </c>
      <c r="C147" s="5"/>
      <c r="D147" s="5"/>
      <c r="E147" s="5"/>
      <c r="F147" s="5">
        <v>0</v>
      </c>
      <c r="G147" s="45"/>
      <c r="H147" s="5"/>
      <c r="I147" s="5"/>
      <c r="J147" s="5"/>
      <c r="K147" s="5"/>
      <c r="L147" s="10"/>
      <c r="M147" s="5"/>
      <c r="N147" s="10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20"/>
      <c r="AF147" s="5"/>
      <c r="AG147" s="5"/>
      <c r="AH147" s="5"/>
      <c r="AI147" s="5"/>
      <c r="AJ147" s="5"/>
      <c r="AK147" s="5"/>
      <c r="AL147" s="5"/>
      <c r="AM147" s="5"/>
      <c r="AN147" s="8"/>
      <c r="AO147" s="5">
        <v>0</v>
      </c>
      <c r="AP147" s="5" t="s">
        <v>360</v>
      </c>
      <c r="AQ147" s="5">
        <v>0</v>
      </c>
      <c r="AR147" s="8">
        <f t="shared" si="264"/>
        <v>1.5</v>
      </c>
      <c r="AS147" s="6">
        <f t="shared" si="471"/>
        <v>31.5</v>
      </c>
      <c r="AT147" s="6">
        <f t="shared" si="472"/>
        <v>52.5</v>
      </c>
      <c r="AU147" s="5">
        <f t="shared" si="265"/>
        <v>0</v>
      </c>
      <c r="AV147" s="5">
        <f t="shared" si="266"/>
        <v>1</v>
      </c>
      <c r="AW147" s="5">
        <f t="shared" si="267"/>
        <v>1</v>
      </c>
      <c r="AX147" s="5">
        <f t="shared" ref="AX147" si="541">AX126</f>
        <v>1</v>
      </c>
      <c r="AY147" s="5">
        <f t="shared" si="267"/>
        <v>1</v>
      </c>
      <c r="AZ147" s="8">
        <f t="shared" si="269"/>
        <v>72</v>
      </c>
      <c r="BA147" s="5">
        <f t="shared" si="257"/>
        <v>203019</v>
      </c>
      <c r="BB147" s="5">
        <v>0</v>
      </c>
      <c r="BC147" s="5">
        <v>0</v>
      </c>
      <c r="BD147" s="5">
        <f t="shared" si="270"/>
        <v>0</v>
      </c>
      <c r="BE147" s="5">
        <f t="shared" si="271"/>
        <v>0</v>
      </c>
      <c r="BF147" s="5">
        <f t="shared" si="272"/>
        <v>0</v>
      </c>
      <c r="BG147" s="5">
        <f t="shared" si="272"/>
        <v>15</v>
      </c>
      <c r="BH147" s="5">
        <f t="shared" ref="BH147" si="542">BH126</f>
        <v>270</v>
      </c>
      <c r="BI147" s="5">
        <f t="shared" si="272"/>
        <v>0</v>
      </c>
      <c r="BJ147" s="5">
        <f t="shared" si="498"/>
        <v>0</v>
      </c>
      <c r="BK147" s="5">
        <v>0</v>
      </c>
      <c r="BL147" s="5">
        <f t="shared" si="312"/>
        <v>0</v>
      </c>
      <c r="BM147" s="5">
        <f t="shared" si="274"/>
        <v>0</v>
      </c>
      <c r="BN147" s="5">
        <f t="shared" si="274"/>
        <v>0</v>
      </c>
      <c r="BO147" s="5">
        <f t="shared" si="274"/>
        <v>0</v>
      </c>
      <c r="BP147" s="5">
        <f t="shared" si="259"/>
        <v>0</v>
      </c>
      <c r="BQ147" s="5">
        <f t="shared" si="259"/>
        <v>0</v>
      </c>
      <c r="BR147" s="5"/>
      <c r="BS147" s="4">
        <v>4</v>
      </c>
      <c r="BT147" s="4">
        <v>7</v>
      </c>
      <c r="BU147" s="4">
        <f t="shared" si="275"/>
        <v>0</v>
      </c>
      <c r="BV147" s="4">
        <f t="shared" si="475"/>
        <v>7</v>
      </c>
      <c r="BW147" s="4">
        <f t="shared" si="476"/>
        <v>7</v>
      </c>
      <c r="BX147" s="14">
        <f t="shared" si="477"/>
        <v>0.42999999999999994</v>
      </c>
      <c r="BY147" s="14">
        <f t="shared" si="478"/>
        <v>0.25</v>
      </c>
      <c r="BZ147" s="5" t="s">
        <v>170</v>
      </c>
      <c r="CA147" s="8" t="str">
        <f t="shared" si="378"/>
        <v>monster_19</v>
      </c>
      <c r="CB147" s="8" t="str">
        <f t="shared" si="378"/>
        <v>monster_19</v>
      </c>
      <c r="CC147" s="5">
        <v>0</v>
      </c>
      <c r="CD147" s="8">
        <f t="shared" si="276"/>
        <v>2</v>
      </c>
      <c r="CE147" s="5">
        <f t="shared" si="479"/>
        <v>0</v>
      </c>
      <c r="CF147" s="5">
        <f t="shared" si="294"/>
        <v>0</v>
      </c>
      <c r="CG147" s="5" t="s">
        <v>360</v>
      </c>
      <c r="CH147" s="5">
        <f t="shared" si="278"/>
        <v>3</v>
      </c>
      <c r="CI147" s="5">
        <v>0</v>
      </c>
      <c r="CJ147" s="4">
        <v>0</v>
      </c>
      <c r="CK147" s="5">
        <v>0</v>
      </c>
      <c r="CL147" s="5">
        <v>0</v>
      </c>
      <c r="CM147" s="20">
        <f t="shared" si="279"/>
        <v>0</v>
      </c>
      <c r="CN147" s="8">
        <f t="shared" si="279"/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201144</v>
      </c>
      <c r="CT147" s="5">
        <v>0</v>
      </c>
      <c r="CU147" s="5">
        <v>0</v>
      </c>
      <c r="CV147" s="8">
        <f t="shared" ref="CV147:CY147" si="543">CV126</f>
        <v>0.8</v>
      </c>
      <c r="CW147" s="8">
        <f t="shared" si="543"/>
        <v>0.6</v>
      </c>
      <c r="CX147" s="8">
        <f t="shared" si="543"/>
        <v>1</v>
      </c>
      <c r="CY147" s="8">
        <f t="shared" si="543"/>
        <v>1</v>
      </c>
      <c r="CZ147" s="8">
        <f t="shared" si="281"/>
        <v>1</v>
      </c>
      <c r="DA147" s="6">
        <f t="shared" si="466"/>
        <v>175</v>
      </c>
      <c r="DB147" s="5">
        <f t="shared" si="282"/>
        <v>0</v>
      </c>
      <c r="DC147" s="5">
        <f t="shared" si="481"/>
        <v>0.16250000000000001</v>
      </c>
      <c r="DD147" s="6">
        <f t="shared" si="467"/>
        <v>0.16250000000000001</v>
      </c>
      <c r="DE147" s="6">
        <f t="shared" si="296"/>
        <v>0.25</v>
      </c>
      <c r="DF147" s="5">
        <v>0</v>
      </c>
      <c r="DG147" s="8">
        <f t="shared" si="283"/>
        <v>2.25</v>
      </c>
      <c r="DH147" s="5">
        <v>1.25</v>
      </c>
      <c r="DI147" s="8">
        <f t="shared" si="284"/>
        <v>0</v>
      </c>
      <c r="DJ147" s="5">
        <f t="shared" si="468"/>
        <v>0</v>
      </c>
      <c r="DK147" s="8">
        <v>0</v>
      </c>
      <c r="DL147" s="5">
        <f t="shared" si="469"/>
        <v>0</v>
      </c>
      <c r="DM147" s="5" t="s">
        <v>361</v>
      </c>
      <c r="DN147" s="8">
        <f t="shared" ref="DN147:DP147" si="544">DN126</f>
        <v>0</v>
      </c>
      <c r="DO147" s="8">
        <f t="shared" si="544"/>
        <v>0</v>
      </c>
      <c r="DP147" s="5">
        <f t="shared" si="544"/>
        <v>0</v>
      </c>
      <c r="DQ147" s="8">
        <f t="shared" si="425"/>
        <v>0</v>
      </c>
      <c r="DR147" s="5">
        <f t="shared" si="483"/>
        <v>1.35</v>
      </c>
      <c r="DS147" s="8">
        <f t="shared" si="287"/>
        <v>1.5</v>
      </c>
      <c r="DT147" s="8">
        <f t="shared" si="288"/>
        <v>-0.5</v>
      </c>
      <c r="DU147" s="8">
        <f t="shared" si="288"/>
        <v>0.5</v>
      </c>
      <c r="DV147" s="8">
        <f t="shared" si="262"/>
        <v>0.35</v>
      </c>
      <c r="DW147" s="5">
        <f t="shared" si="462"/>
        <v>0</v>
      </c>
      <c r="DX147" s="8">
        <f t="shared" si="289"/>
        <v>0</v>
      </c>
      <c r="DY147" s="8">
        <f t="shared" si="290"/>
        <v>0</v>
      </c>
      <c r="DZ147" s="8">
        <f t="shared" si="291"/>
        <v>0</v>
      </c>
      <c r="EA147" s="5"/>
    </row>
    <row r="148" spans="1:131" x14ac:dyDescent="0.15">
      <c r="A148" s="5">
        <v>201146</v>
      </c>
      <c r="B148" s="5" t="s">
        <v>362</v>
      </c>
      <c r="C148" s="5"/>
      <c r="D148" s="5"/>
      <c r="E148" s="5"/>
      <c r="F148" s="5">
        <v>0</v>
      </c>
      <c r="G148" s="45"/>
      <c r="H148" s="5"/>
      <c r="I148" s="5"/>
      <c r="J148" s="5"/>
      <c r="K148" s="5"/>
      <c r="L148" s="10"/>
      <c r="M148" s="5"/>
      <c r="N148" s="10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20"/>
      <c r="AF148" s="5"/>
      <c r="AG148" s="5"/>
      <c r="AH148" s="5"/>
      <c r="AI148" s="5"/>
      <c r="AJ148" s="5"/>
      <c r="AK148" s="5"/>
      <c r="AL148" s="5"/>
      <c r="AM148" s="5"/>
      <c r="AN148" s="8"/>
      <c r="AO148" s="5">
        <v>0</v>
      </c>
      <c r="AP148" s="5" t="s">
        <v>362</v>
      </c>
      <c r="AQ148" s="5">
        <v>0</v>
      </c>
      <c r="AR148" s="8">
        <f t="shared" si="264"/>
        <v>3</v>
      </c>
      <c r="AS148" s="6">
        <f t="shared" si="471"/>
        <v>63</v>
      </c>
      <c r="AT148" s="6">
        <f t="shared" si="472"/>
        <v>84</v>
      </c>
      <c r="AU148" s="5">
        <f t="shared" si="265"/>
        <v>0</v>
      </c>
      <c r="AV148" s="5">
        <f t="shared" si="266"/>
        <v>1</v>
      </c>
      <c r="AW148" s="5">
        <f t="shared" si="267"/>
        <v>0</v>
      </c>
      <c r="AX148" s="5">
        <f t="shared" ref="AX148" si="545">AX127</f>
        <v>0</v>
      </c>
      <c r="AY148" s="5">
        <f t="shared" si="267"/>
        <v>0</v>
      </c>
      <c r="AZ148" s="8">
        <f t="shared" si="269"/>
        <v>71</v>
      </c>
      <c r="BA148" s="5">
        <f t="shared" si="257"/>
        <v>203020</v>
      </c>
      <c r="BB148" s="5">
        <v>0</v>
      </c>
      <c r="BC148" s="5">
        <v>0</v>
      </c>
      <c r="BD148" s="5">
        <f t="shared" si="270"/>
        <v>0</v>
      </c>
      <c r="BE148" s="5">
        <f t="shared" si="271"/>
        <v>0</v>
      </c>
      <c r="BF148" s="5">
        <f t="shared" si="272"/>
        <v>0</v>
      </c>
      <c r="BG148" s="5">
        <f t="shared" si="272"/>
        <v>0</v>
      </c>
      <c r="BH148" s="5">
        <f t="shared" ref="BH148" si="546">BH127</f>
        <v>0</v>
      </c>
      <c r="BI148" s="5">
        <f t="shared" si="272"/>
        <v>0</v>
      </c>
      <c r="BJ148" s="5">
        <f t="shared" si="498"/>
        <v>0</v>
      </c>
      <c r="BK148" s="5">
        <v>0</v>
      </c>
      <c r="BL148" s="5">
        <f t="shared" si="312"/>
        <v>0</v>
      </c>
      <c r="BM148" s="5">
        <f t="shared" si="274"/>
        <v>0</v>
      </c>
      <c r="BN148" s="5">
        <f t="shared" si="274"/>
        <v>0</v>
      </c>
      <c r="BO148" s="5">
        <f t="shared" si="274"/>
        <v>0</v>
      </c>
      <c r="BP148" s="5">
        <f t="shared" si="259"/>
        <v>0</v>
      </c>
      <c r="BQ148" s="5">
        <f t="shared" si="259"/>
        <v>0</v>
      </c>
      <c r="BR148" s="5"/>
      <c r="BS148" s="4">
        <v>4</v>
      </c>
      <c r="BT148" s="4">
        <v>7</v>
      </c>
      <c r="BU148" s="4">
        <f t="shared" si="275"/>
        <v>0</v>
      </c>
      <c r="BV148" s="4">
        <f t="shared" si="475"/>
        <v>7</v>
      </c>
      <c r="BW148" s="4">
        <f t="shared" si="476"/>
        <v>7</v>
      </c>
      <c r="BX148" s="14">
        <f t="shared" si="477"/>
        <v>0.42999999999999994</v>
      </c>
      <c r="BY148" s="14">
        <f t="shared" si="478"/>
        <v>0.25</v>
      </c>
      <c r="BZ148" s="5" t="s">
        <v>173</v>
      </c>
      <c r="CA148" s="8" t="str">
        <f t="shared" si="378"/>
        <v>monster_20</v>
      </c>
      <c r="CB148" s="8" t="str">
        <f t="shared" si="378"/>
        <v>monster_20</v>
      </c>
      <c r="CC148" s="5">
        <v>0</v>
      </c>
      <c r="CD148" s="8">
        <f t="shared" si="276"/>
        <v>1</v>
      </c>
      <c r="CE148" s="5">
        <f t="shared" si="479"/>
        <v>0</v>
      </c>
      <c r="CF148" s="5">
        <f t="shared" si="294"/>
        <v>0</v>
      </c>
      <c r="CG148" s="5" t="s">
        <v>362</v>
      </c>
      <c r="CH148" s="5">
        <f t="shared" si="278"/>
        <v>3</v>
      </c>
      <c r="CI148" s="5">
        <v>0</v>
      </c>
      <c r="CJ148" s="4">
        <v>0</v>
      </c>
      <c r="CK148" s="5">
        <v>0</v>
      </c>
      <c r="CL148" s="5">
        <v>0</v>
      </c>
      <c r="CM148" s="20">
        <f t="shared" si="279"/>
        <v>0</v>
      </c>
      <c r="CN148" s="8">
        <f t="shared" si="279"/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8">
        <f t="shared" ref="CV148:CY148" si="547">CV127</f>
        <v>0.8</v>
      </c>
      <c r="CW148" s="8">
        <f t="shared" si="547"/>
        <v>0.6</v>
      </c>
      <c r="CX148" s="8">
        <f t="shared" si="547"/>
        <v>1</v>
      </c>
      <c r="CY148" s="8">
        <f t="shared" si="547"/>
        <v>1</v>
      </c>
      <c r="CZ148" s="8">
        <f t="shared" si="281"/>
        <v>1</v>
      </c>
      <c r="DA148" s="6">
        <f t="shared" si="466"/>
        <v>175</v>
      </c>
      <c r="DB148" s="5">
        <f t="shared" si="282"/>
        <v>0</v>
      </c>
      <c r="DC148" s="5">
        <f t="shared" si="481"/>
        <v>8.4500000000000006E-2</v>
      </c>
      <c r="DD148" s="6">
        <f t="shared" si="467"/>
        <v>8.4500000000000006E-2</v>
      </c>
      <c r="DE148" s="6">
        <f t="shared" si="296"/>
        <v>0.13</v>
      </c>
      <c r="DF148" s="5">
        <v>0</v>
      </c>
      <c r="DG148" s="8">
        <f t="shared" si="283"/>
        <v>2.25</v>
      </c>
      <c r="DH148" s="5">
        <v>1.25</v>
      </c>
      <c r="DI148" s="8">
        <f t="shared" si="284"/>
        <v>0</v>
      </c>
      <c r="DJ148" s="5">
        <f t="shared" si="468"/>
        <v>0</v>
      </c>
      <c r="DK148" s="8">
        <v>0</v>
      </c>
      <c r="DL148" s="5">
        <f t="shared" si="469"/>
        <v>0</v>
      </c>
      <c r="DM148" s="5" t="s">
        <v>362</v>
      </c>
      <c r="DN148" s="8">
        <f t="shared" ref="DN148:DP148" si="548">DN127</f>
        <v>6</v>
      </c>
      <c r="DO148" s="8">
        <f t="shared" si="548"/>
        <v>0</v>
      </c>
      <c r="DP148" s="5">
        <f t="shared" si="548"/>
        <v>0</v>
      </c>
      <c r="DQ148" s="8">
        <f t="shared" si="425"/>
        <v>0</v>
      </c>
      <c r="DR148" s="5">
        <f t="shared" si="483"/>
        <v>0.9</v>
      </c>
      <c r="DS148" s="8">
        <f t="shared" si="287"/>
        <v>1</v>
      </c>
      <c r="DT148" s="8">
        <f t="shared" si="288"/>
        <v>-0.5</v>
      </c>
      <c r="DU148" s="8">
        <f t="shared" si="288"/>
        <v>0.5</v>
      </c>
      <c r="DV148" s="8">
        <f t="shared" si="262"/>
        <v>0.35</v>
      </c>
      <c r="DW148" s="5">
        <f t="shared" si="462"/>
        <v>0.41666666666666669</v>
      </c>
      <c r="DX148" s="8">
        <f t="shared" si="289"/>
        <v>5</v>
      </c>
      <c r="DY148" s="8">
        <f t="shared" si="290"/>
        <v>0</v>
      </c>
      <c r="DZ148" s="8">
        <f t="shared" si="291"/>
        <v>0</v>
      </c>
      <c r="EA148" s="5"/>
    </row>
    <row r="149" spans="1:131" x14ac:dyDescent="0.15">
      <c r="A149" s="5">
        <v>201147</v>
      </c>
      <c r="B149" s="5" t="s">
        <v>363</v>
      </c>
      <c r="C149" s="5"/>
      <c r="D149" s="5"/>
      <c r="E149" s="5"/>
      <c r="F149" s="5">
        <v>0</v>
      </c>
      <c r="G149" s="45"/>
      <c r="H149" s="5"/>
      <c r="I149" s="5"/>
      <c r="J149" s="5"/>
      <c r="K149" s="5"/>
      <c r="L149" s="10"/>
      <c r="M149" s="5"/>
      <c r="N149" s="10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20"/>
      <c r="AF149" s="5"/>
      <c r="AG149" s="5"/>
      <c r="AH149" s="5"/>
      <c r="AI149" s="5"/>
      <c r="AJ149" s="5"/>
      <c r="AK149" s="5"/>
      <c r="AL149" s="5"/>
      <c r="AM149" s="5"/>
      <c r="AN149" s="8"/>
      <c r="AO149" s="5">
        <v>0</v>
      </c>
      <c r="AP149" s="5" t="s">
        <v>363</v>
      </c>
      <c r="AQ149" s="5">
        <v>0</v>
      </c>
      <c r="AR149" s="8">
        <f t="shared" si="264"/>
        <v>2</v>
      </c>
      <c r="AS149" s="6">
        <f t="shared" si="471"/>
        <v>42</v>
      </c>
      <c r="AT149" s="6">
        <f t="shared" si="472"/>
        <v>63</v>
      </c>
      <c r="AU149" s="5">
        <f t="shared" si="265"/>
        <v>0</v>
      </c>
      <c r="AV149" s="5">
        <f t="shared" si="266"/>
        <v>1</v>
      </c>
      <c r="AW149" s="5">
        <f t="shared" si="267"/>
        <v>1</v>
      </c>
      <c r="AX149" s="5">
        <f t="shared" ref="AX149" si="549">AX128</f>
        <v>1</v>
      </c>
      <c r="AY149" s="5">
        <f t="shared" si="267"/>
        <v>1</v>
      </c>
      <c r="AZ149" s="8">
        <f t="shared" si="269"/>
        <v>73</v>
      </c>
      <c r="BA149" s="5">
        <f t="shared" si="257"/>
        <v>203021</v>
      </c>
      <c r="BB149" s="5">
        <v>0</v>
      </c>
      <c r="BC149" s="5">
        <v>0</v>
      </c>
      <c r="BD149" s="5">
        <f t="shared" si="270"/>
        <v>0</v>
      </c>
      <c r="BE149" s="5">
        <f t="shared" si="271"/>
        <v>0</v>
      </c>
      <c r="BF149" s="5">
        <f t="shared" si="272"/>
        <v>0</v>
      </c>
      <c r="BG149" s="5">
        <f t="shared" si="272"/>
        <v>0</v>
      </c>
      <c r="BH149" s="5">
        <f t="shared" ref="BH149" si="550">BH128</f>
        <v>0</v>
      </c>
      <c r="BI149" s="5">
        <f t="shared" si="272"/>
        <v>0</v>
      </c>
      <c r="BJ149" s="5">
        <f t="shared" si="498"/>
        <v>0</v>
      </c>
      <c r="BK149" s="5">
        <v>0</v>
      </c>
      <c r="BL149" s="5">
        <f t="shared" si="312"/>
        <v>0</v>
      </c>
      <c r="BM149" s="5">
        <f t="shared" si="274"/>
        <v>0</v>
      </c>
      <c r="BN149" s="5">
        <f t="shared" si="274"/>
        <v>0</v>
      </c>
      <c r="BO149" s="5">
        <f t="shared" si="274"/>
        <v>0</v>
      </c>
      <c r="BP149" s="5">
        <f t="shared" si="259"/>
        <v>0</v>
      </c>
      <c r="BQ149" s="5">
        <f t="shared" si="259"/>
        <v>0</v>
      </c>
      <c r="BR149" s="5"/>
      <c r="BS149" s="4">
        <v>4</v>
      </c>
      <c r="BT149" s="4">
        <v>7</v>
      </c>
      <c r="BU149" s="4">
        <f t="shared" si="275"/>
        <v>0</v>
      </c>
      <c r="BV149" s="4">
        <f t="shared" si="475"/>
        <v>7</v>
      </c>
      <c r="BW149" s="4">
        <f t="shared" si="476"/>
        <v>7</v>
      </c>
      <c r="BX149" s="14">
        <f t="shared" si="477"/>
        <v>0.42999999999999994</v>
      </c>
      <c r="BY149" s="14">
        <f t="shared" si="478"/>
        <v>0.25</v>
      </c>
      <c r="BZ149" s="5" t="s">
        <v>176</v>
      </c>
      <c r="CA149" s="8" t="str">
        <f t="shared" si="378"/>
        <v>monster_05_brood</v>
      </c>
      <c r="CB149" s="8" t="str">
        <f t="shared" si="378"/>
        <v>monster_05_brood</v>
      </c>
      <c r="CC149" s="5">
        <v>0</v>
      </c>
      <c r="CD149" s="8">
        <f t="shared" si="276"/>
        <v>1</v>
      </c>
      <c r="CE149" s="5">
        <f t="shared" si="479"/>
        <v>0</v>
      </c>
      <c r="CF149" s="5">
        <f t="shared" si="294"/>
        <v>0</v>
      </c>
      <c r="CG149" s="5" t="s">
        <v>363</v>
      </c>
      <c r="CH149" s="5">
        <f t="shared" si="278"/>
        <v>3</v>
      </c>
      <c r="CI149" s="5">
        <v>0</v>
      </c>
      <c r="CJ149" s="4">
        <v>0</v>
      </c>
      <c r="CK149" s="5">
        <v>0</v>
      </c>
      <c r="CL149" s="5">
        <v>0</v>
      </c>
      <c r="CM149" s="20">
        <f t="shared" si="279"/>
        <v>0</v>
      </c>
      <c r="CN149" s="8">
        <f t="shared" si="279"/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8">
        <f t="shared" ref="CV149:CY149" si="551">CV128</f>
        <v>0.8</v>
      </c>
      <c r="CW149" s="8">
        <f t="shared" si="551"/>
        <v>0.6</v>
      </c>
      <c r="CX149" s="8">
        <f t="shared" si="551"/>
        <v>1</v>
      </c>
      <c r="CY149" s="8">
        <f t="shared" si="551"/>
        <v>1</v>
      </c>
      <c r="CZ149" s="8">
        <f t="shared" si="281"/>
        <v>1</v>
      </c>
      <c r="DA149" s="6">
        <f t="shared" si="466"/>
        <v>175</v>
      </c>
      <c r="DB149" s="5">
        <f t="shared" si="282"/>
        <v>0</v>
      </c>
      <c r="DC149" s="5">
        <f t="shared" si="481"/>
        <v>0.39</v>
      </c>
      <c r="DD149" s="6">
        <f t="shared" si="467"/>
        <v>0.39</v>
      </c>
      <c r="DE149" s="6">
        <f t="shared" si="296"/>
        <v>0.6</v>
      </c>
      <c r="DF149" s="5">
        <v>1</v>
      </c>
      <c r="DG149" s="8">
        <f t="shared" si="283"/>
        <v>2.5</v>
      </c>
      <c r="DH149" s="5">
        <v>1.5</v>
      </c>
      <c r="DI149" s="8">
        <f t="shared" si="284"/>
        <v>0</v>
      </c>
      <c r="DJ149" s="5">
        <f t="shared" si="468"/>
        <v>0</v>
      </c>
      <c r="DK149" s="8">
        <v>0</v>
      </c>
      <c r="DL149" s="5">
        <f t="shared" si="469"/>
        <v>0</v>
      </c>
      <c r="DM149" s="5" t="s">
        <v>363</v>
      </c>
      <c r="DN149" s="8">
        <f t="shared" ref="DN149:DP149" si="552">DN128</f>
        <v>8</v>
      </c>
      <c r="DO149" s="8">
        <f t="shared" si="552"/>
        <v>0</v>
      </c>
      <c r="DP149" s="5">
        <f t="shared" si="552"/>
        <v>0</v>
      </c>
      <c r="DQ149" s="8">
        <f t="shared" si="425"/>
        <v>0</v>
      </c>
      <c r="DR149" s="5">
        <f t="shared" si="483"/>
        <v>0.9</v>
      </c>
      <c r="DS149" s="8">
        <f t="shared" si="287"/>
        <v>1</v>
      </c>
      <c r="DT149" s="8">
        <f t="shared" si="288"/>
        <v>-0.5</v>
      </c>
      <c r="DU149" s="8">
        <f t="shared" si="288"/>
        <v>0.5</v>
      </c>
      <c r="DV149" s="8">
        <f t="shared" si="262"/>
        <v>0.5</v>
      </c>
      <c r="DW149" s="5">
        <f t="shared" si="462"/>
        <v>0.5</v>
      </c>
      <c r="DX149" s="8">
        <f t="shared" si="289"/>
        <v>6</v>
      </c>
      <c r="DY149" s="8">
        <f t="shared" si="290"/>
        <v>0</v>
      </c>
      <c r="DZ149" s="8">
        <f t="shared" si="291"/>
        <v>0</v>
      </c>
      <c r="EA149" s="5"/>
    </row>
    <row r="150" spans="1:131" x14ac:dyDescent="0.15">
      <c r="A150" s="5">
        <v>201148</v>
      </c>
      <c r="B150" s="5" t="s">
        <v>364</v>
      </c>
      <c r="C150" s="5"/>
      <c r="D150" s="5"/>
      <c r="E150" s="5"/>
      <c r="F150" s="5">
        <v>0</v>
      </c>
      <c r="G150" s="45"/>
      <c r="H150" s="5"/>
      <c r="I150" s="5"/>
      <c r="J150" s="5"/>
      <c r="K150" s="5"/>
      <c r="L150" s="10"/>
      <c r="M150" s="5"/>
      <c r="N150" s="10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20"/>
      <c r="AF150" s="5"/>
      <c r="AG150" s="5"/>
      <c r="AH150" s="5"/>
      <c r="AI150" s="5"/>
      <c r="AJ150" s="5"/>
      <c r="AK150" s="5"/>
      <c r="AL150" s="5"/>
      <c r="AM150" s="5"/>
      <c r="AN150" s="8"/>
      <c r="AO150" s="5">
        <v>0</v>
      </c>
      <c r="AP150" s="5" t="s">
        <v>364</v>
      </c>
      <c r="AQ150" s="5">
        <v>0</v>
      </c>
      <c r="AR150" s="8">
        <f t="shared" si="264"/>
        <v>3</v>
      </c>
      <c r="AS150" s="6">
        <f t="shared" si="471"/>
        <v>72</v>
      </c>
      <c r="AT150" s="6">
        <f t="shared" si="472"/>
        <v>96</v>
      </c>
      <c r="AU150" s="5">
        <f t="shared" si="265"/>
        <v>0</v>
      </c>
      <c r="AV150" s="5">
        <f t="shared" si="266"/>
        <v>1</v>
      </c>
      <c r="AW150" s="5">
        <f t="shared" si="267"/>
        <v>1</v>
      </c>
      <c r="AX150" s="5">
        <f t="shared" ref="AX150" si="553">AX129</f>
        <v>1</v>
      </c>
      <c r="AY150" s="5">
        <f t="shared" si="267"/>
        <v>1</v>
      </c>
      <c r="AZ150" s="8">
        <f t="shared" si="269"/>
        <v>83</v>
      </c>
      <c r="BA150" s="5">
        <f t="shared" si="257"/>
        <v>203001</v>
      </c>
      <c r="BB150" s="5">
        <v>0</v>
      </c>
      <c r="BC150" s="5">
        <v>0</v>
      </c>
      <c r="BD150" s="5">
        <f t="shared" si="270"/>
        <v>0</v>
      </c>
      <c r="BE150" s="5">
        <f t="shared" si="271"/>
        <v>0</v>
      </c>
      <c r="BF150" s="5">
        <f t="shared" si="272"/>
        <v>0</v>
      </c>
      <c r="BG150" s="5">
        <f t="shared" si="272"/>
        <v>0</v>
      </c>
      <c r="BH150" s="5">
        <f t="shared" ref="BH150" si="554">BH129</f>
        <v>0</v>
      </c>
      <c r="BI150" s="5">
        <f t="shared" si="272"/>
        <v>0</v>
      </c>
      <c r="BJ150" s="5">
        <f t="shared" si="498"/>
        <v>0</v>
      </c>
      <c r="BK150" s="5">
        <v>0</v>
      </c>
      <c r="BL150" s="5">
        <f t="shared" si="312"/>
        <v>0</v>
      </c>
      <c r="BM150" s="5">
        <f t="shared" si="274"/>
        <v>0</v>
      </c>
      <c r="BN150" s="5">
        <f t="shared" si="274"/>
        <v>0</v>
      </c>
      <c r="BO150" s="5">
        <f t="shared" si="274"/>
        <v>0</v>
      </c>
      <c r="BP150" s="5">
        <f t="shared" si="259"/>
        <v>0</v>
      </c>
      <c r="BQ150" s="5">
        <f t="shared" si="259"/>
        <v>0</v>
      </c>
      <c r="BR150" s="5"/>
      <c r="BS150" s="4">
        <v>1</v>
      </c>
      <c r="BT150" s="4">
        <v>8</v>
      </c>
      <c r="BU150" s="4">
        <f t="shared" si="275"/>
        <v>0</v>
      </c>
      <c r="BV150" s="4">
        <f t="shared" si="475"/>
        <v>8</v>
      </c>
      <c r="BW150" s="4">
        <f t="shared" si="476"/>
        <v>8</v>
      </c>
      <c r="BX150" s="14">
        <f t="shared" si="477"/>
        <v>0.35999999999999993</v>
      </c>
      <c r="BY150" s="14">
        <f t="shared" si="478"/>
        <v>0.2</v>
      </c>
      <c r="BZ150" s="5" t="s">
        <v>179</v>
      </c>
      <c r="CA150" s="8" t="str">
        <f t="shared" si="378"/>
        <v>elite_monster_01</v>
      </c>
      <c r="CB150" s="8" t="str">
        <f t="shared" si="378"/>
        <v>elite_monster_01</v>
      </c>
      <c r="CC150" s="5">
        <v>0</v>
      </c>
      <c r="CD150" s="8">
        <f t="shared" si="276"/>
        <v>2</v>
      </c>
      <c r="CE150" s="5">
        <f t="shared" si="479"/>
        <v>0</v>
      </c>
      <c r="CF150" s="5">
        <f t="shared" si="294"/>
        <v>0</v>
      </c>
      <c r="CG150" s="5" t="s">
        <v>364</v>
      </c>
      <c r="CH150" s="5">
        <f t="shared" si="278"/>
        <v>0</v>
      </c>
      <c r="CI150" s="5">
        <v>111</v>
      </c>
      <c r="CJ150" s="4">
        <v>1</v>
      </c>
      <c r="CK150" s="5">
        <v>0</v>
      </c>
      <c r="CL150" s="5">
        <v>0</v>
      </c>
      <c r="CM150" s="20">
        <f t="shared" si="279"/>
        <v>0</v>
      </c>
      <c r="CN150" s="8">
        <f t="shared" si="279"/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8">
        <f t="shared" ref="CV150:CY150" si="555">CV129</f>
        <v>1</v>
      </c>
      <c r="CW150" s="8">
        <f t="shared" si="555"/>
        <v>0.6</v>
      </c>
      <c r="CX150" s="8">
        <f t="shared" si="555"/>
        <v>1.25</v>
      </c>
      <c r="CY150" s="8">
        <f t="shared" si="555"/>
        <v>1.06</v>
      </c>
      <c r="CZ150" s="8">
        <f t="shared" si="281"/>
        <v>1</v>
      </c>
      <c r="DA150" s="6">
        <f t="shared" si="466"/>
        <v>200</v>
      </c>
      <c r="DB150" s="5">
        <f t="shared" si="282"/>
        <v>0</v>
      </c>
      <c r="DC150" s="5">
        <f t="shared" si="481"/>
        <v>0.33750000000000002</v>
      </c>
      <c r="DD150" s="6">
        <f t="shared" si="467"/>
        <v>0.33750000000000002</v>
      </c>
      <c r="DE150" s="6">
        <f t="shared" si="296"/>
        <v>0.5</v>
      </c>
      <c r="DF150" s="5">
        <v>0</v>
      </c>
      <c r="DG150" s="8">
        <f t="shared" si="283"/>
        <v>2.25</v>
      </c>
      <c r="DH150" s="5">
        <v>1.25</v>
      </c>
      <c r="DI150" s="8">
        <f t="shared" si="284"/>
        <v>1.25</v>
      </c>
      <c r="DJ150" s="5">
        <f t="shared" si="468"/>
        <v>31.25</v>
      </c>
      <c r="DK150" s="8">
        <v>0</v>
      </c>
      <c r="DL150" s="5">
        <f t="shared" si="469"/>
        <v>0</v>
      </c>
      <c r="DM150" s="5" t="s">
        <v>364</v>
      </c>
      <c r="DN150" s="8">
        <f t="shared" ref="DN150:DP150" si="556">DN129</f>
        <v>6</v>
      </c>
      <c r="DO150" s="8">
        <f t="shared" si="556"/>
        <v>0</v>
      </c>
      <c r="DP150" s="5">
        <f t="shared" si="556"/>
        <v>0</v>
      </c>
      <c r="DQ150" s="8">
        <f t="shared" si="425"/>
        <v>0</v>
      </c>
      <c r="DR150" s="5">
        <f t="shared" si="483"/>
        <v>2.7</v>
      </c>
      <c r="DS150" s="8">
        <f t="shared" si="287"/>
        <v>3</v>
      </c>
      <c r="DT150" s="8">
        <f t="shared" si="288"/>
        <v>-0.3</v>
      </c>
      <c r="DU150" s="8">
        <f t="shared" si="288"/>
        <v>3</v>
      </c>
      <c r="DV150" s="8">
        <f t="shared" si="262"/>
        <v>0.35</v>
      </c>
      <c r="DW150" s="5">
        <f t="shared" si="462"/>
        <v>0.58333333333333337</v>
      </c>
      <c r="DX150" s="8">
        <f t="shared" si="289"/>
        <v>7</v>
      </c>
      <c r="DY150" s="8">
        <f t="shared" si="290"/>
        <v>0</v>
      </c>
      <c r="DZ150" s="8">
        <f t="shared" si="291"/>
        <v>0</v>
      </c>
      <c r="EA150" s="5"/>
    </row>
    <row r="151" spans="1:131" x14ac:dyDescent="0.15">
      <c r="A151" s="5">
        <v>201149</v>
      </c>
      <c r="B151" s="5" t="s">
        <v>365</v>
      </c>
      <c r="C151" s="5"/>
      <c r="D151" s="5"/>
      <c r="E151" s="5"/>
      <c r="F151" s="5">
        <v>0</v>
      </c>
      <c r="G151" s="45"/>
      <c r="H151" s="5"/>
      <c r="I151" s="5"/>
      <c r="J151" s="5"/>
      <c r="K151" s="5"/>
      <c r="L151" s="10"/>
      <c r="M151" s="5"/>
      <c r="N151" s="10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20"/>
      <c r="AF151" s="5"/>
      <c r="AG151" s="5"/>
      <c r="AH151" s="5"/>
      <c r="AI151" s="5"/>
      <c r="AJ151" s="5"/>
      <c r="AK151" s="5"/>
      <c r="AL151" s="5"/>
      <c r="AM151" s="5"/>
      <c r="AN151" s="8"/>
      <c r="AO151" s="5">
        <v>0</v>
      </c>
      <c r="AP151" s="5" t="s">
        <v>365</v>
      </c>
      <c r="AQ151" s="5">
        <v>0</v>
      </c>
      <c r="AR151" s="8">
        <f t="shared" si="264"/>
        <v>3</v>
      </c>
      <c r="AS151" s="6">
        <f t="shared" si="471"/>
        <v>72</v>
      </c>
      <c r="AT151" s="6">
        <f t="shared" si="472"/>
        <v>96</v>
      </c>
      <c r="AU151" s="5">
        <f t="shared" si="265"/>
        <v>0</v>
      </c>
      <c r="AV151" s="5">
        <f t="shared" si="266"/>
        <v>1</v>
      </c>
      <c r="AW151" s="5">
        <f t="shared" si="267"/>
        <v>0</v>
      </c>
      <c r="AX151" s="5">
        <f t="shared" ref="AX151" si="557">AX130</f>
        <v>0</v>
      </c>
      <c r="AY151" s="5">
        <f t="shared" si="267"/>
        <v>0</v>
      </c>
      <c r="AZ151" s="8">
        <f t="shared" si="269"/>
        <v>83</v>
      </c>
      <c r="BA151" s="5">
        <f t="shared" si="257"/>
        <v>203002</v>
      </c>
      <c r="BB151" s="5">
        <v>0</v>
      </c>
      <c r="BC151" s="5">
        <v>0</v>
      </c>
      <c r="BD151" s="5">
        <f t="shared" si="270"/>
        <v>0</v>
      </c>
      <c r="BE151" s="5">
        <f t="shared" si="271"/>
        <v>0</v>
      </c>
      <c r="BF151" s="5">
        <f t="shared" si="272"/>
        <v>0</v>
      </c>
      <c r="BG151" s="5">
        <f t="shared" si="272"/>
        <v>0</v>
      </c>
      <c r="BH151" s="5">
        <f t="shared" ref="BH151" si="558">BH130</f>
        <v>0</v>
      </c>
      <c r="BI151" s="5">
        <f t="shared" si="272"/>
        <v>0</v>
      </c>
      <c r="BJ151" s="5">
        <f t="shared" si="498"/>
        <v>0</v>
      </c>
      <c r="BK151" s="5">
        <v>0</v>
      </c>
      <c r="BL151" s="5">
        <f t="shared" si="312"/>
        <v>0</v>
      </c>
      <c r="BM151" s="5">
        <f t="shared" si="274"/>
        <v>0</v>
      </c>
      <c r="BN151" s="5">
        <f t="shared" si="274"/>
        <v>0</v>
      </c>
      <c r="BO151" s="5">
        <f t="shared" si="274"/>
        <v>0</v>
      </c>
      <c r="BP151" s="5">
        <f t="shared" si="259"/>
        <v>0</v>
      </c>
      <c r="BQ151" s="5">
        <f t="shared" si="259"/>
        <v>0</v>
      </c>
      <c r="BR151" s="5"/>
      <c r="BS151" s="4">
        <v>1</v>
      </c>
      <c r="BT151" s="4">
        <v>8</v>
      </c>
      <c r="BU151" s="4">
        <f t="shared" si="275"/>
        <v>0</v>
      </c>
      <c r="BV151" s="4">
        <f t="shared" si="475"/>
        <v>8</v>
      </c>
      <c r="BW151" s="4">
        <f t="shared" si="476"/>
        <v>8</v>
      </c>
      <c r="BX151" s="14">
        <f t="shared" si="477"/>
        <v>0.35999999999999993</v>
      </c>
      <c r="BY151" s="14">
        <f t="shared" si="478"/>
        <v>0.2</v>
      </c>
      <c r="BZ151" s="5" t="s">
        <v>182</v>
      </c>
      <c r="CA151" s="8" t="str">
        <f t="shared" si="378"/>
        <v>elite_monster_02</v>
      </c>
      <c r="CB151" s="8" t="str">
        <f t="shared" si="378"/>
        <v>elite_monster_02</v>
      </c>
      <c r="CC151" s="5">
        <v>0</v>
      </c>
      <c r="CD151" s="8">
        <f t="shared" si="276"/>
        <v>1</v>
      </c>
      <c r="CE151" s="5">
        <f t="shared" si="479"/>
        <v>0</v>
      </c>
      <c r="CF151" s="5">
        <f t="shared" si="294"/>
        <v>0</v>
      </c>
      <c r="CG151" s="5" t="s">
        <v>365</v>
      </c>
      <c r="CH151" s="5">
        <f t="shared" si="278"/>
        <v>3</v>
      </c>
      <c r="CI151" s="5">
        <v>0</v>
      </c>
      <c r="CJ151" s="4">
        <v>1</v>
      </c>
      <c r="CK151" s="5">
        <v>903905</v>
      </c>
      <c r="CL151" s="5">
        <v>1</v>
      </c>
      <c r="CM151" s="20">
        <f t="shared" si="279"/>
        <v>0</v>
      </c>
      <c r="CN151" s="8">
        <f t="shared" si="279"/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8">
        <f t="shared" ref="CV151:CY151" si="559">CV130</f>
        <v>0.8</v>
      </c>
      <c r="CW151" s="8">
        <f t="shared" si="559"/>
        <v>0.6</v>
      </c>
      <c r="CX151" s="8">
        <f t="shared" si="559"/>
        <v>1.34</v>
      </c>
      <c r="CY151" s="8">
        <f t="shared" si="559"/>
        <v>1.35</v>
      </c>
      <c r="CZ151" s="8">
        <f t="shared" si="281"/>
        <v>1</v>
      </c>
      <c r="DA151" s="6">
        <f t="shared" si="466"/>
        <v>200</v>
      </c>
      <c r="DB151" s="5">
        <f t="shared" si="282"/>
        <v>0</v>
      </c>
      <c r="DC151" s="5">
        <f t="shared" si="481"/>
        <v>0.67500000000000004</v>
      </c>
      <c r="DD151" s="6">
        <f t="shared" si="467"/>
        <v>0.67500000000000004</v>
      </c>
      <c r="DE151" s="6">
        <f t="shared" si="296"/>
        <v>1</v>
      </c>
      <c r="DF151" s="5">
        <v>0</v>
      </c>
      <c r="DG151" s="8">
        <f t="shared" si="283"/>
        <v>2.25</v>
      </c>
      <c r="DH151" s="5">
        <v>1.25</v>
      </c>
      <c r="DI151" s="8">
        <f t="shared" si="284"/>
        <v>0</v>
      </c>
      <c r="DJ151" s="5">
        <f t="shared" si="468"/>
        <v>0</v>
      </c>
      <c r="DK151" s="8">
        <v>0</v>
      </c>
      <c r="DL151" s="5">
        <f t="shared" si="469"/>
        <v>0</v>
      </c>
      <c r="DM151" s="5" t="s">
        <v>365</v>
      </c>
      <c r="DN151" s="8">
        <f t="shared" ref="DN151:DP151" si="560">DN130</f>
        <v>8</v>
      </c>
      <c r="DO151" s="8">
        <f t="shared" si="560"/>
        <v>0</v>
      </c>
      <c r="DP151" s="5">
        <f t="shared" si="560"/>
        <v>0</v>
      </c>
      <c r="DQ151" s="8">
        <f t="shared" si="425"/>
        <v>0</v>
      </c>
      <c r="DR151" s="5">
        <f t="shared" si="483"/>
        <v>0.9</v>
      </c>
      <c r="DS151" s="8">
        <f t="shared" si="287"/>
        <v>1</v>
      </c>
      <c r="DT151" s="8">
        <f t="shared" si="288"/>
        <v>-0.5</v>
      </c>
      <c r="DU151" s="8">
        <f t="shared" si="288"/>
        <v>0.5</v>
      </c>
      <c r="DV151" s="8">
        <f t="shared" si="262"/>
        <v>0.35</v>
      </c>
      <c r="DW151" s="5">
        <f t="shared" ref="DW151:DW171" si="561">DX151/12</f>
        <v>0.58333333333333337</v>
      </c>
      <c r="DX151" s="8">
        <f t="shared" si="289"/>
        <v>7</v>
      </c>
      <c r="DY151" s="8">
        <f t="shared" si="290"/>
        <v>0</v>
      </c>
      <c r="DZ151" s="8">
        <f t="shared" si="291"/>
        <v>0</v>
      </c>
      <c r="EA151" s="5"/>
    </row>
    <row r="152" spans="1:131" x14ac:dyDescent="0.15">
      <c r="A152" s="5">
        <v>201150</v>
      </c>
      <c r="B152" s="5" t="s">
        <v>366</v>
      </c>
      <c r="C152" s="5"/>
      <c r="D152" s="5"/>
      <c r="E152" s="5"/>
      <c r="F152" s="5">
        <v>0</v>
      </c>
      <c r="G152" s="45"/>
      <c r="H152" s="5"/>
      <c r="I152" s="5"/>
      <c r="J152" s="5"/>
      <c r="K152" s="5"/>
      <c r="L152" s="10"/>
      <c r="M152" s="5"/>
      <c r="N152" s="10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20"/>
      <c r="AF152" s="5"/>
      <c r="AG152" s="5"/>
      <c r="AH152" s="5"/>
      <c r="AI152" s="5"/>
      <c r="AJ152" s="5"/>
      <c r="AK152" s="5"/>
      <c r="AL152" s="5"/>
      <c r="AM152" s="5"/>
      <c r="AN152" s="8"/>
      <c r="AO152" s="5">
        <v>0</v>
      </c>
      <c r="AP152" s="5" t="s">
        <v>366</v>
      </c>
      <c r="AQ152" s="5">
        <v>0</v>
      </c>
      <c r="AR152" s="8">
        <f t="shared" si="264"/>
        <v>3</v>
      </c>
      <c r="AS152" s="6">
        <f t="shared" si="471"/>
        <v>72</v>
      </c>
      <c r="AT152" s="6">
        <f t="shared" si="472"/>
        <v>96</v>
      </c>
      <c r="AU152" s="5">
        <f t="shared" si="265"/>
        <v>0</v>
      </c>
      <c r="AV152" s="5">
        <f t="shared" si="266"/>
        <v>1</v>
      </c>
      <c r="AW152" s="5">
        <f t="shared" si="267"/>
        <v>1</v>
      </c>
      <c r="AX152" s="5">
        <f t="shared" ref="AX152" si="562">AX131</f>
        <v>1</v>
      </c>
      <c r="AY152" s="5">
        <f t="shared" si="267"/>
        <v>0</v>
      </c>
      <c r="AZ152" s="8">
        <f t="shared" si="269"/>
        <v>82</v>
      </c>
      <c r="BA152" s="5">
        <f t="shared" ref="BA152:BA212" si="563">BA131</f>
        <v>203003</v>
      </c>
      <c r="BB152" s="5">
        <v>0</v>
      </c>
      <c r="BC152" s="5">
        <v>0</v>
      </c>
      <c r="BD152" s="5">
        <f t="shared" si="270"/>
        <v>1</v>
      </c>
      <c r="BE152" s="5">
        <f t="shared" si="271"/>
        <v>0</v>
      </c>
      <c r="BF152" s="5">
        <f t="shared" si="272"/>
        <v>0</v>
      </c>
      <c r="BG152" s="5">
        <f t="shared" si="272"/>
        <v>0</v>
      </c>
      <c r="BH152" s="5">
        <f t="shared" ref="BH152:BH212" si="564">BH131</f>
        <v>0</v>
      </c>
      <c r="BI152" s="5">
        <f t="shared" si="272"/>
        <v>0</v>
      </c>
      <c r="BJ152" s="5">
        <f t="shared" si="498"/>
        <v>0</v>
      </c>
      <c r="BK152" s="5">
        <v>0</v>
      </c>
      <c r="BL152" s="5">
        <f t="shared" si="312"/>
        <v>0</v>
      </c>
      <c r="BM152" s="5">
        <f t="shared" si="272"/>
        <v>0</v>
      </c>
      <c r="BN152" s="5">
        <f t="shared" si="272"/>
        <v>0</v>
      </c>
      <c r="BO152" s="5">
        <f t="shared" si="272"/>
        <v>0</v>
      </c>
      <c r="BP152" s="5">
        <f t="shared" si="272"/>
        <v>0</v>
      </c>
      <c r="BQ152" s="5">
        <f t="shared" ref="BQ152:BQ212" si="565">BQ131</f>
        <v>0</v>
      </c>
      <c r="BR152" s="5"/>
      <c r="BS152" s="4">
        <v>1</v>
      </c>
      <c r="BT152" s="4">
        <v>8</v>
      </c>
      <c r="BU152" s="4">
        <f t="shared" si="275"/>
        <v>0</v>
      </c>
      <c r="BV152" s="4">
        <f t="shared" si="475"/>
        <v>8</v>
      </c>
      <c r="BW152" s="4">
        <f t="shared" si="476"/>
        <v>8</v>
      </c>
      <c r="BX152" s="14">
        <f t="shared" si="477"/>
        <v>0.35999999999999993</v>
      </c>
      <c r="BY152" s="14">
        <f t="shared" si="478"/>
        <v>0.2</v>
      </c>
      <c r="BZ152" s="5" t="s">
        <v>185</v>
      </c>
      <c r="CA152" s="8" t="str">
        <f t="shared" si="378"/>
        <v>elite_monster_03</v>
      </c>
      <c r="CB152" s="8" t="str">
        <f t="shared" si="378"/>
        <v>elite_monster_03</v>
      </c>
      <c r="CC152" s="5">
        <v>0</v>
      </c>
      <c r="CD152" s="8">
        <f t="shared" si="276"/>
        <v>3</v>
      </c>
      <c r="CE152" s="5">
        <f t="shared" si="479"/>
        <v>8</v>
      </c>
      <c r="CF152" s="5">
        <f t="shared" si="294"/>
        <v>1</v>
      </c>
      <c r="CG152" s="5" t="s">
        <v>366</v>
      </c>
      <c r="CH152" s="5">
        <f t="shared" si="278"/>
        <v>0</v>
      </c>
      <c r="CI152" s="5">
        <v>112</v>
      </c>
      <c r="CJ152" s="4">
        <v>1</v>
      </c>
      <c r="CK152" s="5">
        <v>903906</v>
      </c>
      <c r="CL152" s="5">
        <v>0</v>
      </c>
      <c r="CM152" s="20">
        <f t="shared" si="279"/>
        <v>0</v>
      </c>
      <c r="CN152" s="8">
        <f t="shared" si="279"/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8">
        <f t="shared" ref="CV152:CY152" si="566">CV131</f>
        <v>0.8</v>
      </c>
      <c r="CW152" s="8">
        <f t="shared" si="566"/>
        <v>0.6</v>
      </c>
      <c r="CX152" s="8">
        <f t="shared" si="566"/>
        <v>1</v>
      </c>
      <c r="CY152" s="8">
        <f t="shared" si="566"/>
        <v>1</v>
      </c>
      <c r="CZ152" s="8">
        <f t="shared" si="281"/>
        <v>1</v>
      </c>
      <c r="DA152" s="6">
        <f t="shared" si="466"/>
        <v>200</v>
      </c>
      <c r="DB152" s="5">
        <f t="shared" si="282"/>
        <v>0</v>
      </c>
      <c r="DC152" s="5">
        <f t="shared" si="481"/>
        <v>0.40500000000000003</v>
      </c>
      <c r="DD152" s="6">
        <f t="shared" si="467"/>
        <v>0.40500000000000003</v>
      </c>
      <c r="DE152" s="6">
        <f t="shared" si="296"/>
        <v>0.6</v>
      </c>
      <c r="DF152" s="5">
        <v>0</v>
      </c>
      <c r="DG152" s="8">
        <f t="shared" si="283"/>
        <v>2</v>
      </c>
      <c r="DH152" s="5">
        <v>1</v>
      </c>
      <c r="DI152" s="8">
        <f t="shared" si="284"/>
        <v>2</v>
      </c>
      <c r="DJ152" s="5">
        <f t="shared" si="468"/>
        <v>50</v>
      </c>
      <c r="DK152" s="8">
        <v>0</v>
      </c>
      <c r="DL152" s="5">
        <f t="shared" si="469"/>
        <v>0</v>
      </c>
      <c r="DM152" s="5" t="s">
        <v>366</v>
      </c>
      <c r="DN152" s="8">
        <f t="shared" ref="DN152:DP152" si="567">DN131</f>
        <v>6</v>
      </c>
      <c r="DO152" s="8">
        <f t="shared" si="567"/>
        <v>0</v>
      </c>
      <c r="DP152" s="5">
        <f t="shared" si="567"/>
        <v>0</v>
      </c>
      <c r="DQ152" s="8">
        <f t="shared" si="425"/>
        <v>0</v>
      </c>
      <c r="DR152" s="5">
        <f t="shared" si="483"/>
        <v>0.9</v>
      </c>
      <c r="DS152" s="8">
        <f t="shared" si="287"/>
        <v>1</v>
      </c>
      <c r="DT152" s="8">
        <f t="shared" si="288"/>
        <v>-0.5</v>
      </c>
      <c r="DU152" s="8">
        <f t="shared" si="288"/>
        <v>0.5</v>
      </c>
      <c r="DV152" s="8">
        <f t="shared" si="288"/>
        <v>0.3</v>
      </c>
      <c r="DW152" s="5">
        <f t="shared" si="561"/>
        <v>0.5</v>
      </c>
      <c r="DX152" s="8">
        <f t="shared" si="289"/>
        <v>6</v>
      </c>
      <c r="DY152" s="8">
        <f t="shared" si="290"/>
        <v>0</v>
      </c>
      <c r="DZ152" s="8">
        <f t="shared" si="291"/>
        <v>0</v>
      </c>
      <c r="EA152" s="5"/>
    </row>
    <row r="153" spans="1:131" x14ac:dyDescent="0.15">
      <c r="A153" s="5">
        <v>201151</v>
      </c>
      <c r="B153" s="5" t="s">
        <v>367</v>
      </c>
      <c r="C153" s="5"/>
      <c r="D153" s="5"/>
      <c r="E153" s="5"/>
      <c r="F153" s="5">
        <v>0</v>
      </c>
      <c r="G153" s="45"/>
      <c r="H153" s="5"/>
      <c r="I153" s="5"/>
      <c r="J153" s="5"/>
      <c r="K153" s="5"/>
      <c r="L153" s="10"/>
      <c r="M153" s="5"/>
      <c r="N153" s="10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20"/>
      <c r="AF153" s="5"/>
      <c r="AG153" s="5"/>
      <c r="AH153" s="5"/>
      <c r="AI153" s="5"/>
      <c r="AJ153" s="5"/>
      <c r="AK153" s="5"/>
      <c r="AL153" s="5"/>
      <c r="AM153" s="5"/>
      <c r="AN153" s="8"/>
      <c r="AO153" s="5">
        <v>0</v>
      </c>
      <c r="AP153" s="5" t="s">
        <v>367</v>
      </c>
      <c r="AQ153" s="5">
        <v>0</v>
      </c>
      <c r="AR153" s="8">
        <f t="shared" ref="AR153:AR212" si="568">AR132</f>
        <v>4</v>
      </c>
      <c r="AS153" s="6">
        <f t="shared" si="471"/>
        <v>96</v>
      </c>
      <c r="AT153" s="6">
        <f t="shared" si="472"/>
        <v>120</v>
      </c>
      <c r="AU153" s="5">
        <f t="shared" ref="AU153:AU212" si="569">AU134</f>
        <v>0</v>
      </c>
      <c r="AV153" s="5">
        <f t="shared" ref="AV153:AV212" si="570">AV132</f>
        <v>1</v>
      </c>
      <c r="AW153" s="5">
        <f t="shared" ref="AW153:AY212" si="571">AW132</f>
        <v>1</v>
      </c>
      <c r="AX153" s="5">
        <f t="shared" ref="AX153" si="572">AX132</f>
        <v>1</v>
      </c>
      <c r="AY153" s="5">
        <f t="shared" si="571"/>
        <v>1</v>
      </c>
      <c r="AZ153" s="8">
        <f t="shared" ref="AZ153:AZ212" si="573">AZ132+10</f>
        <v>82</v>
      </c>
      <c r="BA153" s="5">
        <f t="shared" si="563"/>
        <v>203004</v>
      </c>
      <c r="BB153" s="5">
        <v>0</v>
      </c>
      <c r="BC153" s="5">
        <v>0</v>
      </c>
      <c r="BD153" s="5">
        <f t="shared" ref="BD153:BD212" si="574">BD132</f>
        <v>0</v>
      </c>
      <c r="BE153" s="5">
        <f t="shared" ref="BE153:BE212" si="575">BE132</f>
        <v>0</v>
      </c>
      <c r="BF153" s="5">
        <f t="shared" ref="BF153:BM212" si="576">BF132</f>
        <v>0</v>
      </c>
      <c r="BG153" s="5">
        <f t="shared" si="576"/>
        <v>0</v>
      </c>
      <c r="BH153" s="5">
        <f t="shared" si="564"/>
        <v>0</v>
      </c>
      <c r="BI153" s="5">
        <f t="shared" si="576"/>
        <v>0</v>
      </c>
      <c r="BJ153" s="5">
        <f t="shared" si="498"/>
        <v>0</v>
      </c>
      <c r="BK153" s="5">
        <v>0</v>
      </c>
      <c r="BL153" s="5">
        <f t="shared" si="312"/>
        <v>0</v>
      </c>
      <c r="BM153" s="5">
        <f t="shared" si="576"/>
        <v>0</v>
      </c>
      <c r="BN153" s="5">
        <f t="shared" ref="BN153:BN212" si="577">BN132</f>
        <v>0</v>
      </c>
      <c r="BO153" s="5">
        <f t="shared" ref="BO153:BP212" si="578">BO132</f>
        <v>0</v>
      </c>
      <c r="BP153" s="5">
        <f t="shared" si="578"/>
        <v>0</v>
      </c>
      <c r="BQ153" s="5">
        <f t="shared" si="565"/>
        <v>0</v>
      </c>
      <c r="BR153" s="5"/>
      <c r="BS153" s="4">
        <v>1</v>
      </c>
      <c r="BT153" s="4">
        <v>8</v>
      </c>
      <c r="BU153" s="4">
        <f t="shared" ref="BU153:BU212" si="579">BU132</f>
        <v>0</v>
      </c>
      <c r="BV153" s="4">
        <f t="shared" si="475"/>
        <v>8</v>
      </c>
      <c r="BW153" s="4">
        <f t="shared" si="476"/>
        <v>8</v>
      </c>
      <c r="BX153" s="14">
        <f t="shared" si="477"/>
        <v>0.35999999999999993</v>
      </c>
      <c r="BY153" s="14">
        <f t="shared" si="478"/>
        <v>0.2</v>
      </c>
      <c r="BZ153" s="5" t="s">
        <v>188</v>
      </c>
      <c r="CA153" s="8" t="str">
        <f t="shared" si="378"/>
        <v>elite_monster_04</v>
      </c>
      <c r="CB153" s="8" t="str">
        <f t="shared" si="378"/>
        <v>elite_monster_04</v>
      </c>
      <c r="CC153" s="5">
        <v>0</v>
      </c>
      <c r="CD153" s="8">
        <f t="shared" ref="CD153:CD212" si="580">CD132</f>
        <v>1</v>
      </c>
      <c r="CE153" s="5">
        <f t="shared" si="479"/>
        <v>0</v>
      </c>
      <c r="CF153" s="5">
        <f t="shared" si="294"/>
        <v>0</v>
      </c>
      <c r="CG153" s="5" t="s">
        <v>367</v>
      </c>
      <c r="CH153" s="5">
        <f t="shared" ref="CH153:CH212" si="581">CH132</f>
        <v>0</v>
      </c>
      <c r="CI153" s="5">
        <v>0</v>
      </c>
      <c r="CJ153" s="4">
        <v>1</v>
      </c>
      <c r="CK153" s="5">
        <v>0</v>
      </c>
      <c r="CL153" s="5">
        <v>0</v>
      </c>
      <c r="CM153" s="20">
        <f t="shared" ref="CM153:CN212" si="582">CM132</f>
        <v>109</v>
      </c>
      <c r="CN153" s="8">
        <f t="shared" si="582"/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8">
        <f t="shared" ref="CV153:CY153" si="583">CV132</f>
        <v>0.8</v>
      </c>
      <c r="CW153" s="8">
        <f t="shared" si="583"/>
        <v>0.6</v>
      </c>
      <c r="CX153" s="8">
        <f t="shared" si="583"/>
        <v>1.25</v>
      </c>
      <c r="CY153" s="8">
        <f t="shared" si="583"/>
        <v>1</v>
      </c>
      <c r="CZ153" s="8">
        <f t="shared" ref="CZ153:CZ212" si="584">CZ132</f>
        <v>2</v>
      </c>
      <c r="DA153" s="6">
        <f t="shared" si="466"/>
        <v>400</v>
      </c>
      <c r="DB153" s="5">
        <f t="shared" ref="DB153:DB212" si="585">DB132</f>
        <v>0</v>
      </c>
      <c r="DC153" s="5">
        <f t="shared" si="481"/>
        <v>0.27</v>
      </c>
      <c r="DD153" s="6">
        <f t="shared" si="467"/>
        <v>0.27</v>
      </c>
      <c r="DE153" s="6">
        <f t="shared" si="296"/>
        <v>0.4</v>
      </c>
      <c r="DF153" s="5">
        <v>0</v>
      </c>
      <c r="DG153" s="8">
        <f t="shared" ref="DG153:DG212" si="586">DG132</f>
        <v>2</v>
      </c>
      <c r="DH153" s="5">
        <v>1</v>
      </c>
      <c r="DI153" s="8">
        <f t="shared" ref="DI153:DI212" si="587">DI132</f>
        <v>0</v>
      </c>
      <c r="DJ153" s="5">
        <f t="shared" si="468"/>
        <v>0</v>
      </c>
      <c r="DK153" s="8">
        <v>0</v>
      </c>
      <c r="DL153" s="5">
        <f t="shared" si="469"/>
        <v>0</v>
      </c>
      <c r="DM153" s="5" t="s">
        <v>367</v>
      </c>
      <c r="DN153" s="8">
        <f t="shared" ref="DN153:DP153" si="588">DN132</f>
        <v>6</v>
      </c>
      <c r="DO153" s="8">
        <f t="shared" si="588"/>
        <v>0</v>
      </c>
      <c r="DP153" s="5">
        <f t="shared" si="588"/>
        <v>0</v>
      </c>
      <c r="DQ153" s="8">
        <f t="shared" ref="DQ153:DQ184" si="589">DQ132</f>
        <v>0</v>
      </c>
      <c r="DR153" s="5">
        <f t="shared" si="483"/>
        <v>0.9</v>
      </c>
      <c r="DS153" s="8">
        <f t="shared" ref="DS153:DS212" si="590">DS132</f>
        <v>1</v>
      </c>
      <c r="DT153" s="8">
        <f t="shared" ref="DT153:DV212" si="591">DT132</f>
        <v>-0.5</v>
      </c>
      <c r="DU153" s="8">
        <f t="shared" si="591"/>
        <v>0.5</v>
      </c>
      <c r="DV153" s="8">
        <f t="shared" si="591"/>
        <v>0.3</v>
      </c>
      <c r="DW153" s="5">
        <f t="shared" si="561"/>
        <v>0.5</v>
      </c>
      <c r="DX153" s="8">
        <f t="shared" ref="DX153:DX212" si="592">DX132</f>
        <v>6</v>
      </c>
      <c r="DY153" s="8">
        <f t="shared" ref="DY153:DY212" si="593">DZ153/12</f>
        <v>0</v>
      </c>
      <c r="DZ153" s="8">
        <f t="shared" ref="DZ153:DZ212" si="594">DZ132</f>
        <v>0</v>
      </c>
      <c r="EA153" s="5"/>
    </row>
    <row r="154" spans="1:131" x14ac:dyDescent="0.15">
      <c r="A154" s="6">
        <v>201152</v>
      </c>
      <c r="B154" s="6" t="s">
        <v>368</v>
      </c>
      <c r="C154" s="5"/>
      <c r="D154" s="5"/>
      <c r="E154" s="5"/>
      <c r="F154" s="5">
        <v>0</v>
      </c>
      <c r="G154" s="45"/>
      <c r="H154" s="5"/>
      <c r="I154" s="5"/>
      <c r="J154" s="5"/>
      <c r="K154" s="5"/>
      <c r="L154" s="10"/>
      <c r="M154" s="5"/>
      <c r="N154" s="10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20"/>
      <c r="AF154" s="5"/>
      <c r="AG154" s="5"/>
      <c r="AH154" s="5"/>
      <c r="AI154" s="5"/>
      <c r="AJ154" s="5"/>
      <c r="AK154" s="5"/>
      <c r="AL154" s="5"/>
      <c r="AM154" s="5"/>
      <c r="AN154" s="8"/>
      <c r="AO154" s="5">
        <v>0</v>
      </c>
      <c r="AP154" s="6" t="s">
        <v>368</v>
      </c>
      <c r="AQ154" s="5">
        <v>0</v>
      </c>
      <c r="AR154" s="8">
        <f t="shared" si="568"/>
        <v>3</v>
      </c>
      <c r="AS154" s="6">
        <f t="shared" si="471"/>
        <v>72</v>
      </c>
      <c r="AT154" s="6">
        <f t="shared" si="472"/>
        <v>96</v>
      </c>
      <c r="AU154" s="5">
        <f t="shared" si="569"/>
        <v>0</v>
      </c>
      <c r="AV154" s="5">
        <f t="shared" si="570"/>
        <v>1</v>
      </c>
      <c r="AW154" s="5">
        <f t="shared" si="571"/>
        <v>1</v>
      </c>
      <c r="AX154" s="5">
        <f t="shared" ref="AX154" si="595">AX133</f>
        <v>1</v>
      </c>
      <c r="AY154" s="5">
        <f t="shared" si="571"/>
        <v>1</v>
      </c>
      <c r="AZ154" s="8">
        <f t="shared" si="573"/>
        <v>82</v>
      </c>
      <c r="BA154" s="5">
        <f t="shared" si="563"/>
        <v>203005</v>
      </c>
      <c r="BB154" s="5">
        <v>0</v>
      </c>
      <c r="BC154" s="5">
        <v>0</v>
      </c>
      <c r="BD154" s="5">
        <f t="shared" si="574"/>
        <v>0</v>
      </c>
      <c r="BE154" s="5">
        <f t="shared" si="575"/>
        <v>0</v>
      </c>
      <c r="BF154" s="5">
        <f t="shared" si="576"/>
        <v>0</v>
      </c>
      <c r="BG154" s="5">
        <f t="shared" si="576"/>
        <v>0</v>
      </c>
      <c r="BH154" s="5">
        <f t="shared" si="564"/>
        <v>0</v>
      </c>
      <c r="BI154" s="5">
        <f t="shared" si="576"/>
        <v>0</v>
      </c>
      <c r="BJ154" s="5">
        <f t="shared" si="498"/>
        <v>0</v>
      </c>
      <c r="BK154" s="5">
        <v>0</v>
      </c>
      <c r="BL154" s="5">
        <f t="shared" si="312"/>
        <v>0</v>
      </c>
      <c r="BM154" s="5">
        <f t="shared" si="576"/>
        <v>0</v>
      </c>
      <c r="BN154" s="5">
        <f t="shared" si="577"/>
        <v>0</v>
      </c>
      <c r="BO154" s="5">
        <f t="shared" si="578"/>
        <v>0</v>
      </c>
      <c r="BP154" s="5">
        <f t="shared" si="578"/>
        <v>0</v>
      </c>
      <c r="BQ154" s="5">
        <f t="shared" si="565"/>
        <v>0</v>
      </c>
      <c r="BR154" s="5"/>
      <c r="BS154" s="4">
        <v>1</v>
      </c>
      <c r="BT154" s="12">
        <v>8</v>
      </c>
      <c r="BU154" s="4">
        <f t="shared" si="579"/>
        <v>0</v>
      </c>
      <c r="BV154" s="4">
        <f t="shared" si="475"/>
        <v>8</v>
      </c>
      <c r="BW154" s="4">
        <f t="shared" si="476"/>
        <v>8</v>
      </c>
      <c r="BX154" s="14">
        <f t="shared" si="477"/>
        <v>0.35999999999999993</v>
      </c>
      <c r="BY154" s="14">
        <f t="shared" si="478"/>
        <v>0.2</v>
      </c>
      <c r="BZ154" s="6" t="s">
        <v>191</v>
      </c>
      <c r="CA154" s="8" t="str">
        <f t="shared" si="378"/>
        <v>elite_monster_05</v>
      </c>
      <c r="CB154" s="8" t="str">
        <f t="shared" si="378"/>
        <v>elite_monster_05</v>
      </c>
      <c r="CC154" s="5">
        <v>0</v>
      </c>
      <c r="CD154" s="8">
        <f t="shared" si="580"/>
        <v>3</v>
      </c>
      <c r="CE154" s="5">
        <f t="shared" si="479"/>
        <v>0</v>
      </c>
      <c r="CF154" s="5">
        <f t="shared" ref="CF154:CF212" si="596">CF133</f>
        <v>0</v>
      </c>
      <c r="CG154" s="6" t="s">
        <v>368</v>
      </c>
      <c r="CH154" s="5">
        <f t="shared" si="581"/>
        <v>3</v>
      </c>
      <c r="CI154" s="6">
        <v>103</v>
      </c>
      <c r="CJ154" s="12">
        <v>1</v>
      </c>
      <c r="CK154" s="6">
        <v>0</v>
      </c>
      <c r="CL154" s="6">
        <v>0</v>
      </c>
      <c r="CM154" s="20">
        <v>0</v>
      </c>
      <c r="CN154" s="8">
        <v>108</v>
      </c>
      <c r="CO154" s="5">
        <v>0</v>
      </c>
      <c r="CP154" s="5">
        <v>0</v>
      </c>
      <c r="CQ154" s="5">
        <v>201147</v>
      </c>
      <c r="CR154" s="6">
        <v>3</v>
      </c>
      <c r="CS154" s="5">
        <v>0</v>
      </c>
      <c r="CT154" s="5">
        <v>0</v>
      </c>
      <c r="CU154" s="5">
        <v>0</v>
      </c>
      <c r="CV154" s="8">
        <f t="shared" ref="CV154:CY154" si="597">CV133</f>
        <v>0.8</v>
      </c>
      <c r="CW154" s="8">
        <f t="shared" si="597"/>
        <v>0.6</v>
      </c>
      <c r="CX154" s="8">
        <f t="shared" si="597"/>
        <v>0.8</v>
      </c>
      <c r="CY154" s="8">
        <f t="shared" si="597"/>
        <v>0.8</v>
      </c>
      <c r="CZ154" s="8">
        <f t="shared" si="584"/>
        <v>1</v>
      </c>
      <c r="DA154" s="6">
        <f t="shared" si="466"/>
        <v>200</v>
      </c>
      <c r="DB154" s="5">
        <f t="shared" si="585"/>
        <v>0</v>
      </c>
      <c r="DC154" s="5">
        <f t="shared" si="481"/>
        <v>0.33750000000000002</v>
      </c>
      <c r="DD154" s="6">
        <f t="shared" si="467"/>
        <v>0.33750000000000002</v>
      </c>
      <c r="DE154" s="6">
        <f t="shared" ref="DE154:DE212" si="598">DE133</f>
        <v>0.5</v>
      </c>
      <c r="DF154" s="5">
        <v>0</v>
      </c>
      <c r="DG154" s="8">
        <f t="shared" si="586"/>
        <v>2.5</v>
      </c>
      <c r="DH154" s="5">
        <v>1.5</v>
      </c>
      <c r="DI154" s="8">
        <f t="shared" si="587"/>
        <v>0.3</v>
      </c>
      <c r="DJ154" s="5">
        <f t="shared" si="468"/>
        <v>7.5</v>
      </c>
      <c r="DK154" s="8">
        <v>0</v>
      </c>
      <c r="DL154" s="5">
        <f t="shared" si="469"/>
        <v>0</v>
      </c>
      <c r="DM154" s="6" t="s">
        <v>368</v>
      </c>
      <c r="DN154" s="8">
        <f t="shared" ref="DN154:DP154" si="599">DN133</f>
        <v>10</v>
      </c>
      <c r="DO154" s="8">
        <f t="shared" si="599"/>
        <v>1</v>
      </c>
      <c r="DP154" s="5">
        <f t="shared" si="599"/>
        <v>0</v>
      </c>
      <c r="DQ154" s="8">
        <f t="shared" si="589"/>
        <v>0</v>
      </c>
      <c r="DR154" s="5">
        <f t="shared" si="483"/>
        <v>4.5</v>
      </c>
      <c r="DS154" s="8">
        <f t="shared" si="590"/>
        <v>5</v>
      </c>
      <c r="DT154" s="8">
        <f t="shared" si="591"/>
        <v>-5</v>
      </c>
      <c r="DU154" s="8">
        <f t="shared" si="591"/>
        <v>5</v>
      </c>
      <c r="DV154" s="8">
        <f t="shared" si="591"/>
        <v>0.5</v>
      </c>
      <c r="DW154" s="5">
        <f t="shared" si="561"/>
        <v>0.5</v>
      </c>
      <c r="DX154" s="8">
        <f t="shared" si="592"/>
        <v>6</v>
      </c>
      <c r="DY154" s="8">
        <f t="shared" si="593"/>
        <v>0</v>
      </c>
      <c r="DZ154" s="8">
        <f t="shared" si="594"/>
        <v>0</v>
      </c>
      <c r="EA154" s="5"/>
    </row>
    <row r="155" spans="1:131" ht="14.25" x14ac:dyDescent="0.15">
      <c r="A155" s="5">
        <v>201153</v>
      </c>
      <c r="B155" s="9" t="s">
        <v>369</v>
      </c>
      <c r="C155" s="9"/>
      <c r="D155" s="9"/>
      <c r="E155" s="9"/>
      <c r="F155" s="5">
        <v>0</v>
      </c>
      <c r="G155" s="45"/>
      <c r="H155" s="5"/>
      <c r="I155" s="5"/>
      <c r="J155" s="5"/>
      <c r="K155" s="5"/>
      <c r="L155" s="10"/>
      <c r="M155" s="5"/>
      <c r="N155" s="10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20"/>
      <c r="AF155" s="5"/>
      <c r="AG155" s="5"/>
      <c r="AH155" s="5"/>
      <c r="AI155" s="5"/>
      <c r="AJ155" s="5"/>
      <c r="AK155" s="5"/>
      <c r="AL155" s="5"/>
      <c r="AM155" s="5"/>
      <c r="AN155" s="8"/>
      <c r="AO155" s="5">
        <v>0</v>
      </c>
      <c r="AP155" s="9" t="s">
        <v>369</v>
      </c>
      <c r="AQ155" s="5">
        <v>0</v>
      </c>
      <c r="AR155" s="8">
        <f t="shared" si="568"/>
        <v>4</v>
      </c>
      <c r="AS155" s="6">
        <f t="shared" si="471"/>
        <v>96</v>
      </c>
      <c r="AT155" s="6">
        <f t="shared" si="472"/>
        <v>120</v>
      </c>
      <c r="AU155" s="5">
        <f t="shared" si="569"/>
        <v>0.2</v>
      </c>
      <c r="AV155" s="5">
        <f t="shared" si="570"/>
        <v>1</v>
      </c>
      <c r="AW155" s="5">
        <f t="shared" si="571"/>
        <v>1</v>
      </c>
      <c r="AX155" s="5">
        <f t="shared" ref="AX155" si="600">AX134</f>
        <v>1</v>
      </c>
      <c r="AY155" s="5">
        <f t="shared" si="571"/>
        <v>1</v>
      </c>
      <c r="AZ155" s="8">
        <f t="shared" si="573"/>
        <v>81</v>
      </c>
      <c r="BA155" s="5">
        <f t="shared" si="563"/>
        <v>203006</v>
      </c>
      <c r="BB155" s="5">
        <v>0</v>
      </c>
      <c r="BC155" s="5">
        <v>0</v>
      </c>
      <c r="BD155" s="5">
        <f t="shared" si="574"/>
        <v>0</v>
      </c>
      <c r="BE155" s="5">
        <f t="shared" si="575"/>
        <v>304001</v>
      </c>
      <c r="BF155" s="5">
        <f t="shared" si="576"/>
        <v>90</v>
      </c>
      <c r="BG155" s="5">
        <f t="shared" si="576"/>
        <v>30</v>
      </c>
      <c r="BH155" s="5">
        <f t="shared" si="564"/>
        <v>30</v>
      </c>
      <c r="BI155" s="5">
        <f t="shared" si="576"/>
        <v>1</v>
      </c>
      <c r="BJ155" s="5">
        <f t="shared" si="498"/>
        <v>8</v>
      </c>
      <c r="BK155" s="5">
        <v>8</v>
      </c>
      <c r="BL155" s="5">
        <f t="shared" si="312"/>
        <v>1</v>
      </c>
      <c r="BM155" s="5">
        <f t="shared" si="576"/>
        <v>30</v>
      </c>
      <c r="BN155" s="5">
        <f t="shared" si="577"/>
        <v>180</v>
      </c>
      <c r="BO155" s="5">
        <f t="shared" si="578"/>
        <v>108006</v>
      </c>
      <c r="BP155" s="5">
        <f t="shared" si="578"/>
        <v>3</v>
      </c>
      <c r="BQ155" s="5">
        <f t="shared" si="565"/>
        <v>3</v>
      </c>
      <c r="BR155" s="5">
        <f>50*BT155*3-360/BM155*BJ155*BQ155</f>
        <v>912</v>
      </c>
      <c r="BS155" s="4">
        <v>2</v>
      </c>
      <c r="BT155" s="4">
        <v>8</v>
      </c>
      <c r="BU155" s="4">
        <f t="shared" si="579"/>
        <v>0</v>
      </c>
      <c r="BV155" s="4">
        <f t="shared" si="475"/>
        <v>8</v>
      </c>
      <c r="BW155" s="4">
        <f t="shared" si="476"/>
        <v>8</v>
      </c>
      <c r="BX155" s="14">
        <f t="shared" si="477"/>
        <v>0.35999999999999993</v>
      </c>
      <c r="BY155" s="14">
        <f t="shared" si="478"/>
        <v>0.2</v>
      </c>
      <c r="BZ155" s="5" t="s">
        <v>194</v>
      </c>
      <c r="CA155" s="8" t="str">
        <f t="shared" si="378"/>
        <v>elite_monster_06</v>
      </c>
      <c r="CB155" s="8" t="str">
        <f t="shared" si="378"/>
        <v>elite_monster_06</v>
      </c>
      <c r="CC155" s="5">
        <v>0</v>
      </c>
      <c r="CD155" s="8">
        <f t="shared" si="580"/>
        <v>1</v>
      </c>
      <c r="CE155" s="5">
        <f t="shared" si="479"/>
        <v>8</v>
      </c>
      <c r="CF155" s="5">
        <f t="shared" si="596"/>
        <v>1</v>
      </c>
      <c r="CG155" s="9" t="s">
        <v>369</v>
      </c>
      <c r="CH155" s="5">
        <f>CH133</f>
        <v>3</v>
      </c>
      <c r="CI155" s="5">
        <v>0</v>
      </c>
      <c r="CJ155" s="4">
        <v>1</v>
      </c>
      <c r="CK155" s="5">
        <v>0</v>
      </c>
      <c r="CL155" s="5">
        <v>0</v>
      </c>
      <c r="CM155" s="20">
        <f t="shared" si="582"/>
        <v>110</v>
      </c>
      <c r="CN155" s="8">
        <f t="shared" si="582"/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8">
        <f t="shared" ref="CV155:CY155" si="601">CV134</f>
        <v>0.8</v>
      </c>
      <c r="CW155" s="8">
        <f t="shared" si="601"/>
        <v>0.6</v>
      </c>
      <c r="CX155" s="8">
        <f t="shared" si="601"/>
        <v>1.25</v>
      </c>
      <c r="CY155" s="8">
        <f t="shared" si="601"/>
        <v>1</v>
      </c>
      <c r="CZ155" s="8">
        <f t="shared" si="584"/>
        <v>1</v>
      </c>
      <c r="DA155" s="6">
        <f t="shared" si="466"/>
        <v>200</v>
      </c>
      <c r="DB155" s="5">
        <f t="shared" si="585"/>
        <v>0</v>
      </c>
      <c r="DC155" s="5">
        <f t="shared" si="481"/>
        <v>0.60750000000000004</v>
      </c>
      <c r="DD155" s="6">
        <f t="shared" si="467"/>
        <v>0.60750000000000004</v>
      </c>
      <c r="DE155" s="6">
        <f t="shared" si="598"/>
        <v>0.9</v>
      </c>
      <c r="DF155" s="5">
        <v>0</v>
      </c>
      <c r="DG155" s="8">
        <f t="shared" si="586"/>
        <v>2.5</v>
      </c>
      <c r="DH155" s="5">
        <v>1.5</v>
      </c>
      <c r="DI155" s="8">
        <f t="shared" si="587"/>
        <v>0</v>
      </c>
      <c r="DJ155" s="5">
        <f t="shared" si="468"/>
        <v>0</v>
      </c>
      <c r="DK155" s="8">
        <v>0</v>
      </c>
      <c r="DL155" s="5">
        <f t="shared" si="469"/>
        <v>0</v>
      </c>
      <c r="DM155" s="9" t="s">
        <v>369</v>
      </c>
      <c r="DN155" s="8">
        <f t="shared" ref="DN155:DP155" si="602">DN134</f>
        <v>6</v>
      </c>
      <c r="DO155" s="8">
        <f t="shared" si="602"/>
        <v>0</v>
      </c>
      <c r="DP155" s="5">
        <f t="shared" si="602"/>
        <v>0</v>
      </c>
      <c r="DQ155" s="8">
        <f t="shared" si="589"/>
        <v>0</v>
      </c>
      <c r="DR155" s="5">
        <f t="shared" si="483"/>
        <v>0.9</v>
      </c>
      <c r="DS155" s="8">
        <f t="shared" si="590"/>
        <v>1</v>
      </c>
      <c r="DT155" s="8">
        <f t="shared" si="591"/>
        <v>-0.5</v>
      </c>
      <c r="DU155" s="8">
        <f t="shared" si="591"/>
        <v>0.5</v>
      </c>
      <c r="DV155" s="8">
        <f t="shared" si="591"/>
        <v>0.5</v>
      </c>
      <c r="DW155" s="5">
        <f t="shared" si="561"/>
        <v>0.41666666666666669</v>
      </c>
      <c r="DX155" s="8">
        <f t="shared" si="592"/>
        <v>5</v>
      </c>
      <c r="DY155" s="8">
        <f t="shared" si="593"/>
        <v>1.3333333333333333</v>
      </c>
      <c r="DZ155" s="8">
        <f t="shared" si="594"/>
        <v>16</v>
      </c>
      <c r="EA155" s="5"/>
    </row>
    <row r="156" spans="1:131" x14ac:dyDescent="0.15">
      <c r="A156" s="5">
        <v>201154</v>
      </c>
      <c r="B156" s="5" t="s">
        <v>370</v>
      </c>
      <c r="C156" s="5"/>
      <c r="D156" s="5"/>
      <c r="E156" s="5"/>
      <c r="F156" s="5">
        <v>0</v>
      </c>
      <c r="G156" s="45"/>
      <c r="H156" s="5"/>
      <c r="I156" s="5"/>
      <c r="J156" s="5"/>
      <c r="K156" s="5"/>
      <c r="L156" s="10"/>
      <c r="M156" s="5"/>
      <c r="N156" s="10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20"/>
      <c r="AF156" s="5"/>
      <c r="AG156" s="5"/>
      <c r="AH156" s="5"/>
      <c r="AI156" s="5"/>
      <c r="AJ156" s="5"/>
      <c r="AK156" s="5"/>
      <c r="AL156" s="5"/>
      <c r="AM156" s="5"/>
      <c r="AN156" s="8"/>
      <c r="AO156" s="5">
        <v>0</v>
      </c>
      <c r="AP156" s="5" t="s">
        <v>370</v>
      </c>
      <c r="AQ156" s="5">
        <v>0</v>
      </c>
      <c r="AR156" s="8">
        <f t="shared" si="568"/>
        <v>5</v>
      </c>
      <c r="AS156" s="6">
        <f t="shared" si="471"/>
        <v>120</v>
      </c>
      <c r="AT156" s="6">
        <f t="shared" si="472"/>
        <v>144</v>
      </c>
      <c r="AU156" s="5">
        <f t="shared" si="569"/>
        <v>0</v>
      </c>
      <c r="AV156" s="5">
        <f t="shared" si="570"/>
        <v>1</v>
      </c>
      <c r="AW156" s="5">
        <f t="shared" si="571"/>
        <v>1</v>
      </c>
      <c r="AX156" s="5">
        <f t="shared" ref="AX156" si="603">AX135</f>
        <v>1</v>
      </c>
      <c r="AY156" s="5">
        <f t="shared" si="571"/>
        <v>1</v>
      </c>
      <c r="AZ156" s="8">
        <f>AZ135+1</f>
        <v>10708</v>
      </c>
      <c r="BA156" s="5">
        <f t="shared" si="563"/>
        <v>203007</v>
      </c>
      <c r="BB156" s="5">
        <v>0</v>
      </c>
      <c r="BC156" s="5">
        <v>0</v>
      </c>
      <c r="BD156" s="5">
        <f t="shared" si="574"/>
        <v>0</v>
      </c>
      <c r="BE156" s="5">
        <f t="shared" si="575"/>
        <v>0</v>
      </c>
      <c r="BF156" s="5">
        <f t="shared" si="576"/>
        <v>0</v>
      </c>
      <c r="BG156" s="5">
        <f t="shared" si="576"/>
        <v>0</v>
      </c>
      <c r="BH156" s="5">
        <f t="shared" si="564"/>
        <v>0</v>
      </c>
      <c r="BI156" s="5">
        <f t="shared" si="576"/>
        <v>0</v>
      </c>
      <c r="BJ156" s="5">
        <f t="shared" si="498"/>
        <v>0</v>
      </c>
      <c r="BK156" s="5">
        <v>0</v>
      </c>
      <c r="BL156" s="5">
        <f t="shared" si="312"/>
        <v>0</v>
      </c>
      <c r="BM156" s="5">
        <f t="shared" si="576"/>
        <v>0</v>
      </c>
      <c r="BN156" s="5">
        <f t="shared" si="577"/>
        <v>0</v>
      </c>
      <c r="BO156" s="5">
        <f t="shared" si="578"/>
        <v>0</v>
      </c>
      <c r="BP156" s="5">
        <f t="shared" si="578"/>
        <v>0</v>
      </c>
      <c r="BQ156" s="5">
        <f t="shared" si="565"/>
        <v>0</v>
      </c>
      <c r="BR156" s="5"/>
      <c r="BS156" s="4">
        <v>2</v>
      </c>
      <c r="BT156" s="4">
        <v>8</v>
      </c>
      <c r="BU156" s="4">
        <f t="shared" si="579"/>
        <v>0</v>
      </c>
      <c r="BV156" s="4">
        <f t="shared" si="475"/>
        <v>8</v>
      </c>
      <c r="BW156" s="4">
        <f t="shared" si="476"/>
        <v>8</v>
      </c>
      <c r="BX156" s="14">
        <f t="shared" si="477"/>
        <v>0.35999999999999993</v>
      </c>
      <c r="BY156" s="14">
        <f t="shared" si="478"/>
        <v>0.2</v>
      </c>
      <c r="BZ156" s="5" t="s">
        <v>197</v>
      </c>
      <c r="CA156" s="8" t="str">
        <f t="shared" si="378"/>
        <v>elite_monster_07</v>
      </c>
      <c r="CB156" s="8" t="str">
        <f t="shared" si="378"/>
        <v>elite_monster_07</v>
      </c>
      <c r="CC156" s="5">
        <v>0</v>
      </c>
      <c r="CD156" s="8">
        <f t="shared" si="580"/>
        <v>4</v>
      </c>
      <c r="CE156" s="5">
        <f t="shared" si="479"/>
        <v>8</v>
      </c>
      <c r="CF156" s="5">
        <f t="shared" si="596"/>
        <v>1</v>
      </c>
      <c r="CG156" s="5" t="s">
        <v>370</v>
      </c>
      <c r="CH156" s="5">
        <f t="shared" si="581"/>
        <v>3</v>
      </c>
      <c r="CI156" s="5">
        <v>0</v>
      </c>
      <c r="CJ156" s="4">
        <v>1</v>
      </c>
      <c r="CK156" s="5">
        <v>903907</v>
      </c>
      <c r="CL156" s="5">
        <v>0</v>
      </c>
      <c r="CM156" s="20">
        <f t="shared" si="582"/>
        <v>0</v>
      </c>
      <c r="CN156" s="8">
        <f t="shared" si="582"/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8">
        <f t="shared" ref="CV156:CY156" si="604">CV135</f>
        <v>0.8</v>
      </c>
      <c r="CW156" s="8">
        <f t="shared" si="604"/>
        <v>0.6</v>
      </c>
      <c r="CX156" s="8">
        <f t="shared" si="604"/>
        <v>1</v>
      </c>
      <c r="CY156" s="8">
        <f t="shared" si="604"/>
        <v>1</v>
      </c>
      <c r="CZ156" s="8">
        <f t="shared" si="584"/>
        <v>1</v>
      </c>
      <c r="DA156" s="6">
        <f t="shared" si="466"/>
        <v>200</v>
      </c>
      <c r="DB156" s="5">
        <f t="shared" si="585"/>
        <v>0</v>
      </c>
      <c r="DC156" s="5">
        <f t="shared" si="481"/>
        <v>0.33750000000000002</v>
      </c>
      <c r="DD156" s="6">
        <f t="shared" si="467"/>
        <v>0.33750000000000002</v>
      </c>
      <c r="DE156" s="6">
        <f t="shared" si="598"/>
        <v>0.5</v>
      </c>
      <c r="DF156" s="5">
        <v>1</v>
      </c>
      <c r="DG156" s="8">
        <f t="shared" si="586"/>
        <v>2.25</v>
      </c>
      <c r="DH156" s="5">
        <v>1.25</v>
      </c>
      <c r="DI156" s="8">
        <f t="shared" si="587"/>
        <v>3</v>
      </c>
      <c r="DJ156" s="5">
        <f t="shared" si="468"/>
        <v>75</v>
      </c>
      <c r="DK156" s="8">
        <v>0</v>
      </c>
      <c r="DL156" s="5">
        <f t="shared" si="469"/>
        <v>0</v>
      </c>
      <c r="DM156" s="5" t="s">
        <v>370</v>
      </c>
      <c r="DN156" s="8">
        <f t="shared" ref="DN156:DP156" si="605">DN135</f>
        <v>6</v>
      </c>
      <c r="DO156" s="8">
        <f t="shared" si="605"/>
        <v>0</v>
      </c>
      <c r="DP156" s="5">
        <f t="shared" si="605"/>
        <v>1</v>
      </c>
      <c r="DQ156" s="8">
        <f t="shared" si="589"/>
        <v>0</v>
      </c>
      <c r="DR156" s="5">
        <f t="shared" si="483"/>
        <v>1.1700000000000002</v>
      </c>
      <c r="DS156" s="8">
        <f t="shared" si="590"/>
        <v>1.3</v>
      </c>
      <c r="DT156" s="8">
        <f t="shared" si="591"/>
        <v>-0.5</v>
      </c>
      <c r="DU156" s="8">
        <f t="shared" si="591"/>
        <v>0.5</v>
      </c>
      <c r="DV156" s="8">
        <f t="shared" si="591"/>
        <v>0.6</v>
      </c>
      <c r="DW156" s="5">
        <f t="shared" si="561"/>
        <v>0.5</v>
      </c>
      <c r="DX156" s="8">
        <f t="shared" si="592"/>
        <v>6</v>
      </c>
      <c r="DY156" s="8">
        <f t="shared" si="593"/>
        <v>0</v>
      </c>
      <c r="DZ156" s="8">
        <f t="shared" si="594"/>
        <v>0</v>
      </c>
      <c r="EA156" s="5"/>
    </row>
    <row r="157" spans="1:131" x14ac:dyDescent="0.15">
      <c r="A157" s="5">
        <v>201155</v>
      </c>
      <c r="B157" s="5" t="s">
        <v>371</v>
      </c>
      <c r="C157" s="5"/>
      <c r="D157" s="5"/>
      <c r="E157" s="5"/>
      <c r="F157" s="5">
        <v>0</v>
      </c>
      <c r="G157" s="45"/>
      <c r="H157" s="5"/>
      <c r="I157" s="5"/>
      <c r="J157" s="5"/>
      <c r="K157" s="5"/>
      <c r="L157" s="10"/>
      <c r="M157" s="5"/>
      <c r="N157" s="10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20"/>
      <c r="AF157" s="5"/>
      <c r="AG157" s="5"/>
      <c r="AH157" s="5"/>
      <c r="AI157" s="5"/>
      <c r="AJ157" s="5"/>
      <c r="AK157" s="5"/>
      <c r="AL157" s="5"/>
      <c r="AM157" s="5"/>
      <c r="AN157" s="8"/>
      <c r="AO157" s="5">
        <v>0</v>
      </c>
      <c r="AP157" s="5" t="s">
        <v>371</v>
      </c>
      <c r="AQ157" s="5">
        <v>0</v>
      </c>
      <c r="AR157" s="8">
        <f t="shared" si="568"/>
        <v>4</v>
      </c>
      <c r="AS157" s="6">
        <f t="shared" si="471"/>
        <v>96</v>
      </c>
      <c r="AT157" s="6">
        <f t="shared" si="472"/>
        <v>120</v>
      </c>
      <c r="AU157" s="5">
        <f t="shared" si="569"/>
        <v>0</v>
      </c>
      <c r="AV157" s="5">
        <f t="shared" si="570"/>
        <v>1</v>
      </c>
      <c r="AW157" s="5">
        <f t="shared" si="571"/>
        <v>0</v>
      </c>
      <c r="AX157" s="5">
        <f t="shared" ref="AX157" si="606">AX136</f>
        <v>0</v>
      </c>
      <c r="AY157" s="5">
        <f t="shared" si="571"/>
        <v>1</v>
      </c>
      <c r="AZ157" s="8">
        <f t="shared" si="573"/>
        <v>83</v>
      </c>
      <c r="BA157" s="5">
        <f t="shared" si="563"/>
        <v>203008</v>
      </c>
      <c r="BB157" s="5">
        <v>0</v>
      </c>
      <c r="BC157" s="5">
        <v>0</v>
      </c>
      <c r="BD157" s="5">
        <f t="shared" si="574"/>
        <v>0</v>
      </c>
      <c r="BE157" s="5">
        <f t="shared" si="575"/>
        <v>0</v>
      </c>
      <c r="BF157" s="5">
        <f t="shared" si="576"/>
        <v>0</v>
      </c>
      <c r="BG157" s="5">
        <f t="shared" si="576"/>
        <v>0</v>
      </c>
      <c r="BH157" s="5">
        <f t="shared" si="564"/>
        <v>0</v>
      </c>
      <c r="BI157" s="5">
        <f t="shared" si="576"/>
        <v>0</v>
      </c>
      <c r="BJ157" s="5">
        <f t="shared" si="498"/>
        <v>0</v>
      </c>
      <c r="BK157" s="5">
        <v>0</v>
      </c>
      <c r="BL157" s="5">
        <f t="shared" si="312"/>
        <v>0</v>
      </c>
      <c r="BM157" s="5">
        <f t="shared" si="576"/>
        <v>0</v>
      </c>
      <c r="BN157" s="5">
        <f t="shared" si="577"/>
        <v>0</v>
      </c>
      <c r="BO157" s="5">
        <f t="shared" si="578"/>
        <v>0</v>
      </c>
      <c r="BP157" s="5">
        <f t="shared" si="578"/>
        <v>0</v>
      </c>
      <c r="BQ157" s="5">
        <f t="shared" si="565"/>
        <v>0</v>
      </c>
      <c r="BR157" s="5"/>
      <c r="BS157" s="4">
        <v>2</v>
      </c>
      <c r="BT157" s="4">
        <v>8</v>
      </c>
      <c r="BU157" s="4">
        <f t="shared" si="579"/>
        <v>1</v>
      </c>
      <c r="BV157" s="4">
        <f t="shared" si="475"/>
        <v>8</v>
      </c>
      <c r="BW157" s="4">
        <f t="shared" si="476"/>
        <v>8</v>
      </c>
      <c r="BX157" s="14">
        <f t="shared" si="477"/>
        <v>0.35999999999999993</v>
      </c>
      <c r="BY157" s="14">
        <f t="shared" si="478"/>
        <v>0.2</v>
      </c>
      <c r="BZ157" s="5" t="s">
        <v>200</v>
      </c>
      <c r="CA157" s="8" t="str">
        <f t="shared" si="378"/>
        <v>elite_monster_08</v>
      </c>
      <c r="CB157" s="8" t="str">
        <f t="shared" si="378"/>
        <v>elite_monster_08</v>
      </c>
      <c r="CC157" s="5">
        <v>0</v>
      </c>
      <c r="CD157" s="8">
        <f t="shared" si="580"/>
        <v>1</v>
      </c>
      <c r="CE157" s="5">
        <f t="shared" si="479"/>
        <v>0</v>
      </c>
      <c r="CF157" s="5">
        <f t="shared" si="596"/>
        <v>0</v>
      </c>
      <c r="CG157" s="5" t="s">
        <v>371</v>
      </c>
      <c r="CH157" s="5">
        <f t="shared" si="581"/>
        <v>3</v>
      </c>
      <c r="CI157" s="5">
        <v>0</v>
      </c>
      <c r="CJ157" s="4">
        <v>1</v>
      </c>
      <c r="CK157" s="5">
        <v>0</v>
      </c>
      <c r="CL157" s="5">
        <v>0</v>
      </c>
      <c r="CM157" s="20">
        <f t="shared" si="582"/>
        <v>112</v>
      </c>
      <c r="CN157" s="8">
        <f t="shared" si="582"/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8">
        <f t="shared" ref="CV157:CY157" si="607">CV136</f>
        <v>0.8</v>
      </c>
      <c r="CW157" s="8">
        <f t="shared" si="607"/>
        <v>0.6</v>
      </c>
      <c r="CX157" s="8">
        <f t="shared" si="607"/>
        <v>1</v>
      </c>
      <c r="CY157" s="8">
        <f t="shared" si="607"/>
        <v>1</v>
      </c>
      <c r="CZ157" s="8">
        <f t="shared" si="584"/>
        <v>0.4</v>
      </c>
      <c r="DA157" s="6">
        <f t="shared" si="466"/>
        <v>80</v>
      </c>
      <c r="DB157" s="5">
        <f t="shared" si="585"/>
        <v>0</v>
      </c>
      <c r="DC157" s="5">
        <f t="shared" si="481"/>
        <v>0.81</v>
      </c>
      <c r="DD157" s="6">
        <f t="shared" si="467"/>
        <v>0.81</v>
      </c>
      <c r="DE157" s="6">
        <f t="shared" si="598"/>
        <v>1.2</v>
      </c>
      <c r="DF157" s="5">
        <v>0</v>
      </c>
      <c r="DG157" s="8">
        <f t="shared" si="586"/>
        <v>2.25</v>
      </c>
      <c r="DH157" s="5">
        <v>1.25</v>
      </c>
      <c r="DI157" s="8">
        <f t="shared" si="587"/>
        <v>0</v>
      </c>
      <c r="DJ157" s="5">
        <f t="shared" si="468"/>
        <v>0</v>
      </c>
      <c r="DK157" s="8">
        <v>0</v>
      </c>
      <c r="DL157" s="5">
        <f t="shared" si="469"/>
        <v>0</v>
      </c>
      <c r="DM157" s="5" t="s">
        <v>371</v>
      </c>
      <c r="DN157" s="8">
        <f t="shared" ref="DN157:DP157" si="608">DN136</f>
        <v>6</v>
      </c>
      <c r="DO157" s="8">
        <f t="shared" si="608"/>
        <v>0</v>
      </c>
      <c r="DP157" s="5">
        <f t="shared" si="608"/>
        <v>0</v>
      </c>
      <c r="DQ157" s="8">
        <f t="shared" si="589"/>
        <v>0</v>
      </c>
      <c r="DR157" s="5">
        <f t="shared" si="483"/>
        <v>0.9</v>
      </c>
      <c r="DS157" s="8">
        <f t="shared" si="590"/>
        <v>1</v>
      </c>
      <c r="DT157" s="8">
        <f t="shared" si="591"/>
        <v>-0.5</v>
      </c>
      <c r="DU157" s="8">
        <f t="shared" si="591"/>
        <v>0.5</v>
      </c>
      <c r="DV157" s="8">
        <f t="shared" si="591"/>
        <v>0.75</v>
      </c>
      <c r="DW157" s="5">
        <f t="shared" si="561"/>
        <v>0.5</v>
      </c>
      <c r="DX157" s="8">
        <f t="shared" si="592"/>
        <v>6</v>
      </c>
      <c r="DY157" s="8">
        <f t="shared" si="593"/>
        <v>0</v>
      </c>
      <c r="DZ157" s="8">
        <f t="shared" si="594"/>
        <v>0</v>
      </c>
      <c r="EA157" s="5"/>
    </row>
    <row r="158" spans="1:131" x14ac:dyDescent="0.15">
      <c r="A158" s="5">
        <v>201156</v>
      </c>
      <c r="B158" s="5" t="s">
        <v>372</v>
      </c>
      <c r="C158" s="5"/>
      <c r="D158" s="5"/>
      <c r="E158" s="5"/>
      <c r="F158" s="5">
        <v>0</v>
      </c>
      <c r="G158" s="45"/>
      <c r="H158" s="5"/>
      <c r="I158" s="5"/>
      <c r="J158" s="5"/>
      <c r="K158" s="5"/>
      <c r="L158" s="10"/>
      <c r="M158" s="5"/>
      <c r="N158" s="10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20"/>
      <c r="AF158" s="5"/>
      <c r="AG158" s="5"/>
      <c r="AH158" s="5"/>
      <c r="AI158" s="5"/>
      <c r="AJ158" s="5"/>
      <c r="AK158" s="5"/>
      <c r="AL158" s="5"/>
      <c r="AM158" s="5"/>
      <c r="AN158" s="8"/>
      <c r="AO158" s="5">
        <v>0</v>
      </c>
      <c r="AP158" s="5" t="s">
        <v>372</v>
      </c>
      <c r="AQ158" s="5">
        <v>0</v>
      </c>
      <c r="AR158" s="8">
        <f t="shared" si="568"/>
        <v>0.65</v>
      </c>
      <c r="AS158" s="6">
        <f t="shared" si="471"/>
        <v>15.600000000000001</v>
      </c>
      <c r="AT158" s="6">
        <f t="shared" si="472"/>
        <v>39.599999999999994</v>
      </c>
      <c r="AU158" s="5">
        <f t="shared" si="569"/>
        <v>0</v>
      </c>
      <c r="AV158" s="5">
        <f t="shared" si="570"/>
        <v>1</v>
      </c>
      <c r="AW158" s="5">
        <f t="shared" si="571"/>
        <v>0</v>
      </c>
      <c r="AX158" s="5">
        <f t="shared" ref="AX158" si="609">AX137</f>
        <v>0</v>
      </c>
      <c r="AY158" s="5">
        <f t="shared" si="571"/>
        <v>1</v>
      </c>
      <c r="AZ158" s="8">
        <f t="shared" si="573"/>
        <v>83</v>
      </c>
      <c r="BA158" s="5">
        <f t="shared" si="563"/>
        <v>203009</v>
      </c>
      <c r="BB158" s="5">
        <v>0</v>
      </c>
      <c r="BC158" s="5">
        <v>0</v>
      </c>
      <c r="BD158" s="5">
        <f t="shared" si="574"/>
        <v>0</v>
      </c>
      <c r="BE158" s="5">
        <f t="shared" si="575"/>
        <v>0</v>
      </c>
      <c r="BF158" s="5">
        <f t="shared" si="576"/>
        <v>0</v>
      </c>
      <c r="BG158" s="5">
        <f t="shared" si="576"/>
        <v>0</v>
      </c>
      <c r="BH158" s="5">
        <f t="shared" si="564"/>
        <v>0</v>
      </c>
      <c r="BI158" s="5">
        <f t="shared" si="576"/>
        <v>0</v>
      </c>
      <c r="BJ158" s="5">
        <f t="shared" si="498"/>
        <v>0</v>
      </c>
      <c r="BK158" s="5">
        <v>0</v>
      </c>
      <c r="BL158" s="5">
        <f t="shared" ref="BL158:BL212" si="610">BL137</f>
        <v>0</v>
      </c>
      <c r="BM158" s="5">
        <f t="shared" si="576"/>
        <v>0</v>
      </c>
      <c r="BN158" s="5">
        <f t="shared" si="577"/>
        <v>0</v>
      </c>
      <c r="BO158" s="5">
        <f t="shared" si="578"/>
        <v>0</v>
      </c>
      <c r="BP158" s="5">
        <f t="shared" si="578"/>
        <v>0</v>
      </c>
      <c r="BQ158" s="5">
        <f t="shared" si="565"/>
        <v>0</v>
      </c>
      <c r="BR158" s="5"/>
      <c r="BS158" s="4">
        <v>2</v>
      </c>
      <c r="BT158" s="4">
        <v>8</v>
      </c>
      <c r="BU158" s="4">
        <f t="shared" si="579"/>
        <v>0</v>
      </c>
      <c r="BV158" s="4">
        <f t="shared" si="475"/>
        <v>8</v>
      </c>
      <c r="BW158" s="4">
        <f t="shared" si="476"/>
        <v>8</v>
      </c>
      <c r="BX158" s="14">
        <f t="shared" si="477"/>
        <v>0.35999999999999993</v>
      </c>
      <c r="BY158" s="14">
        <f t="shared" si="478"/>
        <v>0.2</v>
      </c>
      <c r="BZ158" s="5" t="s">
        <v>203</v>
      </c>
      <c r="CA158" s="8" t="str">
        <f t="shared" si="378"/>
        <v>elite_monster_09</v>
      </c>
      <c r="CB158" s="8" t="str">
        <f t="shared" si="378"/>
        <v>elite_monster_09</v>
      </c>
      <c r="CC158" s="5">
        <v>0</v>
      </c>
      <c r="CD158" s="8">
        <f t="shared" si="580"/>
        <v>1</v>
      </c>
      <c r="CE158" s="5">
        <f t="shared" si="479"/>
        <v>0</v>
      </c>
      <c r="CF158" s="5">
        <f t="shared" si="596"/>
        <v>0</v>
      </c>
      <c r="CG158" s="5" t="s">
        <v>372</v>
      </c>
      <c r="CH158" s="5">
        <f t="shared" si="581"/>
        <v>3</v>
      </c>
      <c r="CI158" s="5">
        <v>0</v>
      </c>
      <c r="CJ158" s="4">
        <v>1</v>
      </c>
      <c r="CK158" s="5">
        <v>0</v>
      </c>
      <c r="CL158" s="5">
        <v>0</v>
      </c>
      <c r="CM158" s="20">
        <f t="shared" si="582"/>
        <v>0</v>
      </c>
      <c r="CN158" s="8">
        <f t="shared" si="582"/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8">
        <f t="shared" ref="CV158:CY158" si="611">CV137</f>
        <v>0.1</v>
      </c>
      <c r="CW158" s="8">
        <f t="shared" si="611"/>
        <v>0.6</v>
      </c>
      <c r="CX158" s="8">
        <f t="shared" si="611"/>
        <v>1</v>
      </c>
      <c r="CY158" s="8">
        <f t="shared" si="611"/>
        <v>1</v>
      </c>
      <c r="CZ158" s="8">
        <f t="shared" si="584"/>
        <v>0.3</v>
      </c>
      <c r="DA158" s="6">
        <f t="shared" si="466"/>
        <v>60</v>
      </c>
      <c r="DB158" s="5">
        <f t="shared" si="585"/>
        <v>1</v>
      </c>
      <c r="DC158" s="5">
        <f t="shared" si="481"/>
        <v>0.54</v>
      </c>
      <c r="DD158" s="6">
        <f t="shared" si="467"/>
        <v>0.54</v>
      </c>
      <c r="DE158" s="6">
        <f t="shared" si="598"/>
        <v>0.8</v>
      </c>
      <c r="DF158" s="5">
        <v>0</v>
      </c>
      <c r="DG158" s="8">
        <f t="shared" si="586"/>
        <v>3</v>
      </c>
      <c r="DH158" s="5">
        <v>1.5</v>
      </c>
      <c r="DI158" s="8">
        <f t="shared" si="587"/>
        <v>0</v>
      </c>
      <c r="DJ158" s="5">
        <f t="shared" si="468"/>
        <v>0</v>
      </c>
      <c r="DK158" s="8">
        <v>0</v>
      </c>
      <c r="DL158" s="5">
        <f t="shared" si="469"/>
        <v>0</v>
      </c>
      <c r="DM158" s="5" t="s">
        <v>372</v>
      </c>
      <c r="DN158" s="8">
        <f t="shared" ref="DN158:DP158" si="612">DN137</f>
        <v>6</v>
      </c>
      <c r="DO158" s="8">
        <f t="shared" si="612"/>
        <v>0</v>
      </c>
      <c r="DP158" s="5">
        <f t="shared" si="612"/>
        <v>0</v>
      </c>
      <c r="DQ158" s="8">
        <f t="shared" si="589"/>
        <v>0</v>
      </c>
      <c r="DR158" s="5">
        <f t="shared" si="483"/>
        <v>1.8</v>
      </c>
      <c r="DS158" s="8">
        <f t="shared" si="590"/>
        <v>2</v>
      </c>
      <c r="DT158" s="8">
        <f t="shared" si="591"/>
        <v>-2</v>
      </c>
      <c r="DU158" s="8">
        <f t="shared" si="591"/>
        <v>2</v>
      </c>
      <c r="DV158" s="8">
        <f t="shared" si="591"/>
        <v>0.1</v>
      </c>
      <c r="DW158" s="5">
        <f t="shared" si="561"/>
        <v>8.3333333333333329E-2</v>
      </c>
      <c r="DX158" s="8">
        <f t="shared" si="592"/>
        <v>1</v>
      </c>
      <c r="DY158" s="8">
        <f t="shared" si="593"/>
        <v>0</v>
      </c>
      <c r="DZ158" s="8">
        <f t="shared" si="594"/>
        <v>0</v>
      </c>
      <c r="EA158" s="5"/>
    </row>
    <row r="159" spans="1:131" x14ac:dyDescent="0.15">
      <c r="A159" s="5">
        <v>201157</v>
      </c>
      <c r="B159" s="5" t="s">
        <v>373</v>
      </c>
      <c r="C159" s="5"/>
      <c r="D159" s="5"/>
      <c r="E159" s="5"/>
      <c r="F159" s="5">
        <v>0</v>
      </c>
      <c r="G159" s="45"/>
      <c r="H159" s="5"/>
      <c r="I159" s="5"/>
      <c r="J159" s="5"/>
      <c r="K159" s="5"/>
      <c r="L159" s="10"/>
      <c r="M159" s="5"/>
      <c r="N159" s="10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20"/>
      <c r="AF159" s="5"/>
      <c r="AG159" s="5"/>
      <c r="AH159" s="5"/>
      <c r="AI159" s="5"/>
      <c r="AJ159" s="5"/>
      <c r="AK159" s="5"/>
      <c r="AL159" s="5"/>
      <c r="AM159" s="5"/>
      <c r="AN159" s="8"/>
      <c r="AO159" s="5">
        <v>0</v>
      </c>
      <c r="AP159" s="5" t="s">
        <v>373</v>
      </c>
      <c r="AQ159" s="5">
        <v>0</v>
      </c>
      <c r="AR159" s="8">
        <f t="shared" si="568"/>
        <v>1</v>
      </c>
      <c r="AS159" s="6">
        <f t="shared" si="471"/>
        <v>24</v>
      </c>
      <c r="AT159" s="6">
        <f t="shared" si="472"/>
        <v>48</v>
      </c>
      <c r="AU159" s="5">
        <f t="shared" si="569"/>
        <v>0</v>
      </c>
      <c r="AV159" s="5">
        <f t="shared" si="570"/>
        <v>1</v>
      </c>
      <c r="AW159" s="5">
        <f t="shared" si="571"/>
        <v>1</v>
      </c>
      <c r="AX159" s="5">
        <f t="shared" ref="AX159" si="613">AX138</f>
        <v>1</v>
      </c>
      <c r="AY159" s="5">
        <f t="shared" si="571"/>
        <v>1</v>
      </c>
      <c r="AZ159" s="8">
        <v>201157</v>
      </c>
      <c r="BA159" s="5">
        <f t="shared" si="563"/>
        <v>203010</v>
      </c>
      <c r="BB159" s="5">
        <v>0</v>
      </c>
      <c r="BC159" s="5">
        <v>0</v>
      </c>
      <c r="BD159" s="5">
        <f t="shared" si="574"/>
        <v>0</v>
      </c>
      <c r="BE159" s="5">
        <f t="shared" si="575"/>
        <v>305003</v>
      </c>
      <c r="BF159" s="5">
        <f t="shared" si="576"/>
        <v>180</v>
      </c>
      <c r="BG159" s="5">
        <f t="shared" si="576"/>
        <v>0</v>
      </c>
      <c r="BH159" s="5">
        <f t="shared" si="564"/>
        <v>0</v>
      </c>
      <c r="BI159" s="5">
        <f t="shared" si="576"/>
        <v>0</v>
      </c>
      <c r="BJ159" s="5">
        <f t="shared" si="498"/>
        <v>8</v>
      </c>
      <c r="BK159" s="5">
        <v>8</v>
      </c>
      <c r="BL159" s="5">
        <f t="shared" si="610"/>
        <v>1</v>
      </c>
      <c r="BM159" s="5">
        <f t="shared" si="576"/>
        <v>30</v>
      </c>
      <c r="BN159" s="5">
        <f t="shared" si="577"/>
        <v>180</v>
      </c>
      <c r="BO159" s="5">
        <f t="shared" si="578"/>
        <v>108006</v>
      </c>
      <c r="BP159" s="5">
        <f t="shared" si="578"/>
        <v>2</v>
      </c>
      <c r="BQ159" s="5">
        <f t="shared" si="565"/>
        <v>2</v>
      </c>
      <c r="BR159" s="5">
        <f>50*BT159*3-360/BM159*BJ159*BQ159</f>
        <v>1008</v>
      </c>
      <c r="BS159" s="4">
        <v>2</v>
      </c>
      <c r="BT159" s="4">
        <v>8</v>
      </c>
      <c r="BU159" s="4">
        <f t="shared" si="579"/>
        <v>0</v>
      </c>
      <c r="BV159" s="4">
        <f t="shared" si="475"/>
        <v>8</v>
      </c>
      <c r="BW159" s="4">
        <f t="shared" si="476"/>
        <v>8</v>
      </c>
      <c r="BX159" s="14">
        <f t="shared" si="477"/>
        <v>0.35999999999999993</v>
      </c>
      <c r="BY159" s="14">
        <f t="shared" si="478"/>
        <v>0.2</v>
      </c>
      <c r="BZ159" s="5" t="s">
        <v>206</v>
      </c>
      <c r="CA159" s="8" t="str">
        <f t="shared" si="378"/>
        <v>elite_monster_10</v>
      </c>
      <c r="CB159" s="8" t="str">
        <f t="shared" si="378"/>
        <v>elite_monster_10</v>
      </c>
      <c r="CC159" s="5">
        <v>0</v>
      </c>
      <c r="CD159" s="8">
        <f t="shared" si="580"/>
        <v>1</v>
      </c>
      <c r="CE159" s="5">
        <f t="shared" si="479"/>
        <v>0</v>
      </c>
      <c r="CF159" s="5">
        <f t="shared" si="596"/>
        <v>0</v>
      </c>
      <c r="CG159" s="5" t="s">
        <v>373</v>
      </c>
      <c r="CH159" s="5">
        <f t="shared" si="581"/>
        <v>3</v>
      </c>
      <c r="CI159" s="5">
        <v>0</v>
      </c>
      <c r="CJ159" s="4">
        <v>1</v>
      </c>
      <c r="CK159" s="5">
        <v>0</v>
      </c>
      <c r="CL159" s="5">
        <v>0</v>
      </c>
      <c r="CM159" s="20">
        <f t="shared" si="582"/>
        <v>0</v>
      </c>
      <c r="CN159" s="8">
        <f t="shared" si="582"/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8">
        <f t="shared" ref="CV159:CY159" si="614">CV138</f>
        <v>0.8</v>
      </c>
      <c r="CW159" s="8">
        <f t="shared" si="614"/>
        <v>0.6</v>
      </c>
      <c r="CX159" s="8">
        <f t="shared" si="614"/>
        <v>1</v>
      </c>
      <c r="CY159" s="8">
        <f t="shared" si="614"/>
        <v>1</v>
      </c>
      <c r="CZ159" s="8">
        <f t="shared" si="584"/>
        <v>1</v>
      </c>
      <c r="DA159" s="6">
        <f t="shared" si="466"/>
        <v>200</v>
      </c>
      <c r="DB159" s="5">
        <f t="shared" si="585"/>
        <v>0</v>
      </c>
      <c r="DC159" s="5">
        <f t="shared" si="481"/>
        <v>0.16875000000000001</v>
      </c>
      <c r="DD159" s="6">
        <f t="shared" si="467"/>
        <v>0.16875000000000001</v>
      </c>
      <c r="DE159" s="6">
        <f t="shared" si="598"/>
        <v>0.25</v>
      </c>
      <c r="DF159" s="5">
        <v>0</v>
      </c>
      <c r="DG159" s="8">
        <f t="shared" si="586"/>
        <v>2.5</v>
      </c>
      <c r="DH159" s="5">
        <v>1.5</v>
      </c>
      <c r="DI159" s="8">
        <f t="shared" si="587"/>
        <v>0</v>
      </c>
      <c r="DJ159" s="5">
        <f t="shared" si="468"/>
        <v>0</v>
      </c>
      <c r="DK159" s="8">
        <v>0</v>
      </c>
      <c r="DL159" s="5">
        <f t="shared" si="469"/>
        <v>0</v>
      </c>
      <c r="DM159" s="5" t="s">
        <v>374</v>
      </c>
      <c r="DN159" s="8">
        <f t="shared" ref="DN159:DP159" si="615">DN138</f>
        <v>6</v>
      </c>
      <c r="DO159" s="8">
        <f t="shared" si="615"/>
        <v>0</v>
      </c>
      <c r="DP159" s="5">
        <f t="shared" si="615"/>
        <v>0</v>
      </c>
      <c r="DQ159" s="8">
        <f t="shared" si="589"/>
        <v>0</v>
      </c>
      <c r="DR159" s="5">
        <f t="shared" si="483"/>
        <v>0.9</v>
      </c>
      <c r="DS159" s="8">
        <f t="shared" si="590"/>
        <v>1</v>
      </c>
      <c r="DT159" s="8">
        <f t="shared" si="591"/>
        <v>-0.5</v>
      </c>
      <c r="DU159" s="8">
        <f t="shared" si="591"/>
        <v>0.5</v>
      </c>
      <c r="DV159" s="8">
        <f t="shared" si="591"/>
        <v>0.5</v>
      </c>
      <c r="DW159" s="5">
        <f t="shared" si="561"/>
        <v>0.75</v>
      </c>
      <c r="DX159" s="8">
        <f t="shared" si="592"/>
        <v>9</v>
      </c>
      <c r="DY159" s="8">
        <f t="shared" si="593"/>
        <v>0</v>
      </c>
      <c r="DZ159" s="8">
        <f t="shared" si="594"/>
        <v>0</v>
      </c>
      <c r="EA159" s="5"/>
    </row>
    <row r="160" spans="1:131" x14ac:dyDescent="0.15">
      <c r="A160" s="5">
        <v>201158</v>
      </c>
      <c r="B160" s="5" t="s">
        <v>375</v>
      </c>
      <c r="C160" s="5"/>
      <c r="D160" s="5"/>
      <c r="E160" s="5"/>
      <c r="F160" s="5">
        <v>0</v>
      </c>
      <c r="G160" s="45"/>
      <c r="H160" s="5"/>
      <c r="I160" s="5"/>
      <c r="J160" s="5"/>
      <c r="K160" s="5"/>
      <c r="L160" s="10"/>
      <c r="M160" s="5"/>
      <c r="N160" s="10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20"/>
      <c r="AF160" s="5"/>
      <c r="AG160" s="5"/>
      <c r="AH160" s="5"/>
      <c r="AI160" s="5"/>
      <c r="AJ160" s="5"/>
      <c r="AK160" s="5"/>
      <c r="AL160" s="5"/>
      <c r="AM160" s="5"/>
      <c r="AN160" s="8"/>
      <c r="AO160" s="5">
        <v>0</v>
      </c>
      <c r="AP160" s="5" t="s">
        <v>375</v>
      </c>
      <c r="AQ160" s="5">
        <v>0</v>
      </c>
      <c r="AR160" s="8">
        <f t="shared" si="568"/>
        <v>2</v>
      </c>
      <c r="AS160" s="6">
        <f t="shared" si="471"/>
        <v>48</v>
      </c>
      <c r="AT160" s="6">
        <f t="shared" si="472"/>
        <v>72</v>
      </c>
      <c r="AU160" s="5">
        <f t="shared" si="569"/>
        <v>0</v>
      </c>
      <c r="AV160" s="5">
        <f t="shared" si="570"/>
        <v>1</v>
      </c>
      <c r="AW160" s="5">
        <f t="shared" si="571"/>
        <v>1</v>
      </c>
      <c r="AX160" s="5">
        <f t="shared" ref="AX160" si="616">AX139</f>
        <v>1</v>
      </c>
      <c r="AY160" s="5">
        <f t="shared" si="571"/>
        <v>1</v>
      </c>
      <c r="AZ160" s="8">
        <f t="shared" si="573"/>
        <v>83</v>
      </c>
      <c r="BA160" s="5">
        <f t="shared" si="563"/>
        <v>203011</v>
      </c>
      <c r="BB160" s="5">
        <v>0</v>
      </c>
      <c r="BC160" s="5">
        <v>0</v>
      </c>
      <c r="BD160" s="5">
        <f t="shared" si="574"/>
        <v>0</v>
      </c>
      <c r="BE160" s="5">
        <f t="shared" si="575"/>
        <v>304002</v>
      </c>
      <c r="BF160" s="5">
        <f t="shared" si="576"/>
        <v>180</v>
      </c>
      <c r="BG160" s="5">
        <f t="shared" si="576"/>
        <v>30</v>
      </c>
      <c r="BH160" s="5">
        <f t="shared" si="564"/>
        <v>30</v>
      </c>
      <c r="BI160" s="5">
        <f t="shared" si="576"/>
        <v>1</v>
      </c>
      <c r="BJ160" s="5">
        <f t="shared" si="498"/>
        <v>8</v>
      </c>
      <c r="BK160" s="5">
        <v>8</v>
      </c>
      <c r="BL160" s="5">
        <f t="shared" si="610"/>
        <v>1</v>
      </c>
      <c r="BM160" s="5">
        <f t="shared" si="576"/>
        <v>30</v>
      </c>
      <c r="BN160" s="5">
        <f t="shared" si="577"/>
        <v>180</v>
      </c>
      <c r="BO160" s="5">
        <f t="shared" si="578"/>
        <v>108006</v>
      </c>
      <c r="BP160" s="5">
        <f t="shared" si="578"/>
        <v>3</v>
      </c>
      <c r="BQ160" s="5">
        <f t="shared" si="565"/>
        <v>2</v>
      </c>
      <c r="BR160" s="5">
        <f>50*BT160*3-360/BM160*BJ160*BQ160</f>
        <v>1008</v>
      </c>
      <c r="BS160" s="4">
        <v>3</v>
      </c>
      <c r="BT160" s="4">
        <v>8</v>
      </c>
      <c r="BU160" s="4">
        <f t="shared" si="579"/>
        <v>0</v>
      </c>
      <c r="BV160" s="4">
        <f t="shared" si="475"/>
        <v>8</v>
      </c>
      <c r="BW160" s="4">
        <f t="shared" si="476"/>
        <v>8</v>
      </c>
      <c r="BX160" s="14">
        <f t="shared" si="477"/>
        <v>0.35999999999999993</v>
      </c>
      <c r="BY160" s="14">
        <f t="shared" si="478"/>
        <v>0.2</v>
      </c>
      <c r="BZ160" s="5" t="s">
        <v>210</v>
      </c>
      <c r="CA160" s="8" t="str">
        <f t="shared" si="378"/>
        <v>elite_monster_11</v>
      </c>
      <c r="CB160" s="8" t="str">
        <f t="shared" si="378"/>
        <v>elite_monster_11</v>
      </c>
      <c r="CC160" s="5">
        <v>0</v>
      </c>
      <c r="CD160" s="8">
        <f t="shared" si="580"/>
        <v>1</v>
      </c>
      <c r="CE160" s="5">
        <f t="shared" si="479"/>
        <v>0</v>
      </c>
      <c r="CF160" s="5">
        <f t="shared" si="596"/>
        <v>0</v>
      </c>
      <c r="CG160" s="5" t="s">
        <v>375</v>
      </c>
      <c r="CH160" s="5">
        <f t="shared" si="581"/>
        <v>3</v>
      </c>
      <c r="CI160" s="5">
        <v>0</v>
      </c>
      <c r="CJ160" s="4">
        <v>1</v>
      </c>
      <c r="CK160" s="5">
        <v>0</v>
      </c>
      <c r="CL160" s="5">
        <v>0</v>
      </c>
      <c r="CM160" s="20">
        <f t="shared" si="582"/>
        <v>0</v>
      </c>
      <c r="CN160" s="8">
        <f t="shared" si="582"/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8">
        <f t="shared" ref="CV160:CY160" si="617">CV139</f>
        <v>0.8</v>
      </c>
      <c r="CW160" s="8">
        <f t="shared" si="617"/>
        <v>0.6</v>
      </c>
      <c r="CX160" s="8">
        <f t="shared" si="617"/>
        <v>1</v>
      </c>
      <c r="CY160" s="8">
        <f t="shared" si="617"/>
        <v>1</v>
      </c>
      <c r="CZ160" s="8">
        <f t="shared" si="584"/>
        <v>2</v>
      </c>
      <c r="DA160" s="6">
        <f t="shared" si="466"/>
        <v>400</v>
      </c>
      <c r="DB160" s="5">
        <f t="shared" si="585"/>
        <v>0</v>
      </c>
      <c r="DC160" s="5">
        <f t="shared" si="481"/>
        <v>0.33750000000000002</v>
      </c>
      <c r="DD160" s="6">
        <f t="shared" si="467"/>
        <v>0.33750000000000002</v>
      </c>
      <c r="DE160" s="6">
        <f t="shared" si="598"/>
        <v>0.5</v>
      </c>
      <c r="DF160" s="5">
        <v>0</v>
      </c>
      <c r="DG160" s="8">
        <f t="shared" si="586"/>
        <v>3</v>
      </c>
      <c r="DH160" s="5">
        <v>2</v>
      </c>
      <c r="DI160" s="8">
        <f t="shared" si="587"/>
        <v>0</v>
      </c>
      <c r="DJ160" s="5">
        <f t="shared" si="468"/>
        <v>0</v>
      </c>
      <c r="DK160" s="8">
        <v>0</v>
      </c>
      <c r="DL160" s="5">
        <f t="shared" si="469"/>
        <v>0</v>
      </c>
      <c r="DM160" s="5" t="s">
        <v>375</v>
      </c>
      <c r="DN160" s="8">
        <f t="shared" ref="DN160:DP160" si="618">DN139</f>
        <v>6</v>
      </c>
      <c r="DO160" s="8">
        <f t="shared" si="618"/>
        <v>0</v>
      </c>
      <c r="DP160" s="5">
        <f t="shared" si="618"/>
        <v>1</v>
      </c>
      <c r="DQ160" s="8">
        <f t="shared" si="589"/>
        <v>1</v>
      </c>
      <c r="DR160" s="5">
        <f t="shared" si="483"/>
        <v>1.1700000000000002</v>
      </c>
      <c r="DS160" s="8">
        <f t="shared" si="590"/>
        <v>1.3</v>
      </c>
      <c r="DT160" s="8">
        <f t="shared" si="591"/>
        <v>-0.5</v>
      </c>
      <c r="DU160" s="8">
        <f t="shared" si="591"/>
        <v>0.5</v>
      </c>
      <c r="DV160" s="8">
        <f t="shared" si="591"/>
        <v>0.2</v>
      </c>
      <c r="DW160" s="5">
        <f t="shared" si="561"/>
        <v>0.41666666666666669</v>
      </c>
      <c r="DX160" s="8">
        <f t="shared" si="592"/>
        <v>5</v>
      </c>
      <c r="DY160" s="8">
        <f t="shared" si="593"/>
        <v>0</v>
      </c>
      <c r="DZ160" s="8">
        <f t="shared" si="594"/>
        <v>0</v>
      </c>
      <c r="EA160" s="5"/>
    </row>
    <row r="161" spans="1:131" x14ac:dyDescent="0.15">
      <c r="A161" s="5">
        <v>201159</v>
      </c>
      <c r="B161" s="5" t="s">
        <v>376</v>
      </c>
      <c r="C161" s="5"/>
      <c r="D161" s="5"/>
      <c r="E161" s="5"/>
      <c r="F161" s="5">
        <v>0</v>
      </c>
      <c r="G161" s="45"/>
      <c r="H161" s="5"/>
      <c r="I161" s="5"/>
      <c r="J161" s="5"/>
      <c r="K161" s="5"/>
      <c r="L161" s="10"/>
      <c r="M161" s="5"/>
      <c r="N161" s="10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20"/>
      <c r="AF161" s="5"/>
      <c r="AG161" s="5"/>
      <c r="AH161" s="5"/>
      <c r="AI161" s="5"/>
      <c r="AJ161" s="5"/>
      <c r="AK161" s="5"/>
      <c r="AL161" s="5"/>
      <c r="AM161" s="5"/>
      <c r="AN161" s="8"/>
      <c r="AO161" s="5">
        <v>0</v>
      </c>
      <c r="AP161" s="5" t="s">
        <v>376</v>
      </c>
      <c r="AQ161" s="5">
        <v>0</v>
      </c>
      <c r="AR161" s="8">
        <f t="shared" si="568"/>
        <v>5</v>
      </c>
      <c r="AS161" s="6">
        <f t="shared" si="471"/>
        <v>120</v>
      </c>
      <c r="AT161" s="6">
        <f t="shared" si="472"/>
        <v>144</v>
      </c>
      <c r="AU161" s="5">
        <f t="shared" si="569"/>
        <v>0</v>
      </c>
      <c r="AV161" s="5">
        <f t="shared" si="570"/>
        <v>1</v>
      </c>
      <c r="AW161" s="5">
        <f t="shared" si="571"/>
        <v>0</v>
      </c>
      <c r="AX161" s="5">
        <f t="shared" ref="AX161" si="619">AX140</f>
        <v>0</v>
      </c>
      <c r="AY161" s="5">
        <f t="shared" si="571"/>
        <v>1</v>
      </c>
      <c r="AZ161" s="8">
        <f t="shared" si="573"/>
        <v>83</v>
      </c>
      <c r="BA161" s="5">
        <f t="shared" si="563"/>
        <v>203012</v>
      </c>
      <c r="BB161" s="5">
        <v>0</v>
      </c>
      <c r="BC161" s="5">
        <v>0</v>
      </c>
      <c r="BD161" s="5">
        <f t="shared" si="574"/>
        <v>0</v>
      </c>
      <c r="BE161" s="5">
        <f t="shared" si="575"/>
        <v>0</v>
      </c>
      <c r="BF161" s="5">
        <f t="shared" si="576"/>
        <v>0</v>
      </c>
      <c r="BG161" s="5">
        <f t="shared" si="576"/>
        <v>0</v>
      </c>
      <c r="BH161" s="5">
        <f t="shared" si="564"/>
        <v>0</v>
      </c>
      <c r="BI161" s="5">
        <f t="shared" si="576"/>
        <v>0</v>
      </c>
      <c r="BJ161" s="5">
        <f t="shared" si="498"/>
        <v>0</v>
      </c>
      <c r="BK161" s="5">
        <v>0</v>
      </c>
      <c r="BL161" s="5">
        <f t="shared" si="610"/>
        <v>0</v>
      </c>
      <c r="BM161" s="5">
        <f t="shared" si="576"/>
        <v>0</v>
      </c>
      <c r="BN161" s="5">
        <f t="shared" si="577"/>
        <v>0</v>
      </c>
      <c r="BO161" s="5">
        <f t="shared" si="578"/>
        <v>0</v>
      </c>
      <c r="BP161" s="5">
        <f t="shared" si="578"/>
        <v>0</v>
      </c>
      <c r="BQ161" s="5">
        <f t="shared" si="565"/>
        <v>0</v>
      </c>
      <c r="BR161" s="5"/>
      <c r="BS161" s="4">
        <v>3</v>
      </c>
      <c r="BT161" s="4">
        <v>8</v>
      </c>
      <c r="BU161" s="17">
        <f t="shared" si="579"/>
        <v>0</v>
      </c>
      <c r="BV161" s="4">
        <f t="shared" si="475"/>
        <v>8</v>
      </c>
      <c r="BW161" s="4">
        <f t="shared" si="476"/>
        <v>8</v>
      </c>
      <c r="BX161" s="14">
        <f t="shared" si="477"/>
        <v>0.35999999999999993</v>
      </c>
      <c r="BY161" s="14">
        <f t="shared" si="478"/>
        <v>0.2</v>
      </c>
      <c r="BZ161" s="5" t="s">
        <v>213</v>
      </c>
      <c r="CA161" s="8" t="str">
        <f t="shared" si="378"/>
        <v>elite_monster_12</v>
      </c>
      <c r="CB161" s="8" t="str">
        <f t="shared" si="378"/>
        <v>elite_monster_12</v>
      </c>
      <c r="CC161" s="5">
        <v>0</v>
      </c>
      <c r="CD161" s="8">
        <f t="shared" si="580"/>
        <v>1</v>
      </c>
      <c r="CE161" s="5">
        <f t="shared" si="479"/>
        <v>0</v>
      </c>
      <c r="CF161" s="5">
        <f t="shared" si="596"/>
        <v>0</v>
      </c>
      <c r="CG161" s="5" t="s">
        <v>376</v>
      </c>
      <c r="CH161" s="5">
        <f>CH130</f>
        <v>3</v>
      </c>
      <c r="CI161" s="5">
        <v>0</v>
      </c>
      <c r="CJ161" s="4">
        <v>1</v>
      </c>
      <c r="CK161" s="5">
        <v>0</v>
      </c>
      <c r="CL161" s="5">
        <v>0</v>
      </c>
      <c r="CM161" s="20">
        <f t="shared" si="582"/>
        <v>0</v>
      </c>
      <c r="CN161" s="8">
        <f t="shared" si="582"/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8">
        <f t="shared" ref="CV161:CY161" si="620">CV140</f>
        <v>0.8</v>
      </c>
      <c r="CW161" s="8">
        <f t="shared" si="620"/>
        <v>0.6</v>
      </c>
      <c r="CX161" s="8">
        <f t="shared" si="620"/>
        <v>1</v>
      </c>
      <c r="CY161" s="8">
        <f t="shared" si="620"/>
        <v>1</v>
      </c>
      <c r="CZ161" s="8">
        <f t="shared" si="584"/>
        <v>0.8</v>
      </c>
      <c r="DA161" s="6">
        <f t="shared" si="466"/>
        <v>160</v>
      </c>
      <c r="DB161" s="5">
        <f t="shared" si="585"/>
        <v>1</v>
      </c>
      <c r="DC161" s="5">
        <f t="shared" si="481"/>
        <v>0.54</v>
      </c>
      <c r="DD161" s="6">
        <f t="shared" si="467"/>
        <v>0.54</v>
      </c>
      <c r="DE161" s="6">
        <f t="shared" si="598"/>
        <v>0.8</v>
      </c>
      <c r="DF161" s="5">
        <v>0</v>
      </c>
      <c r="DG161" s="8">
        <f t="shared" si="586"/>
        <v>3.5</v>
      </c>
      <c r="DH161" s="5">
        <v>2</v>
      </c>
      <c r="DI161" s="8">
        <f t="shared" si="587"/>
        <v>0</v>
      </c>
      <c r="DJ161" s="5">
        <f t="shared" si="468"/>
        <v>0</v>
      </c>
      <c r="DK161" s="8">
        <v>0</v>
      </c>
      <c r="DL161" s="5">
        <f t="shared" si="469"/>
        <v>0</v>
      </c>
      <c r="DM161" s="5" t="s">
        <v>376</v>
      </c>
      <c r="DN161" s="8">
        <f t="shared" ref="DN161:DP161" si="621">DN140</f>
        <v>4</v>
      </c>
      <c r="DO161" s="8">
        <f t="shared" si="621"/>
        <v>0</v>
      </c>
      <c r="DP161" s="5">
        <f t="shared" si="621"/>
        <v>0</v>
      </c>
      <c r="DQ161" s="8">
        <f t="shared" si="589"/>
        <v>0</v>
      </c>
      <c r="DR161" s="5">
        <f t="shared" si="483"/>
        <v>0.9</v>
      </c>
      <c r="DS161" s="8">
        <f t="shared" si="590"/>
        <v>1</v>
      </c>
      <c r="DT161" s="8">
        <f t="shared" si="591"/>
        <v>-0.5</v>
      </c>
      <c r="DU161" s="8">
        <f t="shared" si="591"/>
        <v>0.5</v>
      </c>
      <c r="DV161" s="8">
        <f t="shared" si="591"/>
        <v>0.2</v>
      </c>
      <c r="DW161" s="5">
        <f t="shared" si="561"/>
        <v>0.33333333333333331</v>
      </c>
      <c r="DX161" s="8">
        <f t="shared" si="592"/>
        <v>4</v>
      </c>
      <c r="DY161" s="8">
        <f t="shared" si="593"/>
        <v>0</v>
      </c>
      <c r="DZ161" s="8">
        <f t="shared" si="594"/>
        <v>0</v>
      </c>
      <c r="EA161" s="5"/>
    </row>
    <row r="162" spans="1:131" x14ac:dyDescent="0.15">
      <c r="A162" s="5">
        <v>201160</v>
      </c>
      <c r="B162" s="5" t="s">
        <v>377</v>
      </c>
      <c r="C162" s="5"/>
      <c r="D162" s="5"/>
      <c r="E162" s="5"/>
      <c r="F162" s="5">
        <v>0</v>
      </c>
      <c r="G162" s="45"/>
      <c r="H162" s="5"/>
      <c r="I162" s="5"/>
      <c r="J162" s="5"/>
      <c r="K162" s="5"/>
      <c r="L162" s="10"/>
      <c r="M162" s="5"/>
      <c r="N162" s="10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20"/>
      <c r="AF162" s="5"/>
      <c r="AG162" s="5"/>
      <c r="AH162" s="5"/>
      <c r="AI162" s="5"/>
      <c r="AJ162" s="5"/>
      <c r="AK162" s="5"/>
      <c r="AL162" s="5"/>
      <c r="AM162" s="5"/>
      <c r="AN162" s="8"/>
      <c r="AO162" s="5">
        <v>0</v>
      </c>
      <c r="AP162" s="5" t="s">
        <v>377</v>
      </c>
      <c r="AQ162" s="5">
        <v>0</v>
      </c>
      <c r="AR162" s="8">
        <f t="shared" si="568"/>
        <v>2</v>
      </c>
      <c r="AS162" s="6">
        <f t="shared" si="471"/>
        <v>48</v>
      </c>
      <c r="AT162" s="6">
        <f t="shared" si="472"/>
        <v>72</v>
      </c>
      <c r="AU162" s="5">
        <f t="shared" si="569"/>
        <v>0.8</v>
      </c>
      <c r="AV162" s="5">
        <f t="shared" si="570"/>
        <v>1</v>
      </c>
      <c r="AW162" s="5">
        <f t="shared" si="571"/>
        <v>1</v>
      </c>
      <c r="AX162" s="5">
        <f t="shared" ref="AX162" si="622">AX141</f>
        <v>1</v>
      </c>
      <c r="AY162" s="5">
        <f t="shared" si="571"/>
        <v>1</v>
      </c>
      <c r="AZ162" s="8">
        <f t="shared" si="573"/>
        <v>83</v>
      </c>
      <c r="BA162" s="5">
        <f t="shared" si="563"/>
        <v>203013</v>
      </c>
      <c r="BB162" s="5">
        <v>0</v>
      </c>
      <c r="BC162" s="5">
        <v>0</v>
      </c>
      <c r="BD162" s="5">
        <f t="shared" si="574"/>
        <v>0</v>
      </c>
      <c r="BE162" s="5">
        <f t="shared" si="575"/>
        <v>0</v>
      </c>
      <c r="BF162" s="5">
        <f t="shared" si="576"/>
        <v>0</v>
      </c>
      <c r="BG162" s="5">
        <f t="shared" si="576"/>
        <v>0</v>
      </c>
      <c r="BH162" s="5">
        <f t="shared" si="564"/>
        <v>0</v>
      </c>
      <c r="BI162" s="5">
        <f t="shared" si="576"/>
        <v>0</v>
      </c>
      <c r="BJ162" s="5">
        <f t="shared" si="498"/>
        <v>0</v>
      </c>
      <c r="BK162" s="5">
        <v>0</v>
      </c>
      <c r="BL162" s="5">
        <f t="shared" si="610"/>
        <v>0</v>
      </c>
      <c r="BM162" s="5">
        <f t="shared" si="576"/>
        <v>0</v>
      </c>
      <c r="BN162" s="5">
        <f t="shared" si="577"/>
        <v>0</v>
      </c>
      <c r="BO162" s="5">
        <f t="shared" si="578"/>
        <v>0</v>
      </c>
      <c r="BP162" s="5">
        <f t="shared" si="578"/>
        <v>0</v>
      </c>
      <c r="BQ162" s="5">
        <f t="shared" si="565"/>
        <v>0</v>
      </c>
      <c r="BR162" s="5"/>
      <c r="BS162" s="4">
        <v>3</v>
      </c>
      <c r="BT162" s="4">
        <v>8</v>
      </c>
      <c r="BU162" s="17">
        <f t="shared" si="579"/>
        <v>0</v>
      </c>
      <c r="BV162" s="4">
        <f t="shared" si="475"/>
        <v>8</v>
      </c>
      <c r="BW162" s="4">
        <f t="shared" si="476"/>
        <v>8</v>
      </c>
      <c r="BX162" s="14">
        <f t="shared" si="477"/>
        <v>0.35999999999999993</v>
      </c>
      <c r="BY162" s="14">
        <f t="shared" si="478"/>
        <v>0.2</v>
      </c>
      <c r="BZ162" s="5" t="s">
        <v>216</v>
      </c>
      <c r="CA162" s="8" t="str">
        <f t="shared" si="378"/>
        <v>elite_monster_13</v>
      </c>
      <c r="CB162" s="8" t="str">
        <f t="shared" si="378"/>
        <v>elite_monster_13</v>
      </c>
      <c r="CC162" s="5">
        <v>0</v>
      </c>
      <c r="CD162" s="8">
        <f t="shared" si="580"/>
        <v>1</v>
      </c>
      <c r="CE162" s="5">
        <f t="shared" si="479"/>
        <v>0</v>
      </c>
      <c r="CF162" s="5">
        <f t="shared" si="596"/>
        <v>0</v>
      </c>
      <c r="CG162" s="5" t="s">
        <v>377</v>
      </c>
      <c r="CH162" s="5">
        <f>CH131</f>
        <v>0</v>
      </c>
      <c r="CI162" s="5">
        <v>0</v>
      </c>
      <c r="CJ162" s="4">
        <v>1</v>
      </c>
      <c r="CK162" s="5">
        <v>0</v>
      </c>
      <c r="CL162" s="5">
        <v>0</v>
      </c>
      <c r="CM162" s="20">
        <f t="shared" si="582"/>
        <v>0</v>
      </c>
      <c r="CN162" s="8">
        <f t="shared" si="582"/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8">
        <f t="shared" ref="CV162:CY162" si="623">CV141</f>
        <v>0.8</v>
      </c>
      <c r="CW162" s="8">
        <f t="shared" si="623"/>
        <v>0.6</v>
      </c>
      <c r="CX162" s="8">
        <f t="shared" si="623"/>
        <v>1</v>
      </c>
      <c r="CY162" s="8">
        <f t="shared" si="623"/>
        <v>1</v>
      </c>
      <c r="CZ162" s="8">
        <f t="shared" si="584"/>
        <v>1</v>
      </c>
      <c r="DA162" s="6">
        <f t="shared" si="466"/>
        <v>200</v>
      </c>
      <c r="DB162" s="5">
        <f t="shared" si="585"/>
        <v>0</v>
      </c>
      <c r="DC162" s="5">
        <f t="shared" si="481"/>
        <v>0.60750000000000004</v>
      </c>
      <c r="DD162" s="6">
        <f t="shared" si="467"/>
        <v>0.60750000000000004</v>
      </c>
      <c r="DE162" s="6">
        <f t="shared" si="598"/>
        <v>0.9</v>
      </c>
      <c r="DF162" s="5">
        <v>0</v>
      </c>
      <c r="DG162" s="8">
        <f t="shared" si="586"/>
        <v>2.75</v>
      </c>
      <c r="DH162" s="5">
        <v>1.75</v>
      </c>
      <c r="DI162" s="8">
        <f t="shared" si="587"/>
        <v>0</v>
      </c>
      <c r="DJ162" s="5">
        <f t="shared" si="468"/>
        <v>0</v>
      </c>
      <c r="DK162" s="8">
        <v>0</v>
      </c>
      <c r="DL162" s="5">
        <f t="shared" si="469"/>
        <v>0</v>
      </c>
      <c r="DM162" s="5" t="s">
        <v>377</v>
      </c>
      <c r="DN162" s="8">
        <f t="shared" ref="DN162:DP162" si="624">DN141</f>
        <v>6</v>
      </c>
      <c r="DO162" s="8">
        <f t="shared" si="624"/>
        <v>0</v>
      </c>
      <c r="DP162" s="5">
        <f t="shared" si="624"/>
        <v>0</v>
      </c>
      <c r="DQ162" s="8">
        <f t="shared" si="589"/>
        <v>0</v>
      </c>
      <c r="DR162" s="5">
        <f t="shared" si="483"/>
        <v>0.9</v>
      </c>
      <c r="DS162" s="8">
        <f t="shared" si="590"/>
        <v>1</v>
      </c>
      <c r="DT162" s="8">
        <f t="shared" si="591"/>
        <v>-0.5</v>
      </c>
      <c r="DU162" s="8">
        <f t="shared" si="591"/>
        <v>0.5</v>
      </c>
      <c r="DV162" s="8">
        <f t="shared" si="591"/>
        <v>0.25</v>
      </c>
      <c r="DW162" s="5">
        <f t="shared" si="561"/>
        <v>0.66666666666666663</v>
      </c>
      <c r="DX162" s="8">
        <f t="shared" si="592"/>
        <v>8</v>
      </c>
      <c r="DY162" s="8">
        <f t="shared" si="593"/>
        <v>0</v>
      </c>
      <c r="DZ162" s="8">
        <f t="shared" si="594"/>
        <v>0</v>
      </c>
      <c r="EA162" s="5"/>
    </row>
    <row r="163" spans="1:131" x14ac:dyDescent="0.15">
      <c r="A163" s="5">
        <v>201161</v>
      </c>
      <c r="B163" s="5" t="s">
        <v>378</v>
      </c>
      <c r="C163" s="5"/>
      <c r="D163" s="5"/>
      <c r="E163" s="5"/>
      <c r="F163" s="5">
        <v>0</v>
      </c>
      <c r="G163" s="45"/>
      <c r="H163" s="5"/>
      <c r="I163" s="5"/>
      <c r="J163" s="5"/>
      <c r="K163" s="5"/>
      <c r="L163" s="10"/>
      <c r="M163" s="5"/>
      <c r="N163" s="10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20"/>
      <c r="AF163" s="5"/>
      <c r="AG163" s="5"/>
      <c r="AH163" s="5"/>
      <c r="AI163" s="5"/>
      <c r="AJ163" s="5"/>
      <c r="AK163" s="5"/>
      <c r="AL163" s="5"/>
      <c r="AM163" s="5"/>
      <c r="AN163" s="8"/>
      <c r="AO163" s="5">
        <v>0</v>
      </c>
      <c r="AP163" s="5" t="s">
        <v>378</v>
      </c>
      <c r="AQ163" s="5">
        <v>0</v>
      </c>
      <c r="AR163" s="8">
        <f t="shared" si="568"/>
        <v>5</v>
      </c>
      <c r="AS163" s="6">
        <f t="shared" si="471"/>
        <v>120</v>
      </c>
      <c r="AT163" s="6">
        <f t="shared" si="472"/>
        <v>144</v>
      </c>
      <c r="AU163" s="5">
        <f t="shared" si="569"/>
        <v>0</v>
      </c>
      <c r="AV163" s="5">
        <f t="shared" si="570"/>
        <v>1</v>
      </c>
      <c r="AW163" s="5">
        <f t="shared" si="571"/>
        <v>0</v>
      </c>
      <c r="AX163" s="5">
        <f t="shared" ref="AX163" si="625">AX142</f>
        <v>0</v>
      </c>
      <c r="AY163" s="5">
        <f t="shared" si="571"/>
        <v>0</v>
      </c>
      <c r="AZ163" s="8">
        <f t="shared" si="573"/>
        <v>83</v>
      </c>
      <c r="BA163" s="5">
        <f t="shared" si="563"/>
        <v>203014</v>
      </c>
      <c r="BB163" s="5">
        <v>0</v>
      </c>
      <c r="BC163" s="5">
        <v>0</v>
      </c>
      <c r="BD163" s="5">
        <f t="shared" si="574"/>
        <v>0</v>
      </c>
      <c r="BE163" s="5">
        <f t="shared" si="575"/>
        <v>0</v>
      </c>
      <c r="BF163" s="5">
        <f t="shared" si="576"/>
        <v>0</v>
      </c>
      <c r="BG163" s="5">
        <f t="shared" si="576"/>
        <v>0</v>
      </c>
      <c r="BH163" s="5">
        <f t="shared" si="564"/>
        <v>0</v>
      </c>
      <c r="BI163" s="5">
        <f t="shared" si="576"/>
        <v>0</v>
      </c>
      <c r="BJ163" s="5">
        <f t="shared" si="498"/>
        <v>0</v>
      </c>
      <c r="BK163" s="5">
        <v>0</v>
      </c>
      <c r="BL163" s="5">
        <f t="shared" si="610"/>
        <v>0</v>
      </c>
      <c r="BM163" s="5">
        <f t="shared" si="576"/>
        <v>0</v>
      </c>
      <c r="BN163" s="5">
        <f t="shared" si="577"/>
        <v>0</v>
      </c>
      <c r="BO163" s="5">
        <f t="shared" si="578"/>
        <v>0</v>
      </c>
      <c r="BP163" s="5">
        <f t="shared" si="578"/>
        <v>0</v>
      </c>
      <c r="BQ163" s="5">
        <f t="shared" si="565"/>
        <v>0</v>
      </c>
      <c r="BR163" s="5"/>
      <c r="BS163" s="4">
        <v>3</v>
      </c>
      <c r="BT163" s="4">
        <v>8</v>
      </c>
      <c r="BU163" s="17">
        <f t="shared" si="579"/>
        <v>0</v>
      </c>
      <c r="BV163" s="4">
        <f t="shared" si="475"/>
        <v>8</v>
      </c>
      <c r="BW163" s="4">
        <f t="shared" si="476"/>
        <v>8</v>
      </c>
      <c r="BX163" s="14">
        <f t="shared" si="477"/>
        <v>0.35999999999999993</v>
      </c>
      <c r="BY163" s="14">
        <f t="shared" si="478"/>
        <v>0.2</v>
      </c>
      <c r="BZ163" s="5" t="s">
        <v>219</v>
      </c>
      <c r="CA163" s="8" t="str">
        <f t="shared" si="378"/>
        <v>elite_monster_14</v>
      </c>
      <c r="CB163" s="8" t="str">
        <f t="shared" si="378"/>
        <v>elite_monster_14</v>
      </c>
      <c r="CC163" s="5">
        <v>0</v>
      </c>
      <c r="CD163" s="8">
        <f t="shared" si="580"/>
        <v>1</v>
      </c>
      <c r="CE163" s="5">
        <f t="shared" si="479"/>
        <v>16</v>
      </c>
      <c r="CF163" s="5">
        <f t="shared" si="596"/>
        <v>2</v>
      </c>
      <c r="CG163" s="5" t="s">
        <v>378</v>
      </c>
      <c r="CH163" s="5">
        <f>CH132</f>
        <v>0</v>
      </c>
      <c r="CI163" s="5">
        <v>113</v>
      </c>
      <c r="CJ163" s="4">
        <v>1</v>
      </c>
      <c r="CK163" s="5">
        <v>0</v>
      </c>
      <c r="CL163" s="5">
        <v>0</v>
      </c>
      <c r="CM163" s="20">
        <f t="shared" si="582"/>
        <v>113</v>
      </c>
      <c r="CN163" s="8">
        <f t="shared" si="582"/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8">
        <f t="shared" ref="CV163:CY163" si="626">CV142</f>
        <v>0.8</v>
      </c>
      <c r="CW163" s="8">
        <f t="shared" si="626"/>
        <v>0.6</v>
      </c>
      <c r="CX163" s="8">
        <f t="shared" si="626"/>
        <v>1</v>
      </c>
      <c r="CY163" s="8">
        <f t="shared" si="626"/>
        <v>1</v>
      </c>
      <c r="CZ163" s="8">
        <f t="shared" si="584"/>
        <v>1</v>
      </c>
      <c r="DA163" s="6">
        <f t="shared" si="466"/>
        <v>200</v>
      </c>
      <c r="DB163" s="5">
        <f t="shared" si="585"/>
        <v>1</v>
      </c>
      <c r="DC163" s="5">
        <f t="shared" si="481"/>
        <v>1.0125000000000002</v>
      </c>
      <c r="DD163" s="6">
        <f t="shared" si="467"/>
        <v>1.0125000000000002</v>
      </c>
      <c r="DE163" s="6">
        <f t="shared" si="598"/>
        <v>1.5</v>
      </c>
      <c r="DF163" s="5">
        <v>0</v>
      </c>
      <c r="DG163" s="8">
        <f t="shared" si="586"/>
        <v>2.75</v>
      </c>
      <c r="DH163" s="5">
        <v>1.75</v>
      </c>
      <c r="DI163" s="8">
        <f t="shared" si="587"/>
        <v>0</v>
      </c>
      <c r="DJ163" s="5">
        <f t="shared" si="468"/>
        <v>0</v>
      </c>
      <c r="DK163" s="8">
        <v>0</v>
      </c>
      <c r="DL163" s="5">
        <f t="shared" si="469"/>
        <v>0</v>
      </c>
      <c r="DM163" s="5" t="s">
        <v>378</v>
      </c>
      <c r="DN163" s="8">
        <f t="shared" ref="DN163:DP163" si="627">DN142</f>
        <v>6</v>
      </c>
      <c r="DO163" s="8">
        <f t="shared" si="627"/>
        <v>0</v>
      </c>
      <c r="DP163" s="5">
        <f t="shared" si="627"/>
        <v>1</v>
      </c>
      <c r="DQ163" s="8">
        <f t="shared" si="589"/>
        <v>0</v>
      </c>
      <c r="DR163" s="5">
        <f t="shared" si="483"/>
        <v>0.9</v>
      </c>
      <c r="DS163" s="8">
        <f t="shared" si="590"/>
        <v>1</v>
      </c>
      <c r="DT163" s="8">
        <f t="shared" si="591"/>
        <v>-0.5</v>
      </c>
      <c r="DU163" s="8">
        <f t="shared" si="591"/>
        <v>0.5</v>
      </c>
      <c r="DV163" s="8">
        <f t="shared" si="591"/>
        <v>0.25</v>
      </c>
      <c r="DW163" s="5">
        <f t="shared" si="561"/>
        <v>0.33333333333333331</v>
      </c>
      <c r="DX163" s="8">
        <f t="shared" si="592"/>
        <v>4</v>
      </c>
      <c r="DY163" s="8">
        <f t="shared" si="593"/>
        <v>0</v>
      </c>
      <c r="DZ163" s="8">
        <f t="shared" si="594"/>
        <v>0</v>
      </c>
      <c r="EA163" s="5"/>
    </row>
    <row r="164" spans="1:131" x14ac:dyDescent="0.15">
      <c r="A164" s="5">
        <v>201162</v>
      </c>
      <c r="B164" s="5" t="s">
        <v>379</v>
      </c>
      <c r="C164" s="5"/>
      <c r="D164" s="5"/>
      <c r="E164" s="5"/>
      <c r="F164" s="5">
        <v>0</v>
      </c>
      <c r="G164" s="45"/>
      <c r="H164" s="5"/>
      <c r="I164" s="5"/>
      <c r="J164" s="5"/>
      <c r="K164" s="5"/>
      <c r="L164" s="10"/>
      <c r="M164" s="5"/>
      <c r="N164" s="10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20"/>
      <c r="AF164" s="5"/>
      <c r="AG164" s="5"/>
      <c r="AH164" s="5"/>
      <c r="AI164" s="5"/>
      <c r="AJ164" s="5"/>
      <c r="AK164" s="5"/>
      <c r="AL164" s="5"/>
      <c r="AM164" s="5"/>
      <c r="AN164" s="8"/>
      <c r="AO164" s="5">
        <v>0</v>
      </c>
      <c r="AP164" s="5" t="s">
        <v>379</v>
      </c>
      <c r="AQ164" s="5">
        <v>0</v>
      </c>
      <c r="AR164" s="8">
        <f t="shared" si="568"/>
        <v>2</v>
      </c>
      <c r="AS164" s="6">
        <f t="shared" si="471"/>
        <v>48</v>
      </c>
      <c r="AT164" s="6">
        <f t="shared" si="472"/>
        <v>72</v>
      </c>
      <c r="AU164" s="5">
        <f t="shared" si="569"/>
        <v>0</v>
      </c>
      <c r="AV164" s="5">
        <f t="shared" si="570"/>
        <v>0</v>
      </c>
      <c r="AW164" s="5">
        <f t="shared" si="571"/>
        <v>1</v>
      </c>
      <c r="AX164" s="5">
        <f t="shared" ref="AX164" si="628">AX143</f>
        <v>1</v>
      </c>
      <c r="AY164" s="5">
        <f t="shared" si="571"/>
        <v>0</v>
      </c>
      <c r="AZ164" s="8">
        <f t="shared" si="573"/>
        <v>82</v>
      </c>
      <c r="BA164" s="5">
        <f t="shared" si="563"/>
        <v>203015</v>
      </c>
      <c r="BB164" s="5">
        <v>0</v>
      </c>
      <c r="BC164" s="5">
        <v>0</v>
      </c>
      <c r="BD164" s="5">
        <f t="shared" si="574"/>
        <v>0</v>
      </c>
      <c r="BE164" s="5">
        <f t="shared" si="575"/>
        <v>0</v>
      </c>
      <c r="BF164" s="5">
        <f t="shared" si="576"/>
        <v>0</v>
      </c>
      <c r="BG164" s="5">
        <f t="shared" si="576"/>
        <v>0</v>
      </c>
      <c r="BH164" s="5">
        <f t="shared" si="564"/>
        <v>0</v>
      </c>
      <c r="BI164" s="5">
        <f t="shared" si="576"/>
        <v>0</v>
      </c>
      <c r="BJ164" s="5">
        <f t="shared" si="498"/>
        <v>0</v>
      </c>
      <c r="BK164" s="5">
        <v>0</v>
      </c>
      <c r="BL164" s="5">
        <f t="shared" si="610"/>
        <v>0</v>
      </c>
      <c r="BM164" s="5">
        <f t="shared" si="576"/>
        <v>0</v>
      </c>
      <c r="BN164" s="5">
        <f t="shared" si="577"/>
        <v>0</v>
      </c>
      <c r="BO164" s="5">
        <f t="shared" si="578"/>
        <v>0</v>
      </c>
      <c r="BP164" s="5">
        <f t="shared" si="578"/>
        <v>0</v>
      </c>
      <c r="BQ164" s="5">
        <f t="shared" si="565"/>
        <v>0</v>
      </c>
      <c r="BR164" s="5"/>
      <c r="BS164" s="4">
        <v>3</v>
      </c>
      <c r="BT164" s="4">
        <v>8</v>
      </c>
      <c r="BU164" s="17">
        <f t="shared" si="579"/>
        <v>0</v>
      </c>
      <c r="BV164" s="4">
        <f t="shared" si="475"/>
        <v>8</v>
      </c>
      <c r="BW164" s="4">
        <f t="shared" si="476"/>
        <v>8</v>
      </c>
      <c r="BX164" s="14">
        <f t="shared" si="477"/>
        <v>0.35999999999999993</v>
      </c>
      <c r="BY164" s="14">
        <f t="shared" si="478"/>
        <v>0.2</v>
      </c>
      <c r="BZ164" s="5" t="s">
        <v>222</v>
      </c>
      <c r="CA164" s="8" t="str">
        <f t="shared" si="378"/>
        <v>elite_monster_15</v>
      </c>
      <c r="CB164" s="8" t="str">
        <f t="shared" si="378"/>
        <v>elite_monster_15</v>
      </c>
      <c r="CC164" s="5">
        <v>0</v>
      </c>
      <c r="CD164" s="8">
        <f t="shared" si="580"/>
        <v>1</v>
      </c>
      <c r="CE164" s="5">
        <f t="shared" si="479"/>
        <v>0</v>
      </c>
      <c r="CF164" s="5">
        <f t="shared" si="596"/>
        <v>0</v>
      </c>
      <c r="CG164" s="5" t="s">
        <v>379</v>
      </c>
      <c r="CH164" s="5">
        <f>CH133</f>
        <v>3</v>
      </c>
      <c r="CI164" s="5">
        <v>0</v>
      </c>
      <c r="CJ164" s="4">
        <v>1</v>
      </c>
      <c r="CK164" s="5">
        <v>0</v>
      </c>
      <c r="CL164" s="5">
        <v>0</v>
      </c>
      <c r="CM164" s="20">
        <f t="shared" si="582"/>
        <v>0</v>
      </c>
      <c r="CN164" s="8">
        <f t="shared" si="582"/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8">
        <f t="shared" ref="CV164:CY164" si="629">CV143</f>
        <v>0.8</v>
      </c>
      <c r="CW164" s="8">
        <f t="shared" si="629"/>
        <v>0.6</v>
      </c>
      <c r="CX164" s="8">
        <f t="shared" si="629"/>
        <v>1</v>
      </c>
      <c r="CY164" s="8">
        <f t="shared" si="629"/>
        <v>1</v>
      </c>
      <c r="CZ164" s="8">
        <f t="shared" si="584"/>
        <v>2</v>
      </c>
      <c r="DA164" s="6">
        <f t="shared" si="466"/>
        <v>400</v>
      </c>
      <c r="DB164" s="5">
        <f t="shared" si="585"/>
        <v>0</v>
      </c>
      <c r="DC164" s="5">
        <f t="shared" si="481"/>
        <v>0.20250000000000001</v>
      </c>
      <c r="DD164" s="6">
        <f t="shared" si="467"/>
        <v>0.20250000000000001</v>
      </c>
      <c r="DE164" s="6">
        <f t="shared" si="598"/>
        <v>0.3</v>
      </c>
      <c r="DF164" s="5">
        <v>0</v>
      </c>
      <c r="DG164" s="8">
        <f t="shared" si="586"/>
        <v>3</v>
      </c>
      <c r="DH164" s="5">
        <v>2</v>
      </c>
      <c r="DI164" s="8">
        <f t="shared" si="587"/>
        <v>0</v>
      </c>
      <c r="DJ164" s="5">
        <f t="shared" si="468"/>
        <v>0</v>
      </c>
      <c r="DK164" s="8">
        <v>0</v>
      </c>
      <c r="DL164" s="5">
        <f t="shared" si="469"/>
        <v>0</v>
      </c>
      <c r="DM164" s="5" t="s">
        <v>379</v>
      </c>
      <c r="DN164" s="8">
        <f t="shared" ref="DN164:DP164" si="630">DN143</f>
        <v>6</v>
      </c>
      <c r="DO164" s="8">
        <f t="shared" si="630"/>
        <v>0</v>
      </c>
      <c r="DP164" s="5">
        <f t="shared" si="630"/>
        <v>0</v>
      </c>
      <c r="DQ164" s="8">
        <f t="shared" si="589"/>
        <v>0</v>
      </c>
      <c r="DR164" s="5">
        <f t="shared" si="483"/>
        <v>0.9</v>
      </c>
      <c r="DS164" s="8">
        <f t="shared" si="590"/>
        <v>1</v>
      </c>
      <c r="DT164" s="8">
        <f t="shared" si="591"/>
        <v>-0.5</v>
      </c>
      <c r="DU164" s="8">
        <f t="shared" si="591"/>
        <v>0.5</v>
      </c>
      <c r="DV164" s="8">
        <f t="shared" si="591"/>
        <v>0.2</v>
      </c>
      <c r="DW164" s="5">
        <f t="shared" si="561"/>
        <v>0.58333333333333337</v>
      </c>
      <c r="DX164" s="8">
        <f t="shared" si="592"/>
        <v>7</v>
      </c>
      <c r="DY164" s="8">
        <f t="shared" si="593"/>
        <v>0</v>
      </c>
      <c r="DZ164" s="8">
        <f t="shared" si="594"/>
        <v>0</v>
      </c>
      <c r="EA164" s="5"/>
    </row>
    <row r="165" spans="1:131" x14ac:dyDescent="0.15">
      <c r="A165" s="5">
        <v>201163</v>
      </c>
      <c r="B165" s="5" t="s">
        <v>380</v>
      </c>
      <c r="C165" s="5"/>
      <c r="D165" s="5"/>
      <c r="E165" s="5"/>
      <c r="F165" s="5">
        <v>0</v>
      </c>
      <c r="G165" s="45"/>
      <c r="H165" s="5"/>
      <c r="I165" s="5"/>
      <c r="J165" s="5"/>
      <c r="K165" s="5"/>
      <c r="L165" s="10"/>
      <c r="M165" s="5"/>
      <c r="N165" s="10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20"/>
      <c r="AF165" s="5"/>
      <c r="AG165" s="5"/>
      <c r="AH165" s="5"/>
      <c r="AI165" s="5"/>
      <c r="AJ165" s="5"/>
      <c r="AK165" s="5"/>
      <c r="AL165" s="5"/>
      <c r="AM165" s="5"/>
      <c r="AN165" s="8"/>
      <c r="AO165" s="5">
        <v>0</v>
      </c>
      <c r="AP165" s="5" t="s">
        <v>380</v>
      </c>
      <c r="AQ165" s="5">
        <v>0</v>
      </c>
      <c r="AR165" s="8">
        <f t="shared" si="568"/>
        <v>2</v>
      </c>
      <c r="AS165" s="6">
        <f t="shared" si="471"/>
        <v>48</v>
      </c>
      <c r="AT165" s="6">
        <f t="shared" si="472"/>
        <v>72</v>
      </c>
      <c r="AU165" s="5">
        <f t="shared" si="569"/>
        <v>0</v>
      </c>
      <c r="AV165" s="5">
        <f t="shared" si="570"/>
        <v>1</v>
      </c>
      <c r="AW165" s="5">
        <f t="shared" si="571"/>
        <v>0</v>
      </c>
      <c r="AX165" s="5">
        <f t="shared" ref="AX165" si="631">AX144</f>
        <v>0</v>
      </c>
      <c r="AY165" s="5">
        <f t="shared" si="571"/>
        <v>1</v>
      </c>
      <c r="AZ165" s="8">
        <f t="shared" si="573"/>
        <v>83</v>
      </c>
      <c r="BA165" s="5">
        <f t="shared" si="563"/>
        <v>203016</v>
      </c>
      <c r="BB165" s="5">
        <v>0</v>
      </c>
      <c r="BC165" s="5">
        <v>0</v>
      </c>
      <c r="BD165" s="5">
        <f t="shared" si="574"/>
        <v>0</v>
      </c>
      <c r="BE165" s="5">
        <f t="shared" si="575"/>
        <v>306001</v>
      </c>
      <c r="BF165" s="5">
        <f t="shared" si="576"/>
        <v>0</v>
      </c>
      <c r="BG165" s="5">
        <f t="shared" si="576"/>
        <v>0</v>
      </c>
      <c r="BH165" s="5">
        <f t="shared" si="564"/>
        <v>0</v>
      </c>
      <c r="BI165" s="5">
        <f t="shared" si="576"/>
        <v>0</v>
      </c>
      <c r="BJ165" s="5">
        <f t="shared" si="498"/>
        <v>8</v>
      </c>
      <c r="BK165" s="5">
        <f>BJ165*360/BM165</f>
        <v>16</v>
      </c>
      <c r="BL165" s="5">
        <f t="shared" si="610"/>
        <v>1</v>
      </c>
      <c r="BM165" s="5">
        <f t="shared" si="576"/>
        <v>180</v>
      </c>
      <c r="BN165" s="5">
        <f t="shared" si="577"/>
        <v>180</v>
      </c>
      <c r="BO165" s="5">
        <f t="shared" si="578"/>
        <v>203017</v>
      </c>
      <c r="BP165" s="5">
        <f t="shared" si="578"/>
        <v>3</v>
      </c>
      <c r="BQ165" s="5">
        <f t="shared" si="565"/>
        <v>4</v>
      </c>
      <c r="BR165" s="5">
        <f>50*BT165*3-360/BM165*BJ165*BQ165</f>
        <v>1136</v>
      </c>
      <c r="BS165" s="4">
        <v>4</v>
      </c>
      <c r="BT165" s="4">
        <v>8</v>
      </c>
      <c r="BU165" s="17">
        <f t="shared" si="579"/>
        <v>0</v>
      </c>
      <c r="BV165" s="4">
        <f t="shared" si="475"/>
        <v>8</v>
      </c>
      <c r="BW165" s="4">
        <f t="shared" si="476"/>
        <v>8</v>
      </c>
      <c r="BX165" s="14">
        <f t="shared" si="477"/>
        <v>0.35999999999999993</v>
      </c>
      <c r="BY165" s="14">
        <f t="shared" si="478"/>
        <v>0.2</v>
      </c>
      <c r="BZ165" s="5" t="s">
        <v>225</v>
      </c>
      <c r="CA165" s="8" t="str">
        <f t="shared" si="378"/>
        <v>elite_monster_16</v>
      </c>
      <c r="CB165" s="8" t="str">
        <f t="shared" si="378"/>
        <v>elite_monster_16</v>
      </c>
      <c r="CC165" s="5">
        <v>0</v>
      </c>
      <c r="CD165" s="8">
        <f t="shared" si="580"/>
        <v>2</v>
      </c>
      <c r="CE165" s="5">
        <f t="shared" si="479"/>
        <v>0</v>
      </c>
      <c r="CF165" s="5">
        <f t="shared" si="596"/>
        <v>0</v>
      </c>
      <c r="CG165" s="5" t="s">
        <v>380</v>
      </c>
      <c r="CH165" s="5">
        <f>CH133</f>
        <v>3</v>
      </c>
      <c r="CI165" s="5">
        <v>114</v>
      </c>
      <c r="CJ165" s="4">
        <v>1</v>
      </c>
      <c r="CK165" s="5">
        <v>0</v>
      </c>
      <c r="CL165" s="5">
        <v>0</v>
      </c>
      <c r="CM165" s="20">
        <f t="shared" si="582"/>
        <v>0</v>
      </c>
      <c r="CN165" s="8">
        <f t="shared" si="582"/>
        <v>0</v>
      </c>
      <c r="CO165" s="5">
        <v>0</v>
      </c>
      <c r="CP165" s="5">
        <v>0</v>
      </c>
      <c r="CQ165" s="5">
        <v>201143</v>
      </c>
      <c r="CR165" s="5">
        <v>5</v>
      </c>
      <c r="CS165" s="5">
        <v>0</v>
      </c>
      <c r="CT165" s="5">
        <v>0</v>
      </c>
      <c r="CU165" s="5">
        <v>0</v>
      </c>
      <c r="CV165" s="8">
        <f t="shared" ref="CV165:CY165" si="632">CV144</f>
        <v>0.8</v>
      </c>
      <c r="CW165" s="8">
        <f t="shared" si="632"/>
        <v>0.6</v>
      </c>
      <c r="CX165" s="8">
        <f t="shared" si="632"/>
        <v>1</v>
      </c>
      <c r="CY165" s="8">
        <f t="shared" si="632"/>
        <v>1</v>
      </c>
      <c r="CZ165" s="8">
        <f t="shared" si="584"/>
        <v>0.8</v>
      </c>
      <c r="DA165" s="6">
        <f t="shared" si="466"/>
        <v>160</v>
      </c>
      <c r="DB165" s="5">
        <f t="shared" si="585"/>
        <v>1</v>
      </c>
      <c r="DC165" s="5">
        <f t="shared" si="481"/>
        <v>0.35100000000000003</v>
      </c>
      <c r="DD165" s="6">
        <f t="shared" si="467"/>
        <v>0.35100000000000003</v>
      </c>
      <c r="DE165" s="6">
        <f t="shared" si="598"/>
        <v>0.52</v>
      </c>
      <c r="DF165" s="5">
        <v>0</v>
      </c>
      <c r="DG165" s="8">
        <f t="shared" si="586"/>
        <v>3</v>
      </c>
      <c r="DH165" s="5">
        <v>2</v>
      </c>
      <c r="DI165" s="8">
        <f t="shared" si="587"/>
        <v>2</v>
      </c>
      <c r="DJ165" s="5">
        <f t="shared" si="468"/>
        <v>50</v>
      </c>
      <c r="DK165" s="8">
        <v>0</v>
      </c>
      <c r="DL165" s="5">
        <f t="shared" si="469"/>
        <v>0</v>
      </c>
      <c r="DM165" s="5" t="s">
        <v>380</v>
      </c>
      <c r="DN165" s="8">
        <f t="shared" ref="DN165:DP165" si="633">DN144</f>
        <v>6</v>
      </c>
      <c r="DO165" s="8">
        <f t="shared" si="633"/>
        <v>0</v>
      </c>
      <c r="DP165" s="5">
        <f t="shared" si="633"/>
        <v>0</v>
      </c>
      <c r="DQ165" s="8">
        <f t="shared" si="589"/>
        <v>0</v>
      </c>
      <c r="DR165" s="5">
        <f t="shared" si="483"/>
        <v>4.5</v>
      </c>
      <c r="DS165" s="8">
        <f t="shared" si="590"/>
        <v>5</v>
      </c>
      <c r="DT165" s="8">
        <f t="shared" si="591"/>
        <v>-5</v>
      </c>
      <c r="DU165" s="8">
        <f t="shared" si="591"/>
        <v>0</v>
      </c>
      <c r="DV165" s="8">
        <f t="shared" si="591"/>
        <v>0.2</v>
      </c>
      <c r="DW165" s="5">
        <f t="shared" si="561"/>
        <v>0.5</v>
      </c>
      <c r="DX165" s="8">
        <f t="shared" si="592"/>
        <v>6</v>
      </c>
      <c r="DY165" s="8">
        <f t="shared" si="593"/>
        <v>0</v>
      </c>
      <c r="DZ165" s="8">
        <f t="shared" si="594"/>
        <v>0</v>
      </c>
      <c r="EA165" s="5"/>
    </row>
    <row r="166" spans="1:131" x14ac:dyDescent="0.15">
      <c r="A166" s="5">
        <v>201164</v>
      </c>
      <c r="B166" s="5" t="s">
        <v>381</v>
      </c>
      <c r="C166" s="5"/>
      <c r="D166" s="5"/>
      <c r="E166" s="5"/>
      <c r="F166" s="5">
        <v>0</v>
      </c>
      <c r="G166" s="45"/>
      <c r="H166" s="5"/>
      <c r="I166" s="5"/>
      <c r="J166" s="5"/>
      <c r="K166" s="5"/>
      <c r="L166" s="10"/>
      <c r="M166" s="5"/>
      <c r="N166" s="10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20"/>
      <c r="AF166" s="5"/>
      <c r="AG166" s="5"/>
      <c r="AH166" s="5"/>
      <c r="AI166" s="5"/>
      <c r="AJ166" s="5"/>
      <c r="AK166" s="5"/>
      <c r="AL166" s="5"/>
      <c r="AM166" s="5"/>
      <c r="AN166" s="8"/>
      <c r="AO166" s="5">
        <v>0</v>
      </c>
      <c r="AP166" s="5" t="s">
        <v>381</v>
      </c>
      <c r="AQ166" s="5">
        <v>0</v>
      </c>
      <c r="AR166" s="8">
        <f t="shared" si="568"/>
        <v>1.5</v>
      </c>
      <c r="AS166" s="6">
        <f t="shared" si="471"/>
        <v>36</v>
      </c>
      <c r="AT166" s="6">
        <f t="shared" si="472"/>
        <v>60</v>
      </c>
      <c r="AU166" s="5">
        <f t="shared" si="569"/>
        <v>0</v>
      </c>
      <c r="AV166" s="5">
        <f t="shared" si="570"/>
        <v>1</v>
      </c>
      <c r="AW166" s="5">
        <f t="shared" si="571"/>
        <v>0</v>
      </c>
      <c r="AX166" s="5">
        <f t="shared" ref="AX166" si="634">AX145</f>
        <v>0</v>
      </c>
      <c r="AY166" s="5">
        <f t="shared" si="571"/>
        <v>1</v>
      </c>
      <c r="AZ166" s="8">
        <f t="shared" si="573"/>
        <v>83</v>
      </c>
      <c r="BA166" s="5">
        <f t="shared" si="563"/>
        <v>203017</v>
      </c>
      <c r="BB166" s="5">
        <v>0</v>
      </c>
      <c r="BC166" s="5">
        <v>0</v>
      </c>
      <c r="BD166" s="5">
        <f t="shared" si="574"/>
        <v>0</v>
      </c>
      <c r="BE166" s="5">
        <f t="shared" si="575"/>
        <v>0</v>
      </c>
      <c r="BF166" s="5">
        <f t="shared" si="576"/>
        <v>0</v>
      </c>
      <c r="BG166" s="5">
        <f t="shared" si="576"/>
        <v>15</v>
      </c>
      <c r="BH166" s="5">
        <f t="shared" si="564"/>
        <v>270</v>
      </c>
      <c r="BI166" s="5">
        <f t="shared" si="576"/>
        <v>0</v>
      </c>
      <c r="BJ166" s="5">
        <f t="shared" si="498"/>
        <v>0</v>
      </c>
      <c r="BK166" s="5">
        <v>0</v>
      </c>
      <c r="BL166" s="5">
        <f t="shared" si="610"/>
        <v>0</v>
      </c>
      <c r="BM166" s="5">
        <f t="shared" si="576"/>
        <v>0</v>
      </c>
      <c r="BN166" s="5">
        <f t="shared" si="577"/>
        <v>0</v>
      </c>
      <c r="BO166" s="5">
        <f t="shared" si="578"/>
        <v>0</v>
      </c>
      <c r="BP166" s="5">
        <f t="shared" si="578"/>
        <v>0</v>
      </c>
      <c r="BQ166" s="5">
        <f t="shared" si="565"/>
        <v>0</v>
      </c>
      <c r="BR166" s="5"/>
      <c r="BS166" s="4">
        <v>4</v>
      </c>
      <c r="BT166" s="4">
        <v>8</v>
      </c>
      <c r="BU166" s="17">
        <f t="shared" si="579"/>
        <v>0</v>
      </c>
      <c r="BV166" s="4">
        <f t="shared" si="475"/>
        <v>8</v>
      </c>
      <c r="BW166" s="4">
        <f t="shared" si="476"/>
        <v>8</v>
      </c>
      <c r="BX166" s="14">
        <f t="shared" si="477"/>
        <v>0.35999999999999993</v>
      </c>
      <c r="BY166" s="14">
        <f t="shared" si="478"/>
        <v>0.2</v>
      </c>
      <c r="BZ166" s="5" t="s">
        <v>228</v>
      </c>
      <c r="CA166" s="8" t="str">
        <f t="shared" si="378"/>
        <v>elite_monster_17</v>
      </c>
      <c r="CB166" s="8" t="str">
        <f t="shared" si="378"/>
        <v>elite_monster_17</v>
      </c>
      <c r="CC166" s="5">
        <v>0</v>
      </c>
      <c r="CD166" s="8">
        <f t="shared" si="580"/>
        <v>2</v>
      </c>
      <c r="CE166" s="5">
        <f t="shared" si="479"/>
        <v>0</v>
      </c>
      <c r="CF166" s="5">
        <f t="shared" si="596"/>
        <v>0</v>
      </c>
      <c r="CG166" s="5" t="s">
        <v>381</v>
      </c>
      <c r="CH166" s="5">
        <f>CH135</f>
        <v>3</v>
      </c>
      <c r="CI166" s="5">
        <v>0</v>
      </c>
      <c r="CJ166" s="4">
        <v>1</v>
      </c>
      <c r="CK166" s="5">
        <v>0</v>
      </c>
      <c r="CL166" s="5">
        <v>0</v>
      </c>
      <c r="CM166" s="20">
        <f t="shared" si="582"/>
        <v>0</v>
      </c>
      <c r="CN166" s="8">
        <f t="shared" si="582"/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201163</v>
      </c>
      <c r="CT166" s="5">
        <v>0</v>
      </c>
      <c r="CU166" s="5">
        <v>0</v>
      </c>
      <c r="CV166" s="8">
        <f t="shared" ref="CV166:CY166" si="635">CV145</f>
        <v>0.8</v>
      </c>
      <c r="CW166" s="8">
        <f t="shared" si="635"/>
        <v>0.6</v>
      </c>
      <c r="CX166" s="8">
        <f t="shared" si="635"/>
        <v>1</v>
      </c>
      <c r="CY166" s="8">
        <f t="shared" si="635"/>
        <v>1</v>
      </c>
      <c r="CZ166" s="8">
        <f t="shared" si="584"/>
        <v>1</v>
      </c>
      <c r="DA166" s="6">
        <f t="shared" si="466"/>
        <v>200</v>
      </c>
      <c r="DB166" s="5">
        <f t="shared" si="585"/>
        <v>1</v>
      </c>
      <c r="DC166" s="5">
        <f t="shared" si="481"/>
        <v>0.16875000000000001</v>
      </c>
      <c r="DD166" s="6">
        <f t="shared" si="467"/>
        <v>0.16875000000000001</v>
      </c>
      <c r="DE166" s="6">
        <f t="shared" si="598"/>
        <v>0.25</v>
      </c>
      <c r="DF166" s="5">
        <v>0</v>
      </c>
      <c r="DG166" s="8">
        <f t="shared" si="586"/>
        <v>3</v>
      </c>
      <c r="DH166" s="5">
        <v>2</v>
      </c>
      <c r="DI166" s="8">
        <f t="shared" si="587"/>
        <v>0</v>
      </c>
      <c r="DJ166" s="5">
        <f t="shared" si="468"/>
        <v>0</v>
      </c>
      <c r="DK166" s="8">
        <v>0</v>
      </c>
      <c r="DL166" s="5">
        <f t="shared" si="469"/>
        <v>0</v>
      </c>
      <c r="DM166" s="5" t="s">
        <v>381</v>
      </c>
      <c r="DN166" s="8">
        <f t="shared" ref="DN166:DP166" si="636">DN145</f>
        <v>0</v>
      </c>
      <c r="DO166" s="8">
        <f t="shared" si="636"/>
        <v>0</v>
      </c>
      <c r="DP166" s="5">
        <f t="shared" si="636"/>
        <v>0</v>
      </c>
      <c r="DQ166" s="8">
        <f t="shared" si="589"/>
        <v>0</v>
      </c>
      <c r="DR166" s="5">
        <f t="shared" si="483"/>
        <v>3.15</v>
      </c>
      <c r="DS166" s="8">
        <f t="shared" si="590"/>
        <v>3.5</v>
      </c>
      <c r="DT166" s="8">
        <f t="shared" si="591"/>
        <v>-0.5</v>
      </c>
      <c r="DU166" s="8">
        <f t="shared" si="591"/>
        <v>0.5</v>
      </c>
      <c r="DV166" s="8">
        <f t="shared" si="591"/>
        <v>0.2</v>
      </c>
      <c r="DW166" s="5">
        <f t="shared" si="561"/>
        <v>0</v>
      </c>
      <c r="DX166" s="8">
        <f t="shared" si="592"/>
        <v>0</v>
      </c>
      <c r="DY166" s="8">
        <f t="shared" si="593"/>
        <v>0</v>
      </c>
      <c r="DZ166" s="8">
        <f t="shared" si="594"/>
        <v>0</v>
      </c>
      <c r="EA166" s="5"/>
    </row>
    <row r="167" spans="1:131" x14ac:dyDescent="0.15">
      <c r="A167" s="5">
        <v>201165</v>
      </c>
      <c r="B167" s="5" t="s">
        <v>382</v>
      </c>
      <c r="C167" s="5"/>
      <c r="D167" s="5"/>
      <c r="E167" s="5"/>
      <c r="F167" s="5">
        <v>0</v>
      </c>
      <c r="G167" s="45"/>
      <c r="H167" s="5"/>
      <c r="I167" s="5"/>
      <c r="J167" s="5"/>
      <c r="K167" s="5"/>
      <c r="L167" s="10"/>
      <c r="M167" s="5"/>
      <c r="N167" s="10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20"/>
      <c r="AF167" s="5"/>
      <c r="AG167" s="5"/>
      <c r="AH167" s="5"/>
      <c r="AI167" s="5"/>
      <c r="AJ167" s="5"/>
      <c r="AK167" s="5"/>
      <c r="AL167" s="5"/>
      <c r="AM167" s="5"/>
      <c r="AN167" s="8"/>
      <c r="AO167" s="5">
        <v>0</v>
      </c>
      <c r="AP167" s="5" t="s">
        <v>382</v>
      </c>
      <c r="AQ167" s="5">
        <v>0</v>
      </c>
      <c r="AR167" s="8">
        <f t="shared" si="568"/>
        <v>2</v>
      </c>
      <c r="AS167" s="6">
        <f t="shared" si="471"/>
        <v>48</v>
      </c>
      <c r="AT167" s="6">
        <f t="shared" si="472"/>
        <v>72</v>
      </c>
      <c r="AU167" s="5">
        <f t="shared" si="569"/>
        <v>0</v>
      </c>
      <c r="AV167" s="5">
        <f t="shared" si="570"/>
        <v>1</v>
      </c>
      <c r="AW167" s="5">
        <f t="shared" si="571"/>
        <v>1</v>
      </c>
      <c r="AX167" s="5">
        <f t="shared" ref="AX167" si="637">AX146</f>
        <v>1</v>
      </c>
      <c r="AY167" s="5">
        <f t="shared" si="571"/>
        <v>1</v>
      </c>
      <c r="AZ167" s="8">
        <f t="shared" si="573"/>
        <v>82</v>
      </c>
      <c r="BA167" s="5">
        <f t="shared" si="563"/>
        <v>203018</v>
      </c>
      <c r="BB167" s="5">
        <v>0</v>
      </c>
      <c r="BC167" s="5">
        <v>0</v>
      </c>
      <c r="BD167" s="5">
        <f t="shared" si="574"/>
        <v>0</v>
      </c>
      <c r="BE167" s="5">
        <f t="shared" si="575"/>
        <v>604001</v>
      </c>
      <c r="BF167" s="5">
        <f t="shared" si="576"/>
        <v>0</v>
      </c>
      <c r="BG167" s="5">
        <f t="shared" si="576"/>
        <v>0</v>
      </c>
      <c r="BH167" s="5">
        <f t="shared" si="564"/>
        <v>0</v>
      </c>
      <c r="BI167" s="5">
        <f t="shared" si="576"/>
        <v>0</v>
      </c>
      <c r="BJ167" s="5">
        <v>64</v>
      </c>
      <c r="BK167" s="5">
        <f>BJ167*360/BM167</f>
        <v>256</v>
      </c>
      <c r="BL167" s="5">
        <f t="shared" si="610"/>
        <v>2</v>
      </c>
      <c r="BM167" s="5">
        <f t="shared" si="576"/>
        <v>90</v>
      </c>
      <c r="BN167" s="5">
        <f t="shared" si="577"/>
        <v>180</v>
      </c>
      <c r="BO167" s="5">
        <f t="shared" si="578"/>
        <v>203019</v>
      </c>
      <c r="BP167" s="5">
        <f t="shared" si="578"/>
        <v>3</v>
      </c>
      <c r="BQ167" s="5">
        <f t="shared" si="565"/>
        <v>2</v>
      </c>
      <c r="BR167" s="5">
        <f>50*BT167*3-360/BM167*BJ167*BQ167</f>
        <v>688</v>
      </c>
      <c r="BS167" s="4">
        <v>4</v>
      </c>
      <c r="BT167" s="4">
        <v>8</v>
      </c>
      <c r="BU167" s="17">
        <f t="shared" si="579"/>
        <v>0</v>
      </c>
      <c r="BV167" s="4">
        <f t="shared" si="475"/>
        <v>8</v>
      </c>
      <c r="BW167" s="4">
        <f t="shared" si="476"/>
        <v>8</v>
      </c>
      <c r="BX167" s="14">
        <f t="shared" si="477"/>
        <v>0.35999999999999993</v>
      </c>
      <c r="BY167" s="14">
        <f t="shared" si="478"/>
        <v>0.2</v>
      </c>
      <c r="BZ167" s="5" t="s">
        <v>231</v>
      </c>
      <c r="CA167" s="8" t="str">
        <f t="shared" si="378"/>
        <v>elite_monster_18</v>
      </c>
      <c r="CB167" s="8" t="str">
        <f t="shared" si="378"/>
        <v>elite_monster_18</v>
      </c>
      <c r="CC167" s="5">
        <v>0</v>
      </c>
      <c r="CD167" s="8">
        <f t="shared" si="580"/>
        <v>2</v>
      </c>
      <c r="CE167" s="5">
        <f t="shared" si="479"/>
        <v>8</v>
      </c>
      <c r="CF167" s="5">
        <f t="shared" si="596"/>
        <v>1</v>
      </c>
      <c r="CG167" s="5" t="s">
        <v>382</v>
      </c>
      <c r="CH167" s="5">
        <f>CH136</f>
        <v>3</v>
      </c>
      <c r="CI167" s="5">
        <v>105</v>
      </c>
      <c r="CJ167" s="4">
        <v>1</v>
      </c>
      <c r="CK167" s="5">
        <v>0</v>
      </c>
      <c r="CL167" s="5">
        <v>0</v>
      </c>
      <c r="CM167" s="20">
        <f t="shared" si="582"/>
        <v>0</v>
      </c>
      <c r="CN167" s="8">
        <f t="shared" si="582"/>
        <v>0</v>
      </c>
      <c r="CO167" s="5">
        <v>0</v>
      </c>
      <c r="CP167" s="5">
        <v>0</v>
      </c>
      <c r="CQ167" s="5">
        <v>201145</v>
      </c>
      <c r="CR167" s="5">
        <v>5</v>
      </c>
      <c r="CS167" s="5">
        <v>0</v>
      </c>
      <c r="CT167" s="5">
        <v>0</v>
      </c>
      <c r="CU167" s="5">
        <v>0</v>
      </c>
      <c r="CV167" s="8">
        <f t="shared" ref="CV167:CY167" si="638">CV146</f>
        <v>0.8</v>
      </c>
      <c r="CW167" s="8">
        <f t="shared" si="638"/>
        <v>0.6</v>
      </c>
      <c r="CX167" s="8">
        <f t="shared" si="638"/>
        <v>1</v>
      </c>
      <c r="CY167" s="8">
        <f t="shared" si="638"/>
        <v>1</v>
      </c>
      <c r="CZ167" s="8">
        <f t="shared" si="584"/>
        <v>1</v>
      </c>
      <c r="DA167" s="6">
        <f t="shared" si="466"/>
        <v>200</v>
      </c>
      <c r="DB167" s="5">
        <f t="shared" si="585"/>
        <v>0</v>
      </c>
      <c r="DC167" s="5">
        <f t="shared" si="481"/>
        <v>0.16875000000000001</v>
      </c>
      <c r="DD167" s="6">
        <f t="shared" si="467"/>
        <v>0.16875000000000001</v>
      </c>
      <c r="DE167" s="6">
        <f t="shared" si="598"/>
        <v>0.25</v>
      </c>
      <c r="DF167" s="5">
        <v>0</v>
      </c>
      <c r="DG167" s="8">
        <f t="shared" si="586"/>
        <v>2.25</v>
      </c>
      <c r="DH167" s="5">
        <v>1.25</v>
      </c>
      <c r="DI167" s="8">
        <f t="shared" si="587"/>
        <v>4</v>
      </c>
      <c r="DJ167" s="5">
        <f t="shared" si="468"/>
        <v>100</v>
      </c>
      <c r="DK167" s="8">
        <v>0</v>
      </c>
      <c r="DL167" s="5">
        <f t="shared" si="469"/>
        <v>0</v>
      </c>
      <c r="DM167" s="5" t="s">
        <v>383</v>
      </c>
      <c r="DN167" s="8">
        <f t="shared" ref="DN167:DP167" si="639">DN146</f>
        <v>6</v>
      </c>
      <c r="DO167" s="8">
        <f t="shared" si="639"/>
        <v>0</v>
      </c>
      <c r="DP167" s="5">
        <f t="shared" si="639"/>
        <v>0</v>
      </c>
      <c r="DQ167" s="8">
        <f t="shared" si="589"/>
        <v>0</v>
      </c>
      <c r="DR167" s="5">
        <f t="shared" si="483"/>
        <v>1.35</v>
      </c>
      <c r="DS167" s="8">
        <f t="shared" si="590"/>
        <v>1.5</v>
      </c>
      <c r="DT167" s="8">
        <f t="shared" si="591"/>
        <v>-0.5</v>
      </c>
      <c r="DU167" s="8">
        <f t="shared" si="591"/>
        <v>0.5</v>
      </c>
      <c r="DV167" s="8">
        <f t="shared" si="591"/>
        <v>0.35</v>
      </c>
      <c r="DW167" s="5">
        <f t="shared" si="561"/>
        <v>0.33333333333333331</v>
      </c>
      <c r="DX167" s="8">
        <f t="shared" si="592"/>
        <v>4</v>
      </c>
      <c r="DY167" s="8">
        <f t="shared" si="593"/>
        <v>0</v>
      </c>
      <c r="DZ167" s="8">
        <f t="shared" si="594"/>
        <v>0</v>
      </c>
      <c r="EA167" s="5"/>
    </row>
    <row r="168" spans="1:131" x14ac:dyDescent="0.15">
      <c r="A168" s="5">
        <v>201166</v>
      </c>
      <c r="B168" s="5" t="s">
        <v>384</v>
      </c>
      <c r="C168" s="5"/>
      <c r="D168" s="5"/>
      <c r="E168" s="5"/>
      <c r="F168" s="5">
        <v>0</v>
      </c>
      <c r="G168" s="45"/>
      <c r="H168" s="5"/>
      <c r="I168" s="5"/>
      <c r="J168" s="5"/>
      <c r="K168" s="5"/>
      <c r="L168" s="10"/>
      <c r="M168" s="5"/>
      <c r="N168" s="10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20"/>
      <c r="AF168" s="5"/>
      <c r="AG168" s="5"/>
      <c r="AH168" s="5"/>
      <c r="AI168" s="5"/>
      <c r="AJ168" s="5"/>
      <c r="AK168" s="5"/>
      <c r="AL168" s="5"/>
      <c r="AM168" s="5"/>
      <c r="AN168" s="8"/>
      <c r="AO168" s="5">
        <v>0</v>
      </c>
      <c r="AP168" s="5" t="s">
        <v>384</v>
      </c>
      <c r="AQ168" s="5">
        <v>0</v>
      </c>
      <c r="AR168" s="8">
        <f t="shared" si="568"/>
        <v>1.5</v>
      </c>
      <c r="AS168" s="6">
        <f t="shared" si="471"/>
        <v>36</v>
      </c>
      <c r="AT168" s="6">
        <f t="shared" si="472"/>
        <v>60</v>
      </c>
      <c r="AU168" s="5">
        <f t="shared" si="569"/>
        <v>0</v>
      </c>
      <c r="AV168" s="5">
        <f t="shared" si="570"/>
        <v>1</v>
      </c>
      <c r="AW168" s="5">
        <f t="shared" si="571"/>
        <v>1</v>
      </c>
      <c r="AX168" s="5">
        <f t="shared" ref="AX168" si="640">AX147</f>
        <v>1</v>
      </c>
      <c r="AY168" s="5">
        <f t="shared" si="571"/>
        <v>1</v>
      </c>
      <c r="AZ168" s="8">
        <f t="shared" si="573"/>
        <v>82</v>
      </c>
      <c r="BA168" s="5">
        <f t="shared" si="563"/>
        <v>203019</v>
      </c>
      <c r="BB168" s="5">
        <v>0</v>
      </c>
      <c r="BC168" s="5">
        <v>0</v>
      </c>
      <c r="BD168" s="5">
        <f t="shared" si="574"/>
        <v>0</v>
      </c>
      <c r="BE168" s="5">
        <f t="shared" si="575"/>
        <v>0</v>
      </c>
      <c r="BF168" s="5">
        <f t="shared" si="576"/>
        <v>0</v>
      </c>
      <c r="BG168" s="5">
        <f t="shared" si="576"/>
        <v>15</v>
      </c>
      <c r="BH168" s="5">
        <f t="shared" si="564"/>
        <v>270</v>
      </c>
      <c r="BI168" s="5">
        <f t="shared" si="576"/>
        <v>0</v>
      </c>
      <c r="BJ168" s="5">
        <f t="shared" si="498"/>
        <v>0</v>
      </c>
      <c r="BK168" s="5">
        <v>0</v>
      </c>
      <c r="BL168" s="5">
        <f t="shared" si="610"/>
        <v>0</v>
      </c>
      <c r="BM168" s="5">
        <f t="shared" ref="BM168:BM212" si="641">BM147</f>
        <v>0</v>
      </c>
      <c r="BN168" s="5">
        <f t="shared" si="577"/>
        <v>0</v>
      </c>
      <c r="BO168" s="5">
        <f t="shared" si="578"/>
        <v>0</v>
      </c>
      <c r="BP168" s="5">
        <f t="shared" si="578"/>
        <v>0</v>
      </c>
      <c r="BQ168" s="5">
        <f t="shared" si="565"/>
        <v>0</v>
      </c>
      <c r="BR168" s="5"/>
      <c r="BS168" s="4">
        <v>4</v>
      </c>
      <c r="BT168" s="4">
        <v>8</v>
      </c>
      <c r="BU168" s="17">
        <f t="shared" si="579"/>
        <v>0</v>
      </c>
      <c r="BV168" s="4">
        <f t="shared" si="475"/>
        <v>8</v>
      </c>
      <c r="BW168" s="4">
        <f t="shared" si="476"/>
        <v>8</v>
      </c>
      <c r="BX168" s="14">
        <f t="shared" si="477"/>
        <v>0.35999999999999993</v>
      </c>
      <c r="BY168" s="14">
        <f t="shared" si="478"/>
        <v>0.2</v>
      </c>
      <c r="BZ168" s="5" t="s">
        <v>235</v>
      </c>
      <c r="CA168" s="8" t="str">
        <f t="shared" si="378"/>
        <v>elite_monster_19</v>
      </c>
      <c r="CB168" s="8" t="str">
        <f t="shared" si="378"/>
        <v>elite_monster_19</v>
      </c>
      <c r="CC168" s="5">
        <v>0</v>
      </c>
      <c r="CD168" s="8">
        <f t="shared" si="580"/>
        <v>2</v>
      </c>
      <c r="CE168" s="5">
        <f t="shared" si="479"/>
        <v>0</v>
      </c>
      <c r="CF168" s="5">
        <f t="shared" si="596"/>
        <v>0</v>
      </c>
      <c r="CG168" s="5" t="s">
        <v>384</v>
      </c>
      <c r="CH168" s="5">
        <f>CH137</f>
        <v>3</v>
      </c>
      <c r="CI168" s="5">
        <v>0</v>
      </c>
      <c r="CJ168" s="4">
        <v>1</v>
      </c>
      <c r="CK168" s="5">
        <v>0</v>
      </c>
      <c r="CL168" s="5">
        <v>0</v>
      </c>
      <c r="CM168" s="20">
        <f t="shared" si="582"/>
        <v>0</v>
      </c>
      <c r="CN168" s="8">
        <f t="shared" si="582"/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201165</v>
      </c>
      <c r="CT168" s="5">
        <v>0</v>
      </c>
      <c r="CU168" s="5">
        <v>0</v>
      </c>
      <c r="CV168" s="8">
        <f t="shared" ref="CV168:CY168" si="642">CV147</f>
        <v>0.8</v>
      </c>
      <c r="CW168" s="8">
        <f t="shared" si="642"/>
        <v>0.6</v>
      </c>
      <c r="CX168" s="8">
        <f t="shared" si="642"/>
        <v>1</v>
      </c>
      <c r="CY168" s="8">
        <f t="shared" si="642"/>
        <v>1</v>
      </c>
      <c r="CZ168" s="8">
        <f t="shared" si="584"/>
        <v>1</v>
      </c>
      <c r="DA168" s="6">
        <f t="shared" si="466"/>
        <v>200</v>
      </c>
      <c r="DB168" s="5">
        <f t="shared" si="585"/>
        <v>0</v>
      </c>
      <c r="DC168" s="5">
        <f t="shared" si="481"/>
        <v>0.16875000000000001</v>
      </c>
      <c r="DD168" s="6">
        <f t="shared" si="467"/>
        <v>0.16875000000000001</v>
      </c>
      <c r="DE168" s="6">
        <f t="shared" si="598"/>
        <v>0.25</v>
      </c>
      <c r="DF168" s="5">
        <v>0</v>
      </c>
      <c r="DG168" s="8">
        <f t="shared" si="586"/>
        <v>2.25</v>
      </c>
      <c r="DH168" s="5">
        <v>1.25</v>
      </c>
      <c r="DI168" s="8">
        <f t="shared" si="587"/>
        <v>0</v>
      </c>
      <c r="DJ168" s="5">
        <f t="shared" si="468"/>
        <v>0</v>
      </c>
      <c r="DK168" s="8">
        <v>0</v>
      </c>
      <c r="DL168" s="5">
        <f t="shared" si="469"/>
        <v>0</v>
      </c>
      <c r="DM168" s="5" t="s">
        <v>385</v>
      </c>
      <c r="DN168" s="8">
        <f t="shared" ref="DN168:DP168" si="643">DN147</f>
        <v>0</v>
      </c>
      <c r="DO168" s="8">
        <f t="shared" si="643"/>
        <v>0</v>
      </c>
      <c r="DP168" s="5">
        <f t="shared" si="643"/>
        <v>0</v>
      </c>
      <c r="DQ168" s="8">
        <f t="shared" si="589"/>
        <v>0</v>
      </c>
      <c r="DR168" s="5">
        <f t="shared" si="483"/>
        <v>1.35</v>
      </c>
      <c r="DS168" s="8">
        <f t="shared" si="590"/>
        <v>1.5</v>
      </c>
      <c r="DT168" s="8">
        <f t="shared" si="591"/>
        <v>-0.5</v>
      </c>
      <c r="DU168" s="8">
        <f t="shared" si="591"/>
        <v>0.5</v>
      </c>
      <c r="DV168" s="8">
        <f t="shared" si="591"/>
        <v>0.35</v>
      </c>
      <c r="DW168" s="5">
        <f t="shared" si="561"/>
        <v>0</v>
      </c>
      <c r="DX168" s="8">
        <f t="shared" si="592"/>
        <v>0</v>
      </c>
      <c r="DY168" s="8">
        <f t="shared" si="593"/>
        <v>0</v>
      </c>
      <c r="DZ168" s="8">
        <f t="shared" si="594"/>
        <v>0</v>
      </c>
      <c r="EA168" s="5"/>
    </row>
    <row r="169" spans="1:131" x14ac:dyDescent="0.15">
      <c r="A169" s="5">
        <v>201167</v>
      </c>
      <c r="B169" s="5" t="s">
        <v>386</v>
      </c>
      <c r="C169" s="5"/>
      <c r="D169" s="5"/>
      <c r="E169" s="5"/>
      <c r="F169" s="5">
        <v>0</v>
      </c>
      <c r="G169" s="45"/>
      <c r="H169" s="5"/>
      <c r="I169" s="5"/>
      <c r="J169" s="5"/>
      <c r="K169" s="5"/>
      <c r="L169" s="10"/>
      <c r="M169" s="5"/>
      <c r="N169" s="10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20"/>
      <c r="AF169" s="5"/>
      <c r="AG169" s="5"/>
      <c r="AH169" s="5"/>
      <c r="AI169" s="5"/>
      <c r="AJ169" s="5"/>
      <c r="AK169" s="5"/>
      <c r="AL169" s="5"/>
      <c r="AM169" s="5"/>
      <c r="AN169" s="8"/>
      <c r="AO169" s="5">
        <v>0</v>
      </c>
      <c r="AP169" s="5" t="s">
        <v>386</v>
      </c>
      <c r="AQ169" s="5">
        <v>0</v>
      </c>
      <c r="AR169" s="8">
        <f t="shared" si="568"/>
        <v>3</v>
      </c>
      <c r="AS169" s="6">
        <f t="shared" si="471"/>
        <v>72</v>
      </c>
      <c r="AT169" s="6">
        <f t="shared" si="472"/>
        <v>96</v>
      </c>
      <c r="AU169" s="5">
        <f t="shared" si="569"/>
        <v>0</v>
      </c>
      <c r="AV169" s="5">
        <f t="shared" si="570"/>
        <v>1</v>
      </c>
      <c r="AW169" s="5">
        <f t="shared" si="571"/>
        <v>0</v>
      </c>
      <c r="AX169" s="5">
        <f t="shared" ref="AX169" si="644">AX148</f>
        <v>0</v>
      </c>
      <c r="AY169" s="5">
        <f t="shared" si="571"/>
        <v>0</v>
      </c>
      <c r="AZ169" s="8">
        <f t="shared" si="573"/>
        <v>81</v>
      </c>
      <c r="BA169" s="5">
        <f t="shared" si="563"/>
        <v>203020</v>
      </c>
      <c r="BB169" s="5">
        <v>0</v>
      </c>
      <c r="BC169" s="5">
        <v>0</v>
      </c>
      <c r="BD169" s="5">
        <f t="shared" si="574"/>
        <v>0</v>
      </c>
      <c r="BE169" s="5">
        <f t="shared" si="575"/>
        <v>0</v>
      </c>
      <c r="BF169" s="5">
        <f t="shared" si="576"/>
        <v>0</v>
      </c>
      <c r="BG169" s="5">
        <f t="shared" si="576"/>
        <v>0</v>
      </c>
      <c r="BH169" s="5">
        <f t="shared" si="564"/>
        <v>0</v>
      </c>
      <c r="BI169" s="5">
        <f t="shared" si="576"/>
        <v>0</v>
      </c>
      <c r="BJ169" s="5">
        <f t="shared" si="498"/>
        <v>0</v>
      </c>
      <c r="BK169" s="5">
        <v>0</v>
      </c>
      <c r="BL169" s="5">
        <f t="shared" si="610"/>
        <v>0</v>
      </c>
      <c r="BM169" s="5">
        <f t="shared" si="641"/>
        <v>0</v>
      </c>
      <c r="BN169" s="5">
        <f t="shared" si="577"/>
        <v>0</v>
      </c>
      <c r="BO169" s="5">
        <f t="shared" si="578"/>
        <v>0</v>
      </c>
      <c r="BP169" s="5">
        <f t="shared" si="578"/>
        <v>0</v>
      </c>
      <c r="BQ169" s="5">
        <f t="shared" si="565"/>
        <v>0</v>
      </c>
      <c r="BR169" s="5"/>
      <c r="BS169" s="4">
        <v>4</v>
      </c>
      <c r="BT169" s="4">
        <v>8</v>
      </c>
      <c r="BU169" s="17">
        <f t="shared" si="579"/>
        <v>0</v>
      </c>
      <c r="BV169" s="4">
        <f t="shared" si="475"/>
        <v>8</v>
      </c>
      <c r="BW169" s="4">
        <f t="shared" si="476"/>
        <v>8</v>
      </c>
      <c r="BX169" s="14">
        <f t="shared" si="477"/>
        <v>0.35999999999999993</v>
      </c>
      <c r="BY169" s="14">
        <f t="shared" si="478"/>
        <v>0.2</v>
      </c>
      <c r="BZ169" s="5" t="s">
        <v>239</v>
      </c>
      <c r="CA169" s="8" t="str">
        <f t="shared" si="378"/>
        <v>elite_monster_20</v>
      </c>
      <c r="CB169" s="8" t="str">
        <f t="shared" si="378"/>
        <v>elite_monster_20</v>
      </c>
      <c r="CC169" s="5">
        <v>0</v>
      </c>
      <c r="CD169" s="8">
        <f t="shared" si="580"/>
        <v>1</v>
      </c>
      <c r="CE169" s="5">
        <f t="shared" si="479"/>
        <v>0</v>
      </c>
      <c r="CF169" s="5">
        <f t="shared" si="596"/>
        <v>0</v>
      </c>
      <c r="CG169" s="5" t="s">
        <v>386</v>
      </c>
      <c r="CH169" s="5">
        <f>CH138</f>
        <v>3</v>
      </c>
      <c r="CI169" s="5">
        <v>0</v>
      </c>
      <c r="CJ169" s="4">
        <v>1</v>
      </c>
      <c r="CK169" s="5">
        <v>0</v>
      </c>
      <c r="CL169" s="5">
        <v>0</v>
      </c>
      <c r="CM169" s="20">
        <f t="shared" si="582"/>
        <v>0</v>
      </c>
      <c r="CN169" s="8">
        <f t="shared" si="582"/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201146</v>
      </c>
      <c r="CT169" s="5">
        <v>0</v>
      </c>
      <c r="CU169" s="5">
        <v>0</v>
      </c>
      <c r="CV169" s="8">
        <f t="shared" ref="CV169:CY169" si="645">CV148</f>
        <v>0.8</v>
      </c>
      <c r="CW169" s="8">
        <f t="shared" si="645"/>
        <v>0.6</v>
      </c>
      <c r="CX169" s="8">
        <f t="shared" si="645"/>
        <v>1</v>
      </c>
      <c r="CY169" s="8">
        <f t="shared" si="645"/>
        <v>1</v>
      </c>
      <c r="CZ169" s="8">
        <f t="shared" si="584"/>
        <v>1</v>
      </c>
      <c r="DA169" s="6">
        <f t="shared" si="466"/>
        <v>200</v>
      </c>
      <c r="DB169" s="5">
        <f t="shared" si="585"/>
        <v>0</v>
      </c>
      <c r="DC169" s="5">
        <f t="shared" si="481"/>
        <v>8.7750000000000009E-2</v>
      </c>
      <c r="DD169" s="6">
        <f t="shared" si="467"/>
        <v>8.7750000000000009E-2</v>
      </c>
      <c r="DE169" s="6">
        <f t="shared" si="598"/>
        <v>0.13</v>
      </c>
      <c r="DF169" s="5">
        <v>0</v>
      </c>
      <c r="DG169" s="8">
        <f t="shared" si="586"/>
        <v>2.25</v>
      </c>
      <c r="DH169" s="5">
        <v>1.25</v>
      </c>
      <c r="DI169" s="8">
        <f t="shared" si="587"/>
        <v>0</v>
      </c>
      <c r="DJ169" s="5">
        <f t="shared" si="468"/>
        <v>0</v>
      </c>
      <c r="DK169" s="8">
        <v>0</v>
      </c>
      <c r="DL169" s="5">
        <f t="shared" si="469"/>
        <v>0</v>
      </c>
      <c r="DM169" s="5" t="s">
        <v>386</v>
      </c>
      <c r="DN169" s="8">
        <f t="shared" ref="DN169:DP169" si="646">DN148</f>
        <v>6</v>
      </c>
      <c r="DO169" s="8">
        <f t="shared" si="646"/>
        <v>0</v>
      </c>
      <c r="DP169" s="5">
        <f t="shared" si="646"/>
        <v>0</v>
      </c>
      <c r="DQ169" s="8">
        <f t="shared" si="589"/>
        <v>0</v>
      </c>
      <c r="DR169" s="5">
        <f t="shared" si="483"/>
        <v>0.9</v>
      </c>
      <c r="DS169" s="8">
        <f t="shared" si="590"/>
        <v>1</v>
      </c>
      <c r="DT169" s="8">
        <f t="shared" si="591"/>
        <v>-0.5</v>
      </c>
      <c r="DU169" s="8">
        <f t="shared" si="591"/>
        <v>0.5</v>
      </c>
      <c r="DV169" s="8">
        <f t="shared" si="591"/>
        <v>0.35</v>
      </c>
      <c r="DW169" s="5">
        <f t="shared" si="561"/>
        <v>0.41666666666666669</v>
      </c>
      <c r="DX169" s="8">
        <f t="shared" si="592"/>
        <v>5</v>
      </c>
      <c r="DY169" s="8">
        <f t="shared" si="593"/>
        <v>0</v>
      </c>
      <c r="DZ169" s="8">
        <f t="shared" si="594"/>
        <v>0</v>
      </c>
      <c r="EA169" s="5"/>
    </row>
    <row r="170" spans="1:131" x14ac:dyDescent="0.15">
      <c r="A170" s="5">
        <v>201168</v>
      </c>
      <c r="B170" s="5" t="s">
        <v>387</v>
      </c>
      <c r="C170" s="5"/>
      <c r="D170" s="5"/>
      <c r="E170" s="5"/>
      <c r="F170" s="5">
        <v>0</v>
      </c>
      <c r="G170" s="45"/>
      <c r="H170" s="5"/>
      <c r="I170" s="5"/>
      <c r="J170" s="5"/>
      <c r="K170" s="5"/>
      <c r="L170" s="10"/>
      <c r="M170" s="5"/>
      <c r="N170" s="10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20"/>
      <c r="AF170" s="5"/>
      <c r="AG170" s="5"/>
      <c r="AH170" s="5"/>
      <c r="AI170" s="5"/>
      <c r="AJ170" s="5"/>
      <c r="AK170" s="5"/>
      <c r="AL170" s="5"/>
      <c r="AM170" s="5"/>
      <c r="AN170" s="8"/>
      <c r="AO170" s="5">
        <v>0</v>
      </c>
      <c r="AP170" s="5" t="s">
        <v>387</v>
      </c>
      <c r="AQ170" s="5">
        <v>0</v>
      </c>
      <c r="AR170" s="8">
        <f t="shared" si="568"/>
        <v>2</v>
      </c>
      <c r="AS170" s="6">
        <f t="shared" si="471"/>
        <v>48</v>
      </c>
      <c r="AT170" s="6">
        <f t="shared" si="472"/>
        <v>72</v>
      </c>
      <c r="AU170" s="5">
        <f t="shared" si="569"/>
        <v>0</v>
      </c>
      <c r="AV170" s="5">
        <f t="shared" si="570"/>
        <v>1</v>
      </c>
      <c r="AW170" s="5">
        <f t="shared" si="571"/>
        <v>1</v>
      </c>
      <c r="AX170" s="5">
        <f t="shared" ref="AX170" si="647">AX149</f>
        <v>1</v>
      </c>
      <c r="AY170" s="5">
        <f t="shared" si="571"/>
        <v>1</v>
      </c>
      <c r="AZ170" s="8">
        <f t="shared" si="573"/>
        <v>83</v>
      </c>
      <c r="BA170" s="5">
        <f t="shared" si="563"/>
        <v>203021</v>
      </c>
      <c r="BB170" s="5">
        <v>0</v>
      </c>
      <c r="BC170" s="5">
        <v>0</v>
      </c>
      <c r="BD170" s="5">
        <f t="shared" si="574"/>
        <v>0</v>
      </c>
      <c r="BE170" s="5">
        <f t="shared" si="575"/>
        <v>0</v>
      </c>
      <c r="BF170" s="5">
        <f t="shared" si="576"/>
        <v>0</v>
      </c>
      <c r="BG170" s="5">
        <f t="shared" si="576"/>
        <v>0</v>
      </c>
      <c r="BH170" s="5">
        <f t="shared" si="564"/>
        <v>0</v>
      </c>
      <c r="BI170" s="5">
        <f t="shared" si="576"/>
        <v>0</v>
      </c>
      <c r="BJ170" s="5">
        <f t="shared" si="498"/>
        <v>0</v>
      </c>
      <c r="BK170" s="5">
        <v>0</v>
      </c>
      <c r="BL170" s="5">
        <f t="shared" si="610"/>
        <v>0</v>
      </c>
      <c r="BM170" s="5">
        <f t="shared" si="641"/>
        <v>0</v>
      </c>
      <c r="BN170" s="5">
        <f t="shared" si="577"/>
        <v>0</v>
      </c>
      <c r="BO170" s="5">
        <f t="shared" si="578"/>
        <v>0</v>
      </c>
      <c r="BP170" s="5">
        <f t="shared" si="578"/>
        <v>0</v>
      </c>
      <c r="BQ170" s="5">
        <f t="shared" si="565"/>
        <v>0</v>
      </c>
      <c r="BR170" s="5"/>
      <c r="BS170" s="4">
        <v>4</v>
      </c>
      <c r="BT170" s="4">
        <v>8</v>
      </c>
      <c r="BU170" s="17">
        <f t="shared" si="579"/>
        <v>0</v>
      </c>
      <c r="BV170" s="4">
        <f t="shared" si="475"/>
        <v>8</v>
      </c>
      <c r="BW170" s="4">
        <f t="shared" si="476"/>
        <v>8</v>
      </c>
      <c r="BX170" s="14">
        <f t="shared" si="477"/>
        <v>0.35999999999999993</v>
      </c>
      <c r="BY170" s="14">
        <f t="shared" si="478"/>
        <v>0.2</v>
      </c>
      <c r="BZ170" s="5" t="s">
        <v>242</v>
      </c>
      <c r="CA170" s="8" t="str">
        <f t="shared" si="378"/>
        <v>elite_monster_05_brood</v>
      </c>
      <c r="CB170" s="8" t="str">
        <f t="shared" si="378"/>
        <v>elite_monster_05_brood</v>
      </c>
      <c r="CC170" s="5">
        <v>0</v>
      </c>
      <c r="CD170" s="8">
        <f t="shared" si="580"/>
        <v>1</v>
      </c>
      <c r="CE170" s="5">
        <f t="shared" si="479"/>
        <v>0</v>
      </c>
      <c r="CF170" s="5">
        <f t="shared" si="596"/>
        <v>0</v>
      </c>
      <c r="CG170" s="5" t="s">
        <v>387</v>
      </c>
      <c r="CH170" s="5">
        <f>CH139</f>
        <v>3</v>
      </c>
      <c r="CI170" s="5">
        <v>0</v>
      </c>
      <c r="CJ170" s="4">
        <v>1</v>
      </c>
      <c r="CK170" s="5">
        <v>0</v>
      </c>
      <c r="CL170" s="5">
        <v>0</v>
      </c>
      <c r="CM170" s="20">
        <f t="shared" si="582"/>
        <v>0</v>
      </c>
      <c r="CN170" s="8">
        <f t="shared" si="582"/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8">
        <f t="shared" ref="CV170:CY170" si="648">CV149</f>
        <v>0.8</v>
      </c>
      <c r="CW170" s="8">
        <f t="shared" si="648"/>
        <v>0.6</v>
      </c>
      <c r="CX170" s="8">
        <f t="shared" si="648"/>
        <v>1</v>
      </c>
      <c r="CY170" s="8">
        <f t="shared" si="648"/>
        <v>1</v>
      </c>
      <c r="CZ170" s="8">
        <f t="shared" si="584"/>
        <v>1</v>
      </c>
      <c r="DA170" s="6">
        <f t="shared" si="466"/>
        <v>200</v>
      </c>
      <c r="DB170" s="5">
        <f t="shared" si="585"/>
        <v>0</v>
      </c>
      <c r="DC170" s="5">
        <f t="shared" si="481"/>
        <v>0.40500000000000003</v>
      </c>
      <c r="DD170" s="6">
        <f t="shared" si="467"/>
        <v>0.40500000000000003</v>
      </c>
      <c r="DE170" s="6">
        <f t="shared" si="598"/>
        <v>0.6</v>
      </c>
      <c r="DF170" s="5">
        <v>1</v>
      </c>
      <c r="DG170" s="8">
        <f t="shared" si="586"/>
        <v>2.5</v>
      </c>
      <c r="DH170" s="5">
        <v>1.5</v>
      </c>
      <c r="DI170" s="8">
        <f t="shared" si="587"/>
        <v>0</v>
      </c>
      <c r="DJ170" s="5">
        <f t="shared" si="468"/>
        <v>0</v>
      </c>
      <c r="DK170" s="8">
        <v>0</v>
      </c>
      <c r="DL170" s="5">
        <f t="shared" si="469"/>
        <v>0</v>
      </c>
      <c r="DM170" s="5" t="s">
        <v>387</v>
      </c>
      <c r="DN170" s="8">
        <f t="shared" ref="DN170:DP170" si="649">DN149</f>
        <v>8</v>
      </c>
      <c r="DO170" s="8">
        <f t="shared" si="649"/>
        <v>0</v>
      </c>
      <c r="DP170" s="5">
        <f t="shared" si="649"/>
        <v>0</v>
      </c>
      <c r="DQ170" s="8">
        <f t="shared" si="589"/>
        <v>0</v>
      </c>
      <c r="DR170" s="5">
        <f t="shared" si="483"/>
        <v>0.9</v>
      </c>
      <c r="DS170" s="8">
        <f t="shared" si="590"/>
        <v>1</v>
      </c>
      <c r="DT170" s="8">
        <f t="shared" si="591"/>
        <v>-0.5</v>
      </c>
      <c r="DU170" s="8">
        <f t="shared" si="591"/>
        <v>0.5</v>
      </c>
      <c r="DV170" s="8">
        <f t="shared" si="591"/>
        <v>0.5</v>
      </c>
      <c r="DW170" s="5">
        <f t="shared" si="561"/>
        <v>0.5</v>
      </c>
      <c r="DX170" s="8">
        <f t="shared" si="592"/>
        <v>6</v>
      </c>
      <c r="DY170" s="8">
        <f t="shared" si="593"/>
        <v>0</v>
      </c>
      <c r="DZ170" s="8">
        <f t="shared" si="594"/>
        <v>0</v>
      </c>
      <c r="EA170" s="5"/>
    </row>
    <row r="171" spans="1:131" x14ac:dyDescent="0.15">
      <c r="A171" s="5">
        <v>201169</v>
      </c>
      <c r="B171" s="5" t="s">
        <v>388</v>
      </c>
      <c r="C171" s="5"/>
      <c r="D171" s="5"/>
      <c r="E171" s="5"/>
      <c r="F171" s="5">
        <v>0</v>
      </c>
      <c r="G171" s="45"/>
      <c r="H171" s="5"/>
      <c r="I171" s="5"/>
      <c r="J171" s="5"/>
      <c r="K171" s="5"/>
      <c r="L171" s="10"/>
      <c r="M171" s="5"/>
      <c r="N171" s="10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20"/>
      <c r="AF171" s="5"/>
      <c r="AG171" s="5"/>
      <c r="AH171" s="5"/>
      <c r="AI171" s="5"/>
      <c r="AJ171" s="5"/>
      <c r="AK171" s="5"/>
      <c r="AL171" s="5"/>
      <c r="AM171" s="5"/>
      <c r="AN171" s="8"/>
      <c r="AO171" s="5">
        <v>0</v>
      </c>
      <c r="AP171" s="5" t="s">
        <v>388</v>
      </c>
      <c r="AQ171" s="5">
        <v>0</v>
      </c>
      <c r="AR171" s="8">
        <f t="shared" si="568"/>
        <v>3</v>
      </c>
      <c r="AS171" s="6">
        <f t="shared" si="471"/>
        <v>81</v>
      </c>
      <c r="AT171" s="6">
        <f t="shared" si="472"/>
        <v>108</v>
      </c>
      <c r="AU171" s="5">
        <f t="shared" si="569"/>
        <v>0</v>
      </c>
      <c r="AV171" s="5">
        <f t="shared" si="570"/>
        <v>1</v>
      </c>
      <c r="AW171" s="5">
        <f t="shared" si="571"/>
        <v>1</v>
      </c>
      <c r="AX171" s="5">
        <f t="shared" ref="AX171" si="650">AX150</f>
        <v>1</v>
      </c>
      <c r="AY171" s="5">
        <f t="shared" si="571"/>
        <v>1</v>
      </c>
      <c r="AZ171" s="8">
        <f t="shared" si="573"/>
        <v>93</v>
      </c>
      <c r="BA171" s="5">
        <f t="shared" si="563"/>
        <v>203001</v>
      </c>
      <c r="BB171" s="5">
        <v>0</v>
      </c>
      <c r="BC171" s="5">
        <v>0</v>
      </c>
      <c r="BD171" s="5">
        <f t="shared" si="574"/>
        <v>0</v>
      </c>
      <c r="BE171" s="5">
        <f t="shared" si="575"/>
        <v>0</v>
      </c>
      <c r="BF171" s="5">
        <f t="shared" si="576"/>
        <v>0</v>
      </c>
      <c r="BG171" s="5">
        <f t="shared" si="576"/>
        <v>0</v>
      </c>
      <c r="BH171" s="5">
        <f t="shared" si="564"/>
        <v>0</v>
      </c>
      <c r="BI171" s="5">
        <f t="shared" si="576"/>
        <v>0</v>
      </c>
      <c r="BJ171" s="5">
        <f t="shared" si="498"/>
        <v>0</v>
      </c>
      <c r="BK171" s="5">
        <v>0</v>
      </c>
      <c r="BL171" s="5">
        <f t="shared" si="610"/>
        <v>0</v>
      </c>
      <c r="BM171" s="5">
        <f t="shared" si="641"/>
        <v>0</v>
      </c>
      <c r="BN171" s="5">
        <f t="shared" si="577"/>
        <v>0</v>
      </c>
      <c r="BO171" s="5">
        <f t="shared" si="578"/>
        <v>0</v>
      </c>
      <c r="BP171" s="5">
        <f t="shared" si="578"/>
        <v>0</v>
      </c>
      <c r="BQ171" s="5">
        <f t="shared" si="565"/>
        <v>0</v>
      </c>
      <c r="BR171" s="5"/>
      <c r="BS171" s="4">
        <v>1</v>
      </c>
      <c r="BT171" s="4">
        <v>9</v>
      </c>
      <c r="BU171" s="17">
        <f t="shared" si="579"/>
        <v>0</v>
      </c>
      <c r="BV171" s="4">
        <f t="shared" si="475"/>
        <v>9</v>
      </c>
      <c r="BW171" s="4">
        <f t="shared" si="476"/>
        <v>9</v>
      </c>
      <c r="BX171" s="14">
        <f t="shared" si="477"/>
        <v>0.28999999999999992</v>
      </c>
      <c r="BY171" s="14">
        <f t="shared" si="478"/>
        <v>0.15000000000000002</v>
      </c>
      <c r="BZ171" s="5" t="s">
        <v>117</v>
      </c>
      <c r="CA171" s="8" t="str">
        <f t="shared" si="378"/>
        <v>monster_01</v>
      </c>
      <c r="CB171" s="8" t="str">
        <f t="shared" si="378"/>
        <v>monster_01</v>
      </c>
      <c r="CC171" s="5">
        <v>0</v>
      </c>
      <c r="CD171" s="8">
        <f t="shared" si="580"/>
        <v>2</v>
      </c>
      <c r="CE171" s="5">
        <f t="shared" si="479"/>
        <v>0</v>
      </c>
      <c r="CF171" s="5">
        <f t="shared" si="596"/>
        <v>0</v>
      </c>
      <c r="CG171" s="5" t="s">
        <v>388</v>
      </c>
      <c r="CH171" s="5">
        <f t="shared" si="581"/>
        <v>0</v>
      </c>
      <c r="CI171" s="5">
        <v>101</v>
      </c>
      <c r="CJ171" s="4">
        <v>0</v>
      </c>
      <c r="CK171" s="5">
        <v>0</v>
      </c>
      <c r="CL171" s="5">
        <v>0</v>
      </c>
      <c r="CM171" s="20">
        <f t="shared" si="582"/>
        <v>0</v>
      </c>
      <c r="CN171" s="8">
        <f t="shared" si="582"/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8">
        <f t="shared" ref="CV171:CY171" si="651">CV150</f>
        <v>1</v>
      </c>
      <c r="CW171" s="8">
        <f t="shared" si="651"/>
        <v>0.6</v>
      </c>
      <c r="CX171" s="8">
        <f t="shared" si="651"/>
        <v>1.25</v>
      </c>
      <c r="CY171" s="8">
        <f t="shared" si="651"/>
        <v>1.06</v>
      </c>
      <c r="CZ171" s="8">
        <f t="shared" si="584"/>
        <v>1</v>
      </c>
      <c r="DA171" s="6">
        <f t="shared" si="466"/>
        <v>225</v>
      </c>
      <c r="DB171" s="5">
        <f t="shared" si="585"/>
        <v>0</v>
      </c>
      <c r="DC171" s="5">
        <f t="shared" si="481"/>
        <v>0.35</v>
      </c>
      <c r="DD171" s="6">
        <f t="shared" si="467"/>
        <v>0.35</v>
      </c>
      <c r="DE171" s="6">
        <f t="shared" si="598"/>
        <v>0.5</v>
      </c>
      <c r="DF171" s="5">
        <v>0</v>
      </c>
      <c r="DG171" s="8">
        <f t="shared" si="586"/>
        <v>2.25</v>
      </c>
      <c r="DH171" s="5">
        <v>1.25</v>
      </c>
      <c r="DI171" s="8">
        <f t="shared" si="587"/>
        <v>1.25</v>
      </c>
      <c r="DJ171" s="5">
        <f t="shared" si="468"/>
        <v>34.375</v>
      </c>
      <c r="DK171" s="8">
        <v>0</v>
      </c>
      <c r="DL171" s="5">
        <f t="shared" si="469"/>
        <v>0</v>
      </c>
      <c r="DM171" s="5" t="s">
        <v>388</v>
      </c>
      <c r="DN171" s="8">
        <f t="shared" ref="DN171:DP171" si="652">DN150</f>
        <v>6</v>
      </c>
      <c r="DO171" s="8">
        <f t="shared" si="652"/>
        <v>0</v>
      </c>
      <c r="DP171" s="5">
        <f t="shared" si="652"/>
        <v>0</v>
      </c>
      <c r="DQ171" s="8">
        <f t="shared" si="589"/>
        <v>0</v>
      </c>
      <c r="DR171" s="5">
        <f t="shared" si="483"/>
        <v>2.7</v>
      </c>
      <c r="DS171" s="8">
        <f t="shared" si="590"/>
        <v>3</v>
      </c>
      <c r="DT171" s="8">
        <f t="shared" si="591"/>
        <v>-0.3</v>
      </c>
      <c r="DU171" s="8">
        <f t="shared" si="591"/>
        <v>3</v>
      </c>
      <c r="DV171" s="8">
        <f t="shared" si="591"/>
        <v>0.35</v>
      </c>
      <c r="DW171" s="5">
        <f t="shared" si="561"/>
        <v>0.58333333333333337</v>
      </c>
      <c r="DX171" s="8">
        <f t="shared" si="592"/>
        <v>7</v>
      </c>
      <c r="DY171" s="8">
        <f t="shared" si="593"/>
        <v>0</v>
      </c>
      <c r="DZ171" s="8">
        <f t="shared" si="594"/>
        <v>0</v>
      </c>
      <c r="EA171" s="5"/>
    </row>
    <row r="172" spans="1:131" x14ac:dyDescent="0.15">
      <c r="A172" s="5">
        <v>201170</v>
      </c>
      <c r="B172" s="5" t="s">
        <v>389</v>
      </c>
      <c r="C172" s="5"/>
      <c r="D172" s="5"/>
      <c r="E172" s="5"/>
      <c r="F172" s="5">
        <v>0</v>
      </c>
      <c r="G172" s="45"/>
      <c r="H172" s="5"/>
      <c r="I172" s="5"/>
      <c r="J172" s="5"/>
      <c r="K172" s="5"/>
      <c r="L172" s="10"/>
      <c r="M172" s="5"/>
      <c r="N172" s="10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20"/>
      <c r="AF172" s="5"/>
      <c r="AG172" s="5"/>
      <c r="AH172" s="5"/>
      <c r="AI172" s="5"/>
      <c r="AJ172" s="5"/>
      <c r="AK172" s="5"/>
      <c r="AL172" s="5"/>
      <c r="AM172" s="5"/>
      <c r="AN172" s="8"/>
      <c r="AO172" s="5">
        <v>0</v>
      </c>
      <c r="AP172" s="5" t="s">
        <v>389</v>
      </c>
      <c r="AQ172" s="5">
        <v>0</v>
      </c>
      <c r="AR172" s="8">
        <f t="shared" si="568"/>
        <v>3</v>
      </c>
      <c r="AS172" s="6">
        <f t="shared" si="471"/>
        <v>81</v>
      </c>
      <c r="AT172" s="6">
        <f t="shared" si="472"/>
        <v>108</v>
      </c>
      <c r="AU172" s="5">
        <f t="shared" si="569"/>
        <v>0</v>
      </c>
      <c r="AV172" s="5">
        <f t="shared" si="570"/>
        <v>1</v>
      </c>
      <c r="AW172" s="5">
        <f t="shared" si="571"/>
        <v>0</v>
      </c>
      <c r="AX172" s="5">
        <f t="shared" ref="AX172" si="653">AX151</f>
        <v>0</v>
      </c>
      <c r="AY172" s="5">
        <f t="shared" si="571"/>
        <v>0</v>
      </c>
      <c r="AZ172" s="8">
        <f t="shared" si="573"/>
        <v>93</v>
      </c>
      <c r="BA172" s="5">
        <f t="shared" si="563"/>
        <v>203002</v>
      </c>
      <c r="BB172" s="5">
        <v>0</v>
      </c>
      <c r="BC172" s="5">
        <v>0</v>
      </c>
      <c r="BD172" s="5">
        <f t="shared" si="574"/>
        <v>0</v>
      </c>
      <c r="BE172" s="5">
        <f t="shared" si="575"/>
        <v>0</v>
      </c>
      <c r="BF172" s="5">
        <f t="shared" si="576"/>
        <v>0</v>
      </c>
      <c r="BG172" s="5">
        <f t="shared" si="576"/>
        <v>0</v>
      </c>
      <c r="BH172" s="5">
        <f t="shared" si="564"/>
        <v>0</v>
      </c>
      <c r="BI172" s="5">
        <f t="shared" si="576"/>
        <v>0</v>
      </c>
      <c r="BJ172" s="5">
        <f t="shared" si="498"/>
        <v>0</v>
      </c>
      <c r="BK172" s="5">
        <v>0</v>
      </c>
      <c r="BL172" s="5">
        <f t="shared" si="610"/>
        <v>0</v>
      </c>
      <c r="BM172" s="5">
        <f t="shared" si="641"/>
        <v>0</v>
      </c>
      <c r="BN172" s="5">
        <f t="shared" si="577"/>
        <v>0</v>
      </c>
      <c r="BO172" s="5">
        <f t="shared" si="578"/>
        <v>0</v>
      </c>
      <c r="BP172" s="5">
        <f t="shared" si="578"/>
        <v>0</v>
      </c>
      <c r="BQ172" s="5">
        <f t="shared" si="565"/>
        <v>0</v>
      </c>
      <c r="BR172" s="5"/>
      <c r="BS172" s="4">
        <v>1</v>
      </c>
      <c r="BT172" s="4">
        <v>9</v>
      </c>
      <c r="BU172" s="17">
        <f t="shared" si="579"/>
        <v>0</v>
      </c>
      <c r="BV172" s="4">
        <f t="shared" si="475"/>
        <v>9</v>
      </c>
      <c r="BW172" s="4">
        <f t="shared" si="476"/>
        <v>9</v>
      </c>
      <c r="BX172" s="14">
        <f t="shared" si="477"/>
        <v>0.28999999999999992</v>
      </c>
      <c r="BY172" s="14">
        <f t="shared" si="478"/>
        <v>0.15000000000000002</v>
      </c>
      <c r="BZ172" s="5" t="s">
        <v>120</v>
      </c>
      <c r="CA172" s="8" t="str">
        <f t="shared" si="378"/>
        <v>monster_02</v>
      </c>
      <c r="CB172" s="8" t="str">
        <f t="shared" si="378"/>
        <v>monster_02</v>
      </c>
      <c r="CC172" s="5">
        <v>0</v>
      </c>
      <c r="CD172" s="8">
        <f t="shared" si="580"/>
        <v>1</v>
      </c>
      <c r="CE172" s="5">
        <f t="shared" si="479"/>
        <v>0</v>
      </c>
      <c r="CF172" s="5">
        <f t="shared" si="596"/>
        <v>0</v>
      </c>
      <c r="CG172" s="5" t="s">
        <v>389</v>
      </c>
      <c r="CH172" s="5">
        <f t="shared" si="581"/>
        <v>3</v>
      </c>
      <c r="CI172" s="5">
        <v>0</v>
      </c>
      <c r="CJ172" s="4">
        <v>0</v>
      </c>
      <c r="CK172" s="5">
        <v>0</v>
      </c>
      <c r="CL172" s="5">
        <v>0</v>
      </c>
      <c r="CM172" s="20">
        <f t="shared" si="582"/>
        <v>0</v>
      </c>
      <c r="CN172" s="8">
        <f t="shared" si="582"/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8">
        <f t="shared" ref="CV172:CY172" si="654">CV151</f>
        <v>0.8</v>
      </c>
      <c r="CW172" s="8">
        <f t="shared" si="654"/>
        <v>0.6</v>
      </c>
      <c r="CX172" s="8">
        <f t="shared" si="654"/>
        <v>1.34</v>
      </c>
      <c r="CY172" s="8">
        <f t="shared" si="654"/>
        <v>1.35</v>
      </c>
      <c r="CZ172" s="8">
        <f t="shared" si="584"/>
        <v>1</v>
      </c>
      <c r="DA172" s="6">
        <f t="shared" si="466"/>
        <v>225</v>
      </c>
      <c r="DB172" s="5">
        <f t="shared" si="585"/>
        <v>0</v>
      </c>
      <c r="DC172" s="5">
        <f t="shared" si="481"/>
        <v>0.7</v>
      </c>
      <c r="DD172" s="6">
        <f t="shared" si="467"/>
        <v>0.7</v>
      </c>
      <c r="DE172" s="6">
        <f t="shared" si="598"/>
        <v>1</v>
      </c>
      <c r="DF172" s="5">
        <v>0</v>
      </c>
      <c r="DG172" s="8">
        <f t="shared" si="586"/>
        <v>2.25</v>
      </c>
      <c r="DH172" s="5">
        <v>1.25</v>
      </c>
      <c r="DI172" s="8">
        <f t="shared" si="587"/>
        <v>0</v>
      </c>
      <c r="DJ172" s="5">
        <f t="shared" si="468"/>
        <v>0</v>
      </c>
      <c r="DK172" s="8">
        <v>0</v>
      </c>
      <c r="DL172" s="5">
        <f t="shared" si="469"/>
        <v>0</v>
      </c>
      <c r="DM172" s="5" t="s">
        <v>389</v>
      </c>
      <c r="DN172" s="8">
        <f t="shared" ref="DN172:DP172" si="655">DN151</f>
        <v>8</v>
      </c>
      <c r="DO172" s="8">
        <f t="shared" si="655"/>
        <v>0</v>
      </c>
      <c r="DP172" s="5">
        <f t="shared" si="655"/>
        <v>0</v>
      </c>
      <c r="DQ172" s="8">
        <f t="shared" si="589"/>
        <v>0</v>
      </c>
      <c r="DR172" s="5">
        <f t="shared" si="483"/>
        <v>0.9</v>
      </c>
      <c r="DS172" s="8">
        <f t="shared" si="590"/>
        <v>1</v>
      </c>
      <c r="DT172" s="8">
        <f t="shared" si="591"/>
        <v>-0.5</v>
      </c>
      <c r="DU172" s="8">
        <f t="shared" si="591"/>
        <v>0.5</v>
      </c>
      <c r="DV172" s="8">
        <f t="shared" si="591"/>
        <v>0.35</v>
      </c>
      <c r="DW172" s="5">
        <f t="shared" ref="DW172:DW192" si="656">DX172/12</f>
        <v>0.58333333333333337</v>
      </c>
      <c r="DX172" s="8">
        <f t="shared" si="592"/>
        <v>7</v>
      </c>
      <c r="DY172" s="8">
        <f t="shared" si="593"/>
        <v>0</v>
      </c>
      <c r="DZ172" s="8">
        <f t="shared" si="594"/>
        <v>0</v>
      </c>
      <c r="EA172" s="5"/>
    </row>
    <row r="173" spans="1:131" x14ac:dyDescent="0.15">
      <c r="A173" s="5">
        <v>201171</v>
      </c>
      <c r="B173" s="5" t="s">
        <v>390</v>
      </c>
      <c r="C173" s="5"/>
      <c r="D173" s="5"/>
      <c r="E173" s="5"/>
      <c r="F173" s="5">
        <v>0</v>
      </c>
      <c r="G173" s="45"/>
      <c r="H173" s="5"/>
      <c r="I173" s="5"/>
      <c r="J173" s="5"/>
      <c r="K173" s="5"/>
      <c r="L173" s="10"/>
      <c r="M173" s="5"/>
      <c r="N173" s="10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20"/>
      <c r="AF173" s="5"/>
      <c r="AG173" s="5"/>
      <c r="AH173" s="5"/>
      <c r="AI173" s="5"/>
      <c r="AJ173" s="5"/>
      <c r="AK173" s="5"/>
      <c r="AL173" s="5"/>
      <c r="AM173" s="5"/>
      <c r="AN173" s="8"/>
      <c r="AO173" s="5">
        <v>0</v>
      </c>
      <c r="AP173" s="5" t="s">
        <v>390</v>
      </c>
      <c r="AQ173" s="5">
        <v>0</v>
      </c>
      <c r="AR173" s="8">
        <f t="shared" si="568"/>
        <v>3</v>
      </c>
      <c r="AS173" s="6">
        <f t="shared" si="471"/>
        <v>81</v>
      </c>
      <c r="AT173" s="6">
        <f t="shared" si="472"/>
        <v>108</v>
      </c>
      <c r="AU173" s="5">
        <f t="shared" si="569"/>
        <v>0</v>
      </c>
      <c r="AV173" s="5">
        <f t="shared" si="570"/>
        <v>1</v>
      </c>
      <c r="AW173" s="5">
        <f t="shared" si="571"/>
        <v>1</v>
      </c>
      <c r="AX173" s="5">
        <f t="shared" ref="AX173" si="657">AX152</f>
        <v>1</v>
      </c>
      <c r="AY173" s="5">
        <f t="shared" si="571"/>
        <v>0</v>
      </c>
      <c r="AZ173" s="8">
        <f t="shared" si="573"/>
        <v>92</v>
      </c>
      <c r="BA173" s="5">
        <f t="shared" si="563"/>
        <v>203003</v>
      </c>
      <c r="BB173" s="5">
        <v>0</v>
      </c>
      <c r="BC173" s="5">
        <v>0</v>
      </c>
      <c r="BD173" s="5">
        <f t="shared" si="574"/>
        <v>1</v>
      </c>
      <c r="BE173" s="5">
        <f t="shared" si="575"/>
        <v>0</v>
      </c>
      <c r="BF173" s="5">
        <f t="shared" si="576"/>
        <v>0</v>
      </c>
      <c r="BG173" s="5">
        <f t="shared" si="576"/>
        <v>0</v>
      </c>
      <c r="BH173" s="5">
        <f t="shared" si="564"/>
        <v>0</v>
      </c>
      <c r="BI173" s="5">
        <f t="shared" si="576"/>
        <v>0</v>
      </c>
      <c r="BJ173" s="5">
        <f t="shared" si="498"/>
        <v>0</v>
      </c>
      <c r="BK173" s="5">
        <v>0</v>
      </c>
      <c r="BL173" s="5">
        <f t="shared" si="610"/>
        <v>0</v>
      </c>
      <c r="BM173" s="5">
        <f t="shared" si="641"/>
        <v>0</v>
      </c>
      <c r="BN173" s="5">
        <f t="shared" si="577"/>
        <v>0</v>
      </c>
      <c r="BO173" s="5">
        <f t="shared" si="578"/>
        <v>0</v>
      </c>
      <c r="BP173" s="5">
        <f t="shared" si="578"/>
        <v>0</v>
      </c>
      <c r="BQ173" s="5">
        <f t="shared" si="565"/>
        <v>0</v>
      </c>
      <c r="BR173" s="5"/>
      <c r="BS173" s="4">
        <v>1</v>
      </c>
      <c r="BT173" s="4">
        <v>9</v>
      </c>
      <c r="BU173" s="17">
        <f t="shared" si="579"/>
        <v>0</v>
      </c>
      <c r="BV173" s="4">
        <f t="shared" si="475"/>
        <v>9</v>
      </c>
      <c r="BW173" s="4">
        <f t="shared" si="476"/>
        <v>9</v>
      </c>
      <c r="BX173" s="14">
        <f t="shared" si="477"/>
        <v>0.28999999999999992</v>
      </c>
      <c r="BY173" s="14">
        <f t="shared" si="478"/>
        <v>0.15000000000000002</v>
      </c>
      <c r="BZ173" s="5" t="s">
        <v>123</v>
      </c>
      <c r="CA173" s="8" t="str">
        <f t="shared" si="378"/>
        <v>monster_03</v>
      </c>
      <c r="CB173" s="8" t="str">
        <f t="shared" si="378"/>
        <v>monster_03</v>
      </c>
      <c r="CC173" s="5">
        <v>0</v>
      </c>
      <c r="CD173" s="8">
        <f t="shared" si="580"/>
        <v>3</v>
      </c>
      <c r="CE173" s="5">
        <f t="shared" si="479"/>
        <v>9</v>
      </c>
      <c r="CF173" s="5">
        <f t="shared" si="596"/>
        <v>1</v>
      </c>
      <c r="CG173" s="5" t="s">
        <v>390</v>
      </c>
      <c r="CH173" s="5">
        <f t="shared" si="581"/>
        <v>0</v>
      </c>
      <c r="CI173" s="5">
        <v>102</v>
      </c>
      <c r="CJ173" s="4">
        <v>0</v>
      </c>
      <c r="CK173" s="5">
        <v>0</v>
      </c>
      <c r="CL173" s="5">
        <v>0</v>
      </c>
      <c r="CM173" s="20">
        <f t="shared" si="582"/>
        <v>0</v>
      </c>
      <c r="CN173" s="8">
        <f t="shared" si="582"/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8">
        <f t="shared" ref="CV173:CY173" si="658">CV152</f>
        <v>0.8</v>
      </c>
      <c r="CW173" s="8">
        <f t="shared" si="658"/>
        <v>0.6</v>
      </c>
      <c r="CX173" s="8">
        <f t="shared" si="658"/>
        <v>1</v>
      </c>
      <c r="CY173" s="8">
        <f t="shared" si="658"/>
        <v>1</v>
      </c>
      <c r="CZ173" s="8">
        <f t="shared" si="584"/>
        <v>1</v>
      </c>
      <c r="DA173" s="6">
        <f t="shared" si="466"/>
        <v>225</v>
      </c>
      <c r="DB173" s="5">
        <f t="shared" si="585"/>
        <v>0</v>
      </c>
      <c r="DC173" s="5">
        <f t="shared" si="481"/>
        <v>0.42</v>
      </c>
      <c r="DD173" s="6">
        <f t="shared" si="467"/>
        <v>0.42</v>
      </c>
      <c r="DE173" s="6">
        <f t="shared" si="598"/>
        <v>0.6</v>
      </c>
      <c r="DF173" s="5">
        <v>0</v>
      </c>
      <c r="DG173" s="8">
        <f t="shared" si="586"/>
        <v>2</v>
      </c>
      <c r="DH173" s="5">
        <v>1</v>
      </c>
      <c r="DI173" s="8">
        <f t="shared" si="587"/>
        <v>2</v>
      </c>
      <c r="DJ173" s="5">
        <f t="shared" si="468"/>
        <v>55</v>
      </c>
      <c r="DK173" s="8">
        <v>0</v>
      </c>
      <c r="DL173" s="5">
        <f t="shared" si="469"/>
        <v>0</v>
      </c>
      <c r="DM173" s="5" t="s">
        <v>390</v>
      </c>
      <c r="DN173" s="8">
        <f t="shared" ref="DN173:DP173" si="659">DN152</f>
        <v>6</v>
      </c>
      <c r="DO173" s="8">
        <f t="shared" si="659"/>
        <v>0</v>
      </c>
      <c r="DP173" s="5">
        <f t="shared" si="659"/>
        <v>0</v>
      </c>
      <c r="DQ173" s="8">
        <f t="shared" si="589"/>
        <v>0</v>
      </c>
      <c r="DR173" s="5">
        <f t="shared" si="483"/>
        <v>0.9</v>
      </c>
      <c r="DS173" s="8">
        <f t="shared" si="590"/>
        <v>1</v>
      </c>
      <c r="DT173" s="8">
        <f t="shared" si="591"/>
        <v>-0.5</v>
      </c>
      <c r="DU173" s="8">
        <f t="shared" si="591"/>
        <v>0.5</v>
      </c>
      <c r="DV173" s="8">
        <f t="shared" si="591"/>
        <v>0.3</v>
      </c>
      <c r="DW173" s="5">
        <f t="shared" si="656"/>
        <v>0.5</v>
      </c>
      <c r="DX173" s="8">
        <f t="shared" si="592"/>
        <v>6</v>
      </c>
      <c r="DY173" s="8">
        <f t="shared" si="593"/>
        <v>0</v>
      </c>
      <c r="DZ173" s="8">
        <f t="shared" si="594"/>
        <v>0</v>
      </c>
      <c r="EA173" s="5"/>
    </row>
    <row r="174" spans="1:131" x14ac:dyDescent="0.15">
      <c r="A174" s="5">
        <v>201172</v>
      </c>
      <c r="B174" s="5" t="s">
        <v>391</v>
      </c>
      <c r="C174" s="5"/>
      <c r="D174" s="5"/>
      <c r="E174" s="5"/>
      <c r="F174" s="5">
        <v>0</v>
      </c>
      <c r="G174" s="45"/>
      <c r="H174" s="5"/>
      <c r="I174" s="5"/>
      <c r="J174" s="5"/>
      <c r="K174" s="5"/>
      <c r="L174" s="10"/>
      <c r="M174" s="5"/>
      <c r="N174" s="10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20"/>
      <c r="AF174" s="5"/>
      <c r="AG174" s="5"/>
      <c r="AH174" s="5"/>
      <c r="AI174" s="5"/>
      <c r="AJ174" s="5"/>
      <c r="AK174" s="5"/>
      <c r="AL174" s="5"/>
      <c r="AM174" s="5"/>
      <c r="AN174" s="8"/>
      <c r="AO174" s="5">
        <v>0</v>
      </c>
      <c r="AP174" s="5" t="s">
        <v>391</v>
      </c>
      <c r="AQ174" s="5">
        <v>0</v>
      </c>
      <c r="AR174" s="8">
        <f t="shared" si="568"/>
        <v>4</v>
      </c>
      <c r="AS174" s="6">
        <f t="shared" si="471"/>
        <v>108</v>
      </c>
      <c r="AT174" s="6">
        <f t="shared" si="472"/>
        <v>135</v>
      </c>
      <c r="AU174" s="5">
        <f t="shared" si="569"/>
        <v>0.2</v>
      </c>
      <c r="AV174" s="5">
        <f t="shared" si="570"/>
        <v>1</v>
      </c>
      <c r="AW174" s="5">
        <f t="shared" si="571"/>
        <v>1</v>
      </c>
      <c r="AX174" s="5">
        <f t="shared" ref="AX174" si="660">AX153</f>
        <v>1</v>
      </c>
      <c r="AY174" s="5">
        <f t="shared" si="571"/>
        <v>1</v>
      </c>
      <c r="AZ174" s="8">
        <f t="shared" si="573"/>
        <v>92</v>
      </c>
      <c r="BA174" s="5">
        <f t="shared" si="563"/>
        <v>203004</v>
      </c>
      <c r="BB174" s="5">
        <v>0</v>
      </c>
      <c r="BC174" s="5">
        <v>0</v>
      </c>
      <c r="BD174" s="5">
        <f t="shared" si="574"/>
        <v>0</v>
      </c>
      <c r="BE174" s="5">
        <f t="shared" si="575"/>
        <v>0</v>
      </c>
      <c r="BF174" s="5">
        <f t="shared" si="576"/>
        <v>0</v>
      </c>
      <c r="BG174" s="5">
        <f t="shared" si="576"/>
        <v>0</v>
      </c>
      <c r="BH174" s="5">
        <f t="shared" si="564"/>
        <v>0</v>
      </c>
      <c r="BI174" s="5">
        <f t="shared" si="576"/>
        <v>0</v>
      </c>
      <c r="BJ174" s="5">
        <f t="shared" si="498"/>
        <v>0</v>
      </c>
      <c r="BK174" s="5">
        <v>0</v>
      </c>
      <c r="BL174" s="5">
        <f t="shared" si="610"/>
        <v>0</v>
      </c>
      <c r="BM174" s="5">
        <f t="shared" si="641"/>
        <v>0</v>
      </c>
      <c r="BN174" s="5">
        <f t="shared" si="577"/>
        <v>0</v>
      </c>
      <c r="BO174" s="5">
        <f t="shared" si="578"/>
        <v>0</v>
      </c>
      <c r="BP174" s="5">
        <f t="shared" si="578"/>
        <v>0</v>
      </c>
      <c r="BQ174" s="5">
        <f t="shared" si="565"/>
        <v>0</v>
      </c>
      <c r="BR174" s="5"/>
      <c r="BS174" s="4">
        <v>1</v>
      </c>
      <c r="BT174" s="4">
        <v>9</v>
      </c>
      <c r="BU174" s="17">
        <f t="shared" si="579"/>
        <v>0</v>
      </c>
      <c r="BV174" s="4">
        <f t="shared" si="475"/>
        <v>9</v>
      </c>
      <c r="BW174" s="4">
        <f t="shared" si="476"/>
        <v>9</v>
      </c>
      <c r="BX174" s="14">
        <f t="shared" si="477"/>
        <v>0.28999999999999992</v>
      </c>
      <c r="BY174" s="14">
        <f t="shared" si="478"/>
        <v>0.15000000000000002</v>
      </c>
      <c r="BZ174" s="5" t="s">
        <v>126</v>
      </c>
      <c r="CA174" s="8" t="str">
        <f t="shared" ref="CA174:CB212" si="661">CA132</f>
        <v>monster_04</v>
      </c>
      <c r="CB174" s="8" t="str">
        <f t="shared" si="661"/>
        <v>monster_04</v>
      </c>
      <c r="CC174" s="5">
        <v>0</v>
      </c>
      <c r="CD174" s="8">
        <f t="shared" si="580"/>
        <v>1</v>
      </c>
      <c r="CE174" s="5">
        <f t="shared" si="479"/>
        <v>0</v>
      </c>
      <c r="CF174" s="5">
        <f t="shared" si="596"/>
        <v>0</v>
      </c>
      <c r="CG174" s="5" t="s">
        <v>391</v>
      </c>
      <c r="CH174" s="5">
        <f t="shared" si="581"/>
        <v>0</v>
      </c>
      <c r="CI174" s="5">
        <v>0</v>
      </c>
      <c r="CJ174" s="4">
        <v>0</v>
      </c>
      <c r="CK174" s="5">
        <v>0</v>
      </c>
      <c r="CL174" s="5">
        <v>0</v>
      </c>
      <c r="CM174" s="20">
        <f t="shared" si="582"/>
        <v>109</v>
      </c>
      <c r="CN174" s="8">
        <f t="shared" si="582"/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8">
        <f t="shared" ref="CV174:CY174" si="662">CV153</f>
        <v>0.8</v>
      </c>
      <c r="CW174" s="8">
        <f t="shared" si="662"/>
        <v>0.6</v>
      </c>
      <c r="CX174" s="8">
        <f t="shared" si="662"/>
        <v>1.25</v>
      </c>
      <c r="CY174" s="8">
        <f t="shared" si="662"/>
        <v>1</v>
      </c>
      <c r="CZ174" s="8">
        <f t="shared" si="584"/>
        <v>2</v>
      </c>
      <c r="DA174" s="6">
        <f t="shared" si="466"/>
        <v>450</v>
      </c>
      <c r="DB174" s="5">
        <f t="shared" si="585"/>
        <v>0</v>
      </c>
      <c r="DC174" s="5">
        <f t="shared" si="481"/>
        <v>0.27999999999999997</v>
      </c>
      <c r="DD174" s="6">
        <f t="shared" si="467"/>
        <v>0.27999999999999997</v>
      </c>
      <c r="DE174" s="6">
        <f t="shared" si="598"/>
        <v>0.4</v>
      </c>
      <c r="DF174" s="5">
        <v>0</v>
      </c>
      <c r="DG174" s="8">
        <f t="shared" si="586"/>
        <v>2</v>
      </c>
      <c r="DH174" s="5">
        <v>1</v>
      </c>
      <c r="DI174" s="8">
        <f t="shared" si="587"/>
        <v>0</v>
      </c>
      <c r="DJ174" s="5">
        <f t="shared" si="468"/>
        <v>0</v>
      </c>
      <c r="DK174" s="8">
        <v>0</v>
      </c>
      <c r="DL174" s="5">
        <f t="shared" si="469"/>
        <v>0</v>
      </c>
      <c r="DM174" s="5" t="s">
        <v>391</v>
      </c>
      <c r="DN174" s="8">
        <f t="shared" ref="DN174:DP174" si="663">DN153</f>
        <v>6</v>
      </c>
      <c r="DO174" s="8">
        <f t="shared" si="663"/>
        <v>0</v>
      </c>
      <c r="DP174" s="5">
        <f t="shared" si="663"/>
        <v>0</v>
      </c>
      <c r="DQ174" s="8">
        <f t="shared" si="589"/>
        <v>0</v>
      </c>
      <c r="DR174" s="5">
        <f t="shared" si="483"/>
        <v>0.9</v>
      </c>
      <c r="DS174" s="8">
        <f t="shared" si="590"/>
        <v>1</v>
      </c>
      <c r="DT174" s="8">
        <f t="shared" si="591"/>
        <v>-0.5</v>
      </c>
      <c r="DU174" s="8">
        <f t="shared" si="591"/>
        <v>0.5</v>
      </c>
      <c r="DV174" s="8">
        <f t="shared" si="591"/>
        <v>0.3</v>
      </c>
      <c r="DW174" s="5">
        <f t="shared" si="656"/>
        <v>0.5</v>
      </c>
      <c r="DX174" s="8">
        <f t="shared" si="592"/>
        <v>6</v>
      </c>
      <c r="DY174" s="8">
        <f t="shared" si="593"/>
        <v>0</v>
      </c>
      <c r="DZ174" s="8">
        <f t="shared" si="594"/>
        <v>0</v>
      </c>
      <c r="EA174" s="5"/>
    </row>
    <row r="175" spans="1:131" x14ac:dyDescent="0.15">
      <c r="A175" s="5">
        <v>201173</v>
      </c>
      <c r="B175" s="5" t="s">
        <v>392</v>
      </c>
      <c r="C175" s="5"/>
      <c r="D175" s="5"/>
      <c r="E175" s="5"/>
      <c r="F175" s="5">
        <v>0</v>
      </c>
      <c r="G175" s="45"/>
      <c r="H175" s="5"/>
      <c r="I175" s="5"/>
      <c r="J175" s="5"/>
      <c r="K175" s="5"/>
      <c r="L175" s="10"/>
      <c r="M175" s="5"/>
      <c r="N175" s="10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20"/>
      <c r="AF175" s="5"/>
      <c r="AG175" s="5"/>
      <c r="AH175" s="5"/>
      <c r="AI175" s="5"/>
      <c r="AJ175" s="5"/>
      <c r="AK175" s="5"/>
      <c r="AL175" s="5"/>
      <c r="AM175" s="5"/>
      <c r="AN175" s="8"/>
      <c r="AO175" s="5">
        <v>0</v>
      </c>
      <c r="AP175" s="5" t="s">
        <v>392</v>
      </c>
      <c r="AQ175" s="5">
        <v>0</v>
      </c>
      <c r="AR175" s="8">
        <f t="shared" si="568"/>
        <v>3</v>
      </c>
      <c r="AS175" s="6">
        <f t="shared" si="471"/>
        <v>81</v>
      </c>
      <c r="AT175" s="6">
        <f t="shared" si="472"/>
        <v>108</v>
      </c>
      <c r="AU175" s="5">
        <f t="shared" si="569"/>
        <v>0</v>
      </c>
      <c r="AV175" s="5">
        <f t="shared" si="570"/>
        <v>1</v>
      </c>
      <c r="AW175" s="5">
        <f t="shared" si="571"/>
        <v>1</v>
      </c>
      <c r="AX175" s="5">
        <f t="shared" ref="AX175" si="664">AX154</f>
        <v>1</v>
      </c>
      <c r="AY175" s="5">
        <f t="shared" si="571"/>
        <v>1</v>
      </c>
      <c r="AZ175" s="8">
        <f t="shared" si="573"/>
        <v>92</v>
      </c>
      <c r="BA175" s="5">
        <f t="shared" si="563"/>
        <v>203005</v>
      </c>
      <c r="BB175" s="5">
        <v>0</v>
      </c>
      <c r="BC175" s="5">
        <v>0</v>
      </c>
      <c r="BD175" s="5">
        <f t="shared" si="574"/>
        <v>0</v>
      </c>
      <c r="BE175" s="5">
        <f t="shared" si="575"/>
        <v>0</v>
      </c>
      <c r="BF175" s="5">
        <f t="shared" si="576"/>
        <v>0</v>
      </c>
      <c r="BG175" s="5">
        <f t="shared" si="576"/>
        <v>0</v>
      </c>
      <c r="BH175" s="5">
        <f t="shared" si="564"/>
        <v>0</v>
      </c>
      <c r="BI175" s="5">
        <f t="shared" si="576"/>
        <v>0</v>
      </c>
      <c r="BJ175" s="5">
        <f t="shared" si="498"/>
        <v>0</v>
      </c>
      <c r="BK175" s="5">
        <v>0</v>
      </c>
      <c r="BL175" s="5">
        <f t="shared" si="610"/>
        <v>0</v>
      </c>
      <c r="BM175" s="5">
        <f t="shared" si="641"/>
        <v>0</v>
      </c>
      <c r="BN175" s="5">
        <f t="shared" si="577"/>
        <v>0</v>
      </c>
      <c r="BO175" s="5">
        <f t="shared" si="578"/>
        <v>0</v>
      </c>
      <c r="BP175" s="5">
        <f t="shared" si="578"/>
        <v>0</v>
      </c>
      <c r="BQ175" s="5">
        <f t="shared" si="565"/>
        <v>0</v>
      </c>
      <c r="BR175" s="5"/>
      <c r="BS175" s="4">
        <v>1</v>
      </c>
      <c r="BT175" s="4">
        <v>9</v>
      </c>
      <c r="BU175" s="17">
        <f t="shared" si="579"/>
        <v>0</v>
      </c>
      <c r="BV175" s="4">
        <f t="shared" si="475"/>
        <v>9</v>
      </c>
      <c r="BW175" s="4">
        <f t="shared" si="476"/>
        <v>9</v>
      </c>
      <c r="BX175" s="14">
        <f t="shared" si="477"/>
        <v>0.28999999999999992</v>
      </c>
      <c r="BY175" s="14">
        <f t="shared" si="478"/>
        <v>0.15000000000000002</v>
      </c>
      <c r="BZ175" s="5" t="s">
        <v>129</v>
      </c>
      <c r="CA175" s="8" t="str">
        <f t="shared" si="661"/>
        <v>monster_05</v>
      </c>
      <c r="CB175" s="8" t="str">
        <f t="shared" si="661"/>
        <v>monster_05</v>
      </c>
      <c r="CC175" s="5">
        <v>0</v>
      </c>
      <c r="CD175" s="8">
        <f t="shared" si="580"/>
        <v>3</v>
      </c>
      <c r="CE175" s="5">
        <f t="shared" si="479"/>
        <v>0</v>
      </c>
      <c r="CF175" s="5">
        <f t="shared" si="596"/>
        <v>0</v>
      </c>
      <c r="CG175" s="5" t="s">
        <v>392</v>
      </c>
      <c r="CH175" s="5">
        <f>CH153</f>
        <v>0</v>
      </c>
      <c r="CI175" s="5">
        <v>103</v>
      </c>
      <c r="CJ175" s="4">
        <v>0</v>
      </c>
      <c r="CK175" s="5">
        <v>0</v>
      </c>
      <c r="CL175" s="5">
        <v>0</v>
      </c>
      <c r="CM175" s="20">
        <v>0</v>
      </c>
      <c r="CN175" s="8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8">
        <f t="shared" ref="CV175:CY175" si="665">CV154</f>
        <v>0.8</v>
      </c>
      <c r="CW175" s="8">
        <f t="shared" si="665"/>
        <v>0.6</v>
      </c>
      <c r="CX175" s="8">
        <f t="shared" si="665"/>
        <v>0.8</v>
      </c>
      <c r="CY175" s="8">
        <f t="shared" si="665"/>
        <v>0.8</v>
      </c>
      <c r="CZ175" s="8">
        <f t="shared" si="584"/>
        <v>1</v>
      </c>
      <c r="DA175" s="6">
        <f t="shared" si="466"/>
        <v>225</v>
      </c>
      <c r="DB175" s="5">
        <f t="shared" si="585"/>
        <v>0</v>
      </c>
      <c r="DC175" s="5">
        <f t="shared" si="481"/>
        <v>0.35</v>
      </c>
      <c r="DD175" s="6">
        <f t="shared" si="467"/>
        <v>0.35</v>
      </c>
      <c r="DE175" s="6">
        <f t="shared" si="598"/>
        <v>0.5</v>
      </c>
      <c r="DF175" s="5">
        <v>0</v>
      </c>
      <c r="DG175" s="8">
        <f t="shared" si="586"/>
        <v>2.5</v>
      </c>
      <c r="DH175" s="5">
        <v>1.5</v>
      </c>
      <c r="DI175" s="8">
        <f t="shared" si="587"/>
        <v>0.3</v>
      </c>
      <c r="DJ175" s="5">
        <f t="shared" si="468"/>
        <v>8.25</v>
      </c>
      <c r="DK175" s="8">
        <v>0</v>
      </c>
      <c r="DL175" s="5">
        <f t="shared" si="469"/>
        <v>0</v>
      </c>
      <c r="DM175" s="5" t="s">
        <v>392</v>
      </c>
      <c r="DN175" s="8">
        <f t="shared" ref="DN175:DP175" si="666">DN154</f>
        <v>10</v>
      </c>
      <c r="DO175" s="8">
        <f t="shared" si="666"/>
        <v>1</v>
      </c>
      <c r="DP175" s="5">
        <f t="shared" si="666"/>
        <v>0</v>
      </c>
      <c r="DQ175" s="8">
        <f t="shared" si="589"/>
        <v>0</v>
      </c>
      <c r="DR175" s="5">
        <f t="shared" si="483"/>
        <v>4.5</v>
      </c>
      <c r="DS175" s="8">
        <f t="shared" si="590"/>
        <v>5</v>
      </c>
      <c r="DT175" s="8">
        <f t="shared" si="591"/>
        <v>-5</v>
      </c>
      <c r="DU175" s="8">
        <f t="shared" si="591"/>
        <v>5</v>
      </c>
      <c r="DV175" s="8">
        <f t="shared" si="591"/>
        <v>0.5</v>
      </c>
      <c r="DW175" s="5">
        <f t="shared" si="656"/>
        <v>0.5</v>
      </c>
      <c r="DX175" s="8">
        <f t="shared" si="592"/>
        <v>6</v>
      </c>
      <c r="DY175" s="8">
        <f t="shared" si="593"/>
        <v>0</v>
      </c>
      <c r="DZ175" s="8">
        <f t="shared" si="594"/>
        <v>0</v>
      </c>
      <c r="EA175" s="5"/>
    </row>
    <row r="176" spans="1:131" ht="14.25" x14ac:dyDescent="0.15">
      <c r="A176" s="5">
        <v>201174</v>
      </c>
      <c r="B176" s="9" t="s">
        <v>393</v>
      </c>
      <c r="C176" s="9"/>
      <c r="D176" s="9"/>
      <c r="E176" s="9"/>
      <c r="F176" s="5">
        <v>0</v>
      </c>
      <c r="G176" s="45"/>
      <c r="H176" s="5"/>
      <c r="I176" s="5"/>
      <c r="J176" s="5"/>
      <c r="K176" s="5"/>
      <c r="L176" s="10"/>
      <c r="M176" s="5"/>
      <c r="N176" s="10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20"/>
      <c r="AF176" s="5"/>
      <c r="AG176" s="5"/>
      <c r="AH176" s="5"/>
      <c r="AI176" s="5"/>
      <c r="AJ176" s="5"/>
      <c r="AK176" s="5"/>
      <c r="AL176" s="5"/>
      <c r="AM176" s="5"/>
      <c r="AN176" s="8"/>
      <c r="AO176" s="5">
        <v>0</v>
      </c>
      <c r="AP176" s="9" t="s">
        <v>393</v>
      </c>
      <c r="AQ176" s="5">
        <v>0</v>
      </c>
      <c r="AR176" s="8">
        <f t="shared" si="568"/>
        <v>4</v>
      </c>
      <c r="AS176" s="6">
        <f t="shared" si="471"/>
        <v>108</v>
      </c>
      <c r="AT176" s="6">
        <f t="shared" si="472"/>
        <v>135</v>
      </c>
      <c r="AU176" s="5">
        <f t="shared" si="569"/>
        <v>0</v>
      </c>
      <c r="AV176" s="5">
        <f t="shared" si="570"/>
        <v>1</v>
      </c>
      <c r="AW176" s="5">
        <f t="shared" si="571"/>
        <v>1</v>
      </c>
      <c r="AX176" s="5">
        <f t="shared" ref="AX176" si="667">AX155</f>
        <v>1</v>
      </c>
      <c r="AY176" s="5">
        <f t="shared" si="571"/>
        <v>1</v>
      </c>
      <c r="AZ176" s="8">
        <f t="shared" si="573"/>
        <v>91</v>
      </c>
      <c r="BA176" s="5">
        <f t="shared" si="563"/>
        <v>203006</v>
      </c>
      <c r="BB176" s="5">
        <v>0</v>
      </c>
      <c r="BC176" s="5">
        <v>0</v>
      </c>
      <c r="BD176" s="5">
        <f t="shared" si="574"/>
        <v>0</v>
      </c>
      <c r="BE176" s="5">
        <f t="shared" si="575"/>
        <v>304001</v>
      </c>
      <c r="BF176" s="5">
        <f t="shared" si="576"/>
        <v>90</v>
      </c>
      <c r="BG176" s="5">
        <f t="shared" si="576"/>
        <v>30</v>
      </c>
      <c r="BH176" s="5">
        <f t="shared" si="564"/>
        <v>30</v>
      </c>
      <c r="BI176" s="5">
        <f t="shared" si="576"/>
        <v>1</v>
      </c>
      <c r="BJ176" s="5">
        <f t="shared" si="498"/>
        <v>9</v>
      </c>
      <c r="BK176" s="5">
        <v>9</v>
      </c>
      <c r="BL176" s="5">
        <f t="shared" si="610"/>
        <v>1</v>
      </c>
      <c r="BM176" s="5">
        <f t="shared" si="641"/>
        <v>30</v>
      </c>
      <c r="BN176" s="5">
        <f t="shared" si="577"/>
        <v>180</v>
      </c>
      <c r="BO176" s="5">
        <f t="shared" si="578"/>
        <v>108006</v>
      </c>
      <c r="BP176" s="5">
        <f t="shared" si="578"/>
        <v>3</v>
      </c>
      <c r="BQ176" s="5">
        <f t="shared" si="565"/>
        <v>3</v>
      </c>
      <c r="BR176" s="5">
        <f>50*BT176*3-360/BM176*BJ176*BQ176</f>
        <v>1026</v>
      </c>
      <c r="BS176" s="4">
        <v>2</v>
      </c>
      <c r="BT176" s="4">
        <v>9</v>
      </c>
      <c r="BU176" s="17">
        <f t="shared" si="579"/>
        <v>0</v>
      </c>
      <c r="BV176" s="4">
        <f t="shared" si="475"/>
        <v>9</v>
      </c>
      <c r="BW176" s="4">
        <f t="shared" si="476"/>
        <v>9</v>
      </c>
      <c r="BX176" s="14">
        <f t="shared" si="477"/>
        <v>0.28999999999999992</v>
      </c>
      <c r="BY176" s="14">
        <f t="shared" si="478"/>
        <v>0.15000000000000002</v>
      </c>
      <c r="BZ176" s="5" t="s">
        <v>132</v>
      </c>
      <c r="CA176" s="8" t="str">
        <f t="shared" si="661"/>
        <v>monster_06</v>
      </c>
      <c r="CB176" s="8" t="str">
        <f t="shared" si="661"/>
        <v>monster_06</v>
      </c>
      <c r="CC176" s="5">
        <v>0</v>
      </c>
      <c r="CD176" s="8">
        <f t="shared" si="580"/>
        <v>1</v>
      </c>
      <c r="CE176" s="5">
        <f t="shared" si="479"/>
        <v>9</v>
      </c>
      <c r="CF176" s="5">
        <f t="shared" si="596"/>
        <v>1</v>
      </c>
      <c r="CG176" s="9" t="s">
        <v>393</v>
      </c>
      <c r="CH176" s="5">
        <f t="shared" si="581"/>
        <v>3</v>
      </c>
      <c r="CI176" s="5">
        <v>0</v>
      </c>
      <c r="CJ176" s="4">
        <v>0</v>
      </c>
      <c r="CK176" s="5">
        <v>0</v>
      </c>
      <c r="CL176" s="5">
        <v>0</v>
      </c>
      <c r="CM176" s="20">
        <f t="shared" si="582"/>
        <v>110</v>
      </c>
      <c r="CN176" s="8">
        <f t="shared" si="582"/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8">
        <f t="shared" ref="CV176:CY176" si="668">CV155</f>
        <v>0.8</v>
      </c>
      <c r="CW176" s="8">
        <f t="shared" si="668"/>
        <v>0.6</v>
      </c>
      <c r="CX176" s="8">
        <f t="shared" si="668"/>
        <v>1.25</v>
      </c>
      <c r="CY176" s="8">
        <f t="shared" si="668"/>
        <v>1</v>
      </c>
      <c r="CZ176" s="8">
        <f t="shared" si="584"/>
        <v>1</v>
      </c>
      <c r="DA176" s="6">
        <f t="shared" si="466"/>
        <v>225</v>
      </c>
      <c r="DB176" s="5">
        <f t="shared" si="585"/>
        <v>0</v>
      </c>
      <c r="DC176" s="5">
        <f t="shared" si="481"/>
        <v>0.63</v>
      </c>
      <c r="DD176" s="6">
        <f t="shared" si="467"/>
        <v>0.63</v>
      </c>
      <c r="DE176" s="6">
        <f t="shared" si="598"/>
        <v>0.9</v>
      </c>
      <c r="DF176" s="5">
        <v>0</v>
      </c>
      <c r="DG176" s="8">
        <f t="shared" si="586"/>
        <v>2.5</v>
      </c>
      <c r="DH176" s="5">
        <v>1.5</v>
      </c>
      <c r="DI176" s="8">
        <f t="shared" si="587"/>
        <v>0</v>
      </c>
      <c r="DJ176" s="5">
        <f t="shared" si="468"/>
        <v>0</v>
      </c>
      <c r="DK176" s="8">
        <v>0</v>
      </c>
      <c r="DL176" s="5">
        <f t="shared" si="469"/>
        <v>0</v>
      </c>
      <c r="DM176" s="9" t="s">
        <v>393</v>
      </c>
      <c r="DN176" s="8">
        <f t="shared" ref="DN176:DP176" si="669">DN155</f>
        <v>6</v>
      </c>
      <c r="DO176" s="8">
        <f t="shared" si="669"/>
        <v>0</v>
      </c>
      <c r="DP176" s="5">
        <f t="shared" si="669"/>
        <v>0</v>
      </c>
      <c r="DQ176" s="8">
        <f t="shared" si="589"/>
        <v>0</v>
      </c>
      <c r="DR176" s="5">
        <f t="shared" si="483"/>
        <v>0.9</v>
      </c>
      <c r="DS176" s="8">
        <f t="shared" si="590"/>
        <v>1</v>
      </c>
      <c r="DT176" s="8">
        <f t="shared" si="591"/>
        <v>-0.5</v>
      </c>
      <c r="DU176" s="8">
        <f t="shared" si="591"/>
        <v>0.5</v>
      </c>
      <c r="DV176" s="8">
        <f t="shared" si="591"/>
        <v>0.5</v>
      </c>
      <c r="DW176" s="5">
        <f t="shared" si="656"/>
        <v>0.41666666666666669</v>
      </c>
      <c r="DX176" s="8">
        <f t="shared" si="592"/>
        <v>5</v>
      </c>
      <c r="DY176" s="8">
        <f t="shared" si="593"/>
        <v>1.3333333333333333</v>
      </c>
      <c r="DZ176" s="8">
        <f t="shared" si="594"/>
        <v>16</v>
      </c>
      <c r="EA176" s="5"/>
    </row>
    <row r="177" spans="1:131" x14ac:dyDescent="0.15">
      <c r="A177" s="5">
        <v>201175</v>
      </c>
      <c r="B177" s="5" t="s">
        <v>394</v>
      </c>
      <c r="C177" s="5"/>
      <c r="D177" s="5"/>
      <c r="E177" s="5"/>
      <c r="F177" s="5">
        <v>0</v>
      </c>
      <c r="G177" s="45"/>
      <c r="H177" s="5"/>
      <c r="I177" s="5"/>
      <c r="J177" s="5"/>
      <c r="K177" s="5"/>
      <c r="L177" s="10"/>
      <c r="M177" s="5"/>
      <c r="N177" s="10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20"/>
      <c r="AF177" s="5"/>
      <c r="AG177" s="5"/>
      <c r="AH177" s="5"/>
      <c r="AI177" s="5"/>
      <c r="AJ177" s="5"/>
      <c r="AK177" s="5"/>
      <c r="AL177" s="5"/>
      <c r="AM177" s="5"/>
      <c r="AN177" s="8"/>
      <c r="AO177" s="5">
        <v>0</v>
      </c>
      <c r="AP177" s="5" t="s">
        <v>394</v>
      </c>
      <c r="AQ177" s="5">
        <v>0</v>
      </c>
      <c r="AR177" s="8">
        <f t="shared" si="568"/>
        <v>5</v>
      </c>
      <c r="AS177" s="6">
        <f t="shared" si="471"/>
        <v>135</v>
      </c>
      <c r="AT177" s="6">
        <f t="shared" si="472"/>
        <v>162</v>
      </c>
      <c r="AU177" s="5">
        <f t="shared" si="569"/>
        <v>0</v>
      </c>
      <c r="AV177" s="5">
        <f t="shared" si="570"/>
        <v>1</v>
      </c>
      <c r="AW177" s="5">
        <f t="shared" si="571"/>
        <v>1</v>
      </c>
      <c r="AX177" s="5">
        <f t="shared" ref="AX177" si="670">AX156</f>
        <v>1</v>
      </c>
      <c r="AY177" s="5">
        <f t="shared" si="571"/>
        <v>1</v>
      </c>
      <c r="AZ177" s="8">
        <f>AZ156+1</f>
        <v>10709</v>
      </c>
      <c r="BA177" s="5">
        <f t="shared" si="563"/>
        <v>203007</v>
      </c>
      <c r="BB177" s="5">
        <v>0</v>
      </c>
      <c r="BC177" s="5">
        <v>0</v>
      </c>
      <c r="BD177" s="5">
        <f t="shared" si="574"/>
        <v>0</v>
      </c>
      <c r="BE177" s="5">
        <f t="shared" si="575"/>
        <v>0</v>
      </c>
      <c r="BF177" s="5">
        <f t="shared" si="576"/>
        <v>0</v>
      </c>
      <c r="BG177" s="5">
        <f t="shared" si="576"/>
        <v>0</v>
      </c>
      <c r="BH177" s="5">
        <f t="shared" si="564"/>
        <v>0</v>
      </c>
      <c r="BI177" s="5">
        <f t="shared" si="576"/>
        <v>0</v>
      </c>
      <c r="BJ177" s="5">
        <f t="shared" si="498"/>
        <v>0</v>
      </c>
      <c r="BK177" s="5">
        <v>0</v>
      </c>
      <c r="BL177" s="5">
        <f t="shared" si="610"/>
        <v>0</v>
      </c>
      <c r="BM177" s="5">
        <f t="shared" si="641"/>
        <v>0</v>
      </c>
      <c r="BN177" s="5">
        <f t="shared" si="577"/>
        <v>0</v>
      </c>
      <c r="BO177" s="5">
        <f t="shared" si="578"/>
        <v>0</v>
      </c>
      <c r="BP177" s="5">
        <f t="shared" si="578"/>
        <v>0</v>
      </c>
      <c r="BQ177" s="5">
        <f t="shared" si="565"/>
        <v>0</v>
      </c>
      <c r="BR177" s="5"/>
      <c r="BS177" s="4">
        <v>2</v>
      </c>
      <c r="BT177" s="4">
        <v>9</v>
      </c>
      <c r="BU177" s="17">
        <f t="shared" si="579"/>
        <v>0</v>
      </c>
      <c r="BV177" s="4">
        <f t="shared" si="475"/>
        <v>9</v>
      </c>
      <c r="BW177" s="4">
        <f t="shared" si="476"/>
        <v>9</v>
      </c>
      <c r="BX177" s="14">
        <f t="shared" si="477"/>
        <v>0.28999999999999992</v>
      </c>
      <c r="BY177" s="14">
        <f t="shared" si="478"/>
        <v>0.15000000000000002</v>
      </c>
      <c r="BZ177" s="5" t="s">
        <v>135</v>
      </c>
      <c r="CA177" s="8" t="str">
        <f t="shared" si="661"/>
        <v>monster_07</v>
      </c>
      <c r="CB177" s="8" t="str">
        <f t="shared" si="661"/>
        <v>monster_07</v>
      </c>
      <c r="CC177" s="5">
        <v>0</v>
      </c>
      <c r="CD177" s="8">
        <v>1</v>
      </c>
      <c r="CE177" s="5">
        <f t="shared" si="479"/>
        <v>9</v>
      </c>
      <c r="CF177" s="5">
        <f t="shared" si="596"/>
        <v>1</v>
      </c>
      <c r="CG177" s="5" t="s">
        <v>394</v>
      </c>
      <c r="CH177" s="5">
        <f t="shared" si="581"/>
        <v>3</v>
      </c>
      <c r="CI177" s="5">
        <v>0</v>
      </c>
      <c r="CJ177" s="4">
        <v>0</v>
      </c>
      <c r="CK177" s="5">
        <v>0</v>
      </c>
      <c r="CL177" s="5">
        <v>0</v>
      </c>
      <c r="CM177" s="20">
        <f t="shared" si="582"/>
        <v>0</v>
      </c>
      <c r="CN177" s="8">
        <f t="shared" si="582"/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8">
        <f t="shared" ref="CV177:CY177" si="671">CV156</f>
        <v>0.8</v>
      </c>
      <c r="CW177" s="8">
        <f t="shared" si="671"/>
        <v>0.6</v>
      </c>
      <c r="CX177" s="8">
        <f t="shared" si="671"/>
        <v>1</v>
      </c>
      <c r="CY177" s="8">
        <f t="shared" si="671"/>
        <v>1</v>
      </c>
      <c r="CZ177" s="8">
        <f t="shared" si="584"/>
        <v>1</v>
      </c>
      <c r="DA177" s="6">
        <f t="shared" si="466"/>
        <v>225</v>
      </c>
      <c r="DB177" s="5">
        <f t="shared" si="585"/>
        <v>0</v>
      </c>
      <c r="DC177" s="5">
        <f t="shared" si="481"/>
        <v>0.35</v>
      </c>
      <c r="DD177" s="6">
        <f t="shared" si="467"/>
        <v>0.35</v>
      </c>
      <c r="DE177" s="6">
        <f t="shared" si="598"/>
        <v>0.5</v>
      </c>
      <c r="DF177" s="5">
        <v>1</v>
      </c>
      <c r="DG177" s="8">
        <f t="shared" si="586"/>
        <v>2.25</v>
      </c>
      <c r="DH177" s="5">
        <v>1.25</v>
      </c>
      <c r="DI177" s="8">
        <f t="shared" si="587"/>
        <v>3</v>
      </c>
      <c r="DJ177" s="5">
        <f t="shared" si="468"/>
        <v>82.5</v>
      </c>
      <c r="DK177" s="8">
        <v>0</v>
      </c>
      <c r="DL177" s="5">
        <f t="shared" si="469"/>
        <v>0</v>
      </c>
      <c r="DM177" s="5" t="s">
        <v>394</v>
      </c>
      <c r="DN177" s="8">
        <f t="shared" ref="DN177:DP177" si="672">DN156</f>
        <v>6</v>
      </c>
      <c r="DO177" s="8">
        <f t="shared" si="672"/>
        <v>0</v>
      </c>
      <c r="DP177" s="5">
        <f t="shared" si="672"/>
        <v>1</v>
      </c>
      <c r="DQ177" s="8">
        <f t="shared" si="589"/>
        <v>0</v>
      </c>
      <c r="DR177" s="5">
        <f t="shared" si="483"/>
        <v>1.1700000000000002</v>
      </c>
      <c r="DS177" s="8">
        <f t="shared" si="590"/>
        <v>1.3</v>
      </c>
      <c r="DT177" s="8">
        <f t="shared" si="591"/>
        <v>-0.5</v>
      </c>
      <c r="DU177" s="8">
        <f t="shared" si="591"/>
        <v>0.5</v>
      </c>
      <c r="DV177" s="8">
        <f t="shared" si="591"/>
        <v>0.6</v>
      </c>
      <c r="DW177" s="5">
        <f t="shared" si="656"/>
        <v>0.5</v>
      </c>
      <c r="DX177" s="8">
        <f t="shared" si="592"/>
        <v>6</v>
      </c>
      <c r="DY177" s="8">
        <f t="shared" si="593"/>
        <v>0</v>
      </c>
      <c r="DZ177" s="8">
        <f t="shared" si="594"/>
        <v>0</v>
      </c>
      <c r="EA177" s="5"/>
    </row>
    <row r="178" spans="1:131" x14ac:dyDescent="0.15">
      <c r="A178" s="5">
        <v>201176</v>
      </c>
      <c r="B178" s="5" t="s">
        <v>395</v>
      </c>
      <c r="C178" s="5"/>
      <c r="D178" s="5"/>
      <c r="E178" s="5"/>
      <c r="F178" s="5">
        <v>0</v>
      </c>
      <c r="G178" s="45"/>
      <c r="H178" s="5"/>
      <c r="I178" s="5"/>
      <c r="J178" s="5"/>
      <c r="K178" s="5"/>
      <c r="L178" s="10"/>
      <c r="M178" s="5"/>
      <c r="N178" s="10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20"/>
      <c r="AF178" s="5"/>
      <c r="AG178" s="5"/>
      <c r="AH178" s="5"/>
      <c r="AI178" s="5"/>
      <c r="AJ178" s="5"/>
      <c r="AK178" s="5"/>
      <c r="AL178" s="5"/>
      <c r="AM178" s="5"/>
      <c r="AN178" s="8"/>
      <c r="AO178" s="5">
        <v>0</v>
      </c>
      <c r="AP178" s="5" t="s">
        <v>395</v>
      </c>
      <c r="AQ178" s="5">
        <v>0</v>
      </c>
      <c r="AR178" s="8">
        <f t="shared" si="568"/>
        <v>4</v>
      </c>
      <c r="AS178" s="6">
        <f t="shared" si="471"/>
        <v>108</v>
      </c>
      <c r="AT178" s="6">
        <f t="shared" si="472"/>
        <v>135</v>
      </c>
      <c r="AU178" s="5">
        <f t="shared" si="569"/>
        <v>0</v>
      </c>
      <c r="AV178" s="5">
        <f t="shared" si="570"/>
        <v>1</v>
      </c>
      <c r="AW178" s="5">
        <f t="shared" si="571"/>
        <v>0</v>
      </c>
      <c r="AX178" s="5">
        <f t="shared" ref="AX178" si="673">AX157</f>
        <v>0</v>
      </c>
      <c r="AY178" s="5">
        <f t="shared" si="571"/>
        <v>1</v>
      </c>
      <c r="AZ178" s="8">
        <f t="shared" si="573"/>
        <v>93</v>
      </c>
      <c r="BA178" s="5">
        <f t="shared" si="563"/>
        <v>203008</v>
      </c>
      <c r="BB178" s="5">
        <v>0</v>
      </c>
      <c r="BC178" s="5">
        <v>0</v>
      </c>
      <c r="BD178" s="5">
        <f t="shared" si="574"/>
        <v>0</v>
      </c>
      <c r="BE178" s="5">
        <f t="shared" si="575"/>
        <v>0</v>
      </c>
      <c r="BF178" s="5">
        <f t="shared" si="576"/>
        <v>0</v>
      </c>
      <c r="BG178" s="5">
        <f t="shared" si="576"/>
        <v>0</v>
      </c>
      <c r="BH178" s="5">
        <f t="shared" si="564"/>
        <v>0</v>
      </c>
      <c r="BI178" s="5">
        <f t="shared" si="576"/>
        <v>0</v>
      </c>
      <c r="BJ178" s="5">
        <f t="shared" si="498"/>
        <v>0</v>
      </c>
      <c r="BK178" s="5">
        <v>0</v>
      </c>
      <c r="BL178" s="5">
        <f t="shared" si="610"/>
        <v>0</v>
      </c>
      <c r="BM178" s="5">
        <f t="shared" si="641"/>
        <v>0</v>
      </c>
      <c r="BN178" s="5">
        <f t="shared" si="577"/>
        <v>0</v>
      </c>
      <c r="BO178" s="5">
        <f t="shared" si="578"/>
        <v>0</v>
      </c>
      <c r="BP178" s="5">
        <f t="shared" si="578"/>
        <v>0</v>
      </c>
      <c r="BQ178" s="5">
        <f t="shared" si="565"/>
        <v>0</v>
      </c>
      <c r="BR178" s="5"/>
      <c r="BS178" s="4">
        <v>2</v>
      </c>
      <c r="BT178" s="4">
        <v>9</v>
      </c>
      <c r="BU178" s="17">
        <f t="shared" si="579"/>
        <v>1</v>
      </c>
      <c r="BV178" s="4">
        <f t="shared" si="475"/>
        <v>9</v>
      </c>
      <c r="BW178" s="4">
        <f t="shared" si="476"/>
        <v>9</v>
      </c>
      <c r="BX178" s="14">
        <f t="shared" si="477"/>
        <v>0.28999999999999992</v>
      </c>
      <c r="BY178" s="14">
        <f t="shared" si="478"/>
        <v>0.15000000000000002</v>
      </c>
      <c r="BZ178" s="5" t="s">
        <v>138</v>
      </c>
      <c r="CA178" s="8" t="str">
        <f t="shared" si="661"/>
        <v>monster_08</v>
      </c>
      <c r="CB178" s="8" t="str">
        <f t="shared" si="661"/>
        <v>monster_08</v>
      </c>
      <c r="CC178" s="5">
        <v>0</v>
      </c>
      <c r="CD178" s="8">
        <f t="shared" si="580"/>
        <v>1</v>
      </c>
      <c r="CE178" s="5">
        <f t="shared" si="479"/>
        <v>0</v>
      </c>
      <c r="CF178" s="5">
        <f t="shared" si="596"/>
        <v>0</v>
      </c>
      <c r="CG178" s="5" t="s">
        <v>395</v>
      </c>
      <c r="CH178" s="5">
        <f t="shared" si="581"/>
        <v>3</v>
      </c>
      <c r="CI178" s="5">
        <v>0</v>
      </c>
      <c r="CJ178" s="4">
        <v>0</v>
      </c>
      <c r="CK178" s="5">
        <v>0</v>
      </c>
      <c r="CL178" s="5">
        <v>0</v>
      </c>
      <c r="CM178" s="20">
        <f t="shared" si="582"/>
        <v>112</v>
      </c>
      <c r="CN178" s="8">
        <f t="shared" si="582"/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8">
        <f t="shared" ref="CV178:CY178" si="674">CV157</f>
        <v>0.8</v>
      </c>
      <c r="CW178" s="8">
        <f t="shared" si="674"/>
        <v>0.6</v>
      </c>
      <c r="CX178" s="8">
        <f t="shared" si="674"/>
        <v>1</v>
      </c>
      <c r="CY178" s="8">
        <f t="shared" si="674"/>
        <v>1</v>
      </c>
      <c r="CZ178" s="8">
        <f t="shared" si="584"/>
        <v>0.4</v>
      </c>
      <c r="DA178" s="6">
        <f t="shared" si="466"/>
        <v>90</v>
      </c>
      <c r="DB178" s="5">
        <f t="shared" si="585"/>
        <v>0</v>
      </c>
      <c r="DC178" s="5">
        <f t="shared" si="481"/>
        <v>0.84</v>
      </c>
      <c r="DD178" s="6">
        <f t="shared" si="467"/>
        <v>0.84</v>
      </c>
      <c r="DE178" s="6">
        <f t="shared" si="598"/>
        <v>1.2</v>
      </c>
      <c r="DF178" s="5">
        <v>0</v>
      </c>
      <c r="DG178" s="8">
        <f t="shared" si="586"/>
        <v>2.25</v>
      </c>
      <c r="DH178" s="5">
        <v>1.25</v>
      </c>
      <c r="DI178" s="8">
        <f t="shared" si="587"/>
        <v>0</v>
      </c>
      <c r="DJ178" s="5">
        <f t="shared" si="468"/>
        <v>0</v>
      </c>
      <c r="DK178" s="8">
        <v>0</v>
      </c>
      <c r="DL178" s="5">
        <f t="shared" si="469"/>
        <v>0</v>
      </c>
      <c r="DM178" s="5" t="s">
        <v>395</v>
      </c>
      <c r="DN178" s="8">
        <f t="shared" ref="DN178:DP178" si="675">DN157</f>
        <v>6</v>
      </c>
      <c r="DO178" s="8">
        <f t="shared" si="675"/>
        <v>0</v>
      </c>
      <c r="DP178" s="5">
        <f t="shared" si="675"/>
        <v>0</v>
      </c>
      <c r="DQ178" s="8">
        <f t="shared" si="589"/>
        <v>0</v>
      </c>
      <c r="DR178" s="5">
        <f t="shared" si="483"/>
        <v>0.9</v>
      </c>
      <c r="DS178" s="8">
        <f t="shared" si="590"/>
        <v>1</v>
      </c>
      <c r="DT178" s="8">
        <f t="shared" si="591"/>
        <v>-0.5</v>
      </c>
      <c r="DU178" s="8">
        <f t="shared" si="591"/>
        <v>0.5</v>
      </c>
      <c r="DV178" s="8">
        <f t="shared" si="591"/>
        <v>0.75</v>
      </c>
      <c r="DW178" s="5">
        <f t="shared" si="656"/>
        <v>0.5</v>
      </c>
      <c r="DX178" s="8">
        <f t="shared" si="592"/>
        <v>6</v>
      </c>
      <c r="DY178" s="8">
        <f t="shared" si="593"/>
        <v>0</v>
      </c>
      <c r="DZ178" s="8">
        <f t="shared" si="594"/>
        <v>0</v>
      </c>
      <c r="EA178" s="5"/>
    </row>
    <row r="179" spans="1:131" x14ac:dyDescent="0.15">
      <c r="A179" s="5">
        <v>201177</v>
      </c>
      <c r="B179" s="5" t="s">
        <v>396</v>
      </c>
      <c r="C179" s="5"/>
      <c r="D179" s="5"/>
      <c r="E179" s="5"/>
      <c r="F179" s="5">
        <v>0</v>
      </c>
      <c r="G179" s="45"/>
      <c r="H179" s="5"/>
      <c r="I179" s="5"/>
      <c r="J179" s="5"/>
      <c r="K179" s="5"/>
      <c r="L179" s="10"/>
      <c r="M179" s="5"/>
      <c r="N179" s="10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20"/>
      <c r="AF179" s="5"/>
      <c r="AG179" s="5"/>
      <c r="AH179" s="5"/>
      <c r="AI179" s="5"/>
      <c r="AJ179" s="5"/>
      <c r="AK179" s="5"/>
      <c r="AL179" s="5"/>
      <c r="AM179" s="5"/>
      <c r="AN179" s="8"/>
      <c r="AO179" s="5">
        <v>0</v>
      </c>
      <c r="AP179" s="5" t="s">
        <v>396</v>
      </c>
      <c r="AQ179" s="5">
        <v>0</v>
      </c>
      <c r="AR179" s="8">
        <f t="shared" si="568"/>
        <v>0.65</v>
      </c>
      <c r="AS179" s="6">
        <f t="shared" si="471"/>
        <v>17.55</v>
      </c>
      <c r="AT179" s="6">
        <f t="shared" si="472"/>
        <v>44.55</v>
      </c>
      <c r="AU179" s="5">
        <f t="shared" si="569"/>
        <v>0</v>
      </c>
      <c r="AV179" s="5">
        <f t="shared" si="570"/>
        <v>1</v>
      </c>
      <c r="AW179" s="5">
        <f t="shared" si="571"/>
        <v>0</v>
      </c>
      <c r="AX179" s="5">
        <f t="shared" ref="AX179" si="676">AX158</f>
        <v>0</v>
      </c>
      <c r="AY179" s="5">
        <f t="shared" si="571"/>
        <v>1</v>
      </c>
      <c r="AZ179" s="8">
        <f t="shared" si="573"/>
        <v>93</v>
      </c>
      <c r="BA179" s="5">
        <f t="shared" si="563"/>
        <v>203009</v>
      </c>
      <c r="BB179" s="5">
        <v>0</v>
      </c>
      <c r="BC179" s="5">
        <v>0</v>
      </c>
      <c r="BD179" s="5">
        <f t="shared" si="574"/>
        <v>0</v>
      </c>
      <c r="BE179" s="5">
        <f t="shared" si="575"/>
        <v>0</v>
      </c>
      <c r="BF179" s="5">
        <f t="shared" si="576"/>
        <v>0</v>
      </c>
      <c r="BG179" s="5">
        <f t="shared" si="576"/>
        <v>0</v>
      </c>
      <c r="BH179" s="5">
        <f t="shared" si="564"/>
        <v>0</v>
      </c>
      <c r="BI179" s="5">
        <f t="shared" si="576"/>
        <v>0</v>
      </c>
      <c r="BJ179" s="5">
        <f t="shared" si="498"/>
        <v>0</v>
      </c>
      <c r="BK179" s="5">
        <v>0</v>
      </c>
      <c r="BL179" s="5">
        <f t="shared" si="610"/>
        <v>0</v>
      </c>
      <c r="BM179" s="5">
        <f t="shared" si="641"/>
        <v>0</v>
      </c>
      <c r="BN179" s="5">
        <f t="shared" si="577"/>
        <v>0</v>
      </c>
      <c r="BO179" s="5">
        <f t="shared" si="578"/>
        <v>0</v>
      </c>
      <c r="BP179" s="5">
        <f t="shared" si="578"/>
        <v>0</v>
      </c>
      <c r="BQ179" s="5">
        <f t="shared" si="565"/>
        <v>0</v>
      </c>
      <c r="BR179" s="5"/>
      <c r="BS179" s="4">
        <v>2</v>
      </c>
      <c r="BT179" s="4">
        <v>9</v>
      </c>
      <c r="BU179" s="17">
        <f t="shared" si="579"/>
        <v>0</v>
      </c>
      <c r="BV179" s="4">
        <f t="shared" si="475"/>
        <v>9</v>
      </c>
      <c r="BW179" s="4">
        <f t="shared" si="476"/>
        <v>9</v>
      </c>
      <c r="BX179" s="14">
        <f t="shared" si="477"/>
        <v>0.28999999999999992</v>
      </c>
      <c r="BY179" s="14">
        <f t="shared" si="478"/>
        <v>0.15000000000000002</v>
      </c>
      <c r="BZ179" s="5" t="s">
        <v>141</v>
      </c>
      <c r="CA179" s="8" t="str">
        <f t="shared" si="661"/>
        <v>monster_09</v>
      </c>
      <c r="CB179" s="8" t="str">
        <f t="shared" si="661"/>
        <v>monster_09</v>
      </c>
      <c r="CC179" s="5">
        <v>0</v>
      </c>
      <c r="CD179" s="8">
        <f t="shared" si="580"/>
        <v>1</v>
      </c>
      <c r="CE179" s="5">
        <f t="shared" si="479"/>
        <v>0</v>
      </c>
      <c r="CF179" s="5">
        <f t="shared" si="596"/>
        <v>0</v>
      </c>
      <c r="CG179" s="5" t="s">
        <v>396</v>
      </c>
      <c r="CH179" s="5">
        <f t="shared" si="581"/>
        <v>3</v>
      </c>
      <c r="CI179" s="5">
        <v>0</v>
      </c>
      <c r="CJ179" s="4">
        <v>0</v>
      </c>
      <c r="CK179" s="5">
        <v>0</v>
      </c>
      <c r="CL179" s="5">
        <v>0</v>
      </c>
      <c r="CM179" s="20">
        <f t="shared" si="582"/>
        <v>0</v>
      </c>
      <c r="CN179" s="8">
        <f t="shared" si="582"/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8">
        <f t="shared" ref="CV179:CY179" si="677">CV158</f>
        <v>0.1</v>
      </c>
      <c r="CW179" s="8">
        <f t="shared" si="677"/>
        <v>0.6</v>
      </c>
      <c r="CX179" s="8">
        <f t="shared" si="677"/>
        <v>1</v>
      </c>
      <c r="CY179" s="8">
        <f t="shared" si="677"/>
        <v>1</v>
      </c>
      <c r="CZ179" s="8">
        <f t="shared" si="584"/>
        <v>0.3</v>
      </c>
      <c r="DA179" s="6">
        <f t="shared" si="466"/>
        <v>67.5</v>
      </c>
      <c r="DB179" s="5">
        <f t="shared" si="585"/>
        <v>1</v>
      </c>
      <c r="DC179" s="5">
        <f t="shared" si="481"/>
        <v>0.55999999999999994</v>
      </c>
      <c r="DD179" s="6">
        <f t="shared" si="467"/>
        <v>0.55999999999999994</v>
      </c>
      <c r="DE179" s="6">
        <f t="shared" si="598"/>
        <v>0.8</v>
      </c>
      <c r="DF179" s="5">
        <v>0</v>
      </c>
      <c r="DG179" s="8">
        <f t="shared" si="586"/>
        <v>3</v>
      </c>
      <c r="DH179" s="5">
        <v>1.5</v>
      </c>
      <c r="DI179" s="8">
        <f t="shared" si="587"/>
        <v>0</v>
      </c>
      <c r="DJ179" s="5">
        <f t="shared" si="468"/>
        <v>0</v>
      </c>
      <c r="DK179" s="8">
        <v>0</v>
      </c>
      <c r="DL179" s="5">
        <f t="shared" si="469"/>
        <v>0</v>
      </c>
      <c r="DM179" s="5" t="s">
        <v>396</v>
      </c>
      <c r="DN179" s="8">
        <f t="shared" ref="DN179:DP179" si="678">DN158</f>
        <v>6</v>
      </c>
      <c r="DO179" s="8">
        <f t="shared" si="678"/>
        <v>0</v>
      </c>
      <c r="DP179" s="5">
        <f t="shared" si="678"/>
        <v>0</v>
      </c>
      <c r="DQ179" s="8">
        <f t="shared" si="589"/>
        <v>0</v>
      </c>
      <c r="DR179" s="5">
        <f t="shared" si="483"/>
        <v>1.8</v>
      </c>
      <c r="DS179" s="8">
        <f t="shared" si="590"/>
        <v>2</v>
      </c>
      <c r="DT179" s="8">
        <f t="shared" si="591"/>
        <v>-2</v>
      </c>
      <c r="DU179" s="8">
        <f t="shared" si="591"/>
        <v>2</v>
      </c>
      <c r="DV179" s="8">
        <f t="shared" si="591"/>
        <v>0.1</v>
      </c>
      <c r="DW179" s="5">
        <f t="shared" si="656"/>
        <v>8.3333333333333329E-2</v>
      </c>
      <c r="DX179" s="8">
        <f t="shared" si="592"/>
        <v>1</v>
      </c>
      <c r="DY179" s="8">
        <f t="shared" si="593"/>
        <v>0</v>
      </c>
      <c r="DZ179" s="8">
        <f t="shared" si="594"/>
        <v>0</v>
      </c>
      <c r="EA179" s="5"/>
    </row>
    <row r="180" spans="1:131" x14ac:dyDescent="0.15">
      <c r="A180" s="5">
        <v>201178</v>
      </c>
      <c r="B180" s="5" t="s">
        <v>397</v>
      </c>
      <c r="C180" s="5"/>
      <c r="D180" s="5"/>
      <c r="E180" s="5"/>
      <c r="F180" s="5">
        <v>0</v>
      </c>
      <c r="G180" s="45"/>
      <c r="H180" s="5"/>
      <c r="I180" s="5"/>
      <c r="J180" s="5"/>
      <c r="K180" s="5"/>
      <c r="L180" s="10"/>
      <c r="M180" s="5"/>
      <c r="N180" s="10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20"/>
      <c r="AF180" s="5"/>
      <c r="AG180" s="5"/>
      <c r="AH180" s="5"/>
      <c r="AI180" s="5"/>
      <c r="AJ180" s="5"/>
      <c r="AK180" s="5"/>
      <c r="AL180" s="5"/>
      <c r="AM180" s="5"/>
      <c r="AN180" s="8"/>
      <c r="AO180" s="5">
        <v>0</v>
      </c>
      <c r="AP180" s="5" t="s">
        <v>397</v>
      </c>
      <c r="AQ180" s="5">
        <v>0</v>
      </c>
      <c r="AR180" s="8">
        <f t="shared" si="568"/>
        <v>1</v>
      </c>
      <c r="AS180" s="6">
        <f t="shared" si="471"/>
        <v>27</v>
      </c>
      <c r="AT180" s="6">
        <f t="shared" si="472"/>
        <v>54</v>
      </c>
      <c r="AU180" s="5">
        <f t="shared" si="569"/>
        <v>0</v>
      </c>
      <c r="AV180" s="5">
        <f t="shared" si="570"/>
        <v>1</v>
      </c>
      <c r="AW180" s="5">
        <f t="shared" si="571"/>
        <v>1</v>
      </c>
      <c r="AX180" s="5">
        <f t="shared" ref="AX180" si="679">AX159</f>
        <v>1</v>
      </c>
      <c r="AY180" s="5">
        <f t="shared" si="571"/>
        <v>1</v>
      </c>
      <c r="AZ180" s="8">
        <v>201178</v>
      </c>
      <c r="BA180" s="5">
        <f t="shared" si="563"/>
        <v>203010</v>
      </c>
      <c r="BB180" s="5">
        <v>0</v>
      </c>
      <c r="BC180" s="5">
        <v>0</v>
      </c>
      <c r="BD180" s="5">
        <f t="shared" si="574"/>
        <v>0</v>
      </c>
      <c r="BE180" s="5">
        <f t="shared" si="575"/>
        <v>305003</v>
      </c>
      <c r="BF180" s="5">
        <f t="shared" si="576"/>
        <v>180</v>
      </c>
      <c r="BG180" s="5">
        <f t="shared" si="576"/>
        <v>0</v>
      </c>
      <c r="BH180" s="5">
        <f t="shared" si="564"/>
        <v>0</v>
      </c>
      <c r="BI180" s="5">
        <f t="shared" si="576"/>
        <v>0</v>
      </c>
      <c r="BJ180" s="5">
        <f t="shared" si="498"/>
        <v>9</v>
      </c>
      <c r="BK180" s="5">
        <v>9</v>
      </c>
      <c r="BL180" s="5">
        <f t="shared" si="610"/>
        <v>1</v>
      </c>
      <c r="BM180" s="5">
        <f t="shared" si="641"/>
        <v>30</v>
      </c>
      <c r="BN180" s="5">
        <f t="shared" si="577"/>
        <v>180</v>
      </c>
      <c r="BO180" s="5">
        <f t="shared" si="578"/>
        <v>108006</v>
      </c>
      <c r="BP180" s="5">
        <f t="shared" si="578"/>
        <v>2</v>
      </c>
      <c r="BQ180" s="5">
        <f t="shared" si="565"/>
        <v>2</v>
      </c>
      <c r="BR180" s="5">
        <f>50*BT180*3-360/BM180*BJ180*BQ180</f>
        <v>1134</v>
      </c>
      <c r="BS180" s="4">
        <v>2</v>
      </c>
      <c r="BT180" s="4">
        <v>9</v>
      </c>
      <c r="BU180" s="17">
        <f t="shared" si="579"/>
        <v>0</v>
      </c>
      <c r="BV180" s="4">
        <f t="shared" si="475"/>
        <v>9</v>
      </c>
      <c r="BW180" s="4">
        <f t="shared" si="476"/>
        <v>9</v>
      </c>
      <c r="BX180" s="14">
        <f t="shared" si="477"/>
        <v>0.28999999999999992</v>
      </c>
      <c r="BY180" s="14">
        <f t="shared" si="478"/>
        <v>0.15000000000000002</v>
      </c>
      <c r="BZ180" s="5" t="s">
        <v>143</v>
      </c>
      <c r="CA180" s="8" t="str">
        <f t="shared" si="661"/>
        <v>monster_10</v>
      </c>
      <c r="CB180" s="8" t="str">
        <f t="shared" si="661"/>
        <v>monster_10</v>
      </c>
      <c r="CC180" s="5">
        <v>0</v>
      </c>
      <c r="CD180" s="8">
        <f t="shared" si="580"/>
        <v>1</v>
      </c>
      <c r="CE180" s="5">
        <f t="shared" si="479"/>
        <v>0</v>
      </c>
      <c r="CF180" s="5">
        <f t="shared" si="596"/>
        <v>0</v>
      </c>
      <c r="CG180" s="5" t="s">
        <v>397</v>
      </c>
      <c r="CH180" s="5">
        <f t="shared" si="581"/>
        <v>3</v>
      </c>
      <c r="CI180" s="5">
        <v>0</v>
      </c>
      <c r="CJ180" s="4">
        <v>0</v>
      </c>
      <c r="CK180" s="5">
        <v>0</v>
      </c>
      <c r="CL180" s="5">
        <v>0</v>
      </c>
      <c r="CM180" s="20">
        <f t="shared" si="582"/>
        <v>0</v>
      </c>
      <c r="CN180" s="8">
        <f t="shared" si="582"/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8">
        <f t="shared" ref="CV180:CY180" si="680">CV159</f>
        <v>0.8</v>
      </c>
      <c r="CW180" s="8">
        <f t="shared" si="680"/>
        <v>0.6</v>
      </c>
      <c r="CX180" s="8">
        <f t="shared" si="680"/>
        <v>1</v>
      </c>
      <c r="CY180" s="8">
        <f t="shared" si="680"/>
        <v>1</v>
      </c>
      <c r="CZ180" s="8">
        <f t="shared" si="584"/>
        <v>1</v>
      </c>
      <c r="DA180" s="6">
        <f t="shared" si="466"/>
        <v>225</v>
      </c>
      <c r="DB180" s="5">
        <f t="shared" si="585"/>
        <v>0</v>
      </c>
      <c r="DC180" s="5">
        <f t="shared" si="481"/>
        <v>0.17499999999999999</v>
      </c>
      <c r="DD180" s="6">
        <f t="shared" si="467"/>
        <v>0.17499999999999999</v>
      </c>
      <c r="DE180" s="6">
        <f t="shared" si="598"/>
        <v>0.25</v>
      </c>
      <c r="DF180" s="5">
        <v>0</v>
      </c>
      <c r="DG180" s="8">
        <f t="shared" si="586"/>
        <v>2.5</v>
      </c>
      <c r="DH180" s="5">
        <v>1.5</v>
      </c>
      <c r="DI180" s="8">
        <f t="shared" si="587"/>
        <v>0</v>
      </c>
      <c r="DJ180" s="5">
        <f t="shared" si="468"/>
        <v>0</v>
      </c>
      <c r="DK180" s="8">
        <v>0</v>
      </c>
      <c r="DL180" s="5">
        <f t="shared" si="469"/>
        <v>0</v>
      </c>
      <c r="DM180" s="5" t="s">
        <v>398</v>
      </c>
      <c r="DN180" s="8">
        <f t="shared" ref="DN180:DP180" si="681">DN159</f>
        <v>6</v>
      </c>
      <c r="DO180" s="8">
        <f t="shared" si="681"/>
        <v>0</v>
      </c>
      <c r="DP180" s="5">
        <f t="shared" si="681"/>
        <v>0</v>
      </c>
      <c r="DQ180" s="8">
        <f t="shared" si="589"/>
        <v>0</v>
      </c>
      <c r="DR180" s="5">
        <f t="shared" si="483"/>
        <v>0.9</v>
      </c>
      <c r="DS180" s="8">
        <f t="shared" si="590"/>
        <v>1</v>
      </c>
      <c r="DT180" s="8">
        <f t="shared" si="591"/>
        <v>-0.5</v>
      </c>
      <c r="DU180" s="8">
        <f t="shared" si="591"/>
        <v>0.5</v>
      </c>
      <c r="DV180" s="8">
        <f t="shared" si="591"/>
        <v>0.5</v>
      </c>
      <c r="DW180" s="5">
        <f t="shared" si="656"/>
        <v>0.75</v>
      </c>
      <c r="DX180" s="8">
        <f t="shared" si="592"/>
        <v>9</v>
      </c>
      <c r="DY180" s="8">
        <f t="shared" si="593"/>
        <v>0</v>
      </c>
      <c r="DZ180" s="8">
        <f t="shared" si="594"/>
        <v>0</v>
      </c>
      <c r="EA180" s="5"/>
    </row>
    <row r="181" spans="1:131" x14ac:dyDescent="0.15">
      <c r="A181" s="5">
        <v>201179</v>
      </c>
      <c r="B181" s="5" t="s">
        <v>399</v>
      </c>
      <c r="C181" s="5"/>
      <c r="D181" s="5"/>
      <c r="E181" s="5"/>
      <c r="F181" s="5">
        <v>0</v>
      </c>
      <c r="G181" s="45"/>
      <c r="H181" s="5"/>
      <c r="I181" s="5"/>
      <c r="J181" s="5"/>
      <c r="K181" s="5"/>
      <c r="L181" s="10"/>
      <c r="M181" s="5"/>
      <c r="N181" s="10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20"/>
      <c r="AF181" s="5"/>
      <c r="AG181" s="5"/>
      <c r="AH181" s="5"/>
      <c r="AI181" s="5"/>
      <c r="AJ181" s="5"/>
      <c r="AK181" s="5"/>
      <c r="AL181" s="5"/>
      <c r="AM181" s="5"/>
      <c r="AN181" s="8"/>
      <c r="AO181" s="5">
        <v>0</v>
      </c>
      <c r="AP181" s="5" t="s">
        <v>399</v>
      </c>
      <c r="AQ181" s="5">
        <v>0</v>
      </c>
      <c r="AR181" s="8">
        <f t="shared" si="568"/>
        <v>2</v>
      </c>
      <c r="AS181" s="6">
        <f t="shared" si="471"/>
        <v>54</v>
      </c>
      <c r="AT181" s="6">
        <f t="shared" si="472"/>
        <v>81</v>
      </c>
      <c r="AU181" s="5">
        <f t="shared" si="569"/>
        <v>0.8</v>
      </c>
      <c r="AV181" s="5">
        <f t="shared" si="570"/>
        <v>1</v>
      </c>
      <c r="AW181" s="5">
        <f t="shared" si="571"/>
        <v>1</v>
      </c>
      <c r="AX181" s="5">
        <f t="shared" ref="AX181" si="682">AX160</f>
        <v>1</v>
      </c>
      <c r="AY181" s="5">
        <f t="shared" si="571"/>
        <v>1</v>
      </c>
      <c r="AZ181" s="8">
        <f t="shared" si="573"/>
        <v>93</v>
      </c>
      <c r="BA181" s="5">
        <f t="shared" si="563"/>
        <v>203011</v>
      </c>
      <c r="BB181" s="5">
        <v>0</v>
      </c>
      <c r="BC181" s="5">
        <v>0</v>
      </c>
      <c r="BD181" s="5">
        <f t="shared" si="574"/>
        <v>0</v>
      </c>
      <c r="BE181" s="5">
        <f t="shared" si="575"/>
        <v>304002</v>
      </c>
      <c r="BF181" s="5">
        <f t="shared" si="576"/>
        <v>180</v>
      </c>
      <c r="BG181" s="5">
        <f t="shared" si="576"/>
        <v>30</v>
      </c>
      <c r="BH181" s="5">
        <f t="shared" si="564"/>
        <v>30</v>
      </c>
      <c r="BI181" s="5">
        <f t="shared" si="576"/>
        <v>1</v>
      </c>
      <c r="BJ181" s="5">
        <f t="shared" si="498"/>
        <v>9</v>
      </c>
      <c r="BK181" s="5">
        <v>9</v>
      </c>
      <c r="BL181" s="5">
        <f t="shared" si="610"/>
        <v>1</v>
      </c>
      <c r="BM181" s="5">
        <f t="shared" si="641"/>
        <v>30</v>
      </c>
      <c r="BN181" s="5">
        <f t="shared" si="577"/>
        <v>180</v>
      </c>
      <c r="BO181" s="5">
        <f t="shared" si="578"/>
        <v>108006</v>
      </c>
      <c r="BP181" s="5">
        <f t="shared" si="578"/>
        <v>3</v>
      </c>
      <c r="BQ181" s="5">
        <f t="shared" si="565"/>
        <v>2</v>
      </c>
      <c r="BR181" s="5">
        <f>50*BT181*3-360/BM181*BJ181*BQ181</f>
        <v>1134</v>
      </c>
      <c r="BS181" s="4">
        <v>3</v>
      </c>
      <c r="BT181" s="4">
        <v>9</v>
      </c>
      <c r="BU181" s="17">
        <f t="shared" si="579"/>
        <v>0</v>
      </c>
      <c r="BV181" s="4">
        <f t="shared" si="475"/>
        <v>9</v>
      </c>
      <c r="BW181" s="4">
        <f t="shared" si="476"/>
        <v>9</v>
      </c>
      <c r="BX181" s="14">
        <f t="shared" si="477"/>
        <v>0.28999999999999992</v>
      </c>
      <c r="BY181" s="14">
        <f t="shared" si="478"/>
        <v>0.15000000000000002</v>
      </c>
      <c r="BZ181" s="5" t="s">
        <v>146</v>
      </c>
      <c r="CA181" s="8" t="str">
        <f t="shared" si="661"/>
        <v>monster_11</v>
      </c>
      <c r="CB181" s="8" t="str">
        <f t="shared" si="661"/>
        <v>monster_11</v>
      </c>
      <c r="CC181" s="5">
        <v>0</v>
      </c>
      <c r="CD181" s="8">
        <f t="shared" si="580"/>
        <v>1</v>
      </c>
      <c r="CE181" s="5">
        <f t="shared" si="479"/>
        <v>0</v>
      </c>
      <c r="CF181" s="5">
        <f t="shared" si="596"/>
        <v>0</v>
      </c>
      <c r="CG181" s="5" t="s">
        <v>399</v>
      </c>
      <c r="CH181" s="5">
        <f t="shared" si="581"/>
        <v>3</v>
      </c>
      <c r="CI181" s="5">
        <v>0</v>
      </c>
      <c r="CJ181" s="4">
        <v>0</v>
      </c>
      <c r="CK181" s="5">
        <v>0</v>
      </c>
      <c r="CL181" s="5">
        <v>0</v>
      </c>
      <c r="CM181" s="20">
        <f t="shared" si="582"/>
        <v>0</v>
      </c>
      <c r="CN181" s="8">
        <f t="shared" si="582"/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8">
        <f t="shared" ref="CV181:CY181" si="683">CV160</f>
        <v>0.8</v>
      </c>
      <c r="CW181" s="8">
        <f t="shared" si="683"/>
        <v>0.6</v>
      </c>
      <c r="CX181" s="8">
        <f t="shared" si="683"/>
        <v>1</v>
      </c>
      <c r="CY181" s="8">
        <f t="shared" si="683"/>
        <v>1</v>
      </c>
      <c r="CZ181" s="8">
        <f t="shared" si="584"/>
        <v>2</v>
      </c>
      <c r="DA181" s="6">
        <f t="shared" si="466"/>
        <v>450</v>
      </c>
      <c r="DB181" s="5">
        <f t="shared" si="585"/>
        <v>0</v>
      </c>
      <c r="DC181" s="5">
        <f t="shared" si="481"/>
        <v>0.35</v>
      </c>
      <c r="DD181" s="6">
        <f t="shared" si="467"/>
        <v>0.35</v>
      </c>
      <c r="DE181" s="6">
        <f t="shared" si="598"/>
        <v>0.5</v>
      </c>
      <c r="DF181" s="5">
        <v>0</v>
      </c>
      <c r="DG181" s="8">
        <f t="shared" si="586"/>
        <v>3</v>
      </c>
      <c r="DH181" s="5">
        <v>2</v>
      </c>
      <c r="DI181" s="8">
        <f t="shared" si="587"/>
        <v>0</v>
      </c>
      <c r="DJ181" s="5">
        <f t="shared" si="468"/>
        <v>0</v>
      </c>
      <c r="DK181" s="8">
        <v>0</v>
      </c>
      <c r="DL181" s="5">
        <f t="shared" si="469"/>
        <v>0</v>
      </c>
      <c r="DM181" s="5" t="s">
        <v>399</v>
      </c>
      <c r="DN181" s="8">
        <f t="shared" ref="DN181:DP181" si="684">DN160</f>
        <v>6</v>
      </c>
      <c r="DO181" s="8">
        <f t="shared" si="684"/>
        <v>0</v>
      </c>
      <c r="DP181" s="5">
        <f t="shared" si="684"/>
        <v>1</v>
      </c>
      <c r="DQ181" s="8">
        <f t="shared" si="589"/>
        <v>1</v>
      </c>
      <c r="DR181" s="5">
        <f t="shared" si="483"/>
        <v>1.1700000000000002</v>
      </c>
      <c r="DS181" s="8">
        <f t="shared" si="590"/>
        <v>1.3</v>
      </c>
      <c r="DT181" s="8">
        <f t="shared" si="591"/>
        <v>-0.5</v>
      </c>
      <c r="DU181" s="8">
        <f t="shared" si="591"/>
        <v>0.5</v>
      </c>
      <c r="DV181" s="8">
        <f t="shared" si="591"/>
        <v>0.2</v>
      </c>
      <c r="DW181" s="5">
        <f t="shared" si="656"/>
        <v>0.41666666666666669</v>
      </c>
      <c r="DX181" s="8">
        <f t="shared" si="592"/>
        <v>5</v>
      </c>
      <c r="DY181" s="8">
        <f t="shared" si="593"/>
        <v>0</v>
      </c>
      <c r="DZ181" s="8">
        <f t="shared" si="594"/>
        <v>0</v>
      </c>
      <c r="EA181" s="5"/>
    </row>
    <row r="182" spans="1:131" x14ac:dyDescent="0.15">
      <c r="A182" s="5">
        <v>201180</v>
      </c>
      <c r="B182" s="5" t="s">
        <v>400</v>
      </c>
      <c r="C182" s="5"/>
      <c r="D182" s="5"/>
      <c r="E182" s="5"/>
      <c r="F182" s="5">
        <v>0</v>
      </c>
      <c r="G182" s="45"/>
      <c r="H182" s="5"/>
      <c r="I182" s="5"/>
      <c r="J182" s="5"/>
      <c r="K182" s="5"/>
      <c r="L182" s="10"/>
      <c r="M182" s="5"/>
      <c r="N182" s="10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20"/>
      <c r="AF182" s="5"/>
      <c r="AG182" s="5"/>
      <c r="AH182" s="5"/>
      <c r="AI182" s="5"/>
      <c r="AJ182" s="5"/>
      <c r="AK182" s="5"/>
      <c r="AL182" s="5"/>
      <c r="AM182" s="5"/>
      <c r="AN182" s="8"/>
      <c r="AO182" s="5">
        <v>0</v>
      </c>
      <c r="AP182" s="5" t="s">
        <v>400</v>
      </c>
      <c r="AQ182" s="5">
        <v>0</v>
      </c>
      <c r="AR182" s="8">
        <f t="shared" si="568"/>
        <v>5</v>
      </c>
      <c r="AS182" s="6">
        <f t="shared" si="471"/>
        <v>135</v>
      </c>
      <c r="AT182" s="6">
        <f t="shared" si="472"/>
        <v>162</v>
      </c>
      <c r="AU182" s="5">
        <f t="shared" si="569"/>
        <v>0</v>
      </c>
      <c r="AV182" s="5">
        <f t="shared" si="570"/>
        <v>1</v>
      </c>
      <c r="AW182" s="5">
        <f t="shared" si="571"/>
        <v>0</v>
      </c>
      <c r="AX182" s="5">
        <f t="shared" ref="AX182" si="685">AX161</f>
        <v>0</v>
      </c>
      <c r="AY182" s="5">
        <f t="shared" si="571"/>
        <v>1</v>
      </c>
      <c r="AZ182" s="8">
        <f t="shared" si="573"/>
        <v>93</v>
      </c>
      <c r="BA182" s="5">
        <f t="shared" si="563"/>
        <v>203012</v>
      </c>
      <c r="BB182" s="5">
        <v>0</v>
      </c>
      <c r="BC182" s="5">
        <v>0</v>
      </c>
      <c r="BD182" s="5">
        <f t="shared" si="574"/>
        <v>0</v>
      </c>
      <c r="BE182" s="5">
        <f t="shared" si="575"/>
        <v>0</v>
      </c>
      <c r="BF182" s="5">
        <f t="shared" si="576"/>
        <v>0</v>
      </c>
      <c r="BG182" s="5">
        <f t="shared" si="576"/>
        <v>0</v>
      </c>
      <c r="BH182" s="5">
        <f t="shared" si="564"/>
        <v>0</v>
      </c>
      <c r="BI182" s="5">
        <f t="shared" si="576"/>
        <v>0</v>
      </c>
      <c r="BJ182" s="5">
        <f t="shared" si="498"/>
        <v>0</v>
      </c>
      <c r="BK182" s="5">
        <v>0</v>
      </c>
      <c r="BL182" s="5">
        <f t="shared" si="610"/>
        <v>0</v>
      </c>
      <c r="BM182" s="5">
        <f t="shared" si="641"/>
        <v>0</v>
      </c>
      <c r="BN182" s="5">
        <f t="shared" si="577"/>
        <v>0</v>
      </c>
      <c r="BO182" s="5">
        <f t="shared" si="578"/>
        <v>0</v>
      </c>
      <c r="BP182" s="5">
        <f t="shared" si="578"/>
        <v>0</v>
      </c>
      <c r="BQ182" s="5">
        <f t="shared" si="565"/>
        <v>0</v>
      </c>
      <c r="BR182" s="5"/>
      <c r="BS182" s="4">
        <v>3</v>
      </c>
      <c r="BT182" s="4">
        <v>9</v>
      </c>
      <c r="BU182" s="17">
        <f t="shared" si="579"/>
        <v>0</v>
      </c>
      <c r="BV182" s="4">
        <f t="shared" si="475"/>
        <v>9</v>
      </c>
      <c r="BW182" s="4">
        <f t="shared" si="476"/>
        <v>9</v>
      </c>
      <c r="BX182" s="14">
        <f t="shared" si="477"/>
        <v>0.28999999999999992</v>
      </c>
      <c r="BY182" s="14">
        <f t="shared" si="478"/>
        <v>0.15000000000000002</v>
      </c>
      <c r="BZ182" s="5" t="s">
        <v>149</v>
      </c>
      <c r="CA182" s="8" t="str">
        <f t="shared" si="661"/>
        <v>monster_12</v>
      </c>
      <c r="CB182" s="8" t="str">
        <f t="shared" si="661"/>
        <v>monster_12</v>
      </c>
      <c r="CC182" s="5">
        <v>0</v>
      </c>
      <c r="CD182" s="8">
        <f t="shared" si="580"/>
        <v>1</v>
      </c>
      <c r="CE182" s="5">
        <f t="shared" si="479"/>
        <v>0</v>
      </c>
      <c r="CF182" s="5">
        <f t="shared" si="596"/>
        <v>0</v>
      </c>
      <c r="CG182" s="5" t="s">
        <v>400</v>
      </c>
      <c r="CH182" s="5">
        <f t="shared" si="581"/>
        <v>3</v>
      </c>
      <c r="CI182" s="5">
        <v>0</v>
      </c>
      <c r="CJ182" s="4">
        <v>0</v>
      </c>
      <c r="CK182" s="5">
        <v>0</v>
      </c>
      <c r="CL182" s="5">
        <v>0</v>
      </c>
      <c r="CM182" s="20">
        <f t="shared" si="582"/>
        <v>0</v>
      </c>
      <c r="CN182" s="8">
        <f t="shared" si="582"/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8">
        <f t="shared" ref="CV182:CY182" si="686">CV161</f>
        <v>0.8</v>
      </c>
      <c r="CW182" s="8">
        <f t="shared" si="686"/>
        <v>0.6</v>
      </c>
      <c r="CX182" s="8">
        <f t="shared" si="686"/>
        <v>1</v>
      </c>
      <c r="CY182" s="8">
        <f t="shared" si="686"/>
        <v>1</v>
      </c>
      <c r="CZ182" s="8">
        <f t="shared" si="584"/>
        <v>0.8</v>
      </c>
      <c r="DA182" s="6">
        <f t="shared" si="466"/>
        <v>180</v>
      </c>
      <c r="DB182" s="5">
        <f t="shared" si="585"/>
        <v>1</v>
      </c>
      <c r="DC182" s="5">
        <f t="shared" si="481"/>
        <v>0.55999999999999994</v>
      </c>
      <c r="DD182" s="6">
        <f t="shared" si="467"/>
        <v>0.55999999999999994</v>
      </c>
      <c r="DE182" s="6">
        <f t="shared" si="598"/>
        <v>0.8</v>
      </c>
      <c r="DF182" s="5">
        <v>0</v>
      </c>
      <c r="DG182" s="8">
        <f t="shared" si="586"/>
        <v>3.5</v>
      </c>
      <c r="DH182" s="5">
        <v>2</v>
      </c>
      <c r="DI182" s="8">
        <f t="shared" si="587"/>
        <v>0</v>
      </c>
      <c r="DJ182" s="5">
        <f t="shared" si="468"/>
        <v>0</v>
      </c>
      <c r="DK182" s="8">
        <v>0</v>
      </c>
      <c r="DL182" s="5">
        <f t="shared" si="469"/>
        <v>0</v>
      </c>
      <c r="DM182" s="5" t="s">
        <v>400</v>
      </c>
      <c r="DN182" s="8">
        <f t="shared" ref="DN182:DP182" si="687">DN161</f>
        <v>4</v>
      </c>
      <c r="DO182" s="8">
        <f t="shared" si="687"/>
        <v>0</v>
      </c>
      <c r="DP182" s="5">
        <f t="shared" si="687"/>
        <v>0</v>
      </c>
      <c r="DQ182" s="8">
        <f t="shared" si="589"/>
        <v>0</v>
      </c>
      <c r="DR182" s="5">
        <f t="shared" si="483"/>
        <v>0.9</v>
      </c>
      <c r="DS182" s="8">
        <f t="shared" si="590"/>
        <v>1</v>
      </c>
      <c r="DT182" s="8">
        <f t="shared" si="591"/>
        <v>-0.5</v>
      </c>
      <c r="DU182" s="8">
        <f t="shared" si="591"/>
        <v>0.5</v>
      </c>
      <c r="DV182" s="8">
        <f t="shared" si="591"/>
        <v>0.2</v>
      </c>
      <c r="DW182" s="5">
        <f t="shared" si="656"/>
        <v>0.33333333333333331</v>
      </c>
      <c r="DX182" s="8">
        <f t="shared" si="592"/>
        <v>4</v>
      </c>
      <c r="DY182" s="8">
        <f t="shared" si="593"/>
        <v>0</v>
      </c>
      <c r="DZ182" s="8">
        <f t="shared" si="594"/>
        <v>0</v>
      </c>
      <c r="EA182" s="5"/>
    </row>
    <row r="183" spans="1:131" x14ac:dyDescent="0.15">
      <c r="A183" s="5">
        <v>201181</v>
      </c>
      <c r="B183" s="5" t="s">
        <v>401</v>
      </c>
      <c r="C183" s="5"/>
      <c r="D183" s="5"/>
      <c r="E183" s="5"/>
      <c r="F183" s="5">
        <v>0</v>
      </c>
      <c r="G183" s="45"/>
      <c r="H183" s="5"/>
      <c r="I183" s="5"/>
      <c r="J183" s="5"/>
      <c r="K183" s="5"/>
      <c r="L183" s="10"/>
      <c r="M183" s="5"/>
      <c r="N183" s="10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20"/>
      <c r="AF183" s="5"/>
      <c r="AG183" s="5"/>
      <c r="AH183" s="5"/>
      <c r="AI183" s="5"/>
      <c r="AJ183" s="5"/>
      <c r="AK183" s="5"/>
      <c r="AL183" s="5"/>
      <c r="AM183" s="5"/>
      <c r="AN183" s="8"/>
      <c r="AO183" s="5">
        <v>0</v>
      </c>
      <c r="AP183" s="5" t="s">
        <v>401</v>
      </c>
      <c r="AQ183" s="5">
        <v>0</v>
      </c>
      <c r="AR183" s="8">
        <f t="shared" si="568"/>
        <v>2</v>
      </c>
      <c r="AS183" s="6">
        <f t="shared" si="471"/>
        <v>54</v>
      </c>
      <c r="AT183" s="6">
        <f t="shared" si="472"/>
        <v>81</v>
      </c>
      <c r="AU183" s="5">
        <f t="shared" si="569"/>
        <v>0</v>
      </c>
      <c r="AV183" s="5">
        <f t="shared" si="570"/>
        <v>1</v>
      </c>
      <c r="AW183" s="5">
        <f t="shared" si="571"/>
        <v>1</v>
      </c>
      <c r="AX183" s="5">
        <f t="shared" ref="AX183" si="688">AX162</f>
        <v>1</v>
      </c>
      <c r="AY183" s="5">
        <f t="shared" si="571"/>
        <v>1</v>
      </c>
      <c r="AZ183" s="8">
        <f t="shared" si="573"/>
        <v>93</v>
      </c>
      <c r="BA183" s="5">
        <f t="shared" si="563"/>
        <v>203013</v>
      </c>
      <c r="BB183" s="5">
        <v>0</v>
      </c>
      <c r="BC183" s="5">
        <v>0</v>
      </c>
      <c r="BD183" s="5">
        <f t="shared" si="574"/>
        <v>0</v>
      </c>
      <c r="BE183" s="5">
        <f t="shared" si="575"/>
        <v>0</v>
      </c>
      <c r="BF183" s="5">
        <f t="shared" si="576"/>
        <v>0</v>
      </c>
      <c r="BG183" s="5">
        <f t="shared" si="576"/>
        <v>0</v>
      </c>
      <c r="BH183" s="5">
        <f t="shared" si="564"/>
        <v>0</v>
      </c>
      <c r="BI183" s="5">
        <f t="shared" si="576"/>
        <v>0</v>
      </c>
      <c r="BJ183" s="5">
        <f t="shared" si="498"/>
        <v>0</v>
      </c>
      <c r="BK183" s="5">
        <v>0</v>
      </c>
      <c r="BL183" s="5">
        <f t="shared" si="610"/>
        <v>0</v>
      </c>
      <c r="BM183" s="5">
        <f t="shared" si="641"/>
        <v>0</v>
      </c>
      <c r="BN183" s="5">
        <f t="shared" si="577"/>
        <v>0</v>
      </c>
      <c r="BO183" s="5">
        <f t="shared" si="578"/>
        <v>0</v>
      </c>
      <c r="BP183" s="5">
        <f t="shared" si="578"/>
        <v>0</v>
      </c>
      <c r="BQ183" s="5">
        <f t="shared" si="565"/>
        <v>0</v>
      </c>
      <c r="BR183" s="5"/>
      <c r="BS183" s="4">
        <v>3</v>
      </c>
      <c r="BT183" s="4">
        <v>9</v>
      </c>
      <c r="BU183" s="17">
        <f t="shared" si="579"/>
        <v>0</v>
      </c>
      <c r="BV183" s="4">
        <f t="shared" si="475"/>
        <v>9</v>
      </c>
      <c r="BW183" s="4">
        <f t="shared" si="476"/>
        <v>9</v>
      </c>
      <c r="BX183" s="14">
        <f t="shared" si="477"/>
        <v>0.28999999999999992</v>
      </c>
      <c r="BY183" s="14">
        <f t="shared" si="478"/>
        <v>0.15000000000000002</v>
      </c>
      <c r="BZ183" s="5" t="s">
        <v>152</v>
      </c>
      <c r="CA183" s="8" t="str">
        <f t="shared" si="661"/>
        <v>monster_13</v>
      </c>
      <c r="CB183" s="8" t="str">
        <f t="shared" si="661"/>
        <v>monster_13</v>
      </c>
      <c r="CC183" s="5">
        <v>0</v>
      </c>
      <c r="CD183" s="8">
        <f t="shared" si="580"/>
        <v>1</v>
      </c>
      <c r="CE183" s="5">
        <f t="shared" si="479"/>
        <v>0</v>
      </c>
      <c r="CF183" s="5">
        <f t="shared" si="596"/>
        <v>0</v>
      </c>
      <c r="CG183" s="5" t="s">
        <v>401</v>
      </c>
      <c r="CH183" s="5">
        <f t="shared" si="581"/>
        <v>0</v>
      </c>
      <c r="CI183" s="5">
        <v>0</v>
      </c>
      <c r="CJ183" s="4">
        <v>0</v>
      </c>
      <c r="CK183" s="5">
        <v>0</v>
      </c>
      <c r="CL183" s="5">
        <v>0</v>
      </c>
      <c r="CM183" s="20">
        <f t="shared" si="582"/>
        <v>0</v>
      </c>
      <c r="CN183" s="8">
        <f t="shared" si="582"/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8">
        <f t="shared" ref="CV183:CY183" si="689">CV162</f>
        <v>0.8</v>
      </c>
      <c r="CW183" s="8">
        <f t="shared" si="689"/>
        <v>0.6</v>
      </c>
      <c r="CX183" s="8">
        <f t="shared" si="689"/>
        <v>1</v>
      </c>
      <c r="CY183" s="8">
        <f t="shared" si="689"/>
        <v>1</v>
      </c>
      <c r="CZ183" s="8">
        <f t="shared" si="584"/>
        <v>1</v>
      </c>
      <c r="DA183" s="6">
        <f t="shared" si="466"/>
        <v>225</v>
      </c>
      <c r="DB183" s="5">
        <f t="shared" si="585"/>
        <v>0</v>
      </c>
      <c r="DC183" s="5">
        <f t="shared" si="481"/>
        <v>0.63</v>
      </c>
      <c r="DD183" s="6">
        <f t="shared" si="467"/>
        <v>0.63</v>
      </c>
      <c r="DE183" s="6">
        <f t="shared" si="598"/>
        <v>0.9</v>
      </c>
      <c r="DF183" s="5">
        <v>0</v>
      </c>
      <c r="DG183" s="8">
        <f t="shared" si="586"/>
        <v>2.75</v>
      </c>
      <c r="DH183" s="5">
        <v>1.75</v>
      </c>
      <c r="DI183" s="8">
        <f t="shared" si="587"/>
        <v>0</v>
      </c>
      <c r="DJ183" s="5">
        <f t="shared" si="468"/>
        <v>0</v>
      </c>
      <c r="DK183" s="8">
        <v>0</v>
      </c>
      <c r="DL183" s="5">
        <f t="shared" si="469"/>
        <v>0</v>
      </c>
      <c r="DM183" s="5" t="s">
        <v>401</v>
      </c>
      <c r="DN183" s="8">
        <f t="shared" ref="DN183:DP183" si="690">DN162</f>
        <v>6</v>
      </c>
      <c r="DO183" s="8">
        <f t="shared" si="690"/>
        <v>0</v>
      </c>
      <c r="DP183" s="5">
        <f t="shared" si="690"/>
        <v>0</v>
      </c>
      <c r="DQ183" s="8">
        <f t="shared" si="589"/>
        <v>0</v>
      </c>
      <c r="DR183" s="5">
        <f t="shared" si="483"/>
        <v>0.9</v>
      </c>
      <c r="DS183" s="8">
        <f t="shared" si="590"/>
        <v>1</v>
      </c>
      <c r="DT183" s="8">
        <f t="shared" si="591"/>
        <v>-0.5</v>
      </c>
      <c r="DU183" s="8">
        <f t="shared" si="591"/>
        <v>0.5</v>
      </c>
      <c r="DV183" s="8">
        <f t="shared" si="591"/>
        <v>0.25</v>
      </c>
      <c r="DW183" s="5">
        <f t="shared" si="656"/>
        <v>0.66666666666666663</v>
      </c>
      <c r="DX183" s="8">
        <f t="shared" si="592"/>
        <v>8</v>
      </c>
      <c r="DY183" s="8">
        <f t="shared" si="593"/>
        <v>0</v>
      </c>
      <c r="DZ183" s="8">
        <f t="shared" si="594"/>
        <v>0</v>
      </c>
      <c r="EA183" s="5"/>
    </row>
    <row r="184" spans="1:131" x14ac:dyDescent="0.15">
      <c r="A184" s="5">
        <v>201182</v>
      </c>
      <c r="B184" s="5" t="s">
        <v>402</v>
      </c>
      <c r="C184" s="5"/>
      <c r="D184" s="5"/>
      <c r="E184" s="5"/>
      <c r="F184" s="5">
        <v>0</v>
      </c>
      <c r="G184" s="45"/>
      <c r="H184" s="5"/>
      <c r="I184" s="5"/>
      <c r="J184" s="5"/>
      <c r="K184" s="5"/>
      <c r="L184" s="10"/>
      <c r="M184" s="5"/>
      <c r="N184" s="10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20"/>
      <c r="AF184" s="5"/>
      <c r="AG184" s="5"/>
      <c r="AH184" s="5"/>
      <c r="AI184" s="5"/>
      <c r="AJ184" s="5"/>
      <c r="AK184" s="5"/>
      <c r="AL184" s="5"/>
      <c r="AM184" s="5"/>
      <c r="AN184" s="8"/>
      <c r="AO184" s="5">
        <v>0</v>
      </c>
      <c r="AP184" s="5" t="s">
        <v>402</v>
      </c>
      <c r="AQ184" s="5">
        <v>0</v>
      </c>
      <c r="AR184" s="8">
        <f t="shared" si="568"/>
        <v>5</v>
      </c>
      <c r="AS184" s="6">
        <f t="shared" si="471"/>
        <v>135</v>
      </c>
      <c r="AT184" s="6">
        <f t="shared" si="472"/>
        <v>162</v>
      </c>
      <c r="AU184" s="5">
        <f t="shared" si="569"/>
        <v>0</v>
      </c>
      <c r="AV184" s="5">
        <f t="shared" si="570"/>
        <v>1</v>
      </c>
      <c r="AW184" s="5">
        <f t="shared" si="571"/>
        <v>0</v>
      </c>
      <c r="AX184" s="5">
        <f t="shared" ref="AX184" si="691">AX163</f>
        <v>0</v>
      </c>
      <c r="AY184" s="5">
        <f t="shared" si="571"/>
        <v>0</v>
      </c>
      <c r="AZ184" s="8">
        <f t="shared" si="573"/>
        <v>93</v>
      </c>
      <c r="BA184" s="5">
        <f t="shared" si="563"/>
        <v>203014</v>
      </c>
      <c r="BB184" s="5">
        <v>0</v>
      </c>
      <c r="BC184" s="5">
        <v>0</v>
      </c>
      <c r="BD184" s="5">
        <f t="shared" si="574"/>
        <v>0</v>
      </c>
      <c r="BE184" s="5">
        <f t="shared" si="575"/>
        <v>0</v>
      </c>
      <c r="BF184" s="5">
        <f t="shared" si="576"/>
        <v>0</v>
      </c>
      <c r="BG184" s="5">
        <f t="shared" si="576"/>
        <v>0</v>
      </c>
      <c r="BH184" s="5">
        <f t="shared" si="564"/>
        <v>0</v>
      </c>
      <c r="BI184" s="5">
        <f t="shared" si="576"/>
        <v>0</v>
      </c>
      <c r="BJ184" s="5">
        <f t="shared" si="498"/>
        <v>0</v>
      </c>
      <c r="BK184" s="5">
        <v>0</v>
      </c>
      <c r="BL184" s="5">
        <f t="shared" si="610"/>
        <v>0</v>
      </c>
      <c r="BM184" s="5">
        <f t="shared" si="641"/>
        <v>0</v>
      </c>
      <c r="BN184" s="5">
        <f t="shared" si="577"/>
        <v>0</v>
      </c>
      <c r="BO184" s="5">
        <f t="shared" si="578"/>
        <v>0</v>
      </c>
      <c r="BP184" s="5">
        <f t="shared" si="578"/>
        <v>0</v>
      </c>
      <c r="BQ184" s="5">
        <f t="shared" si="565"/>
        <v>0</v>
      </c>
      <c r="BR184" s="5"/>
      <c r="BS184" s="4">
        <v>3</v>
      </c>
      <c r="BT184" s="4">
        <v>9</v>
      </c>
      <c r="BU184" s="17">
        <f t="shared" si="579"/>
        <v>0</v>
      </c>
      <c r="BV184" s="4">
        <f t="shared" si="475"/>
        <v>9</v>
      </c>
      <c r="BW184" s="4">
        <f t="shared" si="476"/>
        <v>9</v>
      </c>
      <c r="BX184" s="14">
        <f t="shared" si="477"/>
        <v>0.28999999999999992</v>
      </c>
      <c r="BY184" s="14">
        <f t="shared" si="478"/>
        <v>0.15000000000000002</v>
      </c>
      <c r="BZ184" s="5" t="s">
        <v>155</v>
      </c>
      <c r="CA184" s="8" t="str">
        <f t="shared" si="661"/>
        <v>monster_14</v>
      </c>
      <c r="CB184" s="8" t="str">
        <f t="shared" si="661"/>
        <v>monster_14</v>
      </c>
      <c r="CC184" s="5">
        <v>0</v>
      </c>
      <c r="CD184" s="8">
        <f t="shared" si="580"/>
        <v>1</v>
      </c>
      <c r="CE184" s="5">
        <f t="shared" si="479"/>
        <v>18</v>
      </c>
      <c r="CF184" s="5">
        <f t="shared" si="596"/>
        <v>2</v>
      </c>
      <c r="CG184" s="5" t="s">
        <v>402</v>
      </c>
      <c r="CH184" s="5">
        <f t="shared" si="581"/>
        <v>0</v>
      </c>
      <c r="CI184" s="5">
        <v>0</v>
      </c>
      <c r="CJ184" s="4">
        <v>0</v>
      </c>
      <c r="CK184" s="5">
        <v>0</v>
      </c>
      <c r="CL184" s="5">
        <v>0</v>
      </c>
      <c r="CM184" s="20">
        <f t="shared" si="582"/>
        <v>113</v>
      </c>
      <c r="CN184" s="8">
        <f t="shared" si="582"/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8">
        <f t="shared" ref="CV184:CY184" si="692">CV163</f>
        <v>0.8</v>
      </c>
      <c r="CW184" s="8">
        <f t="shared" si="692"/>
        <v>0.6</v>
      </c>
      <c r="CX184" s="8">
        <f t="shared" si="692"/>
        <v>1</v>
      </c>
      <c r="CY184" s="8">
        <f t="shared" si="692"/>
        <v>1</v>
      </c>
      <c r="CZ184" s="8">
        <f t="shared" si="584"/>
        <v>1</v>
      </c>
      <c r="DA184" s="6">
        <f t="shared" si="466"/>
        <v>225</v>
      </c>
      <c r="DB184" s="5">
        <f t="shared" si="585"/>
        <v>1</v>
      </c>
      <c r="DC184" s="5">
        <f t="shared" si="481"/>
        <v>1.0499999999999998</v>
      </c>
      <c r="DD184" s="6">
        <f t="shared" si="467"/>
        <v>1.0499999999999998</v>
      </c>
      <c r="DE184" s="6">
        <f t="shared" si="598"/>
        <v>1.5</v>
      </c>
      <c r="DF184" s="5">
        <v>0</v>
      </c>
      <c r="DG184" s="8">
        <f t="shared" si="586"/>
        <v>2.75</v>
      </c>
      <c r="DH184" s="5">
        <v>1.75</v>
      </c>
      <c r="DI184" s="8">
        <f t="shared" si="587"/>
        <v>0</v>
      </c>
      <c r="DJ184" s="5">
        <f t="shared" si="468"/>
        <v>0</v>
      </c>
      <c r="DK184" s="8">
        <v>0</v>
      </c>
      <c r="DL184" s="5">
        <f t="shared" si="469"/>
        <v>0</v>
      </c>
      <c r="DM184" s="5" t="s">
        <v>402</v>
      </c>
      <c r="DN184" s="8">
        <f t="shared" ref="DN184:DP184" si="693">DN163</f>
        <v>6</v>
      </c>
      <c r="DO184" s="8">
        <f t="shared" si="693"/>
        <v>0</v>
      </c>
      <c r="DP184" s="5">
        <f t="shared" si="693"/>
        <v>1</v>
      </c>
      <c r="DQ184" s="8">
        <f t="shared" si="589"/>
        <v>0</v>
      </c>
      <c r="DR184" s="5">
        <f t="shared" si="483"/>
        <v>0.9</v>
      </c>
      <c r="DS184" s="8">
        <f t="shared" si="590"/>
        <v>1</v>
      </c>
      <c r="DT184" s="8">
        <f t="shared" si="591"/>
        <v>-0.5</v>
      </c>
      <c r="DU184" s="8">
        <f t="shared" si="591"/>
        <v>0.5</v>
      </c>
      <c r="DV184" s="8">
        <f t="shared" si="591"/>
        <v>0.25</v>
      </c>
      <c r="DW184" s="5">
        <f t="shared" si="656"/>
        <v>0.33333333333333331</v>
      </c>
      <c r="DX184" s="8">
        <f t="shared" si="592"/>
        <v>4</v>
      </c>
      <c r="DY184" s="8">
        <f t="shared" si="593"/>
        <v>0</v>
      </c>
      <c r="DZ184" s="8">
        <f t="shared" si="594"/>
        <v>0</v>
      </c>
      <c r="EA184" s="5"/>
    </row>
    <row r="185" spans="1:131" x14ac:dyDescent="0.15">
      <c r="A185" s="5">
        <v>201183</v>
      </c>
      <c r="B185" s="5" t="s">
        <v>403</v>
      </c>
      <c r="C185" s="5"/>
      <c r="D185" s="5"/>
      <c r="E185" s="5"/>
      <c r="F185" s="5">
        <v>0</v>
      </c>
      <c r="G185" s="45"/>
      <c r="H185" s="5"/>
      <c r="I185" s="5"/>
      <c r="J185" s="5"/>
      <c r="K185" s="5"/>
      <c r="L185" s="10"/>
      <c r="M185" s="5"/>
      <c r="N185" s="10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20"/>
      <c r="AF185" s="5"/>
      <c r="AG185" s="5"/>
      <c r="AH185" s="5"/>
      <c r="AI185" s="5"/>
      <c r="AJ185" s="5"/>
      <c r="AK185" s="5"/>
      <c r="AL185" s="5"/>
      <c r="AM185" s="5"/>
      <c r="AN185" s="8"/>
      <c r="AO185" s="5">
        <v>0</v>
      </c>
      <c r="AP185" s="5" t="s">
        <v>403</v>
      </c>
      <c r="AQ185" s="5">
        <v>0</v>
      </c>
      <c r="AR185" s="8">
        <f t="shared" si="568"/>
        <v>2</v>
      </c>
      <c r="AS185" s="6">
        <f t="shared" si="471"/>
        <v>54</v>
      </c>
      <c r="AT185" s="6">
        <f t="shared" si="472"/>
        <v>81</v>
      </c>
      <c r="AU185" s="5">
        <f t="shared" si="569"/>
        <v>0</v>
      </c>
      <c r="AV185" s="5">
        <f t="shared" si="570"/>
        <v>0</v>
      </c>
      <c r="AW185" s="5">
        <f t="shared" si="571"/>
        <v>1</v>
      </c>
      <c r="AX185" s="5">
        <f t="shared" ref="AX185" si="694">AX164</f>
        <v>1</v>
      </c>
      <c r="AY185" s="5">
        <f t="shared" si="571"/>
        <v>0</v>
      </c>
      <c r="AZ185" s="8">
        <f t="shared" si="573"/>
        <v>92</v>
      </c>
      <c r="BA185" s="5">
        <f t="shared" si="563"/>
        <v>203015</v>
      </c>
      <c r="BB185" s="5">
        <v>0</v>
      </c>
      <c r="BC185" s="5">
        <v>0</v>
      </c>
      <c r="BD185" s="5">
        <f t="shared" si="574"/>
        <v>0</v>
      </c>
      <c r="BE185" s="5">
        <f t="shared" si="575"/>
        <v>0</v>
      </c>
      <c r="BF185" s="5">
        <f t="shared" si="576"/>
        <v>0</v>
      </c>
      <c r="BG185" s="5">
        <f t="shared" si="576"/>
        <v>0</v>
      </c>
      <c r="BH185" s="5">
        <f t="shared" si="564"/>
        <v>0</v>
      </c>
      <c r="BI185" s="5">
        <f t="shared" si="576"/>
        <v>0</v>
      </c>
      <c r="BJ185" s="5">
        <f t="shared" si="498"/>
        <v>0</v>
      </c>
      <c r="BK185" s="5">
        <v>0</v>
      </c>
      <c r="BL185" s="5">
        <f t="shared" si="610"/>
        <v>0</v>
      </c>
      <c r="BM185" s="5">
        <f t="shared" si="641"/>
        <v>0</v>
      </c>
      <c r="BN185" s="5">
        <f t="shared" si="577"/>
        <v>0</v>
      </c>
      <c r="BO185" s="5">
        <f t="shared" si="578"/>
        <v>0</v>
      </c>
      <c r="BP185" s="5">
        <f t="shared" si="578"/>
        <v>0</v>
      </c>
      <c r="BQ185" s="5">
        <f t="shared" si="565"/>
        <v>0</v>
      </c>
      <c r="BR185" s="5"/>
      <c r="BS185" s="4">
        <v>3</v>
      </c>
      <c r="BT185" s="4">
        <v>9</v>
      </c>
      <c r="BU185" s="17">
        <f t="shared" si="579"/>
        <v>0</v>
      </c>
      <c r="BV185" s="4">
        <f t="shared" si="475"/>
        <v>9</v>
      </c>
      <c r="BW185" s="4">
        <f t="shared" si="476"/>
        <v>9</v>
      </c>
      <c r="BX185" s="14">
        <f t="shared" si="477"/>
        <v>0.28999999999999992</v>
      </c>
      <c r="BY185" s="14">
        <f t="shared" si="478"/>
        <v>0.15000000000000002</v>
      </c>
      <c r="BZ185" s="5" t="s">
        <v>158</v>
      </c>
      <c r="CA185" s="8" t="str">
        <f t="shared" si="661"/>
        <v>monster_15</v>
      </c>
      <c r="CB185" s="8" t="str">
        <f t="shared" si="661"/>
        <v>monster_15</v>
      </c>
      <c r="CC185" s="5">
        <v>0</v>
      </c>
      <c r="CD185" s="8">
        <f t="shared" si="580"/>
        <v>1</v>
      </c>
      <c r="CE185" s="5">
        <f t="shared" si="479"/>
        <v>0</v>
      </c>
      <c r="CF185" s="5">
        <f t="shared" si="596"/>
        <v>0</v>
      </c>
      <c r="CG185" s="5" t="s">
        <v>403</v>
      </c>
      <c r="CH185" s="5">
        <f>CH163</f>
        <v>0</v>
      </c>
      <c r="CI185" s="5">
        <v>0</v>
      </c>
      <c r="CJ185" s="4">
        <v>0</v>
      </c>
      <c r="CK185" s="5">
        <v>0</v>
      </c>
      <c r="CL185" s="5">
        <v>0</v>
      </c>
      <c r="CM185" s="20">
        <f t="shared" si="582"/>
        <v>0</v>
      </c>
      <c r="CN185" s="8">
        <f t="shared" si="582"/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8">
        <f t="shared" ref="CV185:CY185" si="695">CV164</f>
        <v>0.8</v>
      </c>
      <c r="CW185" s="8">
        <f t="shared" si="695"/>
        <v>0.6</v>
      </c>
      <c r="CX185" s="8">
        <f t="shared" si="695"/>
        <v>1</v>
      </c>
      <c r="CY185" s="8">
        <f t="shared" si="695"/>
        <v>1</v>
      </c>
      <c r="CZ185" s="8">
        <f t="shared" si="584"/>
        <v>2</v>
      </c>
      <c r="DA185" s="6">
        <f t="shared" si="466"/>
        <v>450</v>
      </c>
      <c r="DB185" s="5">
        <f t="shared" si="585"/>
        <v>0</v>
      </c>
      <c r="DC185" s="5">
        <f t="shared" si="481"/>
        <v>0.21</v>
      </c>
      <c r="DD185" s="6">
        <f t="shared" si="467"/>
        <v>0.21</v>
      </c>
      <c r="DE185" s="6">
        <f t="shared" si="598"/>
        <v>0.3</v>
      </c>
      <c r="DF185" s="5">
        <v>0</v>
      </c>
      <c r="DG185" s="8">
        <f t="shared" si="586"/>
        <v>3</v>
      </c>
      <c r="DH185" s="5">
        <v>2</v>
      </c>
      <c r="DI185" s="8">
        <f t="shared" si="587"/>
        <v>0</v>
      </c>
      <c r="DJ185" s="5">
        <f t="shared" si="468"/>
        <v>0</v>
      </c>
      <c r="DK185" s="8">
        <v>0</v>
      </c>
      <c r="DL185" s="5">
        <f t="shared" si="469"/>
        <v>0</v>
      </c>
      <c r="DM185" s="5" t="s">
        <v>403</v>
      </c>
      <c r="DN185" s="8">
        <f t="shared" ref="DN185:DP185" si="696">DN164</f>
        <v>6</v>
      </c>
      <c r="DO185" s="8">
        <f t="shared" si="696"/>
        <v>0</v>
      </c>
      <c r="DP185" s="5">
        <f t="shared" si="696"/>
        <v>0</v>
      </c>
      <c r="DQ185" s="8">
        <f t="shared" ref="DQ185:DQ212" si="697">DQ164</f>
        <v>0</v>
      </c>
      <c r="DR185" s="5">
        <f t="shared" si="483"/>
        <v>0.9</v>
      </c>
      <c r="DS185" s="8">
        <f t="shared" si="590"/>
        <v>1</v>
      </c>
      <c r="DT185" s="8">
        <f t="shared" si="591"/>
        <v>-0.5</v>
      </c>
      <c r="DU185" s="8">
        <f t="shared" si="591"/>
        <v>0.5</v>
      </c>
      <c r="DV185" s="8">
        <f t="shared" si="591"/>
        <v>0.2</v>
      </c>
      <c r="DW185" s="5">
        <f t="shared" si="656"/>
        <v>0.58333333333333337</v>
      </c>
      <c r="DX185" s="8">
        <f t="shared" si="592"/>
        <v>7</v>
      </c>
      <c r="DY185" s="8">
        <f t="shared" si="593"/>
        <v>0</v>
      </c>
      <c r="DZ185" s="8">
        <f t="shared" si="594"/>
        <v>0</v>
      </c>
      <c r="EA185" s="5"/>
    </row>
    <row r="186" spans="1:131" x14ac:dyDescent="0.15">
      <c r="A186" s="5">
        <v>201184</v>
      </c>
      <c r="B186" s="5" t="s">
        <v>404</v>
      </c>
      <c r="C186" s="5"/>
      <c r="D186" s="5"/>
      <c r="E186" s="5"/>
      <c r="F186" s="5">
        <v>0</v>
      </c>
      <c r="G186" s="45"/>
      <c r="H186" s="5"/>
      <c r="I186" s="5"/>
      <c r="J186" s="5"/>
      <c r="K186" s="5"/>
      <c r="L186" s="10"/>
      <c r="M186" s="5"/>
      <c r="N186" s="10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20"/>
      <c r="AF186" s="5"/>
      <c r="AG186" s="5"/>
      <c r="AH186" s="5"/>
      <c r="AI186" s="5"/>
      <c r="AJ186" s="5"/>
      <c r="AK186" s="5"/>
      <c r="AL186" s="5"/>
      <c r="AM186" s="5"/>
      <c r="AN186" s="8"/>
      <c r="AO186" s="5">
        <v>0</v>
      </c>
      <c r="AP186" s="5" t="s">
        <v>404</v>
      </c>
      <c r="AQ186" s="5">
        <v>0</v>
      </c>
      <c r="AR186" s="8">
        <f t="shared" si="568"/>
        <v>2</v>
      </c>
      <c r="AS186" s="6">
        <f t="shared" si="471"/>
        <v>54</v>
      </c>
      <c r="AT186" s="6">
        <f t="shared" si="472"/>
        <v>81</v>
      </c>
      <c r="AU186" s="5">
        <f t="shared" si="569"/>
        <v>0</v>
      </c>
      <c r="AV186" s="5">
        <f t="shared" si="570"/>
        <v>1</v>
      </c>
      <c r="AW186" s="5">
        <f t="shared" si="571"/>
        <v>0</v>
      </c>
      <c r="AX186" s="5">
        <f t="shared" ref="AX186" si="698">AX165</f>
        <v>0</v>
      </c>
      <c r="AY186" s="5">
        <f t="shared" si="571"/>
        <v>1</v>
      </c>
      <c r="AZ186" s="8">
        <f t="shared" si="573"/>
        <v>93</v>
      </c>
      <c r="BA186" s="5">
        <f t="shared" si="563"/>
        <v>203016</v>
      </c>
      <c r="BB186" s="5">
        <v>0</v>
      </c>
      <c r="BC186" s="5">
        <v>0</v>
      </c>
      <c r="BD186" s="5">
        <f t="shared" si="574"/>
        <v>0</v>
      </c>
      <c r="BE186" s="5">
        <f t="shared" si="575"/>
        <v>306001</v>
      </c>
      <c r="BF186" s="5">
        <f t="shared" si="576"/>
        <v>0</v>
      </c>
      <c r="BG186" s="5">
        <f t="shared" si="576"/>
        <v>0</v>
      </c>
      <c r="BH186" s="5">
        <f t="shared" si="564"/>
        <v>0</v>
      </c>
      <c r="BI186" s="5">
        <f t="shared" si="576"/>
        <v>0</v>
      </c>
      <c r="BJ186" s="5">
        <f t="shared" si="498"/>
        <v>9</v>
      </c>
      <c r="BK186" s="5">
        <f>BJ186*360/BM186</f>
        <v>18</v>
      </c>
      <c r="BL186" s="5">
        <f t="shared" si="610"/>
        <v>1</v>
      </c>
      <c r="BM186" s="5">
        <f t="shared" si="641"/>
        <v>180</v>
      </c>
      <c r="BN186" s="5">
        <f t="shared" si="577"/>
        <v>180</v>
      </c>
      <c r="BO186" s="5">
        <f t="shared" si="578"/>
        <v>203017</v>
      </c>
      <c r="BP186" s="5">
        <f t="shared" si="578"/>
        <v>3</v>
      </c>
      <c r="BQ186" s="5">
        <f t="shared" si="565"/>
        <v>4</v>
      </c>
      <c r="BR186" s="5">
        <f>50*BT186*3-360/BM186*BJ186*BQ186</f>
        <v>1278</v>
      </c>
      <c r="BS186" s="4">
        <v>4</v>
      </c>
      <c r="BT186" s="4">
        <v>9</v>
      </c>
      <c r="BU186" s="17">
        <f t="shared" si="579"/>
        <v>0</v>
      </c>
      <c r="BV186" s="4">
        <f t="shared" si="475"/>
        <v>9</v>
      </c>
      <c r="BW186" s="4">
        <f t="shared" si="476"/>
        <v>9</v>
      </c>
      <c r="BX186" s="14">
        <f t="shared" si="477"/>
        <v>0.28999999999999992</v>
      </c>
      <c r="BY186" s="14">
        <f t="shared" si="478"/>
        <v>0.15000000000000002</v>
      </c>
      <c r="BZ186" s="5" t="s">
        <v>161</v>
      </c>
      <c r="CA186" s="8" t="str">
        <f t="shared" si="661"/>
        <v>monster_16</v>
      </c>
      <c r="CB186" s="8" t="str">
        <f t="shared" si="661"/>
        <v>monster_16</v>
      </c>
      <c r="CC186" s="5">
        <v>0</v>
      </c>
      <c r="CD186" s="8">
        <f t="shared" si="580"/>
        <v>2</v>
      </c>
      <c r="CE186" s="5">
        <f t="shared" si="479"/>
        <v>0</v>
      </c>
      <c r="CF186" s="5">
        <f t="shared" si="596"/>
        <v>0</v>
      </c>
      <c r="CG186" s="5" t="s">
        <v>404</v>
      </c>
      <c r="CH186" s="5">
        <f t="shared" si="581"/>
        <v>3</v>
      </c>
      <c r="CI186" s="5">
        <v>104</v>
      </c>
      <c r="CJ186" s="4">
        <v>0</v>
      </c>
      <c r="CK186" s="5">
        <v>0</v>
      </c>
      <c r="CL186" s="5">
        <v>0</v>
      </c>
      <c r="CM186" s="20">
        <f t="shared" si="582"/>
        <v>0</v>
      </c>
      <c r="CN186" s="8">
        <f t="shared" si="582"/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8">
        <f t="shared" ref="CV186:CY186" si="699">CV165</f>
        <v>0.8</v>
      </c>
      <c r="CW186" s="8">
        <f t="shared" si="699"/>
        <v>0.6</v>
      </c>
      <c r="CX186" s="8">
        <f t="shared" si="699"/>
        <v>1</v>
      </c>
      <c r="CY186" s="8">
        <f t="shared" si="699"/>
        <v>1</v>
      </c>
      <c r="CZ186" s="8">
        <f t="shared" si="584"/>
        <v>0.8</v>
      </c>
      <c r="DA186" s="6">
        <f t="shared" si="466"/>
        <v>180</v>
      </c>
      <c r="DB186" s="5">
        <f t="shared" si="585"/>
        <v>1</v>
      </c>
      <c r="DC186" s="5">
        <f t="shared" si="481"/>
        <v>0.36399999999999999</v>
      </c>
      <c r="DD186" s="6">
        <f t="shared" si="467"/>
        <v>0.36399999999999999</v>
      </c>
      <c r="DE186" s="6">
        <f t="shared" si="598"/>
        <v>0.52</v>
      </c>
      <c r="DF186" s="5">
        <v>0</v>
      </c>
      <c r="DG186" s="8">
        <f t="shared" si="586"/>
        <v>3</v>
      </c>
      <c r="DH186" s="5">
        <v>2</v>
      </c>
      <c r="DI186" s="8">
        <f t="shared" si="587"/>
        <v>2</v>
      </c>
      <c r="DJ186" s="5">
        <f t="shared" si="468"/>
        <v>55</v>
      </c>
      <c r="DK186" s="8">
        <v>0</v>
      </c>
      <c r="DL186" s="5">
        <f t="shared" si="469"/>
        <v>0</v>
      </c>
      <c r="DM186" s="5" t="s">
        <v>404</v>
      </c>
      <c r="DN186" s="8">
        <f t="shared" ref="DN186:DP186" si="700">DN165</f>
        <v>6</v>
      </c>
      <c r="DO186" s="8">
        <f t="shared" si="700"/>
        <v>0</v>
      </c>
      <c r="DP186" s="5">
        <f t="shared" si="700"/>
        <v>0</v>
      </c>
      <c r="DQ186" s="8">
        <f t="shared" si="697"/>
        <v>0</v>
      </c>
      <c r="DR186" s="5">
        <f t="shared" si="483"/>
        <v>4.5</v>
      </c>
      <c r="DS186" s="8">
        <f t="shared" si="590"/>
        <v>5</v>
      </c>
      <c r="DT186" s="8">
        <f t="shared" si="591"/>
        <v>-5</v>
      </c>
      <c r="DU186" s="8">
        <f t="shared" si="591"/>
        <v>0</v>
      </c>
      <c r="DV186" s="8">
        <f t="shared" si="591"/>
        <v>0.2</v>
      </c>
      <c r="DW186" s="5">
        <f t="shared" si="656"/>
        <v>0.5</v>
      </c>
      <c r="DX186" s="8">
        <f t="shared" si="592"/>
        <v>6</v>
      </c>
      <c r="DY186" s="8">
        <f t="shared" si="593"/>
        <v>0</v>
      </c>
      <c r="DZ186" s="8">
        <f t="shared" si="594"/>
        <v>0</v>
      </c>
      <c r="EA186" s="5"/>
    </row>
    <row r="187" spans="1:131" x14ac:dyDescent="0.15">
      <c r="A187" s="5">
        <v>201185</v>
      </c>
      <c r="B187" s="5" t="s">
        <v>405</v>
      </c>
      <c r="C187" s="5"/>
      <c r="D187" s="5"/>
      <c r="E187" s="5"/>
      <c r="F187" s="5">
        <v>0</v>
      </c>
      <c r="G187" s="45"/>
      <c r="H187" s="5"/>
      <c r="I187" s="5"/>
      <c r="J187" s="5"/>
      <c r="K187" s="5"/>
      <c r="L187" s="10"/>
      <c r="M187" s="5"/>
      <c r="N187" s="10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20"/>
      <c r="AF187" s="5"/>
      <c r="AG187" s="5"/>
      <c r="AH187" s="5"/>
      <c r="AI187" s="5"/>
      <c r="AJ187" s="5"/>
      <c r="AK187" s="5"/>
      <c r="AL187" s="5"/>
      <c r="AM187" s="5"/>
      <c r="AN187" s="8"/>
      <c r="AO187" s="5">
        <v>0</v>
      </c>
      <c r="AP187" s="5" t="s">
        <v>405</v>
      </c>
      <c r="AQ187" s="5">
        <v>0</v>
      </c>
      <c r="AR187" s="8">
        <f t="shared" si="568"/>
        <v>1.5</v>
      </c>
      <c r="AS187" s="6">
        <f t="shared" si="471"/>
        <v>40.5</v>
      </c>
      <c r="AT187" s="6">
        <f t="shared" si="472"/>
        <v>67.5</v>
      </c>
      <c r="AU187" s="5">
        <f t="shared" si="569"/>
        <v>0</v>
      </c>
      <c r="AV187" s="5">
        <f t="shared" si="570"/>
        <v>1</v>
      </c>
      <c r="AW187" s="5">
        <f t="shared" si="571"/>
        <v>0</v>
      </c>
      <c r="AX187" s="5">
        <f t="shared" ref="AX187" si="701">AX166</f>
        <v>0</v>
      </c>
      <c r="AY187" s="5">
        <f t="shared" si="571"/>
        <v>1</v>
      </c>
      <c r="AZ187" s="8">
        <f t="shared" si="573"/>
        <v>93</v>
      </c>
      <c r="BA187" s="5">
        <f t="shared" si="563"/>
        <v>203017</v>
      </c>
      <c r="BB187" s="5">
        <v>0</v>
      </c>
      <c r="BC187" s="5">
        <v>0</v>
      </c>
      <c r="BD187" s="5">
        <f t="shared" si="574"/>
        <v>0</v>
      </c>
      <c r="BE187" s="5">
        <f t="shared" si="575"/>
        <v>0</v>
      </c>
      <c r="BF187" s="5">
        <f t="shared" si="576"/>
        <v>0</v>
      </c>
      <c r="BG187" s="5">
        <f t="shared" si="576"/>
        <v>15</v>
      </c>
      <c r="BH187" s="5">
        <f t="shared" si="564"/>
        <v>270</v>
      </c>
      <c r="BI187" s="5">
        <f t="shared" si="576"/>
        <v>0</v>
      </c>
      <c r="BJ187" s="5">
        <f t="shared" si="498"/>
        <v>0</v>
      </c>
      <c r="BK187" s="5">
        <v>0</v>
      </c>
      <c r="BL187" s="5">
        <f t="shared" si="610"/>
        <v>0</v>
      </c>
      <c r="BM187" s="5">
        <f t="shared" si="641"/>
        <v>0</v>
      </c>
      <c r="BN187" s="5">
        <f t="shared" si="577"/>
        <v>0</v>
      </c>
      <c r="BO187" s="5">
        <f t="shared" si="578"/>
        <v>0</v>
      </c>
      <c r="BP187" s="5">
        <f t="shared" si="578"/>
        <v>0</v>
      </c>
      <c r="BQ187" s="5">
        <f t="shared" si="565"/>
        <v>0</v>
      </c>
      <c r="BR187" s="5"/>
      <c r="BS187" s="4">
        <v>4</v>
      </c>
      <c r="BT187" s="4">
        <v>9</v>
      </c>
      <c r="BU187" s="17">
        <f t="shared" si="579"/>
        <v>0</v>
      </c>
      <c r="BV187" s="4">
        <f t="shared" si="475"/>
        <v>9</v>
      </c>
      <c r="BW187" s="4">
        <f t="shared" si="476"/>
        <v>9</v>
      </c>
      <c r="BX187" s="14">
        <f t="shared" si="477"/>
        <v>0.28999999999999992</v>
      </c>
      <c r="BY187" s="14">
        <f t="shared" si="478"/>
        <v>0.15000000000000002</v>
      </c>
      <c r="BZ187" s="5" t="s">
        <v>164</v>
      </c>
      <c r="CA187" s="8" t="str">
        <f t="shared" si="661"/>
        <v>monster_17</v>
      </c>
      <c r="CB187" s="8" t="str">
        <f t="shared" si="661"/>
        <v>monster_17</v>
      </c>
      <c r="CC187" s="5">
        <v>0</v>
      </c>
      <c r="CD187" s="8">
        <f t="shared" si="580"/>
        <v>2</v>
      </c>
      <c r="CE187" s="5">
        <f t="shared" si="479"/>
        <v>0</v>
      </c>
      <c r="CF187" s="5">
        <f t="shared" si="596"/>
        <v>0</v>
      </c>
      <c r="CG187" s="5" t="s">
        <v>405</v>
      </c>
      <c r="CH187" s="5">
        <f t="shared" si="581"/>
        <v>3</v>
      </c>
      <c r="CI187" s="5">
        <v>0</v>
      </c>
      <c r="CJ187" s="4">
        <v>0</v>
      </c>
      <c r="CK187" s="5">
        <v>0</v>
      </c>
      <c r="CL187" s="5">
        <v>0</v>
      </c>
      <c r="CM187" s="20">
        <f t="shared" si="582"/>
        <v>0</v>
      </c>
      <c r="CN187" s="8">
        <f t="shared" si="582"/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201184</v>
      </c>
      <c r="CT187" s="5">
        <v>0</v>
      </c>
      <c r="CU187" s="5">
        <v>0</v>
      </c>
      <c r="CV187" s="8">
        <f t="shared" ref="CV187:CY187" si="702">CV166</f>
        <v>0.8</v>
      </c>
      <c r="CW187" s="8">
        <f t="shared" si="702"/>
        <v>0.6</v>
      </c>
      <c r="CX187" s="8">
        <f t="shared" si="702"/>
        <v>1</v>
      </c>
      <c r="CY187" s="8">
        <f t="shared" si="702"/>
        <v>1</v>
      </c>
      <c r="CZ187" s="8">
        <f t="shared" si="584"/>
        <v>1</v>
      </c>
      <c r="DA187" s="6">
        <f t="shared" si="466"/>
        <v>225</v>
      </c>
      <c r="DB187" s="5">
        <f t="shared" si="585"/>
        <v>1</v>
      </c>
      <c r="DC187" s="5">
        <f t="shared" si="481"/>
        <v>0.17499999999999999</v>
      </c>
      <c r="DD187" s="6">
        <f t="shared" si="467"/>
        <v>0.17499999999999999</v>
      </c>
      <c r="DE187" s="6">
        <f t="shared" si="598"/>
        <v>0.25</v>
      </c>
      <c r="DF187" s="5">
        <v>0</v>
      </c>
      <c r="DG187" s="8">
        <f t="shared" si="586"/>
        <v>3</v>
      </c>
      <c r="DH187" s="5">
        <v>2</v>
      </c>
      <c r="DI187" s="8">
        <f t="shared" si="587"/>
        <v>0</v>
      </c>
      <c r="DJ187" s="5">
        <f t="shared" si="468"/>
        <v>0</v>
      </c>
      <c r="DK187" s="8">
        <v>0</v>
      </c>
      <c r="DL187" s="5">
        <f t="shared" si="469"/>
        <v>0</v>
      </c>
      <c r="DM187" s="5" t="s">
        <v>405</v>
      </c>
      <c r="DN187" s="8">
        <f t="shared" ref="DN187:DP187" si="703">DN166</f>
        <v>0</v>
      </c>
      <c r="DO187" s="8">
        <f t="shared" si="703"/>
        <v>0</v>
      </c>
      <c r="DP187" s="5">
        <f t="shared" si="703"/>
        <v>0</v>
      </c>
      <c r="DQ187" s="8">
        <f t="shared" si="697"/>
        <v>0</v>
      </c>
      <c r="DR187" s="5">
        <f t="shared" si="483"/>
        <v>3.15</v>
      </c>
      <c r="DS187" s="8">
        <f t="shared" si="590"/>
        <v>3.5</v>
      </c>
      <c r="DT187" s="8">
        <f t="shared" si="591"/>
        <v>-0.5</v>
      </c>
      <c r="DU187" s="8">
        <f t="shared" si="591"/>
        <v>0.5</v>
      </c>
      <c r="DV187" s="8">
        <f t="shared" si="591"/>
        <v>0.2</v>
      </c>
      <c r="DW187" s="5">
        <f t="shared" si="656"/>
        <v>0</v>
      </c>
      <c r="DX187" s="8">
        <f t="shared" si="592"/>
        <v>0</v>
      </c>
      <c r="DY187" s="8">
        <f t="shared" si="593"/>
        <v>0</v>
      </c>
      <c r="DZ187" s="8">
        <f t="shared" si="594"/>
        <v>0</v>
      </c>
      <c r="EA187" s="5"/>
    </row>
    <row r="188" spans="1:131" x14ac:dyDescent="0.15">
      <c r="A188" s="5">
        <v>201186</v>
      </c>
      <c r="B188" s="5" t="s">
        <v>406</v>
      </c>
      <c r="C188" s="5"/>
      <c r="D188" s="5"/>
      <c r="E188" s="5"/>
      <c r="F188" s="5">
        <v>0</v>
      </c>
      <c r="G188" s="45"/>
      <c r="H188" s="5"/>
      <c r="I188" s="5"/>
      <c r="J188" s="5"/>
      <c r="K188" s="5"/>
      <c r="L188" s="10"/>
      <c r="M188" s="5"/>
      <c r="N188" s="10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20"/>
      <c r="AF188" s="5"/>
      <c r="AG188" s="5"/>
      <c r="AH188" s="5"/>
      <c r="AI188" s="5"/>
      <c r="AJ188" s="5"/>
      <c r="AK188" s="5"/>
      <c r="AL188" s="5"/>
      <c r="AM188" s="5"/>
      <c r="AN188" s="8"/>
      <c r="AO188" s="5">
        <v>0</v>
      </c>
      <c r="AP188" s="5" t="s">
        <v>406</v>
      </c>
      <c r="AQ188" s="5">
        <v>0</v>
      </c>
      <c r="AR188" s="8">
        <f t="shared" si="568"/>
        <v>2</v>
      </c>
      <c r="AS188" s="6">
        <f t="shared" si="471"/>
        <v>54</v>
      </c>
      <c r="AT188" s="6">
        <f t="shared" si="472"/>
        <v>81</v>
      </c>
      <c r="AU188" s="5">
        <f t="shared" si="569"/>
        <v>0</v>
      </c>
      <c r="AV188" s="5">
        <f t="shared" si="570"/>
        <v>1</v>
      </c>
      <c r="AW188" s="5">
        <f t="shared" si="571"/>
        <v>1</v>
      </c>
      <c r="AX188" s="5">
        <f t="shared" ref="AX188" si="704">AX167</f>
        <v>1</v>
      </c>
      <c r="AY188" s="5">
        <f t="shared" si="571"/>
        <v>1</v>
      </c>
      <c r="AZ188" s="8">
        <f t="shared" si="573"/>
        <v>92</v>
      </c>
      <c r="BA188" s="5">
        <f t="shared" si="563"/>
        <v>203018</v>
      </c>
      <c r="BB188" s="5">
        <v>0</v>
      </c>
      <c r="BC188" s="5">
        <v>0</v>
      </c>
      <c r="BD188" s="5">
        <f t="shared" si="574"/>
        <v>0</v>
      </c>
      <c r="BE188" s="5">
        <f t="shared" si="575"/>
        <v>604001</v>
      </c>
      <c r="BF188" s="5">
        <f t="shared" si="576"/>
        <v>0</v>
      </c>
      <c r="BG188" s="5">
        <f t="shared" si="576"/>
        <v>0</v>
      </c>
      <c r="BH188" s="5">
        <f t="shared" si="564"/>
        <v>0</v>
      </c>
      <c r="BI188" s="5">
        <f t="shared" si="576"/>
        <v>0</v>
      </c>
      <c r="BJ188" s="5">
        <v>36</v>
      </c>
      <c r="BK188" s="5">
        <f>BJ188*360/BM188</f>
        <v>144</v>
      </c>
      <c r="BL188" s="5">
        <f t="shared" si="610"/>
        <v>2</v>
      </c>
      <c r="BM188" s="5">
        <f t="shared" si="641"/>
        <v>90</v>
      </c>
      <c r="BN188" s="5">
        <f t="shared" si="577"/>
        <v>180</v>
      </c>
      <c r="BO188" s="5">
        <f t="shared" si="578"/>
        <v>203019</v>
      </c>
      <c r="BP188" s="5">
        <f t="shared" si="578"/>
        <v>3</v>
      </c>
      <c r="BQ188" s="5">
        <f t="shared" si="565"/>
        <v>2</v>
      </c>
      <c r="BR188" s="5">
        <f>50*BT188*3-360/BM188*BJ188*BQ188</f>
        <v>1062</v>
      </c>
      <c r="BS188" s="4">
        <v>4</v>
      </c>
      <c r="BT188" s="4">
        <v>9</v>
      </c>
      <c r="BU188" s="17">
        <f t="shared" si="579"/>
        <v>0</v>
      </c>
      <c r="BV188" s="4">
        <f t="shared" si="475"/>
        <v>9</v>
      </c>
      <c r="BW188" s="4">
        <f t="shared" si="476"/>
        <v>9</v>
      </c>
      <c r="BX188" s="14">
        <f t="shared" si="477"/>
        <v>0.28999999999999992</v>
      </c>
      <c r="BY188" s="14">
        <f t="shared" si="478"/>
        <v>0.15000000000000002</v>
      </c>
      <c r="BZ188" s="5" t="s">
        <v>167</v>
      </c>
      <c r="CA188" s="8" t="str">
        <f t="shared" si="661"/>
        <v>monster_18</v>
      </c>
      <c r="CB188" s="8" t="str">
        <f t="shared" si="661"/>
        <v>monster_18</v>
      </c>
      <c r="CC188" s="5">
        <v>0</v>
      </c>
      <c r="CD188" s="8">
        <f t="shared" si="580"/>
        <v>2</v>
      </c>
      <c r="CE188" s="5">
        <f t="shared" si="479"/>
        <v>9</v>
      </c>
      <c r="CF188" s="5">
        <f t="shared" si="596"/>
        <v>1</v>
      </c>
      <c r="CG188" s="5" t="s">
        <v>406</v>
      </c>
      <c r="CH188" s="5">
        <f t="shared" si="581"/>
        <v>3</v>
      </c>
      <c r="CI188" s="5">
        <v>105</v>
      </c>
      <c r="CJ188" s="4">
        <v>0</v>
      </c>
      <c r="CK188" s="5">
        <v>0</v>
      </c>
      <c r="CL188" s="5">
        <v>0</v>
      </c>
      <c r="CM188" s="20">
        <f t="shared" si="582"/>
        <v>0</v>
      </c>
      <c r="CN188" s="8">
        <f t="shared" si="582"/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8">
        <f t="shared" ref="CV188:CY188" si="705">CV167</f>
        <v>0.8</v>
      </c>
      <c r="CW188" s="8">
        <f t="shared" si="705"/>
        <v>0.6</v>
      </c>
      <c r="CX188" s="8">
        <f t="shared" si="705"/>
        <v>1</v>
      </c>
      <c r="CY188" s="8">
        <f t="shared" si="705"/>
        <v>1</v>
      </c>
      <c r="CZ188" s="8">
        <f t="shared" si="584"/>
        <v>1</v>
      </c>
      <c r="DA188" s="6">
        <f t="shared" si="466"/>
        <v>225</v>
      </c>
      <c r="DB188" s="5">
        <f t="shared" si="585"/>
        <v>0</v>
      </c>
      <c r="DC188" s="5">
        <f t="shared" si="481"/>
        <v>0.17499999999999999</v>
      </c>
      <c r="DD188" s="6">
        <f t="shared" si="467"/>
        <v>0.17499999999999999</v>
      </c>
      <c r="DE188" s="6">
        <f t="shared" si="598"/>
        <v>0.25</v>
      </c>
      <c r="DF188" s="5">
        <v>0</v>
      </c>
      <c r="DG188" s="8">
        <f t="shared" si="586"/>
        <v>2.25</v>
      </c>
      <c r="DH188" s="5">
        <v>1.25</v>
      </c>
      <c r="DI188" s="8">
        <f t="shared" si="587"/>
        <v>4</v>
      </c>
      <c r="DJ188" s="5">
        <f t="shared" si="468"/>
        <v>110</v>
      </c>
      <c r="DK188" s="8">
        <v>0</v>
      </c>
      <c r="DL188" s="5">
        <f t="shared" si="469"/>
        <v>0</v>
      </c>
      <c r="DM188" s="5" t="s">
        <v>407</v>
      </c>
      <c r="DN188" s="8">
        <f t="shared" ref="DN188:DP188" si="706">DN167</f>
        <v>6</v>
      </c>
      <c r="DO188" s="8">
        <f t="shared" si="706"/>
        <v>0</v>
      </c>
      <c r="DP188" s="5">
        <f t="shared" si="706"/>
        <v>0</v>
      </c>
      <c r="DQ188" s="8">
        <f t="shared" si="697"/>
        <v>0</v>
      </c>
      <c r="DR188" s="5">
        <f t="shared" si="483"/>
        <v>1.35</v>
      </c>
      <c r="DS188" s="8">
        <f t="shared" si="590"/>
        <v>1.5</v>
      </c>
      <c r="DT188" s="8">
        <f t="shared" si="591"/>
        <v>-0.5</v>
      </c>
      <c r="DU188" s="8">
        <f t="shared" si="591"/>
        <v>0.5</v>
      </c>
      <c r="DV188" s="8">
        <f t="shared" si="591"/>
        <v>0.35</v>
      </c>
      <c r="DW188" s="5">
        <f t="shared" si="656"/>
        <v>0.33333333333333331</v>
      </c>
      <c r="DX188" s="8">
        <f t="shared" si="592"/>
        <v>4</v>
      </c>
      <c r="DY188" s="8">
        <f t="shared" si="593"/>
        <v>0</v>
      </c>
      <c r="DZ188" s="8">
        <f t="shared" si="594"/>
        <v>0</v>
      </c>
      <c r="EA188" s="5"/>
    </row>
    <row r="189" spans="1:131" x14ac:dyDescent="0.15">
      <c r="A189" s="5">
        <v>201187</v>
      </c>
      <c r="B189" s="5" t="s">
        <v>408</v>
      </c>
      <c r="C189" s="5"/>
      <c r="D189" s="5"/>
      <c r="E189" s="5"/>
      <c r="F189" s="5">
        <v>0</v>
      </c>
      <c r="G189" s="45"/>
      <c r="H189" s="5"/>
      <c r="I189" s="5"/>
      <c r="J189" s="5"/>
      <c r="K189" s="5"/>
      <c r="L189" s="10"/>
      <c r="M189" s="5"/>
      <c r="N189" s="10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20"/>
      <c r="AF189" s="5"/>
      <c r="AG189" s="5"/>
      <c r="AH189" s="5"/>
      <c r="AI189" s="5"/>
      <c r="AJ189" s="5"/>
      <c r="AK189" s="5"/>
      <c r="AL189" s="5"/>
      <c r="AM189" s="5"/>
      <c r="AN189" s="8"/>
      <c r="AO189" s="5">
        <v>0</v>
      </c>
      <c r="AP189" s="5" t="s">
        <v>408</v>
      </c>
      <c r="AQ189" s="5">
        <v>0</v>
      </c>
      <c r="AR189" s="8">
        <f t="shared" si="568"/>
        <v>1.5</v>
      </c>
      <c r="AS189" s="6">
        <f t="shared" si="471"/>
        <v>40.5</v>
      </c>
      <c r="AT189" s="6">
        <f t="shared" si="472"/>
        <v>67.5</v>
      </c>
      <c r="AU189" s="5">
        <f t="shared" si="569"/>
        <v>0</v>
      </c>
      <c r="AV189" s="5">
        <f t="shared" si="570"/>
        <v>1</v>
      </c>
      <c r="AW189" s="5">
        <f t="shared" si="571"/>
        <v>1</v>
      </c>
      <c r="AX189" s="5">
        <f t="shared" ref="AX189" si="707">AX168</f>
        <v>1</v>
      </c>
      <c r="AY189" s="5">
        <f t="shared" si="571"/>
        <v>1</v>
      </c>
      <c r="AZ189" s="8">
        <f t="shared" si="573"/>
        <v>92</v>
      </c>
      <c r="BA189" s="5">
        <f t="shared" si="563"/>
        <v>203019</v>
      </c>
      <c r="BB189" s="5">
        <v>0</v>
      </c>
      <c r="BC189" s="5">
        <v>0</v>
      </c>
      <c r="BD189" s="5">
        <f t="shared" si="574"/>
        <v>0</v>
      </c>
      <c r="BE189" s="5">
        <f t="shared" si="575"/>
        <v>0</v>
      </c>
      <c r="BF189" s="5">
        <f t="shared" si="576"/>
        <v>0</v>
      </c>
      <c r="BG189" s="5">
        <f t="shared" si="576"/>
        <v>15</v>
      </c>
      <c r="BH189" s="5">
        <f t="shared" si="564"/>
        <v>270</v>
      </c>
      <c r="BI189" s="5">
        <f t="shared" si="576"/>
        <v>0</v>
      </c>
      <c r="BJ189" s="5">
        <f t="shared" si="498"/>
        <v>0</v>
      </c>
      <c r="BK189" s="5">
        <v>0</v>
      </c>
      <c r="BL189" s="5">
        <f t="shared" si="610"/>
        <v>0</v>
      </c>
      <c r="BM189" s="5">
        <f t="shared" si="641"/>
        <v>0</v>
      </c>
      <c r="BN189" s="5">
        <f t="shared" si="577"/>
        <v>0</v>
      </c>
      <c r="BO189" s="5">
        <f t="shared" si="578"/>
        <v>0</v>
      </c>
      <c r="BP189" s="5">
        <f t="shared" si="578"/>
        <v>0</v>
      </c>
      <c r="BQ189" s="5">
        <f t="shared" si="565"/>
        <v>0</v>
      </c>
      <c r="BR189" s="5"/>
      <c r="BS189" s="4">
        <v>4</v>
      </c>
      <c r="BT189" s="4">
        <v>9</v>
      </c>
      <c r="BU189" s="17">
        <f t="shared" si="579"/>
        <v>0</v>
      </c>
      <c r="BV189" s="4">
        <f t="shared" si="475"/>
        <v>9</v>
      </c>
      <c r="BW189" s="4">
        <f t="shared" si="476"/>
        <v>9</v>
      </c>
      <c r="BX189" s="14">
        <f t="shared" si="477"/>
        <v>0.28999999999999992</v>
      </c>
      <c r="BY189" s="14">
        <f t="shared" si="478"/>
        <v>0.15000000000000002</v>
      </c>
      <c r="BZ189" s="5" t="s">
        <v>170</v>
      </c>
      <c r="CA189" s="8" t="str">
        <f t="shared" si="661"/>
        <v>monster_19</v>
      </c>
      <c r="CB189" s="8" t="str">
        <f t="shared" si="661"/>
        <v>monster_19</v>
      </c>
      <c r="CC189" s="5">
        <v>0</v>
      </c>
      <c r="CD189" s="8">
        <f t="shared" si="580"/>
        <v>2</v>
      </c>
      <c r="CE189" s="5">
        <f t="shared" si="479"/>
        <v>0</v>
      </c>
      <c r="CF189" s="5">
        <f t="shared" si="596"/>
        <v>0</v>
      </c>
      <c r="CG189" s="5" t="s">
        <v>408</v>
      </c>
      <c r="CH189" s="5">
        <f t="shared" si="581"/>
        <v>3</v>
      </c>
      <c r="CI189" s="5">
        <v>0</v>
      </c>
      <c r="CJ189" s="4">
        <v>0</v>
      </c>
      <c r="CK189" s="5">
        <v>0</v>
      </c>
      <c r="CL189" s="5">
        <v>0</v>
      </c>
      <c r="CM189" s="20">
        <f t="shared" si="582"/>
        <v>0</v>
      </c>
      <c r="CN189" s="8">
        <f t="shared" si="582"/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201186</v>
      </c>
      <c r="CT189" s="5">
        <v>0</v>
      </c>
      <c r="CU189" s="5">
        <v>0</v>
      </c>
      <c r="CV189" s="8">
        <f t="shared" ref="CV189:CY189" si="708">CV168</f>
        <v>0.8</v>
      </c>
      <c r="CW189" s="8">
        <f t="shared" si="708"/>
        <v>0.6</v>
      </c>
      <c r="CX189" s="8">
        <f t="shared" si="708"/>
        <v>1</v>
      </c>
      <c r="CY189" s="8">
        <f t="shared" si="708"/>
        <v>1</v>
      </c>
      <c r="CZ189" s="8">
        <f t="shared" si="584"/>
        <v>1</v>
      </c>
      <c r="DA189" s="6">
        <f t="shared" si="466"/>
        <v>225</v>
      </c>
      <c r="DB189" s="5">
        <f t="shared" si="585"/>
        <v>0</v>
      </c>
      <c r="DC189" s="5">
        <f t="shared" si="481"/>
        <v>0.17499999999999999</v>
      </c>
      <c r="DD189" s="6">
        <f t="shared" si="467"/>
        <v>0.17499999999999999</v>
      </c>
      <c r="DE189" s="6">
        <f t="shared" si="598"/>
        <v>0.25</v>
      </c>
      <c r="DF189" s="5">
        <v>0</v>
      </c>
      <c r="DG189" s="8">
        <f t="shared" si="586"/>
        <v>2.25</v>
      </c>
      <c r="DH189" s="5">
        <v>1.25</v>
      </c>
      <c r="DI189" s="8">
        <f t="shared" si="587"/>
        <v>0</v>
      </c>
      <c r="DJ189" s="5">
        <f t="shared" si="468"/>
        <v>0</v>
      </c>
      <c r="DK189" s="8">
        <v>0</v>
      </c>
      <c r="DL189" s="5">
        <f t="shared" si="469"/>
        <v>0</v>
      </c>
      <c r="DM189" s="5" t="s">
        <v>409</v>
      </c>
      <c r="DN189" s="8">
        <f t="shared" ref="DN189:DP189" si="709">DN168</f>
        <v>0</v>
      </c>
      <c r="DO189" s="8">
        <f t="shared" si="709"/>
        <v>0</v>
      </c>
      <c r="DP189" s="5">
        <f t="shared" si="709"/>
        <v>0</v>
      </c>
      <c r="DQ189" s="8">
        <f t="shared" si="697"/>
        <v>0</v>
      </c>
      <c r="DR189" s="5">
        <f t="shared" si="483"/>
        <v>1.35</v>
      </c>
      <c r="DS189" s="8">
        <f t="shared" si="590"/>
        <v>1.5</v>
      </c>
      <c r="DT189" s="8">
        <f t="shared" si="591"/>
        <v>-0.5</v>
      </c>
      <c r="DU189" s="8">
        <f t="shared" si="591"/>
        <v>0.5</v>
      </c>
      <c r="DV189" s="8">
        <f t="shared" si="591"/>
        <v>0.35</v>
      </c>
      <c r="DW189" s="5">
        <f t="shared" si="656"/>
        <v>0</v>
      </c>
      <c r="DX189" s="8">
        <f t="shared" si="592"/>
        <v>0</v>
      </c>
      <c r="DY189" s="8">
        <f t="shared" si="593"/>
        <v>0</v>
      </c>
      <c r="DZ189" s="8">
        <f t="shared" si="594"/>
        <v>0</v>
      </c>
      <c r="EA189" s="5"/>
    </row>
    <row r="190" spans="1:131" x14ac:dyDescent="0.15">
      <c r="A190" s="5">
        <v>201188</v>
      </c>
      <c r="B190" s="5" t="s">
        <v>410</v>
      </c>
      <c r="C190" s="5"/>
      <c r="D190" s="5"/>
      <c r="E190" s="5"/>
      <c r="F190" s="5">
        <v>0</v>
      </c>
      <c r="G190" s="45"/>
      <c r="H190" s="5"/>
      <c r="I190" s="5"/>
      <c r="J190" s="5"/>
      <c r="K190" s="5"/>
      <c r="L190" s="10"/>
      <c r="M190" s="5"/>
      <c r="N190" s="10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20"/>
      <c r="AF190" s="5"/>
      <c r="AG190" s="5"/>
      <c r="AH190" s="5"/>
      <c r="AI190" s="5"/>
      <c r="AJ190" s="5"/>
      <c r="AK190" s="5"/>
      <c r="AL190" s="5"/>
      <c r="AM190" s="5"/>
      <c r="AN190" s="8"/>
      <c r="AO190" s="5">
        <v>0</v>
      </c>
      <c r="AP190" s="5" t="s">
        <v>410</v>
      </c>
      <c r="AQ190" s="5">
        <v>0</v>
      </c>
      <c r="AR190" s="8">
        <f t="shared" si="568"/>
        <v>3</v>
      </c>
      <c r="AS190" s="6">
        <f t="shared" si="471"/>
        <v>81</v>
      </c>
      <c r="AT190" s="6">
        <f t="shared" si="472"/>
        <v>108</v>
      </c>
      <c r="AU190" s="5">
        <f t="shared" si="569"/>
        <v>0</v>
      </c>
      <c r="AV190" s="5">
        <f t="shared" si="570"/>
        <v>1</v>
      </c>
      <c r="AW190" s="5">
        <f t="shared" si="571"/>
        <v>0</v>
      </c>
      <c r="AX190" s="5">
        <f t="shared" ref="AX190" si="710">AX169</f>
        <v>0</v>
      </c>
      <c r="AY190" s="5">
        <f t="shared" si="571"/>
        <v>0</v>
      </c>
      <c r="AZ190" s="8">
        <f t="shared" si="573"/>
        <v>91</v>
      </c>
      <c r="BA190" s="5">
        <f t="shared" si="563"/>
        <v>203020</v>
      </c>
      <c r="BB190" s="5">
        <v>0</v>
      </c>
      <c r="BC190" s="5">
        <v>0</v>
      </c>
      <c r="BD190" s="5">
        <f t="shared" si="574"/>
        <v>0</v>
      </c>
      <c r="BE190" s="5">
        <f t="shared" si="575"/>
        <v>0</v>
      </c>
      <c r="BF190" s="5">
        <f t="shared" si="576"/>
        <v>0</v>
      </c>
      <c r="BG190" s="5">
        <f t="shared" si="576"/>
        <v>0</v>
      </c>
      <c r="BH190" s="5">
        <f t="shared" si="564"/>
        <v>0</v>
      </c>
      <c r="BI190" s="5">
        <f t="shared" si="576"/>
        <v>0</v>
      </c>
      <c r="BJ190" s="5">
        <f t="shared" si="498"/>
        <v>0</v>
      </c>
      <c r="BK190" s="5">
        <v>0</v>
      </c>
      <c r="BL190" s="5">
        <f t="shared" si="610"/>
        <v>0</v>
      </c>
      <c r="BM190" s="5">
        <f t="shared" si="641"/>
        <v>0</v>
      </c>
      <c r="BN190" s="5">
        <f t="shared" si="577"/>
        <v>0</v>
      </c>
      <c r="BO190" s="5">
        <f t="shared" si="578"/>
        <v>0</v>
      </c>
      <c r="BP190" s="5">
        <f t="shared" si="578"/>
        <v>0</v>
      </c>
      <c r="BQ190" s="5">
        <f t="shared" si="565"/>
        <v>0</v>
      </c>
      <c r="BR190" s="5"/>
      <c r="BS190" s="4">
        <v>4</v>
      </c>
      <c r="BT190" s="4">
        <v>9</v>
      </c>
      <c r="BU190" s="17">
        <f t="shared" si="579"/>
        <v>0</v>
      </c>
      <c r="BV190" s="4">
        <f t="shared" si="475"/>
        <v>9</v>
      </c>
      <c r="BW190" s="4">
        <f t="shared" si="476"/>
        <v>9</v>
      </c>
      <c r="BX190" s="14">
        <f t="shared" si="477"/>
        <v>0.28999999999999992</v>
      </c>
      <c r="BY190" s="14">
        <f t="shared" si="478"/>
        <v>0.15000000000000002</v>
      </c>
      <c r="BZ190" s="5" t="s">
        <v>173</v>
      </c>
      <c r="CA190" s="8" t="str">
        <f t="shared" si="661"/>
        <v>monster_20</v>
      </c>
      <c r="CB190" s="8" t="str">
        <f t="shared" si="661"/>
        <v>monster_20</v>
      </c>
      <c r="CC190" s="5">
        <v>0</v>
      </c>
      <c r="CD190" s="8">
        <f t="shared" si="580"/>
        <v>1</v>
      </c>
      <c r="CE190" s="5">
        <f t="shared" si="479"/>
        <v>0</v>
      </c>
      <c r="CF190" s="5">
        <f t="shared" si="596"/>
        <v>0</v>
      </c>
      <c r="CG190" s="5" t="s">
        <v>410</v>
      </c>
      <c r="CH190" s="5">
        <f t="shared" si="581"/>
        <v>3</v>
      </c>
      <c r="CI190" s="5">
        <v>0</v>
      </c>
      <c r="CJ190" s="4">
        <v>0</v>
      </c>
      <c r="CK190" s="5">
        <v>0</v>
      </c>
      <c r="CL190" s="5">
        <v>0</v>
      </c>
      <c r="CM190" s="20">
        <f t="shared" si="582"/>
        <v>0</v>
      </c>
      <c r="CN190" s="8">
        <f t="shared" si="582"/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8">
        <f t="shared" ref="CV190:CY190" si="711">CV169</f>
        <v>0.8</v>
      </c>
      <c r="CW190" s="8">
        <f t="shared" si="711"/>
        <v>0.6</v>
      </c>
      <c r="CX190" s="8">
        <f t="shared" si="711"/>
        <v>1</v>
      </c>
      <c r="CY190" s="8">
        <f t="shared" si="711"/>
        <v>1</v>
      </c>
      <c r="CZ190" s="8">
        <f t="shared" si="584"/>
        <v>1</v>
      </c>
      <c r="DA190" s="6">
        <f t="shared" si="466"/>
        <v>225</v>
      </c>
      <c r="DB190" s="5">
        <f t="shared" si="585"/>
        <v>0</v>
      </c>
      <c r="DC190" s="5">
        <f t="shared" si="481"/>
        <v>9.0999999999999998E-2</v>
      </c>
      <c r="DD190" s="6">
        <f t="shared" si="467"/>
        <v>9.0999999999999998E-2</v>
      </c>
      <c r="DE190" s="6">
        <f t="shared" si="598"/>
        <v>0.13</v>
      </c>
      <c r="DF190" s="5">
        <v>0</v>
      </c>
      <c r="DG190" s="8">
        <f t="shared" si="586"/>
        <v>2.25</v>
      </c>
      <c r="DH190" s="5">
        <v>1.25</v>
      </c>
      <c r="DI190" s="8">
        <f t="shared" si="587"/>
        <v>0</v>
      </c>
      <c r="DJ190" s="5">
        <f t="shared" si="468"/>
        <v>0</v>
      </c>
      <c r="DK190" s="8">
        <v>0</v>
      </c>
      <c r="DL190" s="5">
        <f t="shared" si="469"/>
        <v>0</v>
      </c>
      <c r="DM190" s="5" t="s">
        <v>410</v>
      </c>
      <c r="DN190" s="8">
        <f t="shared" ref="DN190:DP190" si="712">DN169</f>
        <v>6</v>
      </c>
      <c r="DO190" s="8">
        <f t="shared" si="712"/>
        <v>0</v>
      </c>
      <c r="DP190" s="5">
        <f t="shared" si="712"/>
        <v>0</v>
      </c>
      <c r="DQ190" s="8">
        <f t="shared" si="697"/>
        <v>0</v>
      </c>
      <c r="DR190" s="5">
        <f t="shared" si="483"/>
        <v>0.9</v>
      </c>
      <c r="DS190" s="8">
        <f t="shared" si="590"/>
        <v>1</v>
      </c>
      <c r="DT190" s="8">
        <f t="shared" si="591"/>
        <v>-0.5</v>
      </c>
      <c r="DU190" s="8">
        <f t="shared" si="591"/>
        <v>0.5</v>
      </c>
      <c r="DV190" s="8">
        <f t="shared" si="591"/>
        <v>0.35</v>
      </c>
      <c r="DW190" s="5">
        <f t="shared" si="656"/>
        <v>0.41666666666666669</v>
      </c>
      <c r="DX190" s="8">
        <f t="shared" si="592"/>
        <v>5</v>
      </c>
      <c r="DY190" s="8">
        <f t="shared" si="593"/>
        <v>0</v>
      </c>
      <c r="DZ190" s="8">
        <f t="shared" si="594"/>
        <v>0</v>
      </c>
      <c r="EA190" s="5"/>
    </row>
    <row r="191" spans="1:131" x14ac:dyDescent="0.15">
      <c r="A191" s="5">
        <v>201189</v>
      </c>
      <c r="B191" s="5" t="s">
        <v>411</v>
      </c>
      <c r="C191" s="5"/>
      <c r="D191" s="5"/>
      <c r="E191" s="5"/>
      <c r="F191" s="5">
        <v>0</v>
      </c>
      <c r="G191" s="45"/>
      <c r="H191" s="5"/>
      <c r="I191" s="5"/>
      <c r="J191" s="5"/>
      <c r="K191" s="5"/>
      <c r="L191" s="10"/>
      <c r="M191" s="5"/>
      <c r="N191" s="10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20"/>
      <c r="AF191" s="5"/>
      <c r="AG191" s="5"/>
      <c r="AH191" s="5"/>
      <c r="AI191" s="5"/>
      <c r="AJ191" s="5"/>
      <c r="AK191" s="5"/>
      <c r="AL191" s="5"/>
      <c r="AM191" s="5"/>
      <c r="AN191" s="8"/>
      <c r="AO191" s="5">
        <v>0</v>
      </c>
      <c r="AP191" s="5" t="s">
        <v>411</v>
      </c>
      <c r="AQ191" s="5">
        <v>0</v>
      </c>
      <c r="AR191" s="8">
        <f t="shared" si="568"/>
        <v>2</v>
      </c>
      <c r="AS191" s="6">
        <f t="shared" si="471"/>
        <v>54</v>
      </c>
      <c r="AT191" s="6">
        <f t="shared" si="472"/>
        <v>81</v>
      </c>
      <c r="AU191" s="5">
        <f t="shared" si="569"/>
        <v>0</v>
      </c>
      <c r="AV191" s="5">
        <f t="shared" si="570"/>
        <v>1</v>
      </c>
      <c r="AW191" s="5">
        <f t="shared" si="571"/>
        <v>1</v>
      </c>
      <c r="AX191" s="5">
        <f t="shared" ref="AX191" si="713">AX170</f>
        <v>1</v>
      </c>
      <c r="AY191" s="5">
        <f t="shared" si="571"/>
        <v>1</v>
      </c>
      <c r="AZ191" s="8">
        <f t="shared" si="573"/>
        <v>93</v>
      </c>
      <c r="BA191" s="5">
        <f t="shared" si="563"/>
        <v>203021</v>
      </c>
      <c r="BB191" s="5">
        <v>0</v>
      </c>
      <c r="BC191" s="5">
        <v>0</v>
      </c>
      <c r="BD191" s="5">
        <f t="shared" si="574"/>
        <v>0</v>
      </c>
      <c r="BE191" s="5">
        <f t="shared" si="575"/>
        <v>0</v>
      </c>
      <c r="BF191" s="5">
        <f t="shared" si="576"/>
        <v>0</v>
      </c>
      <c r="BG191" s="5">
        <f t="shared" si="576"/>
        <v>0</v>
      </c>
      <c r="BH191" s="5">
        <f t="shared" si="564"/>
        <v>0</v>
      </c>
      <c r="BI191" s="5">
        <f t="shared" si="576"/>
        <v>0</v>
      </c>
      <c r="BJ191" s="5">
        <f t="shared" si="498"/>
        <v>0</v>
      </c>
      <c r="BK191" s="5">
        <v>0</v>
      </c>
      <c r="BL191" s="5">
        <f t="shared" si="610"/>
        <v>0</v>
      </c>
      <c r="BM191" s="5">
        <f t="shared" si="641"/>
        <v>0</v>
      </c>
      <c r="BN191" s="5">
        <f t="shared" si="577"/>
        <v>0</v>
      </c>
      <c r="BO191" s="5">
        <f t="shared" si="578"/>
        <v>0</v>
      </c>
      <c r="BP191" s="5">
        <f t="shared" si="578"/>
        <v>0</v>
      </c>
      <c r="BQ191" s="5">
        <f t="shared" si="565"/>
        <v>0</v>
      </c>
      <c r="BR191" s="5"/>
      <c r="BS191" s="4">
        <v>4</v>
      </c>
      <c r="BT191" s="4">
        <v>9</v>
      </c>
      <c r="BU191" s="17">
        <f t="shared" si="579"/>
        <v>0</v>
      </c>
      <c r="BV191" s="4">
        <f t="shared" si="475"/>
        <v>9</v>
      </c>
      <c r="BW191" s="4">
        <f t="shared" si="476"/>
        <v>9</v>
      </c>
      <c r="BX191" s="14">
        <f t="shared" si="477"/>
        <v>0.28999999999999992</v>
      </c>
      <c r="BY191" s="14">
        <f t="shared" si="478"/>
        <v>0.15000000000000002</v>
      </c>
      <c r="BZ191" s="5" t="s">
        <v>176</v>
      </c>
      <c r="CA191" s="8" t="str">
        <f t="shared" si="661"/>
        <v>monster_05_brood</v>
      </c>
      <c r="CB191" s="8" t="str">
        <f t="shared" si="661"/>
        <v>monster_05_brood</v>
      </c>
      <c r="CC191" s="5">
        <v>0</v>
      </c>
      <c r="CD191" s="8">
        <f t="shared" si="580"/>
        <v>1</v>
      </c>
      <c r="CE191" s="5">
        <f t="shared" si="479"/>
        <v>0</v>
      </c>
      <c r="CF191" s="5">
        <f t="shared" si="596"/>
        <v>0</v>
      </c>
      <c r="CG191" s="5" t="s">
        <v>411</v>
      </c>
      <c r="CH191" s="5">
        <f t="shared" si="581"/>
        <v>3</v>
      </c>
      <c r="CI191" s="5">
        <v>0</v>
      </c>
      <c r="CJ191" s="4">
        <v>0</v>
      </c>
      <c r="CK191" s="5">
        <v>0</v>
      </c>
      <c r="CL191" s="5">
        <v>0</v>
      </c>
      <c r="CM191" s="20">
        <f t="shared" si="582"/>
        <v>0</v>
      </c>
      <c r="CN191" s="8">
        <f t="shared" si="582"/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8">
        <f t="shared" ref="CV191:CY191" si="714">CV170</f>
        <v>0.8</v>
      </c>
      <c r="CW191" s="8">
        <f t="shared" si="714"/>
        <v>0.6</v>
      </c>
      <c r="CX191" s="8">
        <f t="shared" si="714"/>
        <v>1</v>
      </c>
      <c r="CY191" s="8">
        <f t="shared" si="714"/>
        <v>1</v>
      </c>
      <c r="CZ191" s="8">
        <f t="shared" si="584"/>
        <v>1</v>
      </c>
      <c r="DA191" s="6">
        <f t="shared" si="466"/>
        <v>225</v>
      </c>
      <c r="DB191" s="5">
        <f t="shared" si="585"/>
        <v>0</v>
      </c>
      <c r="DC191" s="5">
        <f t="shared" si="481"/>
        <v>0.42</v>
      </c>
      <c r="DD191" s="6">
        <f t="shared" si="467"/>
        <v>0.42</v>
      </c>
      <c r="DE191" s="6">
        <f t="shared" si="598"/>
        <v>0.6</v>
      </c>
      <c r="DF191" s="5">
        <v>1</v>
      </c>
      <c r="DG191" s="8">
        <f t="shared" si="586"/>
        <v>2.5</v>
      </c>
      <c r="DH191" s="5">
        <v>1.5</v>
      </c>
      <c r="DI191" s="8">
        <f t="shared" si="587"/>
        <v>0</v>
      </c>
      <c r="DJ191" s="5">
        <f t="shared" si="468"/>
        <v>0</v>
      </c>
      <c r="DK191" s="8">
        <v>0</v>
      </c>
      <c r="DL191" s="5">
        <f t="shared" si="469"/>
        <v>0</v>
      </c>
      <c r="DM191" s="5" t="s">
        <v>411</v>
      </c>
      <c r="DN191" s="8">
        <f t="shared" ref="DN191:DP191" si="715">DN170</f>
        <v>8</v>
      </c>
      <c r="DO191" s="8">
        <f t="shared" si="715"/>
        <v>0</v>
      </c>
      <c r="DP191" s="5">
        <f t="shared" si="715"/>
        <v>0</v>
      </c>
      <c r="DQ191" s="8">
        <f t="shared" si="697"/>
        <v>0</v>
      </c>
      <c r="DR191" s="5">
        <f t="shared" si="483"/>
        <v>0.9</v>
      </c>
      <c r="DS191" s="8">
        <f t="shared" si="590"/>
        <v>1</v>
      </c>
      <c r="DT191" s="8">
        <f t="shared" si="591"/>
        <v>-0.5</v>
      </c>
      <c r="DU191" s="8">
        <f t="shared" si="591"/>
        <v>0.5</v>
      </c>
      <c r="DV191" s="8">
        <f t="shared" si="591"/>
        <v>0.5</v>
      </c>
      <c r="DW191" s="5">
        <f t="shared" si="656"/>
        <v>0.5</v>
      </c>
      <c r="DX191" s="8">
        <f t="shared" si="592"/>
        <v>6</v>
      </c>
      <c r="DY191" s="8">
        <f t="shared" si="593"/>
        <v>0</v>
      </c>
      <c r="DZ191" s="8">
        <f t="shared" si="594"/>
        <v>0</v>
      </c>
      <c r="EA191" s="5"/>
    </row>
    <row r="192" spans="1:131" x14ac:dyDescent="0.15">
      <c r="A192" s="5">
        <v>201190</v>
      </c>
      <c r="B192" s="5" t="s">
        <v>412</v>
      </c>
      <c r="C192" s="5"/>
      <c r="D192" s="5"/>
      <c r="E192" s="5"/>
      <c r="F192" s="5">
        <v>0</v>
      </c>
      <c r="G192" s="45"/>
      <c r="H192" s="5"/>
      <c r="I192" s="5"/>
      <c r="J192" s="5"/>
      <c r="K192" s="5"/>
      <c r="L192" s="10"/>
      <c r="M192" s="5"/>
      <c r="N192" s="10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20"/>
      <c r="AF192" s="5"/>
      <c r="AG192" s="5"/>
      <c r="AH192" s="5"/>
      <c r="AI192" s="5"/>
      <c r="AJ192" s="5"/>
      <c r="AK192" s="5"/>
      <c r="AL192" s="5"/>
      <c r="AM192" s="5"/>
      <c r="AN192" s="8"/>
      <c r="AO192" s="5">
        <v>0</v>
      </c>
      <c r="AP192" s="5" t="s">
        <v>412</v>
      </c>
      <c r="AQ192" s="5">
        <v>0</v>
      </c>
      <c r="AR192" s="8">
        <f t="shared" si="568"/>
        <v>3</v>
      </c>
      <c r="AS192" s="6">
        <f t="shared" si="471"/>
        <v>90</v>
      </c>
      <c r="AT192" s="6">
        <f t="shared" si="472"/>
        <v>120</v>
      </c>
      <c r="AU192" s="5">
        <f t="shared" si="569"/>
        <v>0</v>
      </c>
      <c r="AV192" s="5">
        <f t="shared" si="570"/>
        <v>1</v>
      </c>
      <c r="AW192" s="5">
        <f t="shared" si="571"/>
        <v>1</v>
      </c>
      <c r="AX192" s="5">
        <f t="shared" ref="AX192" si="716">AX171</f>
        <v>1</v>
      </c>
      <c r="AY192" s="5">
        <f t="shared" si="571"/>
        <v>1</v>
      </c>
      <c r="AZ192" s="8">
        <f t="shared" si="573"/>
        <v>103</v>
      </c>
      <c r="BA192" s="5">
        <f t="shared" si="563"/>
        <v>203001</v>
      </c>
      <c r="BB192" s="5">
        <v>0</v>
      </c>
      <c r="BC192" s="5">
        <v>0</v>
      </c>
      <c r="BD192" s="5">
        <f t="shared" si="574"/>
        <v>0</v>
      </c>
      <c r="BE192" s="5">
        <f t="shared" si="575"/>
        <v>0</v>
      </c>
      <c r="BF192" s="5">
        <f t="shared" si="576"/>
        <v>0</v>
      </c>
      <c r="BG192" s="5">
        <f t="shared" si="576"/>
        <v>0</v>
      </c>
      <c r="BH192" s="5">
        <f t="shared" si="564"/>
        <v>0</v>
      </c>
      <c r="BI192" s="5">
        <f t="shared" si="576"/>
        <v>0</v>
      </c>
      <c r="BJ192" s="5">
        <f t="shared" si="498"/>
        <v>0</v>
      </c>
      <c r="BK192" s="5">
        <v>0</v>
      </c>
      <c r="BL192" s="5">
        <f t="shared" si="610"/>
        <v>0</v>
      </c>
      <c r="BM192" s="5">
        <f t="shared" si="641"/>
        <v>0</v>
      </c>
      <c r="BN192" s="5">
        <f t="shared" si="577"/>
        <v>0</v>
      </c>
      <c r="BO192" s="5">
        <f t="shared" si="578"/>
        <v>0</v>
      </c>
      <c r="BP192" s="5">
        <f t="shared" si="578"/>
        <v>0</v>
      </c>
      <c r="BQ192" s="5">
        <f t="shared" si="565"/>
        <v>0</v>
      </c>
      <c r="BR192" s="5"/>
      <c r="BS192" s="4">
        <v>1</v>
      </c>
      <c r="BT192" s="4">
        <v>10</v>
      </c>
      <c r="BU192" s="17">
        <f t="shared" si="579"/>
        <v>0</v>
      </c>
      <c r="BV192" s="4">
        <f t="shared" si="475"/>
        <v>10</v>
      </c>
      <c r="BW192" s="4">
        <f t="shared" si="476"/>
        <v>10</v>
      </c>
      <c r="BX192" s="14">
        <f t="shared" si="477"/>
        <v>0.21999999999999986</v>
      </c>
      <c r="BY192" s="14">
        <f t="shared" si="478"/>
        <v>0.10000000000000003</v>
      </c>
      <c r="BZ192" s="5" t="s">
        <v>179</v>
      </c>
      <c r="CA192" s="8" t="str">
        <f t="shared" si="661"/>
        <v>elite_monster_01</v>
      </c>
      <c r="CB192" s="8" t="str">
        <f t="shared" si="661"/>
        <v>elite_monster_01</v>
      </c>
      <c r="CC192" s="5">
        <v>0</v>
      </c>
      <c r="CD192" s="8">
        <f t="shared" si="580"/>
        <v>2</v>
      </c>
      <c r="CE192" s="5">
        <f t="shared" si="479"/>
        <v>0</v>
      </c>
      <c r="CF192" s="5">
        <f t="shared" si="596"/>
        <v>0</v>
      </c>
      <c r="CG192" s="5" t="s">
        <v>412</v>
      </c>
      <c r="CH192" s="5">
        <f t="shared" si="581"/>
        <v>0</v>
      </c>
      <c r="CI192" s="5">
        <v>111</v>
      </c>
      <c r="CJ192" s="4">
        <v>1</v>
      </c>
      <c r="CK192" s="5">
        <v>0</v>
      </c>
      <c r="CL192" s="5">
        <v>0</v>
      </c>
      <c r="CM192" s="20">
        <f t="shared" si="582"/>
        <v>0</v>
      </c>
      <c r="CN192" s="8">
        <f t="shared" si="582"/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8">
        <f t="shared" ref="CV192:CY192" si="717">CV171</f>
        <v>1</v>
      </c>
      <c r="CW192" s="8">
        <f t="shared" si="717"/>
        <v>0.6</v>
      </c>
      <c r="CX192" s="8">
        <f t="shared" si="717"/>
        <v>1.25</v>
      </c>
      <c r="CY192" s="8">
        <f t="shared" si="717"/>
        <v>1.06</v>
      </c>
      <c r="CZ192" s="8">
        <f t="shared" si="584"/>
        <v>1</v>
      </c>
      <c r="DA192" s="6">
        <f t="shared" si="466"/>
        <v>250</v>
      </c>
      <c r="DB192" s="5">
        <f t="shared" si="585"/>
        <v>0</v>
      </c>
      <c r="DC192" s="5">
        <f t="shared" si="481"/>
        <v>0.36249999999999999</v>
      </c>
      <c r="DD192" s="6">
        <f t="shared" si="467"/>
        <v>0.36249999999999999</v>
      </c>
      <c r="DE192" s="6">
        <f t="shared" si="598"/>
        <v>0.5</v>
      </c>
      <c r="DF192" s="5">
        <v>0</v>
      </c>
      <c r="DG192" s="8">
        <f t="shared" si="586"/>
        <v>2.25</v>
      </c>
      <c r="DH192" s="5">
        <v>1.25</v>
      </c>
      <c r="DI192" s="8">
        <f t="shared" si="587"/>
        <v>1.25</v>
      </c>
      <c r="DJ192" s="5">
        <f t="shared" si="468"/>
        <v>37.5</v>
      </c>
      <c r="DK192" s="8">
        <v>0</v>
      </c>
      <c r="DL192" s="5">
        <f t="shared" si="469"/>
        <v>0</v>
      </c>
      <c r="DM192" s="5" t="s">
        <v>412</v>
      </c>
      <c r="DN192" s="8">
        <f t="shared" ref="DN192:DP192" si="718">DN171</f>
        <v>6</v>
      </c>
      <c r="DO192" s="8">
        <f t="shared" si="718"/>
        <v>0</v>
      </c>
      <c r="DP192" s="5">
        <f t="shared" si="718"/>
        <v>0</v>
      </c>
      <c r="DQ192" s="8">
        <f t="shared" si="697"/>
        <v>0</v>
      </c>
      <c r="DR192" s="5">
        <f t="shared" si="483"/>
        <v>2.7</v>
      </c>
      <c r="DS192" s="8">
        <f t="shared" si="590"/>
        <v>3</v>
      </c>
      <c r="DT192" s="8">
        <f t="shared" si="591"/>
        <v>-0.3</v>
      </c>
      <c r="DU192" s="8">
        <f t="shared" si="591"/>
        <v>3</v>
      </c>
      <c r="DV192" s="8">
        <f t="shared" si="591"/>
        <v>0.35</v>
      </c>
      <c r="DW192" s="5">
        <f t="shared" si="656"/>
        <v>0.58333333333333337</v>
      </c>
      <c r="DX192" s="8">
        <f t="shared" si="592"/>
        <v>7</v>
      </c>
      <c r="DY192" s="8">
        <f t="shared" si="593"/>
        <v>0</v>
      </c>
      <c r="DZ192" s="8">
        <f t="shared" si="594"/>
        <v>0</v>
      </c>
      <c r="EA192" s="5"/>
    </row>
    <row r="193" spans="1:131" x14ac:dyDescent="0.15">
      <c r="A193" s="5">
        <v>201191</v>
      </c>
      <c r="B193" s="5" t="s">
        <v>413</v>
      </c>
      <c r="C193" s="5"/>
      <c r="D193" s="5"/>
      <c r="E193" s="5"/>
      <c r="F193" s="5">
        <v>0</v>
      </c>
      <c r="G193" s="45"/>
      <c r="H193" s="5"/>
      <c r="I193" s="5"/>
      <c r="J193" s="5"/>
      <c r="K193" s="5"/>
      <c r="L193" s="10"/>
      <c r="M193" s="5"/>
      <c r="N193" s="10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20"/>
      <c r="AF193" s="5"/>
      <c r="AG193" s="5"/>
      <c r="AH193" s="5"/>
      <c r="AI193" s="5"/>
      <c r="AJ193" s="5"/>
      <c r="AK193" s="5"/>
      <c r="AL193" s="5"/>
      <c r="AM193" s="5"/>
      <c r="AN193" s="8"/>
      <c r="AO193" s="5">
        <v>0</v>
      </c>
      <c r="AP193" s="5" t="s">
        <v>413</v>
      </c>
      <c r="AQ193" s="5">
        <v>0</v>
      </c>
      <c r="AR193" s="8">
        <f t="shared" si="568"/>
        <v>3</v>
      </c>
      <c r="AS193" s="6">
        <f t="shared" si="471"/>
        <v>90</v>
      </c>
      <c r="AT193" s="6">
        <f t="shared" si="472"/>
        <v>120</v>
      </c>
      <c r="AU193" s="5">
        <f t="shared" si="569"/>
        <v>0.2</v>
      </c>
      <c r="AV193" s="5">
        <f t="shared" si="570"/>
        <v>1</v>
      </c>
      <c r="AW193" s="5">
        <f t="shared" si="571"/>
        <v>0</v>
      </c>
      <c r="AX193" s="5">
        <f t="shared" ref="AX193" si="719">AX172</f>
        <v>0</v>
      </c>
      <c r="AY193" s="5">
        <f t="shared" si="571"/>
        <v>0</v>
      </c>
      <c r="AZ193" s="8">
        <f t="shared" si="573"/>
        <v>103</v>
      </c>
      <c r="BA193" s="5">
        <f t="shared" si="563"/>
        <v>203002</v>
      </c>
      <c r="BB193" s="5">
        <v>0</v>
      </c>
      <c r="BC193" s="5">
        <v>0</v>
      </c>
      <c r="BD193" s="5">
        <f t="shared" si="574"/>
        <v>0</v>
      </c>
      <c r="BE193" s="5">
        <f t="shared" si="575"/>
        <v>0</v>
      </c>
      <c r="BF193" s="5">
        <f t="shared" si="576"/>
        <v>0</v>
      </c>
      <c r="BG193" s="5">
        <f t="shared" si="576"/>
        <v>0</v>
      </c>
      <c r="BH193" s="5">
        <f t="shared" si="564"/>
        <v>0</v>
      </c>
      <c r="BI193" s="5">
        <f t="shared" si="576"/>
        <v>0</v>
      </c>
      <c r="BJ193" s="5">
        <f t="shared" si="498"/>
        <v>0</v>
      </c>
      <c r="BK193" s="5">
        <v>0</v>
      </c>
      <c r="BL193" s="5">
        <f t="shared" si="610"/>
        <v>0</v>
      </c>
      <c r="BM193" s="5">
        <f t="shared" si="641"/>
        <v>0</v>
      </c>
      <c r="BN193" s="5">
        <f t="shared" si="577"/>
        <v>0</v>
      </c>
      <c r="BO193" s="5">
        <f t="shared" si="578"/>
        <v>0</v>
      </c>
      <c r="BP193" s="5">
        <f t="shared" si="578"/>
        <v>0</v>
      </c>
      <c r="BQ193" s="5">
        <f t="shared" si="565"/>
        <v>0</v>
      </c>
      <c r="BR193" s="5"/>
      <c r="BS193" s="4">
        <v>1</v>
      </c>
      <c r="BT193" s="4">
        <v>10</v>
      </c>
      <c r="BU193" s="17">
        <f t="shared" si="579"/>
        <v>0</v>
      </c>
      <c r="BV193" s="4">
        <f t="shared" si="475"/>
        <v>10</v>
      </c>
      <c r="BW193" s="4">
        <f t="shared" si="476"/>
        <v>10</v>
      </c>
      <c r="BX193" s="14">
        <f t="shared" si="477"/>
        <v>0.21999999999999986</v>
      </c>
      <c r="BY193" s="14">
        <f t="shared" si="478"/>
        <v>0.10000000000000003</v>
      </c>
      <c r="BZ193" s="5" t="s">
        <v>182</v>
      </c>
      <c r="CA193" s="8" t="str">
        <f t="shared" si="661"/>
        <v>elite_monster_02</v>
      </c>
      <c r="CB193" s="8" t="str">
        <f t="shared" si="661"/>
        <v>elite_monster_02</v>
      </c>
      <c r="CC193" s="5">
        <v>0</v>
      </c>
      <c r="CD193" s="8">
        <f t="shared" si="580"/>
        <v>1</v>
      </c>
      <c r="CE193" s="5">
        <f t="shared" si="479"/>
        <v>0</v>
      </c>
      <c r="CF193" s="5">
        <f t="shared" si="596"/>
        <v>0</v>
      </c>
      <c r="CG193" s="5" t="s">
        <v>413</v>
      </c>
      <c r="CH193" s="5">
        <f t="shared" si="581"/>
        <v>3</v>
      </c>
      <c r="CI193" s="5">
        <v>0</v>
      </c>
      <c r="CJ193" s="4">
        <v>1</v>
      </c>
      <c r="CK193" s="5">
        <v>903905</v>
      </c>
      <c r="CL193" s="5">
        <v>1</v>
      </c>
      <c r="CM193" s="20">
        <f t="shared" si="582"/>
        <v>0</v>
      </c>
      <c r="CN193" s="8">
        <f t="shared" si="582"/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8">
        <f t="shared" ref="CV193:CY193" si="720">CV172</f>
        <v>0.8</v>
      </c>
      <c r="CW193" s="8">
        <f t="shared" si="720"/>
        <v>0.6</v>
      </c>
      <c r="CX193" s="8">
        <f t="shared" si="720"/>
        <v>1.34</v>
      </c>
      <c r="CY193" s="8">
        <f t="shared" si="720"/>
        <v>1.35</v>
      </c>
      <c r="CZ193" s="8">
        <f t="shared" si="584"/>
        <v>1</v>
      </c>
      <c r="DA193" s="6">
        <f t="shared" si="466"/>
        <v>250</v>
      </c>
      <c r="DB193" s="5">
        <f t="shared" si="585"/>
        <v>0</v>
      </c>
      <c r="DC193" s="5">
        <f t="shared" si="481"/>
        <v>0.72499999999999998</v>
      </c>
      <c r="DD193" s="6">
        <f t="shared" si="467"/>
        <v>0.72499999999999998</v>
      </c>
      <c r="DE193" s="6">
        <f t="shared" si="598"/>
        <v>1</v>
      </c>
      <c r="DF193" s="5">
        <v>0</v>
      </c>
      <c r="DG193" s="8">
        <f t="shared" si="586"/>
        <v>2.25</v>
      </c>
      <c r="DH193" s="5">
        <v>1.25</v>
      </c>
      <c r="DI193" s="8">
        <f t="shared" si="587"/>
        <v>0</v>
      </c>
      <c r="DJ193" s="5">
        <f t="shared" si="468"/>
        <v>0</v>
      </c>
      <c r="DK193" s="8">
        <v>0</v>
      </c>
      <c r="DL193" s="5">
        <f t="shared" si="469"/>
        <v>0</v>
      </c>
      <c r="DM193" s="5" t="s">
        <v>413</v>
      </c>
      <c r="DN193" s="8">
        <f t="shared" ref="DN193:DP193" si="721">DN172</f>
        <v>8</v>
      </c>
      <c r="DO193" s="8">
        <f t="shared" si="721"/>
        <v>0</v>
      </c>
      <c r="DP193" s="5">
        <f t="shared" si="721"/>
        <v>0</v>
      </c>
      <c r="DQ193" s="8">
        <f t="shared" si="697"/>
        <v>0</v>
      </c>
      <c r="DR193" s="5">
        <f t="shared" si="483"/>
        <v>0.9</v>
      </c>
      <c r="DS193" s="8">
        <f t="shared" si="590"/>
        <v>1</v>
      </c>
      <c r="DT193" s="8">
        <f t="shared" si="591"/>
        <v>-0.5</v>
      </c>
      <c r="DU193" s="8">
        <f t="shared" si="591"/>
        <v>0.5</v>
      </c>
      <c r="DV193" s="8">
        <f t="shared" si="591"/>
        <v>0.35</v>
      </c>
      <c r="DW193" s="5">
        <f t="shared" ref="DW193:DW222" si="722">DX193/12</f>
        <v>0.58333333333333337</v>
      </c>
      <c r="DX193" s="8">
        <f t="shared" si="592"/>
        <v>7</v>
      </c>
      <c r="DY193" s="8">
        <f t="shared" si="593"/>
        <v>0</v>
      </c>
      <c r="DZ193" s="8">
        <f t="shared" si="594"/>
        <v>0</v>
      </c>
      <c r="EA193" s="5"/>
    </row>
    <row r="194" spans="1:131" x14ac:dyDescent="0.15">
      <c r="A194" s="5">
        <v>201192</v>
      </c>
      <c r="B194" s="5" t="s">
        <v>414</v>
      </c>
      <c r="C194" s="5"/>
      <c r="D194" s="5"/>
      <c r="E194" s="5"/>
      <c r="F194" s="5">
        <v>0</v>
      </c>
      <c r="G194" s="45"/>
      <c r="H194" s="5"/>
      <c r="I194" s="5"/>
      <c r="J194" s="5"/>
      <c r="K194" s="5"/>
      <c r="L194" s="10"/>
      <c r="M194" s="5"/>
      <c r="N194" s="10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20"/>
      <c r="AF194" s="5"/>
      <c r="AG194" s="5"/>
      <c r="AH194" s="5"/>
      <c r="AI194" s="5"/>
      <c r="AJ194" s="5"/>
      <c r="AK194" s="5"/>
      <c r="AL194" s="5"/>
      <c r="AM194" s="5"/>
      <c r="AN194" s="8"/>
      <c r="AO194" s="5">
        <v>0</v>
      </c>
      <c r="AP194" s="5" t="s">
        <v>414</v>
      </c>
      <c r="AQ194" s="5">
        <v>0</v>
      </c>
      <c r="AR194" s="8">
        <f t="shared" si="568"/>
        <v>3</v>
      </c>
      <c r="AS194" s="6">
        <f t="shared" si="471"/>
        <v>90</v>
      </c>
      <c r="AT194" s="6">
        <f t="shared" si="472"/>
        <v>120</v>
      </c>
      <c r="AU194" s="5">
        <f t="shared" si="569"/>
        <v>0</v>
      </c>
      <c r="AV194" s="5">
        <f t="shared" si="570"/>
        <v>1</v>
      </c>
      <c r="AW194" s="5">
        <f t="shared" si="571"/>
        <v>1</v>
      </c>
      <c r="AX194" s="5">
        <f t="shared" ref="AX194" si="723">AX173</f>
        <v>1</v>
      </c>
      <c r="AY194" s="5">
        <f t="shared" si="571"/>
        <v>0</v>
      </c>
      <c r="AZ194" s="8">
        <f t="shared" si="573"/>
        <v>102</v>
      </c>
      <c r="BA194" s="5">
        <f t="shared" si="563"/>
        <v>203003</v>
      </c>
      <c r="BB194" s="5">
        <v>0</v>
      </c>
      <c r="BC194" s="5">
        <v>0</v>
      </c>
      <c r="BD194" s="5">
        <f t="shared" si="574"/>
        <v>1</v>
      </c>
      <c r="BE194" s="5">
        <f t="shared" si="575"/>
        <v>0</v>
      </c>
      <c r="BF194" s="5">
        <f t="shared" si="576"/>
        <v>0</v>
      </c>
      <c r="BG194" s="5">
        <f t="shared" si="576"/>
        <v>0</v>
      </c>
      <c r="BH194" s="5">
        <f t="shared" si="564"/>
        <v>0</v>
      </c>
      <c r="BI194" s="5">
        <f t="shared" si="576"/>
        <v>0</v>
      </c>
      <c r="BJ194" s="5">
        <f t="shared" si="498"/>
        <v>0</v>
      </c>
      <c r="BK194" s="5">
        <v>0</v>
      </c>
      <c r="BL194" s="5">
        <f t="shared" si="610"/>
        <v>0</v>
      </c>
      <c r="BM194" s="5">
        <f t="shared" si="641"/>
        <v>0</v>
      </c>
      <c r="BN194" s="5">
        <f t="shared" si="577"/>
        <v>0</v>
      </c>
      <c r="BO194" s="5">
        <f t="shared" si="578"/>
        <v>0</v>
      </c>
      <c r="BP194" s="5">
        <f t="shared" si="578"/>
        <v>0</v>
      </c>
      <c r="BQ194" s="5">
        <f t="shared" si="565"/>
        <v>0</v>
      </c>
      <c r="BR194" s="5"/>
      <c r="BS194" s="4">
        <v>1</v>
      </c>
      <c r="BT194" s="4">
        <v>10</v>
      </c>
      <c r="BU194" s="17">
        <f t="shared" si="579"/>
        <v>0</v>
      </c>
      <c r="BV194" s="4">
        <f t="shared" si="475"/>
        <v>10</v>
      </c>
      <c r="BW194" s="4">
        <f t="shared" si="476"/>
        <v>10</v>
      </c>
      <c r="BX194" s="14">
        <f t="shared" si="477"/>
        <v>0.21999999999999986</v>
      </c>
      <c r="BY194" s="14">
        <f t="shared" si="478"/>
        <v>0.10000000000000003</v>
      </c>
      <c r="BZ194" s="5" t="s">
        <v>185</v>
      </c>
      <c r="CA194" s="8" t="str">
        <f t="shared" si="661"/>
        <v>elite_monster_03</v>
      </c>
      <c r="CB194" s="8" t="str">
        <f t="shared" si="661"/>
        <v>elite_monster_03</v>
      </c>
      <c r="CC194" s="5">
        <v>0</v>
      </c>
      <c r="CD194" s="8">
        <f t="shared" si="580"/>
        <v>3</v>
      </c>
      <c r="CE194" s="5">
        <f t="shared" si="479"/>
        <v>10</v>
      </c>
      <c r="CF194" s="5">
        <f t="shared" si="596"/>
        <v>1</v>
      </c>
      <c r="CG194" s="5" t="s">
        <v>414</v>
      </c>
      <c r="CH194" s="5">
        <f t="shared" si="581"/>
        <v>0</v>
      </c>
      <c r="CI194" s="5">
        <v>112</v>
      </c>
      <c r="CJ194" s="4">
        <v>1</v>
      </c>
      <c r="CK194" s="5">
        <v>903906</v>
      </c>
      <c r="CL194" s="5">
        <v>0</v>
      </c>
      <c r="CM194" s="20">
        <f t="shared" si="582"/>
        <v>0</v>
      </c>
      <c r="CN194" s="8">
        <f t="shared" si="582"/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8">
        <f t="shared" ref="CV194:CY194" si="724">CV173</f>
        <v>0.8</v>
      </c>
      <c r="CW194" s="8">
        <f t="shared" si="724"/>
        <v>0.6</v>
      </c>
      <c r="CX194" s="8">
        <f t="shared" si="724"/>
        <v>1</v>
      </c>
      <c r="CY194" s="8">
        <f t="shared" si="724"/>
        <v>1</v>
      </c>
      <c r="CZ194" s="8">
        <f t="shared" si="584"/>
        <v>1</v>
      </c>
      <c r="DA194" s="6">
        <f t="shared" si="466"/>
        <v>250</v>
      </c>
      <c r="DB194" s="5">
        <f t="shared" si="585"/>
        <v>0</v>
      </c>
      <c r="DC194" s="5">
        <f t="shared" si="481"/>
        <v>0.435</v>
      </c>
      <c r="DD194" s="6">
        <f t="shared" si="467"/>
        <v>0.435</v>
      </c>
      <c r="DE194" s="6">
        <f t="shared" si="598"/>
        <v>0.6</v>
      </c>
      <c r="DF194" s="5">
        <v>0</v>
      </c>
      <c r="DG194" s="8">
        <f t="shared" si="586"/>
        <v>2</v>
      </c>
      <c r="DH194" s="5">
        <v>1</v>
      </c>
      <c r="DI194" s="8">
        <f t="shared" si="587"/>
        <v>2</v>
      </c>
      <c r="DJ194" s="5">
        <f t="shared" si="468"/>
        <v>60</v>
      </c>
      <c r="DK194" s="8">
        <v>0</v>
      </c>
      <c r="DL194" s="5">
        <f t="shared" si="469"/>
        <v>0</v>
      </c>
      <c r="DM194" s="5" t="s">
        <v>414</v>
      </c>
      <c r="DN194" s="8">
        <f t="shared" ref="DN194:DP194" si="725">DN173</f>
        <v>6</v>
      </c>
      <c r="DO194" s="8">
        <f t="shared" si="725"/>
        <v>0</v>
      </c>
      <c r="DP194" s="5">
        <f t="shared" si="725"/>
        <v>0</v>
      </c>
      <c r="DQ194" s="8">
        <f t="shared" si="697"/>
        <v>0</v>
      </c>
      <c r="DR194" s="5">
        <f t="shared" si="483"/>
        <v>0.9</v>
      </c>
      <c r="DS194" s="8">
        <f t="shared" si="590"/>
        <v>1</v>
      </c>
      <c r="DT194" s="8">
        <f t="shared" si="591"/>
        <v>-0.5</v>
      </c>
      <c r="DU194" s="8">
        <f t="shared" si="591"/>
        <v>0.5</v>
      </c>
      <c r="DV194" s="8">
        <f t="shared" si="591"/>
        <v>0.3</v>
      </c>
      <c r="DW194" s="5">
        <f t="shared" si="722"/>
        <v>0.5</v>
      </c>
      <c r="DX194" s="8">
        <f t="shared" si="592"/>
        <v>6</v>
      </c>
      <c r="DY194" s="8">
        <f t="shared" si="593"/>
        <v>0</v>
      </c>
      <c r="DZ194" s="8">
        <f t="shared" si="594"/>
        <v>0</v>
      </c>
      <c r="EA194" s="5"/>
    </row>
    <row r="195" spans="1:131" x14ac:dyDescent="0.15">
      <c r="A195" s="5">
        <v>201193</v>
      </c>
      <c r="B195" s="5" t="s">
        <v>415</v>
      </c>
      <c r="C195" s="5"/>
      <c r="D195" s="5"/>
      <c r="E195" s="5"/>
      <c r="F195" s="5">
        <v>0</v>
      </c>
      <c r="G195" s="45"/>
      <c r="H195" s="5"/>
      <c r="I195" s="5"/>
      <c r="J195" s="5"/>
      <c r="K195" s="5"/>
      <c r="L195" s="10"/>
      <c r="M195" s="5"/>
      <c r="N195" s="10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20"/>
      <c r="AF195" s="5"/>
      <c r="AG195" s="5"/>
      <c r="AH195" s="5"/>
      <c r="AI195" s="5"/>
      <c r="AJ195" s="5"/>
      <c r="AK195" s="5"/>
      <c r="AL195" s="5"/>
      <c r="AM195" s="5"/>
      <c r="AN195" s="8"/>
      <c r="AO195" s="5">
        <v>0</v>
      </c>
      <c r="AP195" s="5" t="s">
        <v>415</v>
      </c>
      <c r="AQ195" s="5">
        <v>0</v>
      </c>
      <c r="AR195" s="8">
        <f t="shared" si="568"/>
        <v>4</v>
      </c>
      <c r="AS195" s="6">
        <f t="shared" si="471"/>
        <v>120</v>
      </c>
      <c r="AT195" s="6">
        <f t="shared" si="472"/>
        <v>150</v>
      </c>
      <c r="AU195" s="5">
        <f t="shared" si="569"/>
        <v>0</v>
      </c>
      <c r="AV195" s="5">
        <f t="shared" si="570"/>
        <v>1</v>
      </c>
      <c r="AW195" s="5">
        <f t="shared" si="571"/>
        <v>1</v>
      </c>
      <c r="AX195" s="5">
        <f t="shared" ref="AX195" si="726">AX174</f>
        <v>1</v>
      </c>
      <c r="AY195" s="5">
        <f t="shared" si="571"/>
        <v>1</v>
      </c>
      <c r="AZ195" s="8">
        <f t="shared" si="573"/>
        <v>102</v>
      </c>
      <c r="BA195" s="5">
        <f t="shared" si="563"/>
        <v>203004</v>
      </c>
      <c r="BB195" s="5">
        <v>0</v>
      </c>
      <c r="BC195" s="5">
        <v>0</v>
      </c>
      <c r="BD195" s="5">
        <f t="shared" si="574"/>
        <v>0</v>
      </c>
      <c r="BE195" s="5">
        <f t="shared" si="575"/>
        <v>0</v>
      </c>
      <c r="BF195" s="5">
        <f t="shared" si="576"/>
        <v>0</v>
      </c>
      <c r="BG195" s="5">
        <f t="shared" si="576"/>
        <v>0</v>
      </c>
      <c r="BH195" s="5">
        <f t="shared" si="564"/>
        <v>0</v>
      </c>
      <c r="BI195" s="5">
        <f t="shared" si="576"/>
        <v>0</v>
      </c>
      <c r="BJ195" s="5">
        <f t="shared" si="498"/>
        <v>0</v>
      </c>
      <c r="BK195" s="5">
        <v>0</v>
      </c>
      <c r="BL195" s="5">
        <f t="shared" si="610"/>
        <v>0</v>
      </c>
      <c r="BM195" s="5">
        <f t="shared" si="641"/>
        <v>0</v>
      </c>
      <c r="BN195" s="5">
        <f t="shared" si="577"/>
        <v>0</v>
      </c>
      <c r="BO195" s="5">
        <f t="shared" si="578"/>
        <v>0</v>
      </c>
      <c r="BP195" s="5">
        <f t="shared" si="578"/>
        <v>0</v>
      </c>
      <c r="BQ195" s="5">
        <f t="shared" si="565"/>
        <v>0</v>
      </c>
      <c r="BR195" s="5"/>
      <c r="BS195" s="4">
        <v>1</v>
      </c>
      <c r="BT195" s="4">
        <v>10</v>
      </c>
      <c r="BU195" s="17">
        <f t="shared" si="579"/>
        <v>0</v>
      </c>
      <c r="BV195" s="4">
        <f t="shared" si="475"/>
        <v>10</v>
      </c>
      <c r="BW195" s="4">
        <f t="shared" si="476"/>
        <v>10</v>
      </c>
      <c r="BX195" s="14">
        <f t="shared" si="477"/>
        <v>0.21999999999999986</v>
      </c>
      <c r="BY195" s="14">
        <f t="shared" si="478"/>
        <v>0.10000000000000003</v>
      </c>
      <c r="BZ195" s="5" t="s">
        <v>188</v>
      </c>
      <c r="CA195" s="8" t="str">
        <f t="shared" si="661"/>
        <v>elite_monster_04</v>
      </c>
      <c r="CB195" s="8" t="str">
        <f t="shared" si="661"/>
        <v>elite_monster_04</v>
      </c>
      <c r="CC195" s="5">
        <v>0</v>
      </c>
      <c r="CD195" s="8">
        <f t="shared" si="580"/>
        <v>1</v>
      </c>
      <c r="CE195" s="5">
        <f t="shared" si="479"/>
        <v>0</v>
      </c>
      <c r="CF195" s="5">
        <f t="shared" si="596"/>
        <v>0</v>
      </c>
      <c r="CG195" s="5" t="s">
        <v>415</v>
      </c>
      <c r="CH195" s="5">
        <f>CH173</f>
        <v>0</v>
      </c>
      <c r="CI195" s="5">
        <v>0</v>
      </c>
      <c r="CJ195" s="4">
        <v>1</v>
      </c>
      <c r="CK195" s="5">
        <v>0</v>
      </c>
      <c r="CL195" s="5">
        <v>0</v>
      </c>
      <c r="CM195" s="20">
        <f t="shared" si="582"/>
        <v>109</v>
      </c>
      <c r="CN195" s="8">
        <f t="shared" si="582"/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8">
        <f t="shared" ref="CV195:CY195" si="727">CV174</f>
        <v>0.8</v>
      </c>
      <c r="CW195" s="8">
        <f t="shared" si="727"/>
        <v>0.6</v>
      </c>
      <c r="CX195" s="8">
        <f t="shared" si="727"/>
        <v>1.25</v>
      </c>
      <c r="CY195" s="8">
        <f t="shared" si="727"/>
        <v>1</v>
      </c>
      <c r="CZ195" s="8">
        <f t="shared" si="584"/>
        <v>2</v>
      </c>
      <c r="DA195" s="6">
        <f t="shared" ref="DA195:DA258" si="728">CZ195*25*BV195</f>
        <v>500</v>
      </c>
      <c r="DB195" s="5">
        <f t="shared" si="585"/>
        <v>0</v>
      </c>
      <c r="DC195" s="5">
        <f t="shared" si="481"/>
        <v>0.28999999999999998</v>
      </c>
      <c r="DD195" s="6">
        <f t="shared" ref="DD195:DD258" si="729">(1+(BT195-1)*0.05)*DE195*0.5</f>
        <v>0.28999999999999998</v>
      </c>
      <c r="DE195" s="6">
        <f t="shared" si="598"/>
        <v>0.4</v>
      </c>
      <c r="DF195" s="5">
        <v>0</v>
      </c>
      <c r="DG195" s="8">
        <f t="shared" si="586"/>
        <v>2</v>
      </c>
      <c r="DH195" s="5">
        <v>1</v>
      </c>
      <c r="DI195" s="8">
        <f t="shared" si="587"/>
        <v>0</v>
      </c>
      <c r="DJ195" s="5">
        <f t="shared" ref="DJ195:DJ212" si="730">DI195*5*(1+BV195/2)</f>
        <v>0</v>
      </c>
      <c r="DK195" s="8">
        <v>0</v>
      </c>
      <c r="DL195" s="5">
        <f t="shared" ref="DL195:DL258" si="731">DK195*5*(1+BV195/2)</f>
        <v>0</v>
      </c>
      <c r="DM195" s="5" t="s">
        <v>415</v>
      </c>
      <c r="DN195" s="8">
        <f t="shared" ref="DN195:DP195" si="732">DN174</f>
        <v>6</v>
      </c>
      <c r="DO195" s="8">
        <f t="shared" si="732"/>
        <v>0</v>
      </c>
      <c r="DP195" s="5">
        <f t="shared" si="732"/>
        <v>0</v>
      </c>
      <c r="DQ195" s="8">
        <f t="shared" si="697"/>
        <v>0</v>
      </c>
      <c r="DR195" s="5">
        <f t="shared" si="483"/>
        <v>0.9</v>
      </c>
      <c r="DS195" s="8">
        <f t="shared" si="590"/>
        <v>1</v>
      </c>
      <c r="DT195" s="8">
        <f t="shared" si="591"/>
        <v>-0.5</v>
      </c>
      <c r="DU195" s="8">
        <f t="shared" si="591"/>
        <v>0.5</v>
      </c>
      <c r="DV195" s="8">
        <f t="shared" si="591"/>
        <v>0.3</v>
      </c>
      <c r="DW195" s="5">
        <f t="shared" si="722"/>
        <v>0.5</v>
      </c>
      <c r="DX195" s="8">
        <f t="shared" si="592"/>
        <v>6</v>
      </c>
      <c r="DY195" s="8">
        <f t="shared" si="593"/>
        <v>0</v>
      </c>
      <c r="DZ195" s="8">
        <f t="shared" si="594"/>
        <v>0</v>
      </c>
      <c r="EA195" s="5"/>
    </row>
    <row r="196" spans="1:131" x14ac:dyDescent="0.15">
      <c r="A196" s="6">
        <v>201194</v>
      </c>
      <c r="B196" s="6" t="s">
        <v>416</v>
      </c>
      <c r="C196" s="5"/>
      <c r="D196" s="5"/>
      <c r="E196" s="5"/>
      <c r="F196" s="5">
        <v>0</v>
      </c>
      <c r="G196" s="45"/>
      <c r="H196" s="5"/>
      <c r="I196" s="5"/>
      <c r="J196" s="5"/>
      <c r="K196" s="5"/>
      <c r="L196" s="10"/>
      <c r="M196" s="5"/>
      <c r="N196" s="10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20"/>
      <c r="AF196" s="5"/>
      <c r="AG196" s="5"/>
      <c r="AH196" s="5"/>
      <c r="AI196" s="5"/>
      <c r="AJ196" s="5"/>
      <c r="AK196" s="5"/>
      <c r="AL196" s="5"/>
      <c r="AM196" s="5"/>
      <c r="AN196" s="8"/>
      <c r="AO196" s="5">
        <v>0</v>
      </c>
      <c r="AP196" s="6" t="s">
        <v>416</v>
      </c>
      <c r="AQ196" s="5">
        <v>0</v>
      </c>
      <c r="AR196" s="8">
        <f t="shared" si="568"/>
        <v>3</v>
      </c>
      <c r="AS196" s="6">
        <f t="shared" ref="AS196:AS259" si="733">AR196*3*BV196</f>
        <v>90</v>
      </c>
      <c r="AT196" s="6">
        <f t="shared" ref="AT196:AT259" si="734">(AR196+1)*3*BV196</f>
        <v>120</v>
      </c>
      <c r="AU196" s="5">
        <f t="shared" si="569"/>
        <v>0</v>
      </c>
      <c r="AV196" s="5">
        <f t="shared" si="570"/>
        <v>1</v>
      </c>
      <c r="AW196" s="5">
        <f t="shared" si="571"/>
        <v>1</v>
      </c>
      <c r="AX196" s="5">
        <f t="shared" ref="AX196" si="735">AX175</f>
        <v>1</v>
      </c>
      <c r="AY196" s="5">
        <f t="shared" si="571"/>
        <v>1</v>
      </c>
      <c r="AZ196" s="8">
        <f t="shared" si="573"/>
        <v>102</v>
      </c>
      <c r="BA196" s="5">
        <f t="shared" si="563"/>
        <v>203005</v>
      </c>
      <c r="BB196" s="5">
        <v>0</v>
      </c>
      <c r="BC196" s="5">
        <v>0</v>
      </c>
      <c r="BD196" s="5">
        <f t="shared" si="574"/>
        <v>0</v>
      </c>
      <c r="BE196" s="5">
        <f t="shared" si="575"/>
        <v>0</v>
      </c>
      <c r="BF196" s="5">
        <f t="shared" si="576"/>
        <v>0</v>
      </c>
      <c r="BG196" s="5">
        <f t="shared" si="576"/>
        <v>0</v>
      </c>
      <c r="BH196" s="5">
        <f t="shared" si="564"/>
        <v>0</v>
      </c>
      <c r="BI196" s="5">
        <f t="shared" si="576"/>
        <v>0</v>
      </c>
      <c r="BJ196" s="5">
        <f t="shared" si="498"/>
        <v>0</v>
      </c>
      <c r="BK196" s="5">
        <v>0</v>
      </c>
      <c r="BL196" s="5">
        <f t="shared" si="610"/>
        <v>0</v>
      </c>
      <c r="BM196" s="5">
        <f t="shared" si="641"/>
        <v>0</v>
      </c>
      <c r="BN196" s="5">
        <f t="shared" si="577"/>
        <v>0</v>
      </c>
      <c r="BO196" s="5">
        <f t="shared" si="578"/>
        <v>0</v>
      </c>
      <c r="BP196" s="5">
        <f t="shared" si="578"/>
        <v>0</v>
      </c>
      <c r="BQ196" s="5">
        <f t="shared" si="565"/>
        <v>0</v>
      </c>
      <c r="BR196" s="5"/>
      <c r="BS196" s="4">
        <v>1</v>
      </c>
      <c r="BT196" s="12">
        <v>10</v>
      </c>
      <c r="BU196" s="17">
        <f t="shared" si="579"/>
        <v>0</v>
      </c>
      <c r="BV196" s="4">
        <f t="shared" ref="BV196:BV222" si="736">BT196</f>
        <v>10</v>
      </c>
      <c r="BW196" s="4">
        <f t="shared" ref="BW196:BW222" si="737">BT196</f>
        <v>10</v>
      </c>
      <c r="BX196" s="14">
        <f t="shared" ref="BX196:BX222" si="738">0.85-(BT196-1)*0.07</f>
        <v>0.21999999999999986</v>
      </c>
      <c r="BY196" s="14">
        <f t="shared" ref="BY196:BY222" si="739">0.55-(BT196-1)*0.05</f>
        <v>0.10000000000000003</v>
      </c>
      <c r="BZ196" s="6" t="s">
        <v>191</v>
      </c>
      <c r="CA196" s="8" t="str">
        <f t="shared" si="661"/>
        <v>elite_monster_05</v>
      </c>
      <c r="CB196" s="8" t="str">
        <f t="shared" si="661"/>
        <v>elite_monster_05</v>
      </c>
      <c r="CC196" s="5">
        <v>0</v>
      </c>
      <c r="CD196" s="8">
        <f t="shared" si="580"/>
        <v>3</v>
      </c>
      <c r="CE196" s="5">
        <f t="shared" ref="CE196:CE212" si="740">BT196*CF196</f>
        <v>0</v>
      </c>
      <c r="CF196" s="5">
        <f t="shared" si="596"/>
        <v>0</v>
      </c>
      <c r="CG196" s="28" t="s">
        <v>630</v>
      </c>
      <c r="CH196" s="5">
        <f t="shared" si="581"/>
        <v>0</v>
      </c>
      <c r="CI196" s="6">
        <v>103</v>
      </c>
      <c r="CJ196" s="12">
        <v>1</v>
      </c>
      <c r="CK196" s="6">
        <v>0</v>
      </c>
      <c r="CL196" s="6">
        <v>0</v>
      </c>
      <c r="CM196" s="20">
        <v>0</v>
      </c>
      <c r="CN196" s="8">
        <v>108</v>
      </c>
      <c r="CO196" s="5">
        <v>0</v>
      </c>
      <c r="CP196" s="5">
        <v>0</v>
      </c>
      <c r="CQ196" s="6">
        <v>201189</v>
      </c>
      <c r="CR196" s="6">
        <v>3</v>
      </c>
      <c r="CS196" s="5">
        <v>0</v>
      </c>
      <c r="CT196" s="5">
        <v>0</v>
      </c>
      <c r="CU196" s="5">
        <v>0</v>
      </c>
      <c r="CV196" s="8">
        <f t="shared" ref="CV196:CY196" si="741">CV175</f>
        <v>0.8</v>
      </c>
      <c r="CW196" s="8">
        <f t="shared" si="741"/>
        <v>0.6</v>
      </c>
      <c r="CX196" s="8">
        <f t="shared" si="741"/>
        <v>0.8</v>
      </c>
      <c r="CY196" s="8">
        <f t="shared" si="741"/>
        <v>0.8</v>
      </c>
      <c r="CZ196" s="8">
        <f t="shared" si="584"/>
        <v>1</v>
      </c>
      <c r="DA196" s="6">
        <f t="shared" si="728"/>
        <v>250</v>
      </c>
      <c r="DB196" s="5">
        <f t="shared" si="585"/>
        <v>0</v>
      </c>
      <c r="DC196" s="5">
        <f t="shared" ref="DC196:DC259" si="742">DD196</f>
        <v>0.36249999999999999</v>
      </c>
      <c r="DD196" s="6">
        <f t="shared" si="729"/>
        <v>0.36249999999999999</v>
      </c>
      <c r="DE196" s="6">
        <f t="shared" si="598"/>
        <v>0.5</v>
      </c>
      <c r="DF196" s="5">
        <v>0</v>
      </c>
      <c r="DG196" s="8">
        <f t="shared" si="586"/>
        <v>2.5</v>
      </c>
      <c r="DH196" s="5">
        <v>1.5</v>
      </c>
      <c r="DI196" s="8">
        <f t="shared" si="587"/>
        <v>0.3</v>
      </c>
      <c r="DJ196" s="5">
        <f t="shared" si="730"/>
        <v>9</v>
      </c>
      <c r="DK196" s="8">
        <v>0</v>
      </c>
      <c r="DL196" s="5">
        <f t="shared" si="731"/>
        <v>0</v>
      </c>
      <c r="DM196" s="6" t="s">
        <v>416</v>
      </c>
      <c r="DN196" s="8">
        <f t="shared" ref="DN196:DP196" si="743">DN175</f>
        <v>10</v>
      </c>
      <c r="DO196" s="8">
        <f t="shared" si="743"/>
        <v>1</v>
      </c>
      <c r="DP196" s="5">
        <f t="shared" si="743"/>
        <v>0</v>
      </c>
      <c r="DQ196" s="8">
        <f t="shared" si="697"/>
        <v>0</v>
      </c>
      <c r="DR196" s="5">
        <f t="shared" ref="DR196:DR212" si="744">DS196*0.9</f>
        <v>4.5</v>
      </c>
      <c r="DS196" s="8">
        <f t="shared" si="590"/>
        <v>5</v>
      </c>
      <c r="DT196" s="8">
        <f t="shared" si="591"/>
        <v>-5</v>
      </c>
      <c r="DU196" s="8">
        <f t="shared" si="591"/>
        <v>5</v>
      </c>
      <c r="DV196" s="8">
        <f t="shared" si="591"/>
        <v>0.5</v>
      </c>
      <c r="DW196" s="5">
        <f t="shared" si="722"/>
        <v>0.5</v>
      </c>
      <c r="DX196" s="8">
        <f t="shared" si="592"/>
        <v>6</v>
      </c>
      <c r="DY196" s="8">
        <f t="shared" si="593"/>
        <v>0</v>
      </c>
      <c r="DZ196" s="8">
        <f t="shared" si="594"/>
        <v>0</v>
      </c>
      <c r="EA196" s="5"/>
    </row>
    <row r="197" spans="1:131" ht="14.25" x14ac:dyDescent="0.15">
      <c r="A197" s="5">
        <v>201195</v>
      </c>
      <c r="B197" s="9" t="s">
        <v>417</v>
      </c>
      <c r="C197" s="9"/>
      <c r="D197" s="9"/>
      <c r="E197" s="9"/>
      <c r="F197" s="5">
        <v>0</v>
      </c>
      <c r="G197" s="45"/>
      <c r="H197" s="5"/>
      <c r="I197" s="5"/>
      <c r="J197" s="5"/>
      <c r="K197" s="5"/>
      <c r="L197" s="10"/>
      <c r="M197" s="5"/>
      <c r="N197" s="10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20"/>
      <c r="AF197" s="5"/>
      <c r="AG197" s="5"/>
      <c r="AH197" s="5"/>
      <c r="AI197" s="5"/>
      <c r="AJ197" s="5"/>
      <c r="AK197" s="5"/>
      <c r="AL197" s="5"/>
      <c r="AM197" s="5"/>
      <c r="AN197" s="8"/>
      <c r="AO197" s="5">
        <v>0</v>
      </c>
      <c r="AP197" s="9" t="s">
        <v>417</v>
      </c>
      <c r="AQ197" s="5">
        <v>0</v>
      </c>
      <c r="AR197" s="8">
        <f t="shared" si="568"/>
        <v>4</v>
      </c>
      <c r="AS197" s="6">
        <f t="shared" si="733"/>
        <v>120</v>
      </c>
      <c r="AT197" s="6">
        <f t="shared" si="734"/>
        <v>150</v>
      </c>
      <c r="AU197" s="5">
        <f t="shared" si="569"/>
        <v>0</v>
      </c>
      <c r="AV197" s="5">
        <f t="shared" si="570"/>
        <v>1</v>
      </c>
      <c r="AW197" s="5">
        <f t="shared" si="571"/>
        <v>1</v>
      </c>
      <c r="AX197" s="5">
        <f t="shared" ref="AX197" si="745">AX176</f>
        <v>1</v>
      </c>
      <c r="AY197" s="5">
        <f t="shared" si="571"/>
        <v>1</v>
      </c>
      <c r="AZ197" s="8">
        <f t="shared" si="573"/>
        <v>101</v>
      </c>
      <c r="BA197" s="5">
        <f t="shared" si="563"/>
        <v>203006</v>
      </c>
      <c r="BB197" s="5">
        <v>0</v>
      </c>
      <c r="BC197" s="5">
        <v>0</v>
      </c>
      <c r="BD197" s="5">
        <f t="shared" si="574"/>
        <v>0</v>
      </c>
      <c r="BE197" s="5">
        <f t="shared" si="575"/>
        <v>304001</v>
      </c>
      <c r="BF197" s="5">
        <f t="shared" si="576"/>
        <v>90</v>
      </c>
      <c r="BG197" s="5">
        <f t="shared" si="576"/>
        <v>30</v>
      </c>
      <c r="BH197" s="5">
        <f t="shared" si="564"/>
        <v>30</v>
      </c>
      <c r="BI197" s="5">
        <f t="shared" si="576"/>
        <v>1</v>
      </c>
      <c r="BJ197" s="5">
        <f t="shared" si="498"/>
        <v>10</v>
      </c>
      <c r="BK197" s="5">
        <v>10</v>
      </c>
      <c r="BL197" s="5">
        <f t="shared" si="610"/>
        <v>1</v>
      </c>
      <c r="BM197" s="5">
        <f t="shared" si="641"/>
        <v>30</v>
      </c>
      <c r="BN197" s="5">
        <f t="shared" si="577"/>
        <v>180</v>
      </c>
      <c r="BO197" s="5">
        <f t="shared" si="578"/>
        <v>108006</v>
      </c>
      <c r="BP197" s="5">
        <f t="shared" si="578"/>
        <v>3</v>
      </c>
      <c r="BQ197" s="5">
        <f t="shared" si="565"/>
        <v>3</v>
      </c>
      <c r="BR197" s="5">
        <f>50*BT197*3-360/BM197*BJ197*BQ197</f>
        <v>1140</v>
      </c>
      <c r="BS197" s="4">
        <v>2</v>
      </c>
      <c r="BT197" s="4">
        <v>10</v>
      </c>
      <c r="BU197" s="17">
        <f t="shared" si="579"/>
        <v>0</v>
      </c>
      <c r="BV197" s="4">
        <f t="shared" si="736"/>
        <v>10</v>
      </c>
      <c r="BW197" s="4">
        <f t="shared" si="737"/>
        <v>10</v>
      </c>
      <c r="BX197" s="14">
        <f t="shared" si="738"/>
        <v>0.21999999999999986</v>
      </c>
      <c r="BY197" s="14">
        <f t="shared" si="739"/>
        <v>0.10000000000000003</v>
      </c>
      <c r="BZ197" s="5" t="s">
        <v>194</v>
      </c>
      <c r="CA197" s="8" t="str">
        <f t="shared" si="661"/>
        <v>elite_monster_06</v>
      </c>
      <c r="CB197" s="8" t="str">
        <f t="shared" si="661"/>
        <v>elite_monster_06</v>
      </c>
      <c r="CC197" s="5">
        <v>0</v>
      </c>
      <c r="CD197" s="8">
        <f t="shared" si="580"/>
        <v>1</v>
      </c>
      <c r="CE197" s="5">
        <f t="shared" si="740"/>
        <v>10</v>
      </c>
      <c r="CF197" s="5">
        <f t="shared" si="596"/>
        <v>1</v>
      </c>
      <c r="CG197" s="9" t="s">
        <v>631</v>
      </c>
      <c r="CH197" s="5">
        <f t="shared" si="581"/>
        <v>3</v>
      </c>
      <c r="CI197" s="5">
        <v>0</v>
      </c>
      <c r="CJ197" s="4">
        <v>1</v>
      </c>
      <c r="CK197" s="5">
        <v>0</v>
      </c>
      <c r="CL197" s="5">
        <v>0</v>
      </c>
      <c r="CM197" s="20">
        <f t="shared" si="582"/>
        <v>110</v>
      </c>
      <c r="CN197" s="8">
        <f t="shared" si="582"/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8">
        <f t="shared" ref="CV197:CY197" si="746">CV176</f>
        <v>0.8</v>
      </c>
      <c r="CW197" s="8">
        <f t="shared" si="746"/>
        <v>0.6</v>
      </c>
      <c r="CX197" s="8">
        <f t="shared" si="746"/>
        <v>1.25</v>
      </c>
      <c r="CY197" s="8">
        <f t="shared" si="746"/>
        <v>1</v>
      </c>
      <c r="CZ197" s="8">
        <f t="shared" si="584"/>
        <v>1</v>
      </c>
      <c r="DA197" s="6">
        <f t="shared" si="728"/>
        <v>250</v>
      </c>
      <c r="DB197" s="5">
        <f t="shared" si="585"/>
        <v>0</v>
      </c>
      <c r="DC197" s="5">
        <f t="shared" si="742"/>
        <v>0.65249999999999997</v>
      </c>
      <c r="DD197" s="6">
        <f t="shared" si="729"/>
        <v>0.65249999999999997</v>
      </c>
      <c r="DE197" s="6">
        <f t="shared" si="598"/>
        <v>0.9</v>
      </c>
      <c r="DF197" s="5">
        <v>0</v>
      </c>
      <c r="DG197" s="8">
        <f t="shared" si="586"/>
        <v>2.5</v>
      </c>
      <c r="DH197" s="5">
        <v>1.5</v>
      </c>
      <c r="DI197" s="8">
        <f t="shared" si="587"/>
        <v>0</v>
      </c>
      <c r="DJ197" s="5">
        <f t="shared" si="730"/>
        <v>0</v>
      </c>
      <c r="DK197" s="8">
        <v>0</v>
      </c>
      <c r="DL197" s="5">
        <f t="shared" si="731"/>
        <v>0</v>
      </c>
      <c r="DM197" s="9" t="s">
        <v>417</v>
      </c>
      <c r="DN197" s="8">
        <f t="shared" ref="DN197:DP197" si="747">DN176</f>
        <v>6</v>
      </c>
      <c r="DO197" s="8">
        <f t="shared" si="747"/>
        <v>0</v>
      </c>
      <c r="DP197" s="5">
        <f t="shared" si="747"/>
        <v>0</v>
      </c>
      <c r="DQ197" s="8">
        <f t="shared" si="697"/>
        <v>0</v>
      </c>
      <c r="DR197" s="5">
        <f t="shared" si="744"/>
        <v>0.9</v>
      </c>
      <c r="DS197" s="8">
        <f t="shared" si="590"/>
        <v>1</v>
      </c>
      <c r="DT197" s="8">
        <f t="shared" si="591"/>
        <v>-0.5</v>
      </c>
      <c r="DU197" s="8">
        <f t="shared" si="591"/>
        <v>0.5</v>
      </c>
      <c r="DV197" s="8">
        <f t="shared" si="591"/>
        <v>0.5</v>
      </c>
      <c r="DW197" s="5">
        <f t="shared" si="722"/>
        <v>0.41666666666666669</v>
      </c>
      <c r="DX197" s="8">
        <f t="shared" si="592"/>
        <v>5</v>
      </c>
      <c r="DY197" s="8">
        <f t="shared" si="593"/>
        <v>1.3333333333333333</v>
      </c>
      <c r="DZ197" s="8">
        <f t="shared" si="594"/>
        <v>16</v>
      </c>
      <c r="EA197" s="5"/>
    </row>
    <row r="198" spans="1:131" x14ac:dyDescent="0.15">
      <c r="A198" s="5">
        <v>201196</v>
      </c>
      <c r="B198" s="5" t="s">
        <v>418</v>
      </c>
      <c r="C198" s="5"/>
      <c r="D198" s="5"/>
      <c r="E198" s="5"/>
      <c r="F198" s="5">
        <v>0</v>
      </c>
      <c r="G198" s="45"/>
      <c r="H198" s="5"/>
      <c r="I198" s="5"/>
      <c r="J198" s="5"/>
      <c r="K198" s="5"/>
      <c r="L198" s="10"/>
      <c r="M198" s="5"/>
      <c r="N198" s="1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20"/>
      <c r="AF198" s="5"/>
      <c r="AG198" s="5"/>
      <c r="AH198" s="5"/>
      <c r="AI198" s="5"/>
      <c r="AJ198" s="5"/>
      <c r="AK198" s="5"/>
      <c r="AL198" s="5"/>
      <c r="AM198" s="5"/>
      <c r="AN198" s="8"/>
      <c r="AO198" s="5">
        <v>0</v>
      </c>
      <c r="AP198" s="5" t="s">
        <v>418</v>
      </c>
      <c r="AQ198" s="5">
        <v>0</v>
      </c>
      <c r="AR198" s="8">
        <f t="shared" si="568"/>
        <v>5</v>
      </c>
      <c r="AS198" s="6">
        <f t="shared" si="733"/>
        <v>150</v>
      </c>
      <c r="AT198" s="6">
        <f t="shared" si="734"/>
        <v>180</v>
      </c>
      <c r="AU198" s="5">
        <f t="shared" si="569"/>
        <v>0</v>
      </c>
      <c r="AV198" s="5">
        <f t="shared" si="570"/>
        <v>1</v>
      </c>
      <c r="AW198" s="5">
        <f t="shared" si="571"/>
        <v>1</v>
      </c>
      <c r="AX198" s="5">
        <f t="shared" ref="AX198" si="748">AX177</f>
        <v>1</v>
      </c>
      <c r="AY198" s="5">
        <f t="shared" si="571"/>
        <v>1</v>
      </c>
      <c r="AZ198" s="8">
        <f>AZ177+1</f>
        <v>10710</v>
      </c>
      <c r="BA198" s="5">
        <f t="shared" si="563"/>
        <v>203007</v>
      </c>
      <c r="BB198" s="5">
        <v>0</v>
      </c>
      <c r="BC198" s="5">
        <v>0</v>
      </c>
      <c r="BD198" s="5">
        <f t="shared" si="574"/>
        <v>0</v>
      </c>
      <c r="BE198" s="5">
        <f t="shared" si="575"/>
        <v>0</v>
      </c>
      <c r="BF198" s="5">
        <f t="shared" si="576"/>
        <v>0</v>
      </c>
      <c r="BG198" s="5">
        <f t="shared" si="576"/>
        <v>0</v>
      </c>
      <c r="BH198" s="5">
        <f t="shared" si="564"/>
        <v>0</v>
      </c>
      <c r="BI198" s="5">
        <f t="shared" si="576"/>
        <v>0</v>
      </c>
      <c r="BJ198" s="5">
        <f t="shared" si="498"/>
        <v>0</v>
      </c>
      <c r="BK198" s="5">
        <v>0</v>
      </c>
      <c r="BL198" s="5">
        <f t="shared" si="610"/>
        <v>0</v>
      </c>
      <c r="BM198" s="5">
        <f t="shared" si="641"/>
        <v>0</v>
      </c>
      <c r="BN198" s="5">
        <f t="shared" si="577"/>
        <v>0</v>
      </c>
      <c r="BO198" s="5">
        <f t="shared" si="578"/>
        <v>0</v>
      </c>
      <c r="BP198" s="5">
        <f t="shared" si="578"/>
        <v>0</v>
      </c>
      <c r="BQ198" s="5">
        <f t="shared" si="565"/>
        <v>0</v>
      </c>
      <c r="BR198" s="5"/>
      <c r="BS198" s="4">
        <v>2</v>
      </c>
      <c r="BT198" s="4">
        <v>10</v>
      </c>
      <c r="BU198" s="17">
        <f t="shared" si="579"/>
        <v>0</v>
      </c>
      <c r="BV198" s="4">
        <f t="shared" si="736"/>
        <v>10</v>
      </c>
      <c r="BW198" s="4">
        <f t="shared" si="737"/>
        <v>10</v>
      </c>
      <c r="BX198" s="14">
        <f t="shared" si="738"/>
        <v>0.21999999999999986</v>
      </c>
      <c r="BY198" s="14">
        <f t="shared" si="739"/>
        <v>0.10000000000000003</v>
      </c>
      <c r="BZ198" s="5" t="s">
        <v>197</v>
      </c>
      <c r="CA198" s="8" t="str">
        <f t="shared" si="661"/>
        <v>elite_monster_07</v>
      </c>
      <c r="CB198" s="8" t="str">
        <f t="shared" si="661"/>
        <v>elite_monster_07</v>
      </c>
      <c r="CC198" s="5">
        <v>0</v>
      </c>
      <c r="CD198" s="8">
        <f t="shared" si="580"/>
        <v>1</v>
      </c>
      <c r="CE198" s="5">
        <f t="shared" si="740"/>
        <v>10</v>
      </c>
      <c r="CF198" s="5">
        <f t="shared" si="596"/>
        <v>1</v>
      </c>
      <c r="CG198" s="27" t="s">
        <v>632</v>
      </c>
      <c r="CH198" s="5">
        <f t="shared" si="581"/>
        <v>3</v>
      </c>
      <c r="CI198" s="5">
        <v>0</v>
      </c>
      <c r="CJ198" s="4">
        <v>1</v>
      </c>
      <c r="CK198" s="5">
        <v>903907</v>
      </c>
      <c r="CL198" s="5">
        <v>0</v>
      </c>
      <c r="CM198" s="20">
        <f t="shared" si="582"/>
        <v>0</v>
      </c>
      <c r="CN198" s="8">
        <f t="shared" si="582"/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8">
        <f t="shared" ref="CV198:CY198" si="749">CV177</f>
        <v>0.8</v>
      </c>
      <c r="CW198" s="8">
        <f t="shared" si="749"/>
        <v>0.6</v>
      </c>
      <c r="CX198" s="8">
        <f t="shared" si="749"/>
        <v>1</v>
      </c>
      <c r="CY198" s="8">
        <f t="shared" si="749"/>
        <v>1</v>
      </c>
      <c r="CZ198" s="8">
        <f t="shared" si="584"/>
        <v>1</v>
      </c>
      <c r="DA198" s="6">
        <f t="shared" si="728"/>
        <v>250</v>
      </c>
      <c r="DB198" s="5">
        <f t="shared" si="585"/>
        <v>0</v>
      </c>
      <c r="DC198" s="5">
        <f t="shared" si="742"/>
        <v>0.36249999999999999</v>
      </c>
      <c r="DD198" s="6">
        <f t="shared" si="729"/>
        <v>0.36249999999999999</v>
      </c>
      <c r="DE198" s="6">
        <f t="shared" si="598"/>
        <v>0.5</v>
      </c>
      <c r="DF198" s="5">
        <v>1</v>
      </c>
      <c r="DG198" s="8">
        <f t="shared" si="586"/>
        <v>2.25</v>
      </c>
      <c r="DH198" s="5">
        <v>1.25</v>
      </c>
      <c r="DI198" s="8">
        <f t="shared" si="587"/>
        <v>3</v>
      </c>
      <c r="DJ198" s="5">
        <f t="shared" si="730"/>
        <v>90</v>
      </c>
      <c r="DK198" s="8">
        <v>0</v>
      </c>
      <c r="DL198" s="5">
        <f t="shared" si="731"/>
        <v>0</v>
      </c>
      <c r="DM198" s="5" t="s">
        <v>418</v>
      </c>
      <c r="DN198" s="8">
        <f t="shared" ref="DN198:DP198" si="750">DN177</f>
        <v>6</v>
      </c>
      <c r="DO198" s="8">
        <f t="shared" si="750"/>
        <v>0</v>
      </c>
      <c r="DP198" s="5">
        <f t="shared" si="750"/>
        <v>1</v>
      </c>
      <c r="DQ198" s="8">
        <f t="shared" si="697"/>
        <v>0</v>
      </c>
      <c r="DR198" s="5">
        <f t="shared" si="744"/>
        <v>1.1700000000000002</v>
      </c>
      <c r="DS198" s="8">
        <f t="shared" si="590"/>
        <v>1.3</v>
      </c>
      <c r="DT198" s="8">
        <f t="shared" si="591"/>
        <v>-0.5</v>
      </c>
      <c r="DU198" s="8">
        <f t="shared" si="591"/>
        <v>0.5</v>
      </c>
      <c r="DV198" s="8">
        <f t="shared" si="591"/>
        <v>0.6</v>
      </c>
      <c r="DW198" s="5">
        <f t="shared" si="722"/>
        <v>0.5</v>
      </c>
      <c r="DX198" s="8">
        <f t="shared" si="592"/>
        <v>6</v>
      </c>
      <c r="DY198" s="8">
        <f t="shared" si="593"/>
        <v>0</v>
      </c>
      <c r="DZ198" s="8">
        <f t="shared" si="594"/>
        <v>0</v>
      </c>
      <c r="EA198" s="5"/>
    </row>
    <row r="199" spans="1:131" x14ac:dyDescent="0.15">
      <c r="A199" s="5">
        <v>201197</v>
      </c>
      <c r="B199" s="5" t="s">
        <v>419</v>
      </c>
      <c r="C199" s="5"/>
      <c r="D199" s="5"/>
      <c r="E199" s="5"/>
      <c r="F199" s="5">
        <v>0</v>
      </c>
      <c r="G199" s="45"/>
      <c r="H199" s="5"/>
      <c r="I199" s="5"/>
      <c r="J199" s="5"/>
      <c r="K199" s="5"/>
      <c r="L199" s="10"/>
      <c r="M199" s="5"/>
      <c r="N199" s="10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20"/>
      <c r="AF199" s="5"/>
      <c r="AG199" s="5"/>
      <c r="AH199" s="5"/>
      <c r="AI199" s="5"/>
      <c r="AJ199" s="5"/>
      <c r="AK199" s="5"/>
      <c r="AL199" s="5"/>
      <c r="AM199" s="5"/>
      <c r="AN199" s="8"/>
      <c r="AO199" s="5">
        <v>0</v>
      </c>
      <c r="AP199" s="5" t="s">
        <v>419</v>
      </c>
      <c r="AQ199" s="5">
        <v>0</v>
      </c>
      <c r="AR199" s="8">
        <f t="shared" si="568"/>
        <v>4</v>
      </c>
      <c r="AS199" s="6">
        <f t="shared" si="733"/>
        <v>120</v>
      </c>
      <c r="AT199" s="6">
        <f t="shared" si="734"/>
        <v>150</v>
      </c>
      <c r="AU199" s="5">
        <f t="shared" si="569"/>
        <v>0</v>
      </c>
      <c r="AV199" s="5">
        <f t="shared" si="570"/>
        <v>1</v>
      </c>
      <c r="AW199" s="5">
        <f t="shared" si="571"/>
        <v>0</v>
      </c>
      <c r="AX199" s="5">
        <f t="shared" ref="AX199" si="751">AX178</f>
        <v>0</v>
      </c>
      <c r="AY199" s="5">
        <f t="shared" si="571"/>
        <v>1</v>
      </c>
      <c r="AZ199" s="8">
        <f t="shared" si="573"/>
        <v>103</v>
      </c>
      <c r="BA199" s="5">
        <f t="shared" si="563"/>
        <v>203008</v>
      </c>
      <c r="BB199" s="5">
        <v>0</v>
      </c>
      <c r="BC199" s="5">
        <v>0</v>
      </c>
      <c r="BD199" s="5">
        <f t="shared" si="574"/>
        <v>0</v>
      </c>
      <c r="BE199" s="5">
        <f t="shared" si="575"/>
        <v>0</v>
      </c>
      <c r="BF199" s="5">
        <f t="shared" si="576"/>
        <v>0</v>
      </c>
      <c r="BG199" s="5">
        <f t="shared" si="576"/>
        <v>0</v>
      </c>
      <c r="BH199" s="5">
        <f t="shared" si="564"/>
        <v>0</v>
      </c>
      <c r="BI199" s="5">
        <f t="shared" si="576"/>
        <v>0</v>
      </c>
      <c r="BJ199" s="5">
        <f t="shared" si="498"/>
        <v>0</v>
      </c>
      <c r="BK199" s="5">
        <v>0</v>
      </c>
      <c r="BL199" s="5">
        <f t="shared" si="610"/>
        <v>0</v>
      </c>
      <c r="BM199" s="5">
        <f t="shared" si="641"/>
        <v>0</v>
      </c>
      <c r="BN199" s="5">
        <f t="shared" si="577"/>
        <v>0</v>
      </c>
      <c r="BO199" s="5">
        <f t="shared" si="578"/>
        <v>0</v>
      </c>
      <c r="BP199" s="5">
        <f t="shared" si="578"/>
        <v>0</v>
      </c>
      <c r="BQ199" s="5">
        <f t="shared" si="565"/>
        <v>0</v>
      </c>
      <c r="BR199" s="5"/>
      <c r="BS199" s="4">
        <v>2</v>
      </c>
      <c r="BT199" s="4">
        <v>10</v>
      </c>
      <c r="BU199" s="17">
        <f t="shared" si="579"/>
        <v>1</v>
      </c>
      <c r="BV199" s="4">
        <f t="shared" si="736"/>
        <v>10</v>
      </c>
      <c r="BW199" s="4">
        <f t="shared" si="737"/>
        <v>10</v>
      </c>
      <c r="BX199" s="14">
        <f t="shared" si="738"/>
        <v>0.21999999999999986</v>
      </c>
      <c r="BY199" s="14">
        <f t="shared" si="739"/>
        <v>0.10000000000000003</v>
      </c>
      <c r="BZ199" s="5" t="s">
        <v>200</v>
      </c>
      <c r="CA199" s="8" t="str">
        <f t="shared" si="661"/>
        <v>elite_monster_08</v>
      </c>
      <c r="CB199" s="8" t="str">
        <f t="shared" si="661"/>
        <v>elite_monster_08</v>
      </c>
      <c r="CC199" s="5">
        <v>0</v>
      </c>
      <c r="CD199" s="8">
        <f t="shared" si="580"/>
        <v>1</v>
      </c>
      <c r="CE199" s="5">
        <f t="shared" si="740"/>
        <v>0</v>
      </c>
      <c r="CF199" s="5">
        <f t="shared" si="596"/>
        <v>0</v>
      </c>
      <c r="CG199" s="27" t="s">
        <v>633</v>
      </c>
      <c r="CH199" s="5">
        <f t="shared" si="581"/>
        <v>3</v>
      </c>
      <c r="CI199" s="5">
        <v>0</v>
      </c>
      <c r="CJ199" s="4">
        <v>1</v>
      </c>
      <c r="CK199" s="5">
        <v>0</v>
      </c>
      <c r="CL199" s="5">
        <v>0</v>
      </c>
      <c r="CM199" s="20">
        <f t="shared" si="582"/>
        <v>112</v>
      </c>
      <c r="CN199" s="8">
        <f t="shared" si="582"/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8">
        <f t="shared" ref="CV199:CY199" si="752">CV178</f>
        <v>0.8</v>
      </c>
      <c r="CW199" s="8">
        <f t="shared" si="752"/>
        <v>0.6</v>
      </c>
      <c r="CX199" s="8">
        <f t="shared" si="752"/>
        <v>1</v>
      </c>
      <c r="CY199" s="8">
        <f t="shared" si="752"/>
        <v>1</v>
      </c>
      <c r="CZ199" s="8">
        <f t="shared" si="584"/>
        <v>0.4</v>
      </c>
      <c r="DA199" s="6">
        <f t="shared" si="728"/>
        <v>100</v>
      </c>
      <c r="DB199" s="5">
        <f t="shared" si="585"/>
        <v>0</v>
      </c>
      <c r="DC199" s="5">
        <f t="shared" si="742"/>
        <v>0.87</v>
      </c>
      <c r="DD199" s="6">
        <f t="shared" si="729"/>
        <v>0.87</v>
      </c>
      <c r="DE199" s="6">
        <f t="shared" si="598"/>
        <v>1.2</v>
      </c>
      <c r="DF199" s="5">
        <v>0</v>
      </c>
      <c r="DG199" s="8">
        <f t="shared" si="586"/>
        <v>2.25</v>
      </c>
      <c r="DH199" s="5">
        <v>1.25</v>
      </c>
      <c r="DI199" s="8">
        <f t="shared" si="587"/>
        <v>0</v>
      </c>
      <c r="DJ199" s="5">
        <f t="shared" si="730"/>
        <v>0</v>
      </c>
      <c r="DK199" s="8">
        <v>0</v>
      </c>
      <c r="DL199" s="5">
        <f t="shared" si="731"/>
        <v>0</v>
      </c>
      <c r="DM199" s="5" t="s">
        <v>419</v>
      </c>
      <c r="DN199" s="8">
        <f t="shared" ref="DN199:DP199" si="753">DN178</f>
        <v>6</v>
      </c>
      <c r="DO199" s="8">
        <f t="shared" si="753"/>
        <v>0</v>
      </c>
      <c r="DP199" s="5">
        <f t="shared" si="753"/>
        <v>0</v>
      </c>
      <c r="DQ199" s="8">
        <f t="shared" si="697"/>
        <v>0</v>
      </c>
      <c r="DR199" s="5">
        <f t="shared" si="744"/>
        <v>0.9</v>
      </c>
      <c r="DS199" s="8">
        <f t="shared" si="590"/>
        <v>1</v>
      </c>
      <c r="DT199" s="8">
        <f t="shared" si="591"/>
        <v>-0.5</v>
      </c>
      <c r="DU199" s="8">
        <f t="shared" si="591"/>
        <v>0.5</v>
      </c>
      <c r="DV199" s="8">
        <f t="shared" si="591"/>
        <v>0.75</v>
      </c>
      <c r="DW199" s="5">
        <f t="shared" si="722"/>
        <v>0.5</v>
      </c>
      <c r="DX199" s="8">
        <f t="shared" si="592"/>
        <v>6</v>
      </c>
      <c r="DY199" s="8">
        <f t="shared" si="593"/>
        <v>0</v>
      </c>
      <c r="DZ199" s="8">
        <f t="shared" si="594"/>
        <v>0</v>
      </c>
      <c r="EA199" s="5"/>
    </row>
    <row r="200" spans="1:131" x14ac:dyDescent="0.15">
      <c r="A200" s="5">
        <v>201198</v>
      </c>
      <c r="B200" s="5" t="s">
        <v>420</v>
      </c>
      <c r="C200" s="5"/>
      <c r="D200" s="5"/>
      <c r="E200" s="5"/>
      <c r="F200" s="5">
        <v>0</v>
      </c>
      <c r="G200" s="45"/>
      <c r="H200" s="5"/>
      <c r="I200" s="5"/>
      <c r="J200" s="5"/>
      <c r="K200" s="5"/>
      <c r="L200" s="10"/>
      <c r="M200" s="5"/>
      <c r="N200" s="10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20"/>
      <c r="AF200" s="5"/>
      <c r="AG200" s="5"/>
      <c r="AH200" s="5"/>
      <c r="AI200" s="5"/>
      <c r="AJ200" s="5"/>
      <c r="AK200" s="5"/>
      <c r="AL200" s="5"/>
      <c r="AM200" s="5"/>
      <c r="AN200" s="8"/>
      <c r="AO200" s="5">
        <v>0</v>
      </c>
      <c r="AP200" s="5" t="s">
        <v>420</v>
      </c>
      <c r="AQ200" s="5">
        <v>0</v>
      </c>
      <c r="AR200" s="8">
        <f t="shared" si="568"/>
        <v>0.65</v>
      </c>
      <c r="AS200" s="6">
        <f t="shared" si="733"/>
        <v>19.5</v>
      </c>
      <c r="AT200" s="6">
        <f t="shared" si="734"/>
        <v>49.499999999999993</v>
      </c>
      <c r="AU200" s="5">
        <f t="shared" si="569"/>
        <v>0.8</v>
      </c>
      <c r="AV200" s="5">
        <f t="shared" si="570"/>
        <v>1</v>
      </c>
      <c r="AW200" s="5">
        <f t="shared" si="571"/>
        <v>0</v>
      </c>
      <c r="AX200" s="5">
        <f t="shared" ref="AX200" si="754">AX179</f>
        <v>0</v>
      </c>
      <c r="AY200" s="5">
        <f t="shared" si="571"/>
        <v>1</v>
      </c>
      <c r="AZ200" s="8">
        <f t="shared" si="573"/>
        <v>103</v>
      </c>
      <c r="BA200" s="5">
        <f t="shared" si="563"/>
        <v>203009</v>
      </c>
      <c r="BB200" s="5">
        <v>0</v>
      </c>
      <c r="BC200" s="5">
        <v>0</v>
      </c>
      <c r="BD200" s="5">
        <f t="shared" si="574"/>
        <v>0</v>
      </c>
      <c r="BE200" s="5">
        <f t="shared" si="575"/>
        <v>0</v>
      </c>
      <c r="BF200" s="5">
        <f t="shared" si="576"/>
        <v>0</v>
      </c>
      <c r="BG200" s="5">
        <f t="shared" si="576"/>
        <v>0</v>
      </c>
      <c r="BH200" s="5">
        <f t="shared" si="564"/>
        <v>0</v>
      </c>
      <c r="BI200" s="5">
        <f t="shared" si="576"/>
        <v>0</v>
      </c>
      <c r="BJ200" s="5">
        <f t="shared" ref="BJ200:BJ212" si="755">BL200*BT200</f>
        <v>0</v>
      </c>
      <c r="BK200" s="5">
        <v>0</v>
      </c>
      <c r="BL200" s="5">
        <f t="shared" si="610"/>
        <v>0</v>
      </c>
      <c r="BM200" s="5">
        <f t="shared" si="641"/>
        <v>0</v>
      </c>
      <c r="BN200" s="5">
        <f t="shared" si="577"/>
        <v>0</v>
      </c>
      <c r="BO200" s="5">
        <f t="shared" si="578"/>
        <v>0</v>
      </c>
      <c r="BP200" s="5">
        <f t="shared" si="578"/>
        <v>0</v>
      </c>
      <c r="BQ200" s="5">
        <f t="shared" si="565"/>
        <v>0</v>
      </c>
      <c r="BR200" s="5"/>
      <c r="BS200" s="4">
        <v>2</v>
      </c>
      <c r="BT200" s="4">
        <v>10</v>
      </c>
      <c r="BU200" s="17">
        <f t="shared" si="579"/>
        <v>0</v>
      </c>
      <c r="BV200" s="4">
        <f t="shared" si="736"/>
        <v>10</v>
      </c>
      <c r="BW200" s="4">
        <f t="shared" si="737"/>
        <v>10</v>
      </c>
      <c r="BX200" s="14">
        <f t="shared" si="738"/>
        <v>0.21999999999999986</v>
      </c>
      <c r="BY200" s="14">
        <f t="shared" si="739"/>
        <v>0.10000000000000003</v>
      </c>
      <c r="BZ200" s="5" t="s">
        <v>203</v>
      </c>
      <c r="CA200" s="8" t="str">
        <f t="shared" si="661"/>
        <v>elite_monster_09</v>
      </c>
      <c r="CB200" s="8" t="str">
        <f t="shared" si="661"/>
        <v>elite_monster_09</v>
      </c>
      <c r="CC200" s="5">
        <v>0</v>
      </c>
      <c r="CD200" s="8">
        <f t="shared" si="580"/>
        <v>1</v>
      </c>
      <c r="CE200" s="5">
        <f t="shared" si="740"/>
        <v>0</v>
      </c>
      <c r="CF200" s="5">
        <f t="shared" si="596"/>
        <v>0</v>
      </c>
      <c r="CG200" s="5" t="s">
        <v>420</v>
      </c>
      <c r="CH200" s="5">
        <f t="shared" si="581"/>
        <v>3</v>
      </c>
      <c r="CI200" s="5">
        <v>0</v>
      </c>
      <c r="CJ200" s="4">
        <v>1</v>
      </c>
      <c r="CK200" s="5">
        <v>0</v>
      </c>
      <c r="CL200" s="5">
        <v>0</v>
      </c>
      <c r="CM200" s="20">
        <f t="shared" si="582"/>
        <v>0</v>
      </c>
      <c r="CN200" s="8">
        <f t="shared" si="582"/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8">
        <f t="shared" ref="CV200:CY200" si="756">CV179</f>
        <v>0.1</v>
      </c>
      <c r="CW200" s="8">
        <f t="shared" si="756"/>
        <v>0.6</v>
      </c>
      <c r="CX200" s="8">
        <f t="shared" si="756"/>
        <v>1</v>
      </c>
      <c r="CY200" s="8">
        <f t="shared" si="756"/>
        <v>1</v>
      </c>
      <c r="CZ200" s="8">
        <f t="shared" si="584"/>
        <v>0.3</v>
      </c>
      <c r="DA200" s="6">
        <f t="shared" si="728"/>
        <v>75</v>
      </c>
      <c r="DB200" s="5">
        <f t="shared" si="585"/>
        <v>1</v>
      </c>
      <c r="DC200" s="5">
        <f t="shared" si="742"/>
        <v>0.57999999999999996</v>
      </c>
      <c r="DD200" s="6">
        <f t="shared" si="729"/>
        <v>0.57999999999999996</v>
      </c>
      <c r="DE200" s="6">
        <f t="shared" si="598"/>
        <v>0.8</v>
      </c>
      <c r="DF200" s="5">
        <v>0</v>
      </c>
      <c r="DG200" s="8">
        <f t="shared" si="586"/>
        <v>3</v>
      </c>
      <c r="DH200" s="5">
        <v>1.5</v>
      </c>
      <c r="DI200" s="8">
        <f t="shared" si="587"/>
        <v>0</v>
      </c>
      <c r="DJ200" s="5">
        <f t="shared" si="730"/>
        <v>0</v>
      </c>
      <c r="DK200" s="8">
        <v>0</v>
      </c>
      <c r="DL200" s="5">
        <f t="shared" si="731"/>
        <v>0</v>
      </c>
      <c r="DM200" s="5" t="s">
        <v>420</v>
      </c>
      <c r="DN200" s="8">
        <f t="shared" ref="DN200:DP200" si="757">DN179</f>
        <v>6</v>
      </c>
      <c r="DO200" s="8">
        <f t="shared" si="757"/>
        <v>0</v>
      </c>
      <c r="DP200" s="5">
        <f t="shared" si="757"/>
        <v>0</v>
      </c>
      <c r="DQ200" s="8">
        <f t="shared" si="697"/>
        <v>0</v>
      </c>
      <c r="DR200" s="5">
        <f t="shared" si="744"/>
        <v>1.8</v>
      </c>
      <c r="DS200" s="8">
        <f t="shared" si="590"/>
        <v>2</v>
      </c>
      <c r="DT200" s="8">
        <f t="shared" si="591"/>
        <v>-2</v>
      </c>
      <c r="DU200" s="8">
        <f t="shared" si="591"/>
        <v>2</v>
      </c>
      <c r="DV200" s="8">
        <f t="shared" si="591"/>
        <v>0.1</v>
      </c>
      <c r="DW200" s="5">
        <f t="shared" si="722"/>
        <v>8.3333333333333329E-2</v>
      </c>
      <c r="DX200" s="8">
        <f t="shared" si="592"/>
        <v>1</v>
      </c>
      <c r="DY200" s="8">
        <f t="shared" si="593"/>
        <v>0</v>
      </c>
      <c r="DZ200" s="8">
        <f t="shared" si="594"/>
        <v>0</v>
      </c>
      <c r="EA200" s="5"/>
    </row>
    <row r="201" spans="1:131" x14ac:dyDescent="0.15">
      <c r="A201" s="5">
        <v>201199</v>
      </c>
      <c r="B201" s="5" t="s">
        <v>421</v>
      </c>
      <c r="C201" s="5"/>
      <c r="D201" s="5"/>
      <c r="E201" s="5"/>
      <c r="F201" s="5">
        <v>0</v>
      </c>
      <c r="G201" s="45"/>
      <c r="H201" s="5"/>
      <c r="I201" s="5"/>
      <c r="J201" s="5"/>
      <c r="K201" s="5"/>
      <c r="L201" s="10"/>
      <c r="M201" s="5"/>
      <c r="N201" s="10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20"/>
      <c r="AF201" s="5"/>
      <c r="AG201" s="5"/>
      <c r="AH201" s="5"/>
      <c r="AI201" s="5"/>
      <c r="AJ201" s="5"/>
      <c r="AK201" s="5"/>
      <c r="AL201" s="5"/>
      <c r="AM201" s="5"/>
      <c r="AN201" s="8"/>
      <c r="AO201" s="5">
        <v>0</v>
      </c>
      <c r="AP201" s="5" t="s">
        <v>421</v>
      </c>
      <c r="AQ201" s="5">
        <v>0</v>
      </c>
      <c r="AR201" s="8">
        <f t="shared" si="568"/>
        <v>1</v>
      </c>
      <c r="AS201" s="6">
        <f t="shared" si="733"/>
        <v>30</v>
      </c>
      <c r="AT201" s="6">
        <f t="shared" si="734"/>
        <v>60</v>
      </c>
      <c r="AU201" s="5">
        <f t="shared" si="569"/>
        <v>0</v>
      </c>
      <c r="AV201" s="5">
        <f t="shared" si="570"/>
        <v>1</v>
      </c>
      <c r="AW201" s="5">
        <f t="shared" si="571"/>
        <v>1</v>
      </c>
      <c r="AX201" s="5">
        <f t="shared" ref="AX201" si="758">AX180</f>
        <v>1</v>
      </c>
      <c r="AY201" s="5">
        <f t="shared" si="571"/>
        <v>1</v>
      </c>
      <c r="AZ201" s="8">
        <v>201199</v>
      </c>
      <c r="BA201" s="5">
        <f t="shared" si="563"/>
        <v>203010</v>
      </c>
      <c r="BB201" s="5">
        <v>0</v>
      </c>
      <c r="BC201" s="5">
        <v>0</v>
      </c>
      <c r="BD201" s="5">
        <f t="shared" si="574"/>
        <v>0</v>
      </c>
      <c r="BE201" s="5">
        <f t="shared" si="575"/>
        <v>305003</v>
      </c>
      <c r="BF201" s="5">
        <f t="shared" si="576"/>
        <v>180</v>
      </c>
      <c r="BG201" s="5">
        <f t="shared" si="576"/>
        <v>0</v>
      </c>
      <c r="BH201" s="5">
        <f t="shared" si="564"/>
        <v>0</v>
      </c>
      <c r="BI201" s="5">
        <f t="shared" si="576"/>
        <v>0</v>
      </c>
      <c r="BJ201" s="5">
        <f t="shared" si="755"/>
        <v>10</v>
      </c>
      <c r="BK201" s="5">
        <v>10</v>
      </c>
      <c r="BL201" s="5">
        <f t="shared" si="610"/>
        <v>1</v>
      </c>
      <c r="BM201" s="5">
        <f t="shared" si="641"/>
        <v>30</v>
      </c>
      <c r="BN201" s="5">
        <f t="shared" si="577"/>
        <v>180</v>
      </c>
      <c r="BO201" s="5">
        <f t="shared" si="578"/>
        <v>108006</v>
      </c>
      <c r="BP201" s="5">
        <f t="shared" si="578"/>
        <v>2</v>
      </c>
      <c r="BQ201" s="5">
        <f t="shared" si="565"/>
        <v>2</v>
      </c>
      <c r="BR201" s="5">
        <f>50*BT201*3-360/BM201*BJ201*BQ201</f>
        <v>1260</v>
      </c>
      <c r="BS201" s="4">
        <v>2</v>
      </c>
      <c r="BT201" s="4">
        <v>10</v>
      </c>
      <c r="BU201" s="17">
        <f t="shared" si="579"/>
        <v>0</v>
      </c>
      <c r="BV201" s="4">
        <f t="shared" si="736"/>
        <v>10</v>
      </c>
      <c r="BW201" s="4">
        <f t="shared" si="737"/>
        <v>10</v>
      </c>
      <c r="BX201" s="14">
        <f t="shared" si="738"/>
        <v>0.21999999999999986</v>
      </c>
      <c r="BY201" s="14">
        <f t="shared" si="739"/>
        <v>0.10000000000000003</v>
      </c>
      <c r="BZ201" s="5" t="s">
        <v>206</v>
      </c>
      <c r="CA201" s="8" t="str">
        <f t="shared" si="661"/>
        <v>elite_monster_10</v>
      </c>
      <c r="CB201" s="8" t="str">
        <f t="shared" si="661"/>
        <v>elite_monster_10</v>
      </c>
      <c r="CC201" s="5">
        <v>0</v>
      </c>
      <c r="CD201" s="8">
        <f t="shared" si="580"/>
        <v>1</v>
      </c>
      <c r="CE201" s="5">
        <f t="shared" si="740"/>
        <v>0</v>
      </c>
      <c r="CF201" s="5">
        <f t="shared" si="596"/>
        <v>0</v>
      </c>
      <c r="CG201" s="27" t="s">
        <v>637</v>
      </c>
      <c r="CH201" s="5">
        <f t="shared" si="581"/>
        <v>3</v>
      </c>
      <c r="CI201" s="5">
        <v>0</v>
      </c>
      <c r="CJ201" s="4">
        <v>1</v>
      </c>
      <c r="CK201" s="5">
        <v>0</v>
      </c>
      <c r="CL201" s="5">
        <v>0</v>
      </c>
      <c r="CM201" s="20">
        <f t="shared" si="582"/>
        <v>0</v>
      </c>
      <c r="CN201" s="8">
        <f t="shared" si="582"/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8">
        <f t="shared" ref="CV201:CY201" si="759">CV180</f>
        <v>0.8</v>
      </c>
      <c r="CW201" s="8">
        <f t="shared" si="759"/>
        <v>0.6</v>
      </c>
      <c r="CX201" s="8">
        <f t="shared" si="759"/>
        <v>1</v>
      </c>
      <c r="CY201" s="8">
        <f t="shared" si="759"/>
        <v>1</v>
      </c>
      <c r="CZ201" s="8">
        <f t="shared" si="584"/>
        <v>1</v>
      </c>
      <c r="DA201" s="6">
        <f t="shared" si="728"/>
        <v>250</v>
      </c>
      <c r="DB201" s="5">
        <f t="shared" si="585"/>
        <v>0</v>
      </c>
      <c r="DC201" s="5">
        <f t="shared" si="742"/>
        <v>0.18124999999999999</v>
      </c>
      <c r="DD201" s="6">
        <f t="shared" si="729"/>
        <v>0.18124999999999999</v>
      </c>
      <c r="DE201" s="6">
        <f t="shared" si="598"/>
        <v>0.25</v>
      </c>
      <c r="DF201" s="5">
        <v>0</v>
      </c>
      <c r="DG201" s="8">
        <f t="shared" si="586"/>
        <v>2.5</v>
      </c>
      <c r="DH201" s="5">
        <v>1.5</v>
      </c>
      <c r="DI201" s="8">
        <f t="shared" si="587"/>
        <v>0</v>
      </c>
      <c r="DJ201" s="5">
        <f t="shared" si="730"/>
        <v>0</v>
      </c>
      <c r="DK201" s="8">
        <v>0</v>
      </c>
      <c r="DL201" s="5">
        <f t="shared" si="731"/>
        <v>0</v>
      </c>
      <c r="DM201" s="5" t="s">
        <v>422</v>
      </c>
      <c r="DN201" s="8">
        <f t="shared" ref="DN201:DP201" si="760">DN180</f>
        <v>6</v>
      </c>
      <c r="DO201" s="8">
        <f t="shared" si="760"/>
        <v>0</v>
      </c>
      <c r="DP201" s="5">
        <f t="shared" si="760"/>
        <v>0</v>
      </c>
      <c r="DQ201" s="8">
        <f t="shared" si="697"/>
        <v>0</v>
      </c>
      <c r="DR201" s="5">
        <f t="shared" si="744"/>
        <v>0.9</v>
      </c>
      <c r="DS201" s="8">
        <f t="shared" si="590"/>
        <v>1</v>
      </c>
      <c r="DT201" s="8">
        <f t="shared" si="591"/>
        <v>-0.5</v>
      </c>
      <c r="DU201" s="8">
        <f t="shared" si="591"/>
        <v>0.5</v>
      </c>
      <c r="DV201" s="8">
        <f t="shared" si="591"/>
        <v>0.5</v>
      </c>
      <c r="DW201" s="5">
        <f t="shared" si="722"/>
        <v>0.75</v>
      </c>
      <c r="DX201" s="8">
        <f t="shared" si="592"/>
        <v>9</v>
      </c>
      <c r="DY201" s="8">
        <f t="shared" si="593"/>
        <v>0</v>
      </c>
      <c r="DZ201" s="8">
        <f t="shared" si="594"/>
        <v>0</v>
      </c>
      <c r="EA201" s="5"/>
    </row>
    <row r="202" spans="1:131" x14ac:dyDescent="0.15">
      <c r="A202" s="5">
        <v>201200</v>
      </c>
      <c r="B202" s="5" t="s">
        <v>423</v>
      </c>
      <c r="C202" s="5"/>
      <c r="D202" s="5"/>
      <c r="E202" s="5"/>
      <c r="F202" s="5">
        <v>0</v>
      </c>
      <c r="G202" s="45"/>
      <c r="H202" s="5"/>
      <c r="I202" s="5"/>
      <c r="J202" s="5"/>
      <c r="K202" s="5"/>
      <c r="L202" s="10"/>
      <c r="M202" s="5"/>
      <c r="N202" s="10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20"/>
      <c r="AF202" s="5"/>
      <c r="AG202" s="5"/>
      <c r="AH202" s="5"/>
      <c r="AI202" s="5"/>
      <c r="AJ202" s="5"/>
      <c r="AK202" s="5"/>
      <c r="AL202" s="5"/>
      <c r="AM202" s="5"/>
      <c r="AN202" s="8"/>
      <c r="AO202" s="5">
        <v>0</v>
      </c>
      <c r="AP202" s="5" t="s">
        <v>423</v>
      </c>
      <c r="AQ202" s="5">
        <v>0</v>
      </c>
      <c r="AR202" s="8">
        <f t="shared" si="568"/>
        <v>2</v>
      </c>
      <c r="AS202" s="6">
        <f t="shared" si="733"/>
        <v>60</v>
      </c>
      <c r="AT202" s="6">
        <f t="shared" si="734"/>
        <v>90</v>
      </c>
      <c r="AU202" s="5">
        <f t="shared" si="569"/>
        <v>0</v>
      </c>
      <c r="AV202" s="5">
        <f t="shared" si="570"/>
        <v>1</v>
      </c>
      <c r="AW202" s="5">
        <f t="shared" si="571"/>
        <v>1</v>
      </c>
      <c r="AX202" s="5">
        <f t="shared" ref="AX202" si="761">AX181</f>
        <v>1</v>
      </c>
      <c r="AY202" s="5">
        <f t="shared" si="571"/>
        <v>1</v>
      </c>
      <c r="AZ202" s="8">
        <f t="shared" si="573"/>
        <v>103</v>
      </c>
      <c r="BA202" s="5">
        <f t="shared" si="563"/>
        <v>203011</v>
      </c>
      <c r="BB202" s="5">
        <v>0</v>
      </c>
      <c r="BC202" s="5">
        <v>0</v>
      </c>
      <c r="BD202" s="5">
        <f t="shared" si="574"/>
        <v>0</v>
      </c>
      <c r="BE202" s="5">
        <f t="shared" si="575"/>
        <v>304002</v>
      </c>
      <c r="BF202" s="5">
        <f t="shared" si="576"/>
        <v>180</v>
      </c>
      <c r="BG202" s="5">
        <f t="shared" si="576"/>
        <v>30</v>
      </c>
      <c r="BH202" s="5">
        <f t="shared" si="564"/>
        <v>30</v>
      </c>
      <c r="BI202" s="5">
        <f t="shared" si="576"/>
        <v>1</v>
      </c>
      <c r="BJ202" s="5">
        <f t="shared" si="755"/>
        <v>10</v>
      </c>
      <c r="BK202" s="5">
        <v>10</v>
      </c>
      <c r="BL202" s="5">
        <f t="shared" si="610"/>
        <v>1</v>
      </c>
      <c r="BM202" s="5">
        <f t="shared" si="641"/>
        <v>30</v>
      </c>
      <c r="BN202" s="5">
        <f t="shared" si="577"/>
        <v>180</v>
      </c>
      <c r="BO202" s="5">
        <f t="shared" si="578"/>
        <v>108006</v>
      </c>
      <c r="BP202" s="5">
        <f t="shared" si="578"/>
        <v>3</v>
      </c>
      <c r="BQ202" s="5">
        <f t="shared" si="565"/>
        <v>2</v>
      </c>
      <c r="BR202" s="5">
        <f>50*BT202*3-360/BM202*BJ202*BQ202</f>
        <v>1260</v>
      </c>
      <c r="BS202" s="4">
        <v>3</v>
      </c>
      <c r="BT202" s="4">
        <v>10</v>
      </c>
      <c r="BU202" s="17">
        <f t="shared" si="579"/>
        <v>0</v>
      </c>
      <c r="BV202" s="4">
        <f t="shared" si="736"/>
        <v>10</v>
      </c>
      <c r="BW202" s="4">
        <f t="shared" si="737"/>
        <v>10</v>
      </c>
      <c r="BX202" s="14">
        <f t="shared" si="738"/>
        <v>0.21999999999999986</v>
      </c>
      <c r="BY202" s="14">
        <f t="shared" si="739"/>
        <v>0.10000000000000003</v>
      </c>
      <c r="BZ202" s="5" t="s">
        <v>210</v>
      </c>
      <c r="CA202" s="8" t="str">
        <f t="shared" si="661"/>
        <v>elite_monster_11</v>
      </c>
      <c r="CB202" s="8" t="str">
        <f t="shared" si="661"/>
        <v>elite_monster_11</v>
      </c>
      <c r="CC202" s="5">
        <v>0</v>
      </c>
      <c r="CD202" s="8">
        <f t="shared" si="580"/>
        <v>1</v>
      </c>
      <c r="CE202" s="5">
        <f t="shared" si="740"/>
        <v>0</v>
      </c>
      <c r="CF202" s="5">
        <f t="shared" si="596"/>
        <v>0</v>
      </c>
      <c r="CG202" s="27" t="s">
        <v>636</v>
      </c>
      <c r="CH202" s="5">
        <f t="shared" si="581"/>
        <v>3</v>
      </c>
      <c r="CI202" s="5">
        <v>0</v>
      </c>
      <c r="CJ202" s="4">
        <v>1</v>
      </c>
      <c r="CK202" s="5">
        <v>0</v>
      </c>
      <c r="CL202" s="5">
        <v>0</v>
      </c>
      <c r="CM202" s="20">
        <f t="shared" si="582"/>
        <v>0</v>
      </c>
      <c r="CN202" s="8">
        <f t="shared" si="582"/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8">
        <f t="shared" ref="CV202:CY202" si="762">CV181</f>
        <v>0.8</v>
      </c>
      <c r="CW202" s="8">
        <f t="shared" si="762"/>
        <v>0.6</v>
      </c>
      <c r="CX202" s="8">
        <f t="shared" si="762"/>
        <v>1</v>
      </c>
      <c r="CY202" s="8">
        <f t="shared" si="762"/>
        <v>1</v>
      </c>
      <c r="CZ202" s="8">
        <f t="shared" si="584"/>
        <v>2</v>
      </c>
      <c r="DA202" s="6">
        <f t="shared" si="728"/>
        <v>500</v>
      </c>
      <c r="DB202" s="5">
        <f t="shared" si="585"/>
        <v>0</v>
      </c>
      <c r="DC202" s="5">
        <f t="shared" si="742"/>
        <v>0.36249999999999999</v>
      </c>
      <c r="DD202" s="6">
        <f t="shared" si="729"/>
        <v>0.36249999999999999</v>
      </c>
      <c r="DE202" s="6">
        <f t="shared" si="598"/>
        <v>0.5</v>
      </c>
      <c r="DF202" s="5">
        <v>0</v>
      </c>
      <c r="DG202" s="8">
        <f t="shared" si="586"/>
        <v>3</v>
      </c>
      <c r="DH202" s="5">
        <v>2</v>
      </c>
      <c r="DI202" s="8">
        <f t="shared" si="587"/>
        <v>0</v>
      </c>
      <c r="DJ202" s="5">
        <f t="shared" si="730"/>
        <v>0</v>
      </c>
      <c r="DK202" s="8">
        <v>0</v>
      </c>
      <c r="DL202" s="5">
        <f t="shared" si="731"/>
        <v>0</v>
      </c>
      <c r="DM202" s="5" t="s">
        <v>423</v>
      </c>
      <c r="DN202" s="8">
        <f t="shared" ref="DN202:DP202" si="763">DN181</f>
        <v>6</v>
      </c>
      <c r="DO202" s="8">
        <f t="shared" si="763"/>
        <v>0</v>
      </c>
      <c r="DP202" s="5">
        <f t="shared" si="763"/>
        <v>1</v>
      </c>
      <c r="DQ202" s="8">
        <f t="shared" si="697"/>
        <v>1</v>
      </c>
      <c r="DR202" s="5">
        <f t="shared" si="744"/>
        <v>1.1700000000000002</v>
      </c>
      <c r="DS202" s="8">
        <f t="shared" si="590"/>
        <v>1.3</v>
      </c>
      <c r="DT202" s="8">
        <f t="shared" si="591"/>
        <v>-0.5</v>
      </c>
      <c r="DU202" s="8">
        <f t="shared" si="591"/>
        <v>0.5</v>
      </c>
      <c r="DV202" s="8">
        <f t="shared" si="591"/>
        <v>0.2</v>
      </c>
      <c r="DW202" s="5">
        <f t="shared" si="722"/>
        <v>0.41666666666666669</v>
      </c>
      <c r="DX202" s="8">
        <f t="shared" si="592"/>
        <v>5</v>
      </c>
      <c r="DY202" s="8">
        <f t="shared" si="593"/>
        <v>0</v>
      </c>
      <c r="DZ202" s="8">
        <f t="shared" si="594"/>
        <v>0</v>
      </c>
      <c r="EA202" s="5"/>
    </row>
    <row r="203" spans="1:131" x14ac:dyDescent="0.15">
      <c r="A203" s="5">
        <v>201201</v>
      </c>
      <c r="B203" s="5" t="s">
        <v>424</v>
      </c>
      <c r="C203" s="5"/>
      <c r="D203" s="5"/>
      <c r="E203" s="5"/>
      <c r="F203" s="5">
        <v>0</v>
      </c>
      <c r="G203" s="45"/>
      <c r="H203" s="5"/>
      <c r="I203" s="5"/>
      <c r="J203" s="5"/>
      <c r="K203" s="5"/>
      <c r="L203" s="10"/>
      <c r="M203" s="5"/>
      <c r="N203" s="10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20"/>
      <c r="AF203" s="5"/>
      <c r="AG203" s="5"/>
      <c r="AH203" s="5"/>
      <c r="AI203" s="5"/>
      <c r="AJ203" s="5"/>
      <c r="AK203" s="5"/>
      <c r="AL203" s="5"/>
      <c r="AM203" s="5"/>
      <c r="AN203" s="8"/>
      <c r="AO203" s="5">
        <v>0</v>
      </c>
      <c r="AP203" s="5" t="s">
        <v>424</v>
      </c>
      <c r="AQ203" s="5">
        <v>0</v>
      </c>
      <c r="AR203" s="8">
        <f t="shared" si="568"/>
        <v>5</v>
      </c>
      <c r="AS203" s="6">
        <f t="shared" si="733"/>
        <v>150</v>
      </c>
      <c r="AT203" s="6">
        <f t="shared" si="734"/>
        <v>180</v>
      </c>
      <c r="AU203" s="5">
        <f t="shared" si="569"/>
        <v>0</v>
      </c>
      <c r="AV203" s="5">
        <f t="shared" si="570"/>
        <v>1</v>
      </c>
      <c r="AW203" s="5">
        <f t="shared" si="571"/>
        <v>0</v>
      </c>
      <c r="AX203" s="5">
        <f t="shared" ref="AX203" si="764">AX182</f>
        <v>0</v>
      </c>
      <c r="AY203" s="5">
        <f t="shared" si="571"/>
        <v>1</v>
      </c>
      <c r="AZ203" s="8">
        <f t="shared" si="573"/>
        <v>103</v>
      </c>
      <c r="BA203" s="5">
        <f t="shared" si="563"/>
        <v>203012</v>
      </c>
      <c r="BB203" s="5">
        <v>0</v>
      </c>
      <c r="BC203" s="5">
        <v>0</v>
      </c>
      <c r="BD203" s="5">
        <f t="shared" si="574"/>
        <v>0</v>
      </c>
      <c r="BE203" s="5">
        <f t="shared" si="575"/>
        <v>0</v>
      </c>
      <c r="BF203" s="5">
        <f t="shared" si="576"/>
        <v>0</v>
      </c>
      <c r="BG203" s="5">
        <f t="shared" si="576"/>
        <v>0</v>
      </c>
      <c r="BH203" s="5">
        <f t="shared" si="564"/>
        <v>0</v>
      </c>
      <c r="BI203" s="5">
        <f t="shared" si="576"/>
        <v>0</v>
      </c>
      <c r="BJ203" s="5">
        <f t="shared" si="755"/>
        <v>0</v>
      </c>
      <c r="BK203" s="5">
        <v>0</v>
      </c>
      <c r="BL203" s="5">
        <f t="shared" si="610"/>
        <v>0</v>
      </c>
      <c r="BM203" s="5">
        <f t="shared" si="641"/>
        <v>0</v>
      </c>
      <c r="BN203" s="5">
        <f t="shared" si="577"/>
        <v>0</v>
      </c>
      <c r="BO203" s="5">
        <f t="shared" si="578"/>
        <v>0</v>
      </c>
      <c r="BP203" s="5">
        <f t="shared" si="578"/>
        <v>0</v>
      </c>
      <c r="BQ203" s="5">
        <f t="shared" si="565"/>
        <v>0</v>
      </c>
      <c r="BR203" s="5"/>
      <c r="BS203" s="4">
        <v>3</v>
      </c>
      <c r="BT203" s="4">
        <v>10</v>
      </c>
      <c r="BU203" s="17">
        <f t="shared" si="579"/>
        <v>0</v>
      </c>
      <c r="BV203" s="4">
        <f t="shared" si="736"/>
        <v>10</v>
      </c>
      <c r="BW203" s="4">
        <f t="shared" si="737"/>
        <v>10</v>
      </c>
      <c r="BX203" s="14">
        <f t="shared" si="738"/>
        <v>0.21999999999999986</v>
      </c>
      <c r="BY203" s="14">
        <f t="shared" si="739"/>
        <v>0.10000000000000003</v>
      </c>
      <c r="BZ203" s="5" t="s">
        <v>213</v>
      </c>
      <c r="CA203" s="8" t="str">
        <f t="shared" si="661"/>
        <v>elite_monster_12</v>
      </c>
      <c r="CB203" s="8" t="str">
        <f t="shared" si="661"/>
        <v>elite_monster_12</v>
      </c>
      <c r="CC203" s="5">
        <v>0</v>
      </c>
      <c r="CD203" s="8">
        <f t="shared" si="580"/>
        <v>1</v>
      </c>
      <c r="CE203" s="5">
        <f t="shared" si="740"/>
        <v>0</v>
      </c>
      <c r="CF203" s="5">
        <f t="shared" si="596"/>
        <v>0</v>
      </c>
      <c r="CG203" s="27" t="s">
        <v>635</v>
      </c>
      <c r="CH203" s="5">
        <f t="shared" si="581"/>
        <v>3</v>
      </c>
      <c r="CI203" s="5">
        <v>0</v>
      </c>
      <c r="CJ203" s="4">
        <v>1</v>
      </c>
      <c r="CK203" s="5">
        <v>0</v>
      </c>
      <c r="CL203" s="5">
        <v>0</v>
      </c>
      <c r="CM203" s="20">
        <f t="shared" si="582"/>
        <v>0</v>
      </c>
      <c r="CN203" s="8">
        <f t="shared" si="582"/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8">
        <f t="shared" ref="CV203:CY203" si="765">CV182</f>
        <v>0.8</v>
      </c>
      <c r="CW203" s="8">
        <f t="shared" si="765"/>
        <v>0.6</v>
      </c>
      <c r="CX203" s="8">
        <f t="shared" si="765"/>
        <v>1</v>
      </c>
      <c r="CY203" s="8">
        <f t="shared" si="765"/>
        <v>1</v>
      </c>
      <c r="CZ203" s="8">
        <f t="shared" si="584"/>
        <v>0.8</v>
      </c>
      <c r="DA203" s="6">
        <f t="shared" si="728"/>
        <v>200</v>
      </c>
      <c r="DB203" s="5">
        <f t="shared" si="585"/>
        <v>1</v>
      </c>
      <c r="DC203" s="5">
        <f t="shared" si="742"/>
        <v>0.57999999999999996</v>
      </c>
      <c r="DD203" s="6">
        <f t="shared" si="729"/>
        <v>0.57999999999999996</v>
      </c>
      <c r="DE203" s="6">
        <f t="shared" si="598"/>
        <v>0.8</v>
      </c>
      <c r="DF203" s="5">
        <v>0</v>
      </c>
      <c r="DG203" s="8">
        <f t="shared" si="586"/>
        <v>3.5</v>
      </c>
      <c r="DH203" s="5">
        <v>2</v>
      </c>
      <c r="DI203" s="8">
        <f t="shared" si="587"/>
        <v>0</v>
      </c>
      <c r="DJ203" s="5">
        <f t="shared" si="730"/>
        <v>0</v>
      </c>
      <c r="DK203" s="8">
        <v>0</v>
      </c>
      <c r="DL203" s="5">
        <f t="shared" si="731"/>
        <v>0</v>
      </c>
      <c r="DM203" s="5" t="s">
        <v>424</v>
      </c>
      <c r="DN203" s="8">
        <f t="shared" ref="DN203:DP203" si="766">DN182</f>
        <v>4</v>
      </c>
      <c r="DO203" s="8">
        <f t="shared" si="766"/>
        <v>0</v>
      </c>
      <c r="DP203" s="5">
        <f t="shared" si="766"/>
        <v>0</v>
      </c>
      <c r="DQ203" s="8">
        <f t="shared" si="697"/>
        <v>0</v>
      </c>
      <c r="DR203" s="5">
        <f t="shared" si="744"/>
        <v>0.9</v>
      </c>
      <c r="DS203" s="8">
        <f t="shared" si="590"/>
        <v>1</v>
      </c>
      <c r="DT203" s="8">
        <f t="shared" si="591"/>
        <v>-0.5</v>
      </c>
      <c r="DU203" s="8">
        <f t="shared" si="591"/>
        <v>0.5</v>
      </c>
      <c r="DV203" s="8">
        <f t="shared" si="591"/>
        <v>0.2</v>
      </c>
      <c r="DW203" s="5">
        <f t="shared" si="722"/>
        <v>0.33333333333333331</v>
      </c>
      <c r="DX203" s="8">
        <f t="shared" si="592"/>
        <v>4</v>
      </c>
      <c r="DY203" s="8">
        <f t="shared" si="593"/>
        <v>0</v>
      </c>
      <c r="DZ203" s="8">
        <f t="shared" si="594"/>
        <v>0</v>
      </c>
      <c r="EA203" s="5"/>
    </row>
    <row r="204" spans="1:131" x14ac:dyDescent="0.15">
      <c r="A204" s="5">
        <v>201202</v>
      </c>
      <c r="B204" s="5" t="s">
        <v>425</v>
      </c>
      <c r="C204" s="5"/>
      <c r="D204" s="5"/>
      <c r="E204" s="5"/>
      <c r="F204" s="5">
        <v>0</v>
      </c>
      <c r="G204" s="45"/>
      <c r="H204" s="5"/>
      <c r="I204" s="5"/>
      <c r="J204" s="5"/>
      <c r="K204" s="5"/>
      <c r="L204" s="10"/>
      <c r="M204" s="5"/>
      <c r="N204" s="10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20"/>
      <c r="AF204" s="5"/>
      <c r="AG204" s="5"/>
      <c r="AH204" s="5"/>
      <c r="AI204" s="5"/>
      <c r="AJ204" s="5"/>
      <c r="AK204" s="5"/>
      <c r="AL204" s="5"/>
      <c r="AM204" s="5"/>
      <c r="AN204" s="8"/>
      <c r="AO204" s="5">
        <v>0</v>
      </c>
      <c r="AP204" s="5" t="s">
        <v>425</v>
      </c>
      <c r="AQ204" s="5">
        <v>0</v>
      </c>
      <c r="AR204" s="8">
        <f t="shared" si="568"/>
        <v>2</v>
      </c>
      <c r="AS204" s="6">
        <f t="shared" si="733"/>
        <v>60</v>
      </c>
      <c r="AT204" s="6">
        <f t="shared" si="734"/>
        <v>90</v>
      </c>
      <c r="AU204" s="5">
        <f t="shared" si="569"/>
        <v>0</v>
      </c>
      <c r="AV204" s="5">
        <f t="shared" si="570"/>
        <v>1</v>
      </c>
      <c r="AW204" s="5">
        <f t="shared" si="571"/>
        <v>1</v>
      </c>
      <c r="AX204" s="5">
        <f t="shared" ref="AX204" si="767">AX183</f>
        <v>1</v>
      </c>
      <c r="AY204" s="5">
        <f t="shared" si="571"/>
        <v>1</v>
      </c>
      <c r="AZ204" s="8">
        <f t="shared" si="573"/>
        <v>103</v>
      </c>
      <c r="BA204" s="5">
        <f t="shared" si="563"/>
        <v>203013</v>
      </c>
      <c r="BB204" s="5">
        <v>0</v>
      </c>
      <c r="BC204" s="5">
        <v>0</v>
      </c>
      <c r="BD204" s="5">
        <f t="shared" si="574"/>
        <v>0</v>
      </c>
      <c r="BE204" s="5">
        <f t="shared" si="575"/>
        <v>0</v>
      </c>
      <c r="BF204" s="5">
        <f t="shared" si="576"/>
        <v>0</v>
      </c>
      <c r="BG204" s="5">
        <f t="shared" si="576"/>
        <v>0</v>
      </c>
      <c r="BH204" s="5">
        <f t="shared" si="564"/>
        <v>0</v>
      </c>
      <c r="BI204" s="5">
        <f t="shared" si="576"/>
        <v>0</v>
      </c>
      <c r="BJ204" s="5">
        <f t="shared" si="755"/>
        <v>0</v>
      </c>
      <c r="BK204" s="5">
        <v>0</v>
      </c>
      <c r="BL204" s="5">
        <f t="shared" si="610"/>
        <v>0</v>
      </c>
      <c r="BM204" s="5">
        <f t="shared" si="641"/>
        <v>0</v>
      </c>
      <c r="BN204" s="5">
        <f t="shared" si="577"/>
        <v>0</v>
      </c>
      <c r="BO204" s="5">
        <f t="shared" si="578"/>
        <v>0</v>
      </c>
      <c r="BP204" s="5">
        <f t="shared" si="578"/>
        <v>0</v>
      </c>
      <c r="BQ204" s="5">
        <f t="shared" si="565"/>
        <v>0</v>
      </c>
      <c r="BR204" s="5"/>
      <c r="BS204" s="4">
        <v>3</v>
      </c>
      <c r="BT204" s="4">
        <v>10</v>
      </c>
      <c r="BU204" s="17">
        <f t="shared" si="579"/>
        <v>0</v>
      </c>
      <c r="BV204" s="4">
        <f t="shared" si="736"/>
        <v>10</v>
      </c>
      <c r="BW204" s="4">
        <f t="shared" si="737"/>
        <v>10</v>
      </c>
      <c r="BX204" s="14">
        <f t="shared" si="738"/>
        <v>0.21999999999999986</v>
      </c>
      <c r="BY204" s="14">
        <f t="shared" si="739"/>
        <v>0.10000000000000003</v>
      </c>
      <c r="BZ204" s="5" t="s">
        <v>216</v>
      </c>
      <c r="CA204" s="8" t="str">
        <f t="shared" si="661"/>
        <v>elite_monster_13</v>
      </c>
      <c r="CB204" s="8" t="str">
        <f t="shared" si="661"/>
        <v>elite_monster_13</v>
      </c>
      <c r="CC204" s="5">
        <v>0</v>
      </c>
      <c r="CD204" s="8">
        <f t="shared" si="580"/>
        <v>1</v>
      </c>
      <c r="CE204" s="5">
        <f t="shared" si="740"/>
        <v>0</v>
      </c>
      <c r="CF204" s="5">
        <f t="shared" si="596"/>
        <v>0</v>
      </c>
      <c r="CG204" s="27" t="s">
        <v>634</v>
      </c>
      <c r="CH204" s="5">
        <f t="shared" si="581"/>
        <v>0</v>
      </c>
      <c r="CI204" s="5">
        <v>0</v>
      </c>
      <c r="CJ204" s="4">
        <v>1</v>
      </c>
      <c r="CK204" s="5">
        <v>0</v>
      </c>
      <c r="CL204" s="5">
        <v>0</v>
      </c>
      <c r="CM204" s="20">
        <f t="shared" si="582"/>
        <v>0</v>
      </c>
      <c r="CN204" s="8">
        <f t="shared" si="582"/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8">
        <f t="shared" ref="CV204:CY204" si="768">CV183</f>
        <v>0.8</v>
      </c>
      <c r="CW204" s="8">
        <f t="shared" si="768"/>
        <v>0.6</v>
      </c>
      <c r="CX204" s="8">
        <f t="shared" si="768"/>
        <v>1</v>
      </c>
      <c r="CY204" s="8">
        <f t="shared" si="768"/>
        <v>1</v>
      </c>
      <c r="CZ204" s="8">
        <f t="shared" si="584"/>
        <v>1</v>
      </c>
      <c r="DA204" s="6">
        <f t="shared" si="728"/>
        <v>250</v>
      </c>
      <c r="DB204" s="5">
        <f t="shared" si="585"/>
        <v>0</v>
      </c>
      <c r="DC204" s="5">
        <f t="shared" si="742"/>
        <v>0.65249999999999997</v>
      </c>
      <c r="DD204" s="6">
        <f t="shared" si="729"/>
        <v>0.65249999999999997</v>
      </c>
      <c r="DE204" s="6">
        <f t="shared" si="598"/>
        <v>0.9</v>
      </c>
      <c r="DF204" s="5">
        <v>0</v>
      </c>
      <c r="DG204" s="8">
        <f t="shared" si="586"/>
        <v>2.75</v>
      </c>
      <c r="DH204" s="5">
        <v>1.75</v>
      </c>
      <c r="DI204" s="8">
        <f t="shared" si="587"/>
        <v>0</v>
      </c>
      <c r="DJ204" s="5">
        <f t="shared" si="730"/>
        <v>0</v>
      </c>
      <c r="DK204" s="8">
        <v>0</v>
      </c>
      <c r="DL204" s="5">
        <f t="shared" si="731"/>
        <v>0</v>
      </c>
      <c r="DM204" s="5" t="s">
        <v>425</v>
      </c>
      <c r="DN204" s="8">
        <f t="shared" ref="DN204:DP204" si="769">DN183</f>
        <v>6</v>
      </c>
      <c r="DO204" s="8">
        <f t="shared" si="769"/>
        <v>0</v>
      </c>
      <c r="DP204" s="5">
        <f t="shared" si="769"/>
        <v>0</v>
      </c>
      <c r="DQ204" s="8">
        <f t="shared" si="697"/>
        <v>0</v>
      </c>
      <c r="DR204" s="5">
        <f t="shared" si="744"/>
        <v>0.9</v>
      </c>
      <c r="DS204" s="8">
        <f t="shared" si="590"/>
        <v>1</v>
      </c>
      <c r="DT204" s="8">
        <f t="shared" si="591"/>
        <v>-0.5</v>
      </c>
      <c r="DU204" s="8">
        <f t="shared" si="591"/>
        <v>0.5</v>
      </c>
      <c r="DV204" s="8">
        <f t="shared" si="591"/>
        <v>0.25</v>
      </c>
      <c r="DW204" s="5">
        <f t="shared" si="722"/>
        <v>0.66666666666666663</v>
      </c>
      <c r="DX204" s="8">
        <f t="shared" si="592"/>
        <v>8</v>
      </c>
      <c r="DY204" s="8">
        <f t="shared" si="593"/>
        <v>0</v>
      </c>
      <c r="DZ204" s="8">
        <f t="shared" si="594"/>
        <v>0</v>
      </c>
      <c r="EA204" s="5"/>
    </row>
    <row r="205" spans="1:131" x14ac:dyDescent="0.15">
      <c r="A205" s="5">
        <v>201203</v>
      </c>
      <c r="B205" s="5" t="s">
        <v>426</v>
      </c>
      <c r="C205" s="5"/>
      <c r="D205" s="5"/>
      <c r="E205" s="5"/>
      <c r="F205" s="5">
        <v>0</v>
      </c>
      <c r="G205" s="45"/>
      <c r="H205" s="5"/>
      <c r="I205" s="5"/>
      <c r="J205" s="5"/>
      <c r="K205" s="5"/>
      <c r="L205" s="10"/>
      <c r="M205" s="5"/>
      <c r="N205" s="10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20"/>
      <c r="AF205" s="5"/>
      <c r="AG205" s="5"/>
      <c r="AH205" s="5"/>
      <c r="AI205" s="5"/>
      <c r="AJ205" s="5"/>
      <c r="AK205" s="5"/>
      <c r="AL205" s="5"/>
      <c r="AM205" s="5"/>
      <c r="AN205" s="8"/>
      <c r="AO205" s="5">
        <v>0</v>
      </c>
      <c r="AP205" s="5" t="s">
        <v>426</v>
      </c>
      <c r="AQ205" s="5">
        <v>0</v>
      </c>
      <c r="AR205" s="8">
        <f t="shared" si="568"/>
        <v>5</v>
      </c>
      <c r="AS205" s="6">
        <f t="shared" si="733"/>
        <v>150</v>
      </c>
      <c r="AT205" s="6">
        <f t="shared" si="734"/>
        <v>180</v>
      </c>
      <c r="AU205" s="5">
        <f t="shared" si="569"/>
        <v>0</v>
      </c>
      <c r="AV205" s="5">
        <f t="shared" si="570"/>
        <v>1</v>
      </c>
      <c r="AW205" s="5">
        <f t="shared" si="571"/>
        <v>0</v>
      </c>
      <c r="AX205" s="5">
        <f t="shared" ref="AX205" si="770">AX184</f>
        <v>0</v>
      </c>
      <c r="AY205" s="5">
        <f t="shared" si="571"/>
        <v>0</v>
      </c>
      <c r="AZ205" s="8">
        <f t="shared" si="573"/>
        <v>103</v>
      </c>
      <c r="BA205" s="5">
        <f t="shared" si="563"/>
        <v>203014</v>
      </c>
      <c r="BB205" s="5">
        <v>0</v>
      </c>
      <c r="BC205" s="5">
        <v>0</v>
      </c>
      <c r="BD205" s="5">
        <f t="shared" si="574"/>
        <v>0</v>
      </c>
      <c r="BE205" s="5">
        <f t="shared" si="575"/>
        <v>0</v>
      </c>
      <c r="BF205" s="5">
        <f t="shared" si="576"/>
        <v>0</v>
      </c>
      <c r="BG205" s="5">
        <f t="shared" si="576"/>
        <v>0</v>
      </c>
      <c r="BH205" s="5">
        <f t="shared" si="564"/>
        <v>0</v>
      </c>
      <c r="BI205" s="5">
        <f t="shared" si="576"/>
        <v>0</v>
      </c>
      <c r="BJ205" s="5">
        <f t="shared" si="755"/>
        <v>0</v>
      </c>
      <c r="BK205" s="5">
        <v>0</v>
      </c>
      <c r="BL205" s="5">
        <f t="shared" si="610"/>
        <v>0</v>
      </c>
      <c r="BM205" s="5">
        <f t="shared" si="641"/>
        <v>0</v>
      </c>
      <c r="BN205" s="5">
        <f t="shared" si="577"/>
        <v>0</v>
      </c>
      <c r="BO205" s="5">
        <f t="shared" si="578"/>
        <v>0</v>
      </c>
      <c r="BP205" s="5">
        <f t="shared" si="578"/>
        <v>0</v>
      </c>
      <c r="BQ205" s="5">
        <f t="shared" si="565"/>
        <v>0</v>
      </c>
      <c r="BR205" s="5"/>
      <c r="BS205" s="4">
        <v>3</v>
      </c>
      <c r="BT205" s="4">
        <v>10</v>
      </c>
      <c r="BU205" s="17">
        <f t="shared" si="579"/>
        <v>0</v>
      </c>
      <c r="BV205" s="4">
        <f t="shared" si="736"/>
        <v>10</v>
      </c>
      <c r="BW205" s="4">
        <f t="shared" si="737"/>
        <v>10</v>
      </c>
      <c r="BX205" s="14">
        <f t="shared" si="738"/>
        <v>0.21999999999999986</v>
      </c>
      <c r="BY205" s="14">
        <f t="shared" si="739"/>
        <v>0.10000000000000003</v>
      </c>
      <c r="BZ205" s="5" t="s">
        <v>219</v>
      </c>
      <c r="CA205" s="8" t="str">
        <f t="shared" si="661"/>
        <v>elite_monster_14</v>
      </c>
      <c r="CB205" s="8" t="str">
        <f t="shared" si="661"/>
        <v>elite_monster_14</v>
      </c>
      <c r="CC205" s="5">
        <v>0</v>
      </c>
      <c r="CD205" s="8">
        <f t="shared" si="580"/>
        <v>1</v>
      </c>
      <c r="CE205" s="5">
        <f t="shared" si="740"/>
        <v>20</v>
      </c>
      <c r="CF205" s="5">
        <f t="shared" si="596"/>
        <v>2</v>
      </c>
      <c r="CG205" s="5" t="s">
        <v>426</v>
      </c>
      <c r="CH205" s="5">
        <f>CH183</f>
        <v>0</v>
      </c>
      <c r="CI205" s="5">
        <v>113</v>
      </c>
      <c r="CJ205" s="4">
        <v>1</v>
      </c>
      <c r="CK205" s="5">
        <v>0</v>
      </c>
      <c r="CL205" s="5">
        <v>0</v>
      </c>
      <c r="CM205" s="20">
        <f t="shared" si="582"/>
        <v>113</v>
      </c>
      <c r="CN205" s="8">
        <f t="shared" si="582"/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8">
        <f t="shared" ref="CV205:CY205" si="771">CV184</f>
        <v>0.8</v>
      </c>
      <c r="CW205" s="8">
        <f t="shared" si="771"/>
        <v>0.6</v>
      </c>
      <c r="CX205" s="8">
        <f t="shared" si="771"/>
        <v>1</v>
      </c>
      <c r="CY205" s="8">
        <f t="shared" si="771"/>
        <v>1</v>
      </c>
      <c r="CZ205" s="8">
        <f t="shared" si="584"/>
        <v>1</v>
      </c>
      <c r="DA205" s="6">
        <f t="shared" si="728"/>
        <v>250</v>
      </c>
      <c r="DB205" s="5">
        <f t="shared" si="585"/>
        <v>1</v>
      </c>
      <c r="DC205" s="5">
        <f t="shared" si="742"/>
        <v>1.0874999999999999</v>
      </c>
      <c r="DD205" s="6">
        <f t="shared" si="729"/>
        <v>1.0874999999999999</v>
      </c>
      <c r="DE205" s="6">
        <f t="shared" si="598"/>
        <v>1.5</v>
      </c>
      <c r="DF205" s="5">
        <v>0</v>
      </c>
      <c r="DG205" s="8">
        <f t="shared" si="586"/>
        <v>2.75</v>
      </c>
      <c r="DH205" s="5">
        <v>1.75</v>
      </c>
      <c r="DI205" s="8">
        <f t="shared" si="587"/>
        <v>0</v>
      </c>
      <c r="DJ205" s="5">
        <f t="shared" si="730"/>
        <v>0</v>
      </c>
      <c r="DK205" s="8">
        <v>0</v>
      </c>
      <c r="DL205" s="5">
        <f t="shared" si="731"/>
        <v>0</v>
      </c>
      <c r="DM205" s="5" t="s">
        <v>426</v>
      </c>
      <c r="DN205" s="8">
        <f t="shared" ref="DN205:DP205" si="772">DN184</f>
        <v>6</v>
      </c>
      <c r="DO205" s="8">
        <f t="shared" si="772"/>
        <v>0</v>
      </c>
      <c r="DP205" s="5">
        <f t="shared" si="772"/>
        <v>1</v>
      </c>
      <c r="DQ205" s="8">
        <f t="shared" si="697"/>
        <v>0</v>
      </c>
      <c r="DR205" s="5">
        <f t="shared" si="744"/>
        <v>0.9</v>
      </c>
      <c r="DS205" s="8">
        <f t="shared" si="590"/>
        <v>1</v>
      </c>
      <c r="DT205" s="8">
        <f t="shared" si="591"/>
        <v>-0.5</v>
      </c>
      <c r="DU205" s="8">
        <f t="shared" si="591"/>
        <v>0.5</v>
      </c>
      <c r="DV205" s="8">
        <f t="shared" si="591"/>
        <v>0.25</v>
      </c>
      <c r="DW205" s="5">
        <f t="shared" si="722"/>
        <v>0.33333333333333331</v>
      </c>
      <c r="DX205" s="8">
        <f t="shared" si="592"/>
        <v>4</v>
      </c>
      <c r="DY205" s="8">
        <f t="shared" si="593"/>
        <v>0</v>
      </c>
      <c r="DZ205" s="8">
        <f t="shared" si="594"/>
        <v>0</v>
      </c>
      <c r="EA205" s="5"/>
    </row>
    <row r="206" spans="1:131" x14ac:dyDescent="0.15">
      <c r="A206" s="5">
        <v>201204</v>
      </c>
      <c r="B206" s="5" t="s">
        <v>427</v>
      </c>
      <c r="C206" s="5"/>
      <c r="D206" s="5"/>
      <c r="E206" s="5"/>
      <c r="F206" s="5">
        <v>0</v>
      </c>
      <c r="G206" s="45"/>
      <c r="H206" s="5"/>
      <c r="I206" s="5"/>
      <c r="J206" s="5"/>
      <c r="K206" s="5"/>
      <c r="L206" s="10"/>
      <c r="M206" s="5"/>
      <c r="N206" s="10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20"/>
      <c r="AF206" s="5"/>
      <c r="AG206" s="5"/>
      <c r="AH206" s="5"/>
      <c r="AI206" s="5"/>
      <c r="AJ206" s="5"/>
      <c r="AK206" s="5"/>
      <c r="AL206" s="5"/>
      <c r="AM206" s="5"/>
      <c r="AN206" s="8"/>
      <c r="AO206" s="5">
        <v>0</v>
      </c>
      <c r="AP206" s="5" t="s">
        <v>427</v>
      </c>
      <c r="AQ206" s="5">
        <v>0</v>
      </c>
      <c r="AR206" s="8">
        <f t="shared" si="568"/>
        <v>2</v>
      </c>
      <c r="AS206" s="6">
        <f t="shared" si="733"/>
        <v>60</v>
      </c>
      <c r="AT206" s="6">
        <f t="shared" si="734"/>
        <v>90</v>
      </c>
      <c r="AU206" s="5">
        <f t="shared" si="569"/>
        <v>0</v>
      </c>
      <c r="AV206" s="5">
        <f t="shared" si="570"/>
        <v>0</v>
      </c>
      <c r="AW206" s="5">
        <f t="shared" si="571"/>
        <v>1</v>
      </c>
      <c r="AX206" s="5">
        <f t="shared" ref="AX206" si="773">AX185</f>
        <v>1</v>
      </c>
      <c r="AY206" s="5">
        <f t="shared" si="571"/>
        <v>0</v>
      </c>
      <c r="AZ206" s="8">
        <f t="shared" si="573"/>
        <v>102</v>
      </c>
      <c r="BA206" s="5">
        <f t="shared" si="563"/>
        <v>203015</v>
      </c>
      <c r="BB206" s="5">
        <v>0</v>
      </c>
      <c r="BC206" s="5">
        <v>0</v>
      </c>
      <c r="BD206" s="5">
        <f t="shared" si="574"/>
        <v>0</v>
      </c>
      <c r="BE206" s="5">
        <f t="shared" si="575"/>
        <v>0</v>
      </c>
      <c r="BF206" s="5">
        <f t="shared" si="576"/>
        <v>0</v>
      </c>
      <c r="BG206" s="5">
        <f t="shared" si="576"/>
        <v>0</v>
      </c>
      <c r="BH206" s="5">
        <f t="shared" si="564"/>
        <v>0</v>
      </c>
      <c r="BI206" s="5">
        <f t="shared" si="576"/>
        <v>0</v>
      </c>
      <c r="BJ206" s="5">
        <f t="shared" si="755"/>
        <v>0</v>
      </c>
      <c r="BK206" s="5">
        <v>0</v>
      </c>
      <c r="BL206" s="5">
        <f t="shared" si="610"/>
        <v>0</v>
      </c>
      <c r="BM206" s="5">
        <f t="shared" si="641"/>
        <v>0</v>
      </c>
      <c r="BN206" s="5">
        <f t="shared" si="577"/>
        <v>0</v>
      </c>
      <c r="BO206" s="5">
        <f t="shared" si="578"/>
        <v>0</v>
      </c>
      <c r="BP206" s="5">
        <f t="shared" si="578"/>
        <v>0</v>
      </c>
      <c r="BQ206" s="5">
        <f t="shared" si="565"/>
        <v>0</v>
      </c>
      <c r="BR206" s="5"/>
      <c r="BS206" s="4">
        <v>3</v>
      </c>
      <c r="BT206" s="4">
        <v>10</v>
      </c>
      <c r="BU206" s="17">
        <f t="shared" si="579"/>
        <v>0</v>
      </c>
      <c r="BV206" s="4">
        <f t="shared" si="736"/>
        <v>10</v>
      </c>
      <c r="BW206" s="4">
        <f t="shared" si="737"/>
        <v>10</v>
      </c>
      <c r="BX206" s="14">
        <f t="shared" si="738"/>
        <v>0.21999999999999986</v>
      </c>
      <c r="BY206" s="14">
        <f t="shared" si="739"/>
        <v>0.10000000000000003</v>
      </c>
      <c r="BZ206" s="5" t="s">
        <v>222</v>
      </c>
      <c r="CA206" s="8" t="str">
        <f t="shared" si="661"/>
        <v>elite_monster_15</v>
      </c>
      <c r="CB206" s="8" t="str">
        <f t="shared" si="661"/>
        <v>elite_monster_15</v>
      </c>
      <c r="CC206" s="5">
        <v>0</v>
      </c>
      <c r="CD206" s="8">
        <f t="shared" si="580"/>
        <v>1</v>
      </c>
      <c r="CE206" s="5">
        <f t="shared" si="740"/>
        <v>0</v>
      </c>
      <c r="CF206" s="5">
        <f t="shared" si="596"/>
        <v>0</v>
      </c>
      <c r="CG206" s="5" t="s">
        <v>427</v>
      </c>
      <c r="CH206" s="5">
        <f t="shared" si="581"/>
        <v>0</v>
      </c>
      <c r="CI206" s="5">
        <v>0</v>
      </c>
      <c r="CJ206" s="4">
        <v>1</v>
      </c>
      <c r="CK206" s="5">
        <v>0</v>
      </c>
      <c r="CL206" s="5">
        <v>0</v>
      </c>
      <c r="CM206" s="20">
        <f t="shared" si="582"/>
        <v>0</v>
      </c>
      <c r="CN206" s="8">
        <f t="shared" si="582"/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8">
        <f t="shared" ref="CV206:CY206" si="774">CV185</f>
        <v>0.8</v>
      </c>
      <c r="CW206" s="8">
        <f t="shared" si="774"/>
        <v>0.6</v>
      </c>
      <c r="CX206" s="8">
        <f t="shared" si="774"/>
        <v>1</v>
      </c>
      <c r="CY206" s="8">
        <f t="shared" si="774"/>
        <v>1</v>
      </c>
      <c r="CZ206" s="8">
        <f t="shared" si="584"/>
        <v>2</v>
      </c>
      <c r="DA206" s="6">
        <f t="shared" si="728"/>
        <v>500</v>
      </c>
      <c r="DB206" s="5">
        <f t="shared" si="585"/>
        <v>0</v>
      </c>
      <c r="DC206" s="5">
        <f t="shared" si="742"/>
        <v>0.2175</v>
      </c>
      <c r="DD206" s="6">
        <f t="shared" si="729"/>
        <v>0.2175</v>
      </c>
      <c r="DE206" s="6">
        <f t="shared" si="598"/>
        <v>0.3</v>
      </c>
      <c r="DF206" s="5">
        <v>0</v>
      </c>
      <c r="DG206" s="8">
        <f t="shared" si="586"/>
        <v>3</v>
      </c>
      <c r="DH206" s="5">
        <v>2</v>
      </c>
      <c r="DI206" s="8">
        <f t="shared" si="587"/>
        <v>0</v>
      </c>
      <c r="DJ206" s="5">
        <f t="shared" si="730"/>
        <v>0</v>
      </c>
      <c r="DK206" s="8">
        <v>0</v>
      </c>
      <c r="DL206" s="5">
        <f t="shared" si="731"/>
        <v>0</v>
      </c>
      <c r="DM206" s="5" t="s">
        <v>427</v>
      </c>
      <c r="DN206" s="8">
        <f t="shared" ref="DN206:DP206" si="775">DN185</f>
        <v>6</v>
      </c>
      <c r="DO206" s="8">
        <f t="shared" si="775"/>
        <v>0</v>
      </c>
      <c r="DP206" s="5">
        <f t="shared" si="775"/>
        <v>0</v>
      </c>
      <c r="DQ206" s="8">
        <f t="shared" si="697"/>
        <v>0</v>
      </c>
      <c r="DR206" s="5">
        <f t="shared" si="744"/>
        <v>0.9</v>
      </c>
      <c r="DS206" s="8">
        <f t="shared" si="590"/>
        <v>1</v>
      </c>
      <c r="DT206" s="8">
        <f t="shared" si="591"/>
        <v>-0.5</v>
      </c>
      <c r="DU206" s="8">
        <f t="shared" si="591"/>
        <v>0.5</v>
      </c>
      <c r="DV206" s="8">
        <f t="shared" si="591"/>
        <v>0.2</v>
      </c>
      <c r="DW206" s="5">
        <f t="shared" si="722"/>
        <v>0.58333333333333337</v>
      </c>
      <c r="DX206" s="8">
        <f t="shared" si="592"/>
        <v>7</v>
      </c>
      <c r="DY206" s="8">
        <f t="shared" si="593"/>
        <v>0</v>
      </c>
      <c r="DZ206" s="8">
        <f t="shared" si="594"/>
        <v>0</v>
      </c>
      <c r="EA206" s="5"/>
    </row>
    <row r="207" spans="1:131" x14ac:dyDescent="0.15">
      <c r="A207" s="5">
        <v>201205</v>
      </c>
      <c r="B207" s="5" t="s">
        <v>428</v>
      </c>
      <c r="C207" s="5"/>
      <c r="D207" s="5"/>
      <c r="E207" s="5"/>
      <c r="F207" s="5">
        <v>0</v>
      </c>
      <c r="G207" s="45"/>
      <c r="H207" s="5"/>
      <c r="I207" s="5"/>
      <c r="J207" s="5"/>
      <c r="K207" s="5"/>
      <c r="L207" s="10"/>
      <c r="M207" s="5"/>
      <c r="N207" s="10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20"/>
      <c r="AF207" s="5"/>
      <c r="AG207" s="5"/>
      <c r="AH207" s="5"/>
      <c r="AI207" s="5"/>
      <c r="AJ207" s="5"/>
      <c r="AK207" s="5"/>
      <c r="AL207" s="5"/>
      <c r="AM207" s="5"/>
      <c r="AN207" s="8"/>
      <c r="AO207" s="5">
        <v>0</v>
      </c>
      <c r="AP207" s="5" t="s">
        <v>428</v>
      </c>
      <c r="AQ207" s="5">
        <v>0</v>
      </c>
      <c r="AR207" s="8">
        <f t="shared" si="568"/>
        <v>2</v>
      </c>
      <c r="AS207" s="6">
        <f t="shared" si="733"/>
        <v>60</v>
      </c>
      <c r="AT207" s="6">
        <f t="shared" si="734"/>
        <v>90</v>
      </c>
      <c r="AU207" s="5">
        <f t="shared" si="569"/>
        <v>0</v>
      </c>
      <c r="AV207" s="5">
        <f t="shared" si="570"/>
        <v>1</v>
      </c>
      <c r="AW207" s="5">
        <f t="shared" si="571"/>
        <v>0</v>
      </c>
      <c r="AX207" s="5">
        <f t="shared" ref="AX207" si="776">AX186</f>
        <v>0</v>
      </c>
      <c r="AY207" s="5">
        <f t="shared" si="571"/>
        <v>1</v>
      </c>
      <c r="AZ207" s="8">
        <f t="shared" si="573"/>
        <v>103</v>
      </c>
      <c r="BA207" s="5">
        <f t="shared" si="563"/>
        <v>203016</v>
      </c>
      <c r="BB207" s="5">
        <v>0</v>
      </c>
      <c r="BC207" s="5">
        <v>0</v>
      </c>
      <c r="BD207" s="5">
        <f t="shared" si="574"/>
        <v>0</v>
      </c>
      <c r="BE207" s="5">
        <f t="shared" si="575"/>
        <v>306001</v>
      </c>
      <c r="BF207" s="5">
        <f t="shared" si="576"/>
        <v>0</v>
      </c>
      <c r="BG207" s="5">
        <f t="shared" si="576"/>
        <v>0</v>
      </c>
      <c r="BH207" s="5">
        <f t="shared" si="564"/>
        <v>0</v>
      </c>
      <c r="BI207" s="5">
        <f t="shared" si="576"/>
        <v>0</v>
      </c>
      <c r="BJ207" s="5">
        <f t="shared" si="755"/>
        <v>10</v>
      </c>
      <c r="BK207" s="5">
        <f>BJ207*360/BM207</f>
        <v>20</v>
      </c>
      <c r="BL207" s="5">
        <f t="shared" si="610"/>
        <v>1</v>
      </c>
      <c r="BM207" s="5">
        <f t="shared" si="641"/>
        <v>180</v>
      </c>
      <c r="BN207" s="5">
        <f t="shared" si="577"/>
        <v>180</v>
      </c>
      <c r="BO207" s="5">
        <f t="shared" si="578"/>
        <v>203017</v>
      </c>
      <c r="BP207" s="5">
        <f t="shared" si="578"/>
        <v>3</v>
      </c>
      <c r="BQ207" s="5">
        <f t="shared" si="565"/>
        <v>4</v>
      </c>
      <c r="BR207" s="5">
        <f>50*BT207*3-360/BM207*BJ207*BQ207</f>
        <v>1420</v>
      </c>
      <c r="BS207" s="4">
        <v>4</v>
      </c>
      <c r="BT207" s="4">
        <v>10</v>
      </c>
      <c r="BU207" s="17">
        <f t="shared" si="579"/>
        <v>0</v>
      </c>
      <c r="BV207" s="4">
        <f t="shared" si="736"/>
        <v>10</v>
      </c>
      <c r="BW207" s="4">
        <f t="shared" si="737"/>
        <v>10</v>
      </c>
      <c r="BX207" s="14">
        <f t="shared" si="738"/>
        <v>0.21999999999999986</v>
      </c>
      <c r="BY207" s="14">
        <f t="shared" si="739"/>
        <v>0.10000000000000003</v>
      </c>
      <c r="BZ207" s="5" t="s">
        <v>225</v>
      </c>
      <c r="CA207" s="8" t="str">
        <f t="shared" si="661"/>
        <v>elite_monster_16</v>
      </c>
      <c r="CB207" s="8" t="str">
        <f t="shared" si="661"/>
        <v>elite_monster_16</v>
      </c>
      <c r="CC207" s="5">
        <v>0</v>
      </c>
      <c r="CD207" s="8">
        <f t="shared" si="580"/>
        <v>2</v>
      </c>
      <c r="CE207" s="5">
        <f t="shared" si="740"/>
        <v>0</v>
      </c>
      <c r="CF207" s="5">
        <f t="shared" si="596"/>
        <v>0</v>
      </c>
      <c r="CG207" s="5" t="s">
        <v>428</v>
      </c>
      <c r="CH207" s="5">
        <f t="shared" si="581"/>
        <v>3</v>
      </c>
      <c r="CI207" s="5">
        <v>114</v>
      </c>
      <c r="CJ207" s="4">
        <v>1</v>
      </c>
      <c r="CK207" s="5">
        <v>0</v>
      </c>
      <c r="CL207" s="5">
        <v>0</v>
      </c>
      <c r="CM207" s="20">
        <f t="shared" si="582"/>
        <v>0</v>
      </c>
      <c r="CN207" s="8">
        <f t="shared" si="582"/>
        <v>0</v>
      </c>
      <c r="CO207" s="5">
        <v>0</v>
      </c>
      <c r="CP207" s="5">
        <v>0</v>
      </c>
      <c r="CQ207" s="5">
        <v>201185</v>
      </c>
      <c r="CR207" s="5">
        <v>5</v>
      </c>
      <c r="CS207" s="5">
        <v>0</v>
      </c>
      <c r="CT207" s="5">
        <v>0</v>
      </c>
      <c r="CU207" s="5">
        <v>0</v>
      </c>
      <c r="CV207" s="8">
        <f t="shared" ref="CV207:CY207" si="777">CV186</f>
        <v>0.8</v>
      </c>
      <c r="CW207" s="8">
        <f t="shared" si="777"/>
        <v>0.6</v>
      </c>
      <c r="CX207" s="8">
        <f t="shared" si="777"/>
        <v>1</v>
      </c>
      <c r="CY207" s="8">
        <f t="shared" si="777"/>
        <v>1</v>
      </c>
      <c r="CZ207" s="8">
        <f t="shared" si="584"/>
        <v>0.8</v>
      </c>
      <c r="DA207" s="6">
        <f t="shared" si="728"/>
        <v>200</v>
      </c>
      <c r="DB207" s="5">
        <f t="shared" si="585"/>
        <v>1</v>
      </c>
      <c r="DC207" s="5">
        <f t="shared" si="742"/>
        <v>0.377</v>
      </c>
      <c r="DD207" s="6">
        <f t="shared" si="729"/>
        <v>0.377</v>
      </c>
      <c r="DE207" s="6">
        <f t="shared" si="598"/>
        <v>0.52</v>
      </c>
      <c r="DF207" s="5">
        <v>0</v>
      </c>
      <c r="DG207" s="8">
        <f t="shared" si="586"/>
        <v>3</v>
      </c>
      <c r="DH207" s="5">
        <v>2</v>
      </c>
      <c r="DI207" s="8">
        <f t="shared" si="587"/>
        <v>2</v>
      </c>
      <c r="DJ207" s="5">
        <f t="shared" si="730"/>
        <v>60</v>
      </c>
      <c r="DK207" s="8">
        <v>0</v>
      </c>
      <c r="DL207" s="5">
        <f t="shared" si="731"/>
        <v>0</v>
      </c>
      <c r="DM207" s="5" t="s">
        <v>428</v>
      </c>
      <c r="DN207" s="8">
        <f t="shared" ref="DN207:DP207" si="778">DN186</f>
        <v>6</v>
      </c>
      <c r="DO207" s="8">
        <f t="shared" si="778"/>
        <v>0</v>
      </c>
      <c r="DP207" s="5">
        <f t="shared" si="778"/>
        <v>0</v>
      </c>
      <c r="DQ207" s="8">
        <f t="shared" si="697"/>
        <v>0</v>
      </c>
      <c r="DR207" s="5">
        <f t="shared" si="744"/>
        <v>4.5</v>
      </c>
      <c r="DS207" s="8">
        <f t="shared" si="590"/>
        <v>5</v>
      </c>
      <c r="DT207" s="8">
        <f t="shared" si="591"/>
        <v>-5</v>
      </c>
      <c r="DU207" s="8">
        <f t="shared" si="591"/>
        <v>0</v>
      </c>
      <c r="DV207" s="8">
        <f t="shared" si="591"/>
        <v>0.2</v>
      </c>
      <c r="DW207" s="5">
        <f t="shared" si="722"/>
        <v>0.5</v>
      </c>
      <c r="DX207" s="8">
        <f t="shared" si="592"/>
        <v>6</v>
      </c>
      <c r="DY207" s="8">
        <f t="shared" si="593"/>
        <v>0</v>
      </c>
      <c r="DZ207" s="8">
        <f t="shared" si="594"/>
        <v>0</v>
      </c>
      <c r="EA207" s="5"/>
    </row>
    <row r="208" spans="1:131" x14ac:dyDescent="0.15">
      <c r="A208" s="5">
        <v>201206</v>
      </c>
      <c r="B208" s="5" t="s">
        <v>429</v>
      </c>
      <c r="C208" s="5"/>
      <c r="D208" s="5"/>
      <c r="E208" s="5"/>
      <c r="F208" s="5">
        <v>0</v>
      </c>
      <c r="G208" s="45"/>
      <c r="H208" s="5"/>
      <c r="I208" s="5"/>
      <c r="J208" s="5"/>
      <c r="K208" s="5"/>
      <c r="L208" s="10"/>
      <c r="M208" s="5"/>
      <c r="N208" s="10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20"/>
      <c r="AF208" s="5"/>
      <c r="AG208" s="5"/>
      <c r="AH208" s="5"/>
      <c r="AI208" s="5"/>
      <c r="AJ208" s="5"/>
      <c r="AK208" s="5"/>
      <c r="AL208" s="5"/>
      <c r="AM208" s="5"/>
      <c r="AN208" s="8"/>
      <c r="AO208" s="5">
        <v>0</v>
      </c>
      <c r="AP208" s="5" t="s">
        <v>429</v>
      </c>
      <c r="AQ208" s="5">
        <v>0</v>
      </c>
      <c r="AR208" s="8">
        <f t="shared" si="568"/>
        <v>1.5</v>
      </c>
      <c r="AS208" s="6">
        <f t="shared" si="733"/>
        <v>45</v>
      </c>
      <c r="AT208" s="6">
        <f t="shared" si="734"/>
        <v>75</v>
      </c>
      <c r="AU208" s="5">
        <f t="shared" si="569"/>
        <v>0</v>
      </c>
      <c r="AV208" s="5">
        <f t="shared" si="570"/>
        <v>1</v>
      </c>
      <c r="AW208" s="5">
        <f t="shared" si="571"/>
        <v>0</v>
      </c>
      <c r="AX208" s="5">
        <f t="shared" ref="AX208" si="779">AX187</f>
        <v>0</v>
      </c>
      <c r="AY208" s="5">
        <f t="shared" si="571"/>
        <v>1</v>
      </c>
      <c r="AZ208" s="8">
        <f t="shared" si="573"/>
        <v>103</v>
      </c>
      <c r="BA208" s="5">
        <f t="shared" si="563"/>
        <v>203017</v>
      </c>
      <c r="BB208" s="5">
        <v>0</v>
      </c>
      <c r="BC208" s="5">
        <v>0</v>
      </c>
      <c r="BD208" s="5">
        <f t="shared" si="574"/>
        <v>0</v>
      </c>
      <c r="BE208" s="5">
        <f t="shared" si="575"/>
        <v>0</v>
      </c>
      <c r="BF208" s="5">
        <f t="shared" si="576"/>
        <v>0</v>
      </c>
      <c r="BG208" s="5">
        <f t="shared" si="576"/>
        <v>15</v>
      </c>
      <c r="BH208" s="5">
        <f t="shared" si="564"/>
        <v>270</v>
      </c>
      <c r="BI208" s="5">
        <f t="shared" si="576"/>
        <v>0</v>
      </c>
      <c r="BJ208" s="5">
        <f t="shared" si="755"/>
        <v>0</v>
      </c>
      <c r="BK208" s="5">
        <v>0</v>
      </c>
      <c r="BL208" s="5">
        <f t="shared" si="610"/>
        <v>0</v>
      </c>
      <c r="BM208" s="5">
        <f t="shared" si="641"/>
        <v>0</v>
      </c>
      <c r="BN208" s="5">
        <f t="shared" si="577"/>
        <v>0</v>
      </c>
      <c r="BO208" s="5">
        <f t="shared" si="578"/>
        <v>0</v>
      </c>
      <c r="BP208" s="5">
        <f t="shared" si="578"/>
        <v>0</v>
      </c>
      <c r="BQ208" s="5">
        <f t="shared" si="565"/>
        <v>0</v>
      </c>
      <c r="BR208" s="5"/>
      <c r="BS208" s="4">
        <v>4</v>
      </c>
      <c r="BT208" s="4">
        <v>10</v>
      </c>
      <c r="BU208" s="17">
        <f t="shared" si="579"/>
        <v>0</v>
      </c>
      <c r="BV208" s="4">
        <f t="shared" si="736"/>
        <v>10</v>
      </c>
      <c r="BW208" s="4">
        <f t="shared" si="737"/>
        <v>10</v>
      </c>
      <c r="BX208" s="14">
        <f t="shared" si="738"/>
        <v>0.21999999999999986</v>
      </c>
      <c r="BY208" s="14">
        <f t="shared" si="739"/>
        <v>0.10000000000000003</v>
      </c>
      <c r="BZ208" s="5" t="s">
        <v>228</v>
      </c>
      <c r="CA208" s="8" t="str">
        <f t="shared" si="661"/>
        <v>elite_monster_17</v>
      </c>
      <c r="CB208" s="8" t="str">
        <f t="shared" si="661"/>
        <v>elite_monster_17</v>
      </c>
      <c r="CC208" s="5">
        <v>0</v>
      </c>
      <c r="CD208" s="8">
        <f t="shared" si="580"/>
        <v>2</v>
      </c>
      <c r="CE208" s="5">
        <f t="shared" si="740"/>
        <v>0</v>
      </c>
      <c r="CF208" s="5">
        <f t="shared" si="596"/>
        <v>0</v>
      </c>
      <c r="CG208" s="5" t="s">
        <v>429</v>
      </c>
      <c r="CH208" s="5">
        <f t="shared" si="581"/>
        <v>3</v>
      </c>
      <c r="CI208" s="5">
        <v>0</v>
      </c>
      <c r="CJ208" s="4">
        <v>1</v>
      </c>
      <c r="CK208" s="5">
        <v>0</v>
      </c>
      <c r="CL208" s="5">
        <v>0</v>
      </c>
      <c r="CM208" s="20">
        <f t="shared" si="582"/>
        <v>0</v>
      </c>
      <c r="CN208" s="8">
        <f t="shared" si="582"/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201205</v>
      </c>
      <c r="CT208" s="5">
        <v>0</v>
      </c>
      <c r="CU208" s="5">
        <v>0</v>
      </c>
      <c r="CV208" s="8">
        <f t="shared" ref="CV208:CY208" si="780">CV187</f>
        <v>0.8</v>
      </c>
      <c r="CW208" s="8">
        <f t="shared" si="780"/>
        <v>0.6</v>
      </c>
      <c r="CX208" s="8">
        <f t="shared" si="780"/>
        <v>1</v>
      </c>
      <c r="CY208" s="8">
        <f t="shared" si="780"/>
        <v>1</v>
      </c>
      <c r="CZ208" s="8">
        <f t="shared" si="584"/>
        <v>1</v>
      </c>
      <c r="DA208" s="6">
        <f t="shared" si="728"/>
        <v>250</v>
      </c>
      <c r="DB208" s="5">
        <f t="shared" si="585"/>
        <v>1</v>
      </c>
      <c r="DC208" s="5">
        <f t="shared" si="742"/>
        <v>0.18124999999999999</v>
      </c>
      <c r="DD208" s="6">
        <f t="shared" si="729"/>
        <v>0.18124999999999999</v>
      </c>
      <c r="DE208" s="6">
        <f t="shared" si="598"/>
        <v>0.25</v>
      </c>
      <c r="DF208" s="5">
        <v>0</v>
      </c>
      <c r="DG208" s="8">
        <f t="shared" si="586"/>
        <v>3</v>
      </c>
      <c r="DH208" s="5">
        <v>2</v>
      </c>
      <c r="DI208" s="8">
        <f t="shared" si="587"/>
        <v>0</v>
      </c>
      <c r="DJ208" s="5">
        <f t="shared" si="730"/>
        <v>0</v>
      </c>
      <c r="DK208" s="8">
        <v>0</v>
      </c>
      <c r="DL208" s="5">
        <f t="shared" si="731"/>
        <v>0</v>
      </c>
      <c r="DM208" s="5" t="s">
        <v>429</v>
      </c>
      <c r="DN208" s="8">
        <f t="shared" ref="DN208:DP208" si="781">DN187</f>
        <v>0</v>
      </c>
      <c r="DO208" s="8">
        <f t="shared" si="781"/>
        <v>0</v>
      </c>
      <c r="DP208" s="5">
        <f t="shared" si="781"/>
        <v>0</v>
      </c>
      <c r="DQ208" s="8">
        <f t="shared" si="697"/>
        <v>0</v>
      </c>
      <c r="DR208" s="5">
        <f t="shared" si="744"/>
        <v>3.15</v>
      </c>
      <c r="DS208" s="8">
        <f t="shared" si="590"/>
        <v>3.5</v>
      </c>
      <c r="DT208" s="8">
        <f t="shared" si="591"/>
        <v>-0.5</v>
      </c>
      <c r="DU208" s="8">
        <f t="shared" si="591"/>
        <v>0.5</v>
      </c>
      <c r="DV208" s="8">
        <f t="shared" si="591"/>
        <v>0.2</v>
      </c>
      <c r="DW208" s="5">
        <f t="shared" si="722"/>
        <v>0</v>
      </c>
      <c r="DX208" s="8">
        <f t="shared" si="592"/>
        <v>0</v>
      </c>
      <c r="DY208" s="8">
        <f t="shared" si="593"/>
        <v>0</v>
      </c>
      <c r="DZ208" s="8">
        <f t="shared" si="594"/>
        <v>0</v>
      </c>
      <c r="EA208" s="5"/>
    </row>
    <row r="209" spans="1:131" x14ac:dyDescent="0.15">
      <c r="A209" s="5">
        <v>201207</v>
      </c>
      <c r="B209" s="5" t="s">
        <v>430</v>
      </c>
      <c r="C209" s="5"/>
      <c r="D209" s="5"/>
      <c r="E209" s="5"/>
      <c r="F209" s="5">
        <v>0</v>
      </c>
      <c r="G209" s="45"/>
      <c r="H209" s="5"/>
      <c r="I209" s="5"/>
      <c r="J209" s="5"/>
      <c r="K209" s="5"/>
      <c r="L209" s="10"/>
      <c r="M209" s="5"/>
      <c r="N209" s="10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20"/>
      <c r="AF209" s="5"/>
      <c r="AG209" s="5"/>
      <c r="AH209" s="5"/>
      <c r="AI209" s="5"/>
      <c r="AJ209" s="5"/>
      <c r="AK209" s="5"/>
      <c r="AL209" s="5"/>
      <c r="AM209" s="5"/>
      <c r="AN209" s="8"/>
      <c r="AO209" s="5">
        <v>0</v>
      </c>
      <c r="AP209" s="5" t="s">
        <v>430</v>
      </c>
      <c r="AQ209" s="5">
        <v>0</v>
      </c>
      <c r="AR209" s="8">
        <f t="shared" si="568"/>
        <v>2</v>
      </c>
      <c r="AS209" s="6">
        <f t="shared" si="733"/>
        <v>60</v>
      </c>
      <c r="AT209" s="6">
        <f t="shared" si="734"/>
        <v>90</v>
      </c>
      <c r="AU209" s="5">
        <f t="shared" si="569"/>
        <v>0</v>
      </c>
      <c r="AV209" s="5">
        <f t="shared" si="570"/>
        <v>1</v>
      </c>
      <c r="AW209" s="5">
        <f t="shared" si="571"/>
        <v>1</v>
      </c>
      <c r="AX209" s="5">
        <f t="shared" ref="AX209" si="782">AX188</f>
        <v>1</v>
      </c>
      <c r="AY209" s="5">
        <f t="shared" si="571"/>
        <v>1</v>
      </c>
      <c r="AZ209" s="8">
        <f t="shared" si="573"/>
        <v>102</v>
      </c>
      <c r="BA209" s="5">
        <f t="shared" si="563"/>
        <v>203018</v>
      </c>
      <c r="BB209" s="5">
        <v>0</v>
      </c>
      <c r="BC209" s="5">
        <v>0</v>
      </c>
      <c r="BD209" s="5">
        <f t="shared" si="574"/>
        <v>0</v>
      </c>
      <c r="BE209" s="5">
        <f t="shared" si="575"/>
        <v>604001</v>
      </c>
      <c r="BF209" s="5">
        <f t="shared" si="576"/>
        <v>0</v>
      </c>
      <c r="BG209" s="5">
        <f t="shared" si="576"/>
        <v>0</v>
      </c>
      <c r="BH209" s="5">
        <f t="shared" si="564"/>
        <v>0</v>
      </c>
      <c r="BI209" s="5">
        <f t="shared" si="576"/>
        <v>0</v>
      </c>
      <c r="BJ209" s="5">
        <v>80</v>
      </c>
      <c r="BK209" s="5">
        <f>BJ209*360/BM209</f>
        <v>320</v>
      </c>
      <c r="BL209" s="5">
        <f t="shared" si="610"/>
        <v>2</v>
      </c>
      <c r="BM209" s="5">
        <f t="shared" si="641"/>
        <v>90</v>
      </c>
      <c r="BN209" s="5">
        <f t="shared" si="577"/>
        <v>180</v>
      </c>
      <c r="BO209" s="5">
        <f t="shared" si="578"/>
        <v>203019</v>
      </c>
      <c r="BP209" s="5">
        <f t="shared" si="578"/>
        <v>3</v>
      </c>
      <c r="BQ209" s="5">
        <f t="shared" si="565"/>
        <v>2</v>
      </c>
      <c r="BR209" s="5">
        <f>50*BT209*3-360/BM209*BJ209*BQ209</f>
        <v>860</v>
      </c>
      <c r="BS209" s="4">
        <v>4</v>
      </c>
      <c r="BT209" s="4">
        <v>10</v>
      </c>
      <c r="BU209" s="17">
        <f t="shared" si="579"/>
        <v>0</v>
      </c>
      <c r="BV209" s="4">
        <f t="shared" si="736"/>
        <v>10</v>
      </c>
      <c r="BW209" s="4">
        <f t="shared" si="737"/>
        <v>10</v>
      </c>
      <c r="BX209" s="14">
        <f t="shared" si="738"/>
        <v>0.21999999999999986</v>
      </c>
      <c r="BY209" s="14">
        <f t="shared" si="739"/>
        <v>0.10000000000000003</v>
      </c>
      <c r="BZ209" s="5" t="s">
        <v>231</v>
      </c>
      <c r="CA209" s="8" t="str">
        <f t="shared" si="661"/>
        <v>elite_monster_18</v>
      </c>
      <c r="CB209" s="8" t="str">
        <f t="shared" si="661"/>
        <v>elite_monster_18</v>
      </c>
      <c r="CC209" s="5">
        <v>0</v>
      </c>
      <c r="CD209" s="8">
        <f t="shared" si="580"/>
        <v>2</v>
      </c>
      <c r="CE209" s="5">
        <f t="shared" si="740"/>
        <v>10</v>
      </c>
      <c r="CF209" s="5">
        <f t="shared" si="596"/>
        <v>1</v>
      </c>
      <c r="CG209" s="5" t="s">
        <v>430</v>
      </c>
      <c r="CH209" s="5">
        <f t="shared" si="581"/>
        <v>3</v>
      </c>
      <c r="CI209" s="5">
        <v>105</v>
      </c>
      <c r="CJ209" s="18">
        <v>1</v>
      </c>
      <c r="CK209" s="19">
        <v>0</v>
      </c>
      <c r="CL209" s="19">
        <v>0</v>
      </c>
      <c r="CM209" s="20">
        <f t="shared" si="582"/>
        <v>0</v>
      </c>
      <c r="CN209" s="8">
        <f t="shared" si="582"/>
        <v>0</v>
      </c>
      <c r="CO209" s="19">
        <v>0</v>
      </c>
      <c r="CP209" s="19">
        <v>0</v>
      </c>
      <c r="CQ209" s="19">
        <v>201187</v>
      </c>
      <c r="CR209" s="19">
        <v>5</v>
      </c>
      <c r="CS209" s="19">
        <v>0</v>
      </c>
      <c r="CT209" s="5">
        <v>0</v>
      </c>
      <c r="CU209" s="5">
        <v>0</v>
      </c>
      <c r="CV209" s="8">
        <f t="shared" ref="CV209:CY209" si="783">CV188</f>
        <v>0.8</v>
      </c>
      <c r="CW209" s="8">
        <f t="shared" si="783"/>
        <v>0.6</v>
      </c>
      <c r="CX209" s="8">
        <f t="shared" si="783"/>
        <v>1</v>
      </c>
      <c r="CY209" s="8">
        <f t="shared" si="783"/>
        <v>1</v>
      </c>
      <c r="CZ209" s="21">
        <f t="shared" si="584"/>
        <v>1</v>
      </c>
      <c r="DA209" s="6">
        <f t="shared" si="728"/>
        <v>250</v>
      </c>
      <c r="DB209" s="5">
        <f t="shared" si="585"/>
        <v>0</v>
      </c>
      <c r="DC209" s="5">
        <f t="shared" si="742"/>
        <v>0.18124999999999999</v>
      </c>
      <c r="DD209" s="6">
        <f t="shared" si="729"/>
        <v>0.18124999999999999</v>
      </c>
      <c r="DE209" s="6">
        <f t="shared" si="598"/>
        <v>0.25</v>
      </c>
      <c r="DF209" s="5">
        <v>0</v>
      </c>
      <c r="DG209" s="8">
        <f t="shared" si="586"/>
        <v>2.25</v>
      </c>
      <c r="DH209" s="5">
        <v>1.25</v>
      </c>
      <c r="DI209" s="8">
        <f t="shared" si="587"/>
        <v>4</v>
      </c>
      <c r="DJ209" s="5">
        <f t="shared" si="730"/>
        <v>120</v>
      </c>
      <c r="DK209" s="8">
        <v>0</v>
      </c>
      <c r="DL209" s="5">
        <f t="shared" si="731"/>
        <v>0</v>
      </c>
      <c r="DM209" s="5" t="s">
        <v>431</v>
      </c>
      <c r="DN209" s="8">
        <f t="shared" ref="DN209:DP209" si="784">DN188</f>
        <v>6</v>
      </c>
      <c r="DO209" s="8">
        <f t="shared" si="784"/>
        <v>0</v>
      </c>
      <c r="DP209" s="5">
        <f t="shared" si="784"/>
        <v>0</v>
      </c>
      <c r="DQ209" s="8">
        <f t="shared" si="697"/>
        <v>0</v>
      </c>
      <c r="DR209" s="5">
        <f t="shared" si="744"/>
        <v>1.35</v>
      </c>
      <c r="DS209" s="8">
        <f t="shared" si="590"/>
        <v>1.5</v>
      </c>
      <c r="DT209" s="8">
        <f t="shared" si="591"/>
        <v>-0.5</v>
      </c>
      <c r="DU209" s="8">
        <f t="shared" si="591"/>
        <v>0.5</v>
      </c>
      <c r="DV209" s="8">
        <f t="shared" si="591"/>
        <v>0.35</v>
      </c>
      <c r="DW209" s="5">
        <f t="shared" si="722"/>
        <v>0.33333333333333331</v>
      </c>
      <c r="DX209" s="8">
        <f t="shared" si="592"/>
        <v>4</v>
      </c>
      <c r="DY209" s="8">
        <f t="shared" si="593"/>
        <v>0</v>
      </c>
      <c r="DZ209" s="8">
        <f t="shared" si="594"/>
        <v>0</v>
      </c>
      <c r="EA209" s="5"/>
    </row>
    <row r="210" spans="1:131" x14ac:dyDescent="0.15">
      <c r="A210" s="5">
        <v>201208</v>
      </c>
      <c r="B210" s="5" t="s">
        <v>432</v>
      </c>
      <c r="C210" s="5"/>
      <c r="D210" s="5"/>
      <c r="E210" s="5"/>
      <c r="F210" s="5">
        <v>0</v>
      </c>
      <c r="G210" s="45"/>
      <c r="H210" s="5"/>
      <c r="I210" s="5"/>
      <c r="J210" s="5"/>
      <c r="K210" s="5"/>
      <c r="L210" s="10"/>
      <c r="M210" s="5"/>
      <c r="N210" s="10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20"/>
      <c r="AF210" s="5"/>
      <c r="AG210" s="5"/>
      <c r="AH210" s="5"/>
      <c r="AI210" s="5"/>
      <c r="AJ210" s="5"/>
      <c r="AK210" s="5"/>
      <c r="AL210" s="5"/>
      <c r="AM210" s="5"/>
      <c r="AN210" s="8"/>
      <c r="AO210" s="5">
        <v>0</v>
      </c>
      <c r="AP210" s="5" t="s">
        <v>432</v>
      </c>
      <c r="AQ210" s="5">
        <v>0</v>
      </c>
      <c r="AR210" s="8">
        <f t="shared" si="568"/>
        <v>1.5</v>
      </c>
      <c r="AS210" s="6">
        <f t="shared" si="733"/>
        <v>45</v>
      </c>
      <c r="AT210" s="6">
        <f t="shared" si="734"/>
        <v>75</v>
      </c>
      <c r="AU210" s="5">
        <f t="shared" si="569"/>
        <v>0</v>
      </c>
      <c r="AV210" s="5">
        <f t="shared" si="570"/>
        <v>1</v>
      </c>
      <c r="AW210" s="5">
        <f t="shared" si="571"/>
        <v>1</v>
      </c>
      <c r="AX210" s="5">
        <f t="shared" ref="AX210" si="785">AX189</f>
        <v>1</v>
      </c>
      <c r="AY210" s="5">
        <f t="shared" si="571"/>
        <v>1</v>
      </c>
      <c r="AZ210" s="8">
        <f t="shared" si="573"/>
        <v>102</v>
      </c>
      <c r="BA210" s="5">
        <f t="shared" si="563"/>
        <v>203019</v>
      </c>
      <c r="BB210" s="5">
        <v>0</v>
      </c>
      <c r="BC210" s="5">
        <v>0</v>
      </c>
      <c r="BD210" s="5">
        <f t="shared" si="574"/>
        <v>0</v>
      </c>
      <c r="BE210" s="5">
        <f t="shared" si="575"/>
        <v>0</v>
      </c>
      <c r="BF210" s="5">
        <f t="shared" si="576"/>
        <v>0</v>
      </c>
      <c r="BG210" s="5">
        <f t="shared" si="576"/>
        <v>15</v>
      </c>
      <c r="BH210" s="5">
        <f t="shared" si="564"/>
        <v>270</v>
      </c>
      <c r="BI210" s="5">
        <f t="shared" si="576"/>
        <v>0</v>
      </c>
      <c r="BJ210" s="5">
        <f t="shared" si="755"/>
        <v>0</v>
      </c>
      <c r="BK210" s="5">
        <v>0</v>
      </c>
      <c r="BL210" s="5">
        <f t="shared" si="610"/>
        <v>0</v>
      </c>
      <c r="BM210" s="5">
        <f t="shared" si="641"/>
        <v>0</v>
      </c>
      <c r="BN210" s="5">
        <f t="shared" si="577"/>
        <v>0</v>
      </c>
      <c r="BO210" s="5">
        <f t="shared" si="578"/>
        <v>0</v>
      </c>
      <c r="BP210" s="5">
        <f t="shared" si="578"/>
        <v>0</v>
      </c>
      <c r="BQ210" s="5">
        <f t="shared" si="565"/>
        <v>0</v>
      </c>
      <c r="BR210" s="5"/>
      <c r="BS210" s="4">
        <v>4</v>
      </c>
      <c r="BT210" s="4">
        <v>10</v>
      </c>
      <c r="BU210" s="17">
        <f t="shared" si="579"/>
        <v>0</v>
      </c>
      <c r="BV210" s="4">
        <f t="shared" si="736"/>
        <v>10</v>
      </c>
      <c r="BW210" s="4">
        <f t="shared" si="737"/>
        <v>10</v>
      </c>
      <c r="BX210" s="14">
        <f t="shared" si="738"/>
        <v>0.21999999999999986</v>
      </c>
      <c r="BY210" s="14">
        <f t="shared" si="739"/>
        <v>0.10000000000000003</v>
      </c>
      <c r="BZ210" s="5" t="s">
        <v>235</v>
      </c>
      <c r="CA210" s="8" t="str">
        <f t="shared" si="661"/>
        <v>elite_monster_19</v>
      </c>
      <c r="CB210" s="8" t="str">
        <f t="shared" si="661"/>
        <v>elite_monster_19</v>
      </c>
      <c r="CC210" s="5">
        <v>0</v>
      </c>
      <c r="CD210" s="8">
        <f t="shared" si="580"/>
        <v>2</v>
      </c>
      <c r="CE210" s="5">
        <f t="shared" si="740"/>
        <v>0</v>
      </c>
      <c r="CF210" s="5">
        <f t="shared" si="596"/>
        <v>0</v>
      </c>
      <c r="CG210" s="5" t="s">
        <v>432</v>
      </c>
      <c r="CH210" s="5">
        <f t="shared" si="581"/>
        <v>3</v>
      </c>
      <c r="CI210" s="5">
        <v>0</v>
      </c>
      <c r="CJ210" s="4">
        <v>1</v>
      </c>
      <c r="CK210" s="5">
        <v>0</v>
      </c>
      <c r="CL210" s="5">
        <v>0</v>
      </c>
      <c r="CM210" s="20">
        <f t="shared" si="582"/>
        <v>0</v>
      </c>
      <c r="CN210" s="8">
        <f t="shared" si="582"/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201207</v>
      </c>
      <c r="CT210" s="5">
        <v>0</v>
      </c>
      <c r="CU210" s="5">
        <v>0</v>
      </c>
      <c r="CV210" s="8">
        <f t="shared" ref="CV210:CY210" si="786">CV189</f>
        <v>0.8</v>
      </c>
      <c r="CW210" s="8">
        <f t="shared" si="786"/>
        <v>0.6</v>
      </c>
      <c r="CX210" s="8">
        <f t="shared" si="786"/>
        <v>1</v>
      </c>
      <c r="CY210" s="8">
        <f t="shared" si="786"/>
        <v>1</v>
      </c>
      <c r="CZ210" s="8">
        <f t="shared" si="584"/>
        <v>1</v>
      </c>
      <c r="DA210" s="6">
        <f t="shared" si="728"/>
        <v>250</v>
      </c>
      <c r="DB210" s="5">
        <f t="shared" si="585"/>
        <v>0</v>
      </c>
      <c r="DC210" s="5">
        <f t="shared" si="742"/>
        <v>0.18124999999999999</v>
      </c>
      <c r="DD210" s="6">
        <f t="shared" si="729"/>
        <v>0.18124999999999999</v>
      </c>
      <c r="DE210" s="6">
        <f t="shared" si="598"/>
        <v>0.25</v>
      </c>
      <c r="DF210" s="5">
        <v>0</v>
      </c>
      <c r="DG210" s="8">
        <f t="shared" si="586"/>
        <v>2.25</v>
      </c>
      <c r="DH210" s="23">
        <v>1.25</v>
      </c>
      <c r="DI210" s="8">
        <f t="shared" si="587"/>
        <v>0</v>
      </c>
      <c r="DJ210" s="5">
        <f t="shared" si="730"/>
        <v>0</v>
      </c>
      <c r="DK210" s="8">
        <v>0</v>
      </c>
      <c r="DL210" s="5">
        <f t="shared" si="731"/>
        <v>0</v>
      </c>
      <c r="DM210" s="5" t="s">
        <v>433</v>
      </c>
      <c r="DN210" s="8">
        <f t="shared" ref="DN210:DP210" si="787">DN189</f>
        <v>0</v>
      </c>
      <c r="DO210" s="8">
        <f t="shared" si="787"/>
        <v>0</v>
      </c>
      <c r="DP210" s="5">
        <f t="shared" si="787"/>
        <v>0</v>
      </c>
      <c r="DQ210" s="8">
        <f t="shared" si="697"/>
        <v>0</v>
      </c>
      <c r="DR210" s="5">
        <f t="shared" si="744"/>
        <v>1.35</v>
      </c>
      <c r="DS210" s="8">
        <f t="shared" si="590"/>
        <v>1.5</v>
      </c>
      <c r="DT210" s="8">
        <f t="shared" si="591"/>
        <v>-0.5</v>
      </c>
      <c r="DU210" s="8">
        <f t="shared" si="591"/>
        <v>0.5</v>
      </c>
      <c r="DV210" s="8">
        <f t="shared" si="591"/>
        <v>0.35</v>
      </c>
      <c r="DW210" s="5">
        <f t="shared" si="722"/>
        <v>0</v>
      </c>
      <c r="DX210" s="8">
        <f t="shared" si="592"/>
        <v>0</v>
      </c>
      <c r="DY210" s="8">
        <f t="shared" si="593"/>
        <v>0</v>
      </c>
      <c r="DZ210" s="8">
        <f t="shared" si="594"/>
        <v>0</v>
      </c>
      <c r="EA210" s="5"/>
    </row>
    <row r="211" spans="1:131" x14ac:dyDescent="0.15">
      <c r="A211" s="5">
        <v>201209</v>
      </c>
      <c r="B211" s="5" t="s">
        <v>434</v>
      </c>
      <c r="C211" s="5"/>
      <c r="D211" s="5"/>
      <c r="E211" s="5"/>
      <c r="F211" s="5">
        <v>0</v>
      </c>
      <c r="G211" s="45"/>
      <c r="H211" s="5"/>
      <c r="I211" s="5"/>
      <c r="J211" s="5"/>
      <c r="K211" s="5"/>
      <c r="L211" s="10"/>
      <c r="M211" s="5"/>
      <c r="N211" s="10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20"/>
      <c r="AF211" s="5"/>
      <c r="AG211" s="5"/>
      <c r="AH211" s="5"/>
      <c r="AI211" s="5"/>
      <c r="AJ211" s="5"/>
      <c r="AK211" s="5"/>
      <c r="AL211" s="5"/>
      <c r="AM211" s="5"/>
      <c r="AN211" s="8"/>
      <c r="AO211" s="5">
        <v>0</v>
      </c>
      <c r="AP211" s="5" t="s">
        <v>434</v>
      </c>
      <c r="AQ211" s="5">
        <v>0</v>
      </c>
      <c r="AR211" s="8">
        <f t="shared" si="568"/>
        <v>3</v>
      </c>
      <c r="AS211" s="6">
        <f t="shared" si="733"/>
        <v>90</v>
      </c>
      <c r="AT211" s="6">
        <f t="shared" si="734"/>
        <v>120</v>
      </c>
      <c r="AU211" s="5">
        <f t="shared" si="569"/>
        <v>0</v>
      </c>
      <c r="AV211" s="5">
        <f t="shared" si="570"/>
        <v>1</v>
      </c>
      <c r="AW211" s="5">
        <f t="shared" si="571"/>
        <v>0</v>
      </c>
      <c r="AX211" s="5">
        <f t="shared" ref="AX211" si="788">AX190</f>
        <v>0</v>
      </c>
      <c r="AY211" s="5">
        <f t="shared" si="571"/>
        <v>0</v>
      </c>
      <c r="AZ211" s="8">
        <f t="shared" si="573"/>
        <v>101</v>
      </c>
      <c r="BA211" s="5">
        <f t="shared" si="563"/>
        <v>203020</v>
      </c>
      <c r="BB211" s="5">
        <v>0</v>
      </c>
      <c r="BC211" s="5">
        <v>0</v>
      </c>
      <c r="BD211" s="5">
        <f t="shared" si="574"/>
        <v>0</v>
      </c>
      <c r="BE211" s="5">
        <f t="shared" si="575"/>
        <v>0</v>
      </c>
      <c r="BF211" s="5">
        <f t="shared" si="576"/>
        <v>0</v>
      </c>
      <c r="BG211" s="5">
        <f t="shared" si="576"/>
        <v>0</v>
      </c>
      <c r="BH211" s="5">
        <f t="shared" si="564"/>
        <v>0</v>
      </c>
      <c r="BI211" s="5">
        <f t="shared" si="576"/>
        <v>0</v>
      </c>
      <c r="BJ211" s="5">
        <f t="shared" si="755"/>
        <v>0</v>
      </c>
      <c r="BK211" s="5">
        <v>0</v>
      </c>
      <c r="BL211" s="5">
        <f t="shared" si="610"/>
        <v>0</v>
      </c>
      <c r="BM211" s="5">
        <f t="shared" si="641"/>
        <v>0</v>
      </c>
      <c r="BN211" s="5">
        <f t="shared" si="577"/>
        <v>0</v>
      </c>
      <c r="BO211" s="5">
        <f t="shared" si="578"/>
        <v>0</v>
      </c>
      <c r="BP211" s="5">
        <f t="shared" si="578"/>
        <v>0</v>
      </c>
      <c r="BQ211" s="5">
        <f t="shared" si="565"/>
        <v>0</v>
      </c>
      <c r="BR211" s="5"/>
      <c r="BS211" s="4">
        <v>4</v>
      </c>
      <c r="BT211" s="4">
        <v>10</v>
      </c>
      <c r="BU211" s="17">
        <f t="shared" si="579"/>
        <v>0</v>
      </c>
      <c r="BV211" s="4">
        <f t="shared" si="736"/>
        <v>10</v>
      </c>
      <c r="BW211" s="4">
        <f t="shared" si="737"/>
        <v>10</v>
      </c>
      <c r="BX211" s="14">
        <f t="shared" si="738"/>
        <v>0.21999999999999986</v>
      </c>
      <c r="BY211" s="14">
        <f t="shared" si="739"/>
        <v>0.10000000000000003</v>
      </c>
      <c r="BZ211" s="5" t="s">
        <v>239</v>
      </c>
      <c r="CA211" s="8" t="str">
        <f t="shared" si="661"/>
        <v>elite_monster_20</v>
      </c>
      <c r="CB211" s="8" t="str">
        <f t="shared" si="661"/>
        <v>elite_monster_20</v>
      </c>
      <c r="CC211" s="5">
        <v>0</v>
      </c>
      <c r="CD211" s="8">
        <f t="shared" si="580"/>
        <v>1</v>
      </c>
      <c r="CE211" s="5">
        <f t="shared" si="740"/>
        <v>0</v>
      </c>
      <c r="CF211" s="5">
        <f t="shared" si="596"/>
        <v>0</v>
      </c>
      <c r="CG211" s="5" t="s">
        <v>434</v>
      </c>
      <c r="CH211" s="5">
        <f t="shared" si="581"/>
        <v>3</v>
      </c>
      <c r="CI211" s="5">
        <v>0</v>
      </c>
      <c r="CJ211" s="4">
        <v>1</v>
      </c>
      <c r="CK211" s="5">
        <v>0</v>
      </c>
      <c r="CL211" s="5">
        <v>0</v>
      </c>
      <c r="CM211" s="20">
        <f t="shared" si="582"/>
        <v>0</v>
      </c>
      <c r="CN211" s="8">
        <f t="shared" si="582"/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201188</v>
      </c>
      <c r="CT211" s="5">
        <v>0</v>
      </c>
      <c r="CU211" s="5">
        <v>0</v>
      </c>
      <c r="CV211" s="8">
        <f t="shared" ref="CV211:CY211" si="789">CV190</f>
        <v>0.8</v>
      </c>
      <c r="CW211" s="8">
        <f t="shared" si="789"/>
        <v>0.6</v>
      </c>
      <c r="CX211" s="8">
        <f t="shared" si="789"/>
        <v>1</v>
      </c>
      <c r="CY211" s="8">
        <f t="shared" si="789"/>
        <v>1</v>
      </c>
      <c r="CZ211" s="8">
        <f t="shared" si="584"/>
        <v>1</v>
      </c>
      <c r="DA211" s="6">
        <f t="shared" si="728"/>
        <v>250</v>
      </c>
      <c r="DB211" s="5">
        <f t="shared" si="585"/>
        <v>0</v>
      </c>
      <c r="DC211" s="5">
        <f t="shared" si="742"/>
        <v>9.425E-2</v>
      </c>
      <c r="DD211" s="6">
        <f t="shared" si="729"/>
        <v>9.425E-2</v>
      </c>
      <c r="DE211" s="6">
        <f t="shared" si="598"/>
        <v>0.13</v>
      </c>
      <c r="DF211" s="5">
        <v>0</v>
      </c>
      <c r="DG211" s="8">
        <f t="shared" si="586"/>
        <v>2.25</v>
      </c>
      <c r="DH211" s="5">
        <v>1.25</v>
      </c>
      <c r="DI211" s="8">
        <f t="shared" si="587"/>
        <v>0</v>
      </c>
      <c r="DJ211" s="5">
        <f t="shared" si="730"/>
        <v>0</v>
      </c>
      <c r="DK211" s="8">
        <v>0</v>
      </c>
      <c r="DL211" s="5">
        <f t="shared" si="731"/>
        <v>0</v>
      </c>
      <c r="DM211" s="5" t="s">
        <v>434</v>
      </c>
      <c r="DN211" s="8">
        <f t="shared" ref="DN211:DP211" si="790">DN190</f>
        <v>6</v>
      </c>
      <c r="DO211" s="8">
        <f t="shared" si="790"/>
        <v>0</v>
      </c>
      <c r="DP211" s="5">
        <f t="shared" si="790"/>
        <v>0</v>
      </c>
      <c r="DQ211" s="8">
        <f t="shared" si="697"/>
        <v>0</v>
      </c>
      <c r="DR211" s="5">
        <f t="shared" si="744"/>
        <v>0.9</v>
      </c>
      <c r="DS211" s="8">
        <f t="shared" si="590"/>
        <v>1</v>
      </c>
      <c r="DT211" s="8">
        <f t="shared" si="591"/>
        <v>-0.5</v>
      </c>
      <c r="DU211" s="8">
        <f t="shared" si="591"/>
        <v>0.5</v>
      </c>
      <c r="DV211" s="8">
        <f t="shared" si="591"/>
        <v>0.35</v>
      </c>
      <c r="DW211" s="5">
        <f t="shared" si="722"/>
        <v>0.41666666666666669</v>
      </c>
      <c r="DX211" s="8">
        <f t="shared" si="592"/>
        <v>5</v>
      </c>
      <c r="DY211" s="8">
        <f t="shared" si="593"/>
        <v>0</v>
      </c>
      <c r="DZ211" s="8">
        <f t="shared" si="594"/>
        <v>0</v>
      </c>
      <c r="EA211" s="5"/>
    </row>
    <row r="212" spans="1:131" x14ac:dyDescent="0.15">
      <c r="A212" s="5">
        <v>201210</v>
      </c>
      <c r="B212" s="5" t="s">
        <v>435</v>
      </c>
      <c r="C212" s="5"/>
      <c r="D212" s="5"/>
      <c r="E212" s="5"/>
      <c r="F212" s="5">
        <v>0</v>
      </c>
      <c r="G212" s="45"/>
      <c r="H212" s="5"/>
      <c r="I212" s="5"/>
      <c r="J212" s="5"/>
      <c r="K212" s="5"/>
      <c r="L212" s="10"/>
      <c r="M212" s="5"/>
      <c r="N212" s="10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20"/>
      <c r="AF212" s="5"/>
      <c r="AG212" s="5"/>
      <c r="AH212" s="5"/>
      <c r="AI212" s="5"/>
      <c r="AJ212" s="5"/>
      <c r="AK212" s="5"/>
      <c r="AL212" s="5"/>
      <c r="AM212" s="5"/>
      <c r="AN212" s="8"/>
      <c r="AO212" s="5">
        <v>0</v>
      </c>
      <c r="AP212" s="5" t="s">
        <v>435</v>
      </c>
      <c r="AQ212" s="5">
        <v>0</v>
      </c>
      <c r="AR212" s="8">
        <f t="shared" si="568"/>
        <v>2</v>
      </c>
      <c r="AS212" s="6">
        <f t="shared" si="733"/>
        <v>60</v>
      </c>
      <c r="AT212" s="6">
        <f t="shared" si="734"/>
        <v>90</v>
      </c>
      <c r="AU212" s="5">
        <f t="shared" si="569"/>
        <v>0.2</v>
      </c>
      <c r="AV212" s="5">
        <f t="shared" si="570"/>
        <v>1</v>
      </c>
      <c r="AW212" s="5">
        <f t="shared" si="571"/>
        <v>1</v>
      </c>
      <c r="AX212" s="5">
        <f t="shared" ref="AX212" si="791">AX191</f>
        <v>1</v>
      </c>
      <c r="AY212" s="5">
        <f t="shared" si="571"/>
        <v>1</v>
      </c>
      <c r="AZ212" s="8">
        <f t="shared" si="573"/>
        <v>103</v>
      </c>
      <c r="BA212" s="5">
        <f t="shared" si="563"/>
        <v>203021</v>
      </c>
      <c r="BB212" s="5">
        <v>0</v>
      </c>
      <c r="BC212" s="5">
        <v>0</v>
      </c>
      <c r="BD212" s="5">
        <f t="shared" si="574"/>
        <v>0</v>
      </c>
      <c r="BE212" s="5">
        <f t="shared" si="575"/>
        <v>0</v>
      </c>
      <c r="BF212" s="5">
        <f t="shared" si="576"/>
        <v>0</v>
      </c>
      <c r="BG212" s="5">
        <f t="shared" si="576"/>
        <v>0</v>
      </c>
      <c r="BH212" s="5">
        <f t="shared" si="564"/>
        <v>0</v>
      </c>
      <c r="BI212" s="5">
        <f t="shared" si="576"/>
        <v>0</v>
      </c>
      <c r="BJ212" s="5">
        <f t="shared" si="755"/>
        <v>0</v>
      </c>
      <c r="BK212" s="5">
        <v>0</v>
      </c>
      <c r="BL212" s="5">
        <f t="shared" si="610"/>
        <v>0</v>
      </c>
      <c r="BM212" s="5">
        <f t="shared" si="641"/>
        <v>0</v>
      </c>
      <c r="BN212" s="5">
        <f t="shared" si="577"/>
        <v>0</v>
      </c>
      <c r="BO212" s="5">
        <f t="shared" si="578"/>
        <v>0</v>
      </c>
      <c r="BP212" s="5">
        <f t="shared" si="578"/>
        <v>0</v>
      </c>
      <c r="BQ212" s="5">
        <f t="shared" si="565"/>
        <v>0</v>
      </c>
      <c r="BR212" s="5"/>
      <c r="BS212" s="4">
        <v>4</v>
      </c>
      <c r="BT212" s="4">
        <v>10</v>
      </c>
      <c r="BU212" s="17">
        <f t="shared" si="579"/>
        <v>0</v>
      </c>
      <c r="BV212" s="4">
        <f t="shared" si="736"/>
        <v>10</v>
      </c>
      <c r="BW212" s="4">
        <f t="shared" si="737"/>
        <v>10</v>
      </c>
      <c r="BX212" s="14">
        <f t="shared" si="738"/>
        <v>0.21999999999999986</v>
      </c>
      <c r="BY212" s="14">
        <f t="shared" si="739"/>
        <v>0.10000000000000003</v>
      </c>
      <c r="BZ212" s="5" t="s">
        <v>242</v>
      </c>
      <c r="CA212" s="8" t="str">
        <f t="shared" si="661"/>
        <v>elite_monster_05_brood</v>
      </c>
      <c r="CB212" s="8" t="str">
        <f t="shared" si="661"/>
        <v>elite_monster_05_brood</v>
      </c>
      <c r="CC212" s="5">
        <v>0</v>
      </c>
      <c r="CD212" s="8">
        <f t="shared" si="580"/>
        <v>1</v>
      </c>
      <c r="CE212" s="5">
        <f t="shared" si="740"/>
        <v>0</v>
      </c>
      <c r="CF212" s="5">
        <f t="shared" si="596"/>
        <v>0</v>
      </c>
      <c r="CG212" s="5" t="s">
        <v>435</v>
      </c>
      <c r="CH212" s="5">
        <f t="shared" si="581"/>
        <v>3</v>
      </c>
      <c r="CI212" s="5">
        <v>0</v>
      </c>
      <c r="CJ212" s="4">
        <v>1</v>
      </c>
      <c r="CK212" s="5">
        <v>0</v>
      </c>
      <c r="CL212" s="5">
        <v>0</v>
      </c>
      <c r="CM212" s="20">
        <f t="shared" si="582"/>
        <v>0</v>
      </c>
      <c r="CN212" s="8">
        <f t="shared" si="582"/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8">
        <f t="shared" ref="CV212:CY212" si="792">CV191</f>
        <v>0.8</v>
      </c>
      <c r="CW212" s="8">
        <f t="shared" si="792"/>
        <v>0.6</v>
      </c>
      <c r="CX212" s="8">
        <f t="shared" si="792"/>
        <v>1</v>
      </c>
      <c r="CY212" s="8">
        <f t="shared" si="792"/>
        <v>1</v>
      </c>
      <c r="CZ212" s="8">
        <f t="shared" si="584"/>
        <v>1</v>
      </c>
      <c r="DA212" s="6">
        <f t="shared" si="728"/>
        <v>250</v>
      </c>
      <c r="DB212" s="5">
        <f t="shared" si="585"/>
        <v>0</v>
      </c>
      <c r="DC212" s="5">
        <f t="shared" si="742"/>
        <v>0.435</v>
      </c>
      <c r="DD212" s="6">
        <f t="shared" si="729"/>
        <v>0.435</v>
      </c>
      <c r="DE212" s="6">
        <f t="shared" si="598"/>
        <v>0.6</v>
      </c>
      <c r="DF212" s="5">
        <v>1</v>
      </c>
      <c r="DG212" s="8">
        <f t="shared" si="586"/>
        <v>2.5</v>
      </c>
      <c r="DH212" s="5">
        <v>1.5</v>
      </c>
      <c r="DI212" s="8">
        <f t="shared" si="587"/>
        <v>0</v>
      </c>
      <c r="DJ212" s="5">
        <f t="shared" si="730"/>
        <v>0</v>
      </c>
      <c r="DK212" s="8">
        <v>0</v>
      </c>
      <c r="DL212" s="5">
        <f t="shared" si="731"/>
        <v>0</v>
      </c>
      <c r="DM212" s="5" t="s">
        <v>435</v>
      </c>
      <c r="DN212" s="8">
        <f t="shared" ref="DN212:DP212" si="793">DN191</f>
        <v>8</v>
      </c>
      <c r="DO212" s="8">
        <f t="shared" si="793"/>
        <v>0</v>
      </c>
      <c r="DP212" s="5">
        <f t="shared" si="793"/>
        <v>0</v>
      </c>
      <c r="DQ212" s="8">
        <f t="shared" si="697"/>
        <v>0</v>
      </c>
      <c r="DR212" s="5">
        <f t="shared" si="744"/>
        <v>0.9</v>
      </c>
      <c r="DS212" s="8">
        <f t="shared" si="590"/>
        <v>1</v>
      </c>
      <c r="DT212" s="8">
        <f t="shared" si="591"/>
        <v>-0.5</v>
      </c>
      <c r="DU212" s="8">
        <f t="shared" si="591"/>
        <v>0.5</v>
      </c>
      <c r="DV212" s="8">
        <f t="shared" si="591"/>
        <v>0.5</v>
      </c>
      <c r="DW212" s="5">
        <f t="shared" si="722"/>
        <v>0.5</v>
      </c>
      <c r="DX212" s="8">
        <f t="shared" si="592"/>
        <v>6</v>
      </c>
      <c r="DY212" s="8">
        <f t="shared" si="593"/>
        <v>0</v>
      </c>
      <c r="DZ212" s="8">
        <f t="shared" si="594"/>
        <v>0</v>
      </c>
      <c r="EA212" s="5"/>
    </row>
    <row r="213" spans="1:131" x14ac:dyDescent="0.15">
      <c r="A213" s="5">
        <v>201211</v>
      </c>
      <c r="B213" s="5" t="s">
        <v>436</v>
      </c>
      <c r="C213" s="5"/>
      <c r="D213" s="5"/>
      <c r="E213" s="5"/>
      <c r="F213" s="5">
        <v>0</v>
      </c>
      <c r="G213" s="45"/>
      <c r="H213" s="5"/>
      <c r="I213" s="5"/>
      <c r="J213" s="5"/>
      <c r="K213" s="5"/>
      <c r="L213" s="10"/>
      <c r="M213" s="5"/>
      <c r="N213" s="10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20"/>
      <c r="AF213" s="5"/>
      <c r="AG213" s="5"/>
      <c r="AH213" s="5"/>
      <c r="AI213" s="5"/>
      <c r="AJ213" s="5"/>
      <c r="AK213" s="5"/>
      <c r="AL213" s="5"/>
      <c r="AM213" s="5"/>
      <c r="AN213" s="8"/>
      <c r="AO213" s="5">
        <v>0</v>
      </c>
      <c r="AP213" s="5" t="s">
        <v>436</v>
      </c>
      <c r="AQ213" s="5">
        <v>0</v>
      </c>
      <c r="AR213" s="8">
        <v>1</v>
      </c>
      <c r="AS213" s="6">
        <f t="shared" si="733"/>
        <v>3</v>
      </c>
      <c r="AT213" s="6">
        <f t="shared" si="734"/>
        <v>6</v>
      </c>
      <c r="AU213" s="5">
        <v>0.2</v>
      </c>
      <c r="AV213" s="5">
        <v>1</v>
      </c>
      <c r="AW213" s="5">
        <v>0</v>
      </c>
      <c r="AX213" s="5">
        <v>0</v>
      </c>
      <c r="AY213" s="5">
        <v>1</v>
      </c>
      <c r="AZ213" s="5">
        <v>11</v>
      </c>
      <c r="BA213" s="5">
        <v>203022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f t="shared" ref="BL213:BL276" si="794">BL192</f>
        <v>0</v>
      </c>
      <c r="BM213" s="5">
        <v>0</v>
      </c>
      <c r="BN213" s="5">
        <v>0</v>
      </c>
      <c r="BO213" s="5">
        <v>0</v>
      </c>
      <c r="BP213" s="5">
        <v>0</v>
      </c>
      <c r="BQ213" s="5"/>
      <c r="BR213" s="5"/>
      <c r="BS213" s="4">
        <v>0</v>
      </c>
      <c r="BT213" s="4">
        <v>1</v>
      </c>
      <c r="BU213" s="17">
        <v>0</v>
      </c>
      <c r="BV213" s="4">
        <f t="shared" si="736"/>
        <v>1</v>
      </c>
      <c r="BW213" s="4">
        <f t="shared" si="737"/>
        <v>1</v>
      </c>
      <c r="BX213" s="4">
        <f t="shared" si="738"/>
        <v>0.85</v>
      </c>
      <c r="BY213" s="4">
        <f t="shared" si="739"/>
        <v>0.55000000000000004</v>
      </c>
      <c r="BZ213" s="5" t="s">
        <v>437</v>
      </c>
      <c r="CA213" s="5" t="s">
        <v>438</v>
      </c>
      <c r="CB213" s="5" t="s">
        <v>438</v>
      </c>
      <c r="CC213" s="5">
        <v>0</v>
      </c>
      <c r="CD213" s="8">
        <v>1</v>
      </c>
      <c r="CE213" s="5">
        <v>0</v>
      </c>
      <c r="CF213" s="5">
        <v>0</v>
      </c>
      <c r="CG213" s="5" t="s">
        <v>436</v>
      </c>
      <c r="CH213" s="5">
        <v>3</v>
      </c>
      <c r="CI213" s="5">
        <v>0</v>
      </c>
      <c r="CJ213" s="4">
        <v>0</v>
      </c>
      <c r="CK213" s="20">
        <v>0</v>
      </c>
      <c r="CL213" s="5">
        <v>0</v>
      </c>
      <c r="CM213" s="20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10">
        <v>0.8</v>
      </c>
      <c r="CW213" s="10">
        <v>0.6</v>
      </c>
      <c r="CX213" s="10">
        <v>1</v>
      </c>
      <c r="CY213" s="10">
        <v>1</v>
      </c>
      <c r="CZ213" s="8">
        <v>0.2</v>
      </c>
      <c r="DA213" s="6">
        <f t="shared" si="728"/>
        <v>5</v>
      </c>
      <c r="DB213" s="5">
        <v>1</v>
      </c>
      <c r="DC213" s="5">
        <f t="shared" si="742"/>
        <v>0.5</v>
      </c>
      <c r="DD213" s="6">
        <f t="shared" si="729"/>
        <v>0.5</v>
      </c>
      <c r="DE213" s="6">
        <v>1</v>
      </c>
      <c r="DF213" s="5">
        <v>0</v>
      </c>
      <c r="DG213" s="6">
        <v>6</v>
      </c>
      <c r="DH213" s="5">
        <v>1</v>
      </c>
      <c r="DI213" s="8">
        <v>0</v>
      </c>
      <c r="DJ213" s="5">
        <v>0</v>
      </c>
      <c r="DK213" s="8">
        <v>0</v>
      </c>
      <c r="DL213" s="5">
        <f t="shared" si="731"/>
        <v>0</v>
      </c>
      <c r="DM213" s="5" t="str">
        <f t="shared" ref="DM213:DM276" si="795">B213</f>
        <v>1级蝙蝠</v>
      </c>
      <c r="DN213" s="5">
        <v>10</v>
      </c>
      <c r="DO213" s="5">
        <v>0</v>
      </c>
      <c r="DP213" s="5">
        <v>0</v>
      </c>
      <c r="DQ213" s="5">
        <v>0</v>
      </c>
      <c r="DR213" s="5">
        <f t="shared" ref="DR213:DR222" si="796">DS213*0.9</f>
        <v>0.9</v>
      </c>
      <c r="DS213" s="6">
        <v>1</v>
      </c>
      <c r="DT213" s="8">
        <f t="shared" ref="DT213:DU213" si="797">DT192</f>
        <v>-0.3</v>
      </c>
      <c r="DU213" s="8">
        <f t="shared" si="797"/>
        <v>3</v>
      </c>
      <c r="DV213" s="6">
        <v>0.2</v>
      </c>
      <c r="DW213" s="5">
        <f t="shared" si="722"/>
        <v>8.3333333333333329E-2</v>
      </c>
      <c r="DX213" s="5">
        <v>1</v>
      </c>
      <c r="DY213" s="5">
        <f t="shared" ref="DY213:DY223" si="798">DZ213/12</f>
        <v>0.25</v>
      </c>
      <c r="DZ213" s="5">
        <v>3</v>
      </c>
      <c r="EA213" s="5"/>
    </row>
    <row r="214" spans="1:131" x14ac:dyDescent="0.15">
      <c r="A214" s="5">
        <v>201212</v>
      </c>
      <c r="B214" s="5" t="s">
        <v>439</v>
      </c>
      <c r="C214" s="5"/>
      <c r="D214" s="5"/>
      <c r="E214" s="5"/>
      <c r="F214" s="5">
        <v>0</v>
      </c>
      <c r="G214" s="45"/>
      <c r="H214" s="5"/>
      <c r="I214" s="5"/>
      <c r="J214" s="5"/>
      <c r="K214" s="5"/>
      <c r="L214" s="10"/>
      <c r="M214" s="5"/>
      <c r="N214" s="10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20"/>
      <c r="AF214" s="5"/>
      <c r="AG214" s="5"/>
      <c r="AH214" s="5"/>
      <c r="AI214" s="5"/>
      <c r="AJ214" s="5"/>
      <c r="AK214" s="5"/>
      <c r="AL214" s="5"/>
      <c r="AM214" s="5"/>
      <c r="AN214" s="8"/>
      <c r="AO214" s="5">
        <v>0</v>
      </c>
      <c r="AP214" s="5" t="s">
        <v>439</v>
      </c>
      <c r="AQ214" s="5">
        <v>0</v>
      </c>
      <c r="AR214" s="8">
        <v>1</v>
      </c>
      <c r="AS214" s="6">
        <f t="shared" si="733"/>
        <v>6</v>
      </c>
      <c r="AT214" s="6">
        <f t="shared" si="734"/>
        <v>12</v>
      </c>
      <c r="AU214" s="5">
        <v>0.2</v>
      </c>
      <c r="AV214" s="5">
        <v>1</v>
      </c>
      <c r="AW214" s="5">
        <v>0</v>
      </c>
      <c r="AX214" s="5">
        <v>0</v>
      </c>
      <c r="AY214" s="5">
        <v>1</v>
      </c>
      <c r="AZ214" s="5">
        <v>21</v>
      </c>
      <c r="BA214" s="5">
        <v>203022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f t="shared" si="794"/>
        <v>0</v>
      </c>
      <c r="BM214" s="5">
        <v>0</v>
      </c>
      <c r="BN214" s="5">
        <v>0</v>
      </c>
      <c r="BO214" s="5">
        <v>0</v>
      </c>
      <c r="BP214" s="5">
        <v>0</v>
      </c>
      <c r="BQ214" s="5"/>
      <c r="BR214" s="5"/>
      <c r="BS214" s="4">
        <v>0</v>
      </c>
      <c r="BT214" s="4">
        <v>2</v>
      </c>
      <c r="BU214" s="17">
        <v>0</v>
      </c>
      <c r="BV214" s="4">
        <f t="shared" si="736"/>
        <v>2</v>
      </c>
      <c r="BW214" s="4">
        <f t="shared" si="737"/>
        <v>2</v>
      </c>
      <c r="BX214" s="4">
        <f t="shared" si="738"/>
        <v>0.78</v>
      </c>
      <c r="BY214" s="4">
        <f t="shared" si="739"/>
        <v>0.5</v>
      </c>
      <c r="BZ214" s="5" t="s">
        <v>440</v>
      </c>
      <c r="CA214" s="5" t="s">
        <v>441</v>
      </c>
      <c r="CB214" s="5" t="s">
        <v>441</v>
      </c>
      <c r="CC214" s="5">
        <v>0</v>
      </c>
      <c r="CD214" s="8">
        <v>1</v>
      </c>
      <c r="CE214" s="5">
        <v>0</v>
      </c>
      <c r="CF214" s="5">
        <v>0</v>
      </c>
      <c r="CG214" s="5" t="s">
        <v>439</v>
      </c>
      <c r="CH214" s="5">
        <v>3</v>
      </c>
      <c r="CI214" s="5">
        <v>0</v>
      </c>
      <c r="CJ214" s="4">
        <v>1</v>
      </c>
      <c r="CK214" s="20">
        <v>0</v>
      </c>
      <c r="CL214" s="5">
        <v>0</v>
      </c>
      <c r="CM214" s="20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10">
        <v>0.8</v>
      </c>
      <c r="CW214" s="10">
        <v>0.6</v>
      </c>
      <c r="CX214" s="10">
        <v>1</v>
      </c>
      <c r="CY214" s="10">
        <v>1</v>
      </c>
      <c r="CZ214" s="8">
        <v>0.2</v>
      </c>
      <c r="DA214" s="6">
        <f t="shared" si="728"/>
        <v>10</v>
      </c>
      <c r="DB214" s="5">
        <v>1</v>
      </c>
      <c r="DC214" s="5">
        <f t="shared" si="742"/>
        <v>0.52500000000000002</v>
      </c>
      <c r="DD214" s="6">
        <f t="shared" si="729"/>
        <v>0.52500000000000002</v>
      </c>
      <c r="DE214" s="6">
        <v>1</v>
      </c>
      <c r="DF214" s="5">
        <v>0</v>
      </c>
      <c r="DG214" s="6">
        <v>6</v>
      </c>
      <c r="DH214" s="5">
        <v>1</v>
      </c>
      <c r="DI214" s="8">
        <v>0</v>
      </c>
      <c r="DJ214" s="5">
        <v>0</v>
      </c>
      <c r="DK214" s="8">
        <v>0</v>
      </c>
      <c r="DL214" s="5">
        <f t="shared" si="731"/>
        <v>0</v>
      </c>
      <c r="DM214" s="5" t="str">
        <f t="shared" si="795"/>
        <v>2级蝙蝠</v>
      </c>
      <c r="DN214" s="5">
        <v>10</v>
      </c>
      <c r="DO214" s="5">
        <v>0</v>
      </c>
      <c r="DP214" s="5">
        <v>0</v>
      </c>
      <c r="DQ214" s="5">
        <v>0</v>
      </c>
      <c r="DR214" s="5">
        <f t="shared" si="796"/>
        <v>0.9</v>
      </c>
      <c r="DS214" s="6">
        <v>1</v>
      </c>
      <c r="DT214" s="8">
        <f t="shared" ref="DT214:DU214" si="799">DT193</f>
        <v>-0.5</v>
      </c>
      <c r="DU214" s="8">
        <f t="shared" si="799"/>
        <v>0.5</v>
      </c>
      <c r="DV214" s="6">
        <v>0.2</v>
      </c>
      <c r="DW214" s="5">
        <f t="shared" si="722"/>
        <v>8.3333333333333329E-2</v>
      </c>
      <c r="DX214" s="5">
        <v>1</v>
      </c>
      <c r="DY214" s="5">
        <f t="shared" si="798"/>
        <v>0.25</v>
      </c>
      <c r="DZ214" s="5">
        <v>3</v>
      </c>
      <c r="EA214" s="5"/>
    </row>
    <row r="215" spans="1:131" x14ac:dyDescent="0.15">
      <c r="A215" s="5">
        <v>201213</v>
      </c>
      <c r="B215" s="5" t="s">
        <v>442</v>
      </c>
      <c r="C215" s="5"/>
      <c r="D215" s="5"/>
      <c r="E215" s="5"/>
      <c r="F215" s="5">
        <v>0</v>
      </c>
      <c r="G215" s="45"/>
      <c r="H215" s="5"/>
      <c r="I215" s="5"/>
      <c r="J215" s="5"/>
      <c r="K215" s="5"/>
      <c r="L215" s="10"/>
      <c r="M215" s="5"/>
      <c r="N215" s="10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20"/>
      <c r="AF215" s="5"/>
      <c r="AG215" s="5"/>
      <c r="AH215" s="5"/>
      <c r="AI215" s="5"/>
      <c r="AJ215" s="5"/>
      <c r="AK215" s="5"/>
      <c r="AL215" s="5"/>
      <c r="AM215" s="5"/>
      <c r="AN215" s="8"/>
      <c r="AO215" s="5">
        <v>0</v>
      </c>
      <c r="AP215" s="5" t="s">
        <v>442</v>
      </c>
      <c r="AQ215" s="5">
        <v>0</v>
      </c>
      <c r="AR215" s="8">
        <v>1</v>
      </c>
      <c r="AS215" s="6">
        <f t="shared" si="733"/>
        <v>9</v>
      </c>
      <c r="AT215" s="6">
        <f t="shared" si="734"/>
        <v>18</v>
      </c>
      <c r="AU215" s="5">
        <v>0.2</v>
      </c>
      <c r="AV215" s="5">
        <v>1</v>
      </c>
      <c r="AW215" s="5">
        <v>0</v>
      </c>
      <c r="AX215" s="5">
        <v>0</v>
      </c>
      <c r="AY215" s="5">
        <v>1</v>
      </c>
      <c r="AZ215" s="5">
        <v>31</v>
      </c>
      <c r="BA215" s="5">
        <v>203022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f t="shared" si="794"/>
        <v>0</v>
      </c>
      <c r="BM215" s="5">
        <v>0</v>
      </c>
      <c r="BN215" s="5">
        <v>0</v>
      </c>
      <c r="BO215" s="5">
        <v>0</v>
      </c>
      <c r="BP215" s="5">
        <v>0</v>
      </c>
      <c r="BQ215" s="5"/>
      <c r="BR215" s="5"/>
      <c r="BS215" s="4">
        <v>0</v>
      </c>
      <c r="BT215" s="4">
        <v>3</v>
      </c>
      <c r="BU215" s="17">
        <v>0</v>
      </c>
      <c r="BV215" s="4">
        <f t="shared" si="736"/>
        <v>3</v>
      </c>
      <c r="BW215" s="4">
        <f t="shared" si="737"/>
        <v>3</v>
      </c>
      <c r="BX215" s="4">
        <f t="shared" si="738"/>
        <v>0.71</v>
      </c>
      <c r="BY215" s="4">
        <f t="shared" si="739"/>
        <v>0.45000000000000007</v>
      </c>
      <c r="BZ215" s="5" t="s">
        <v>437</v>
      </c>
      <c r="CA215" s="5" t="s">
        <v>438</v>
      </c>
      <c r="CB215" s="5" t="s">
        <v>438</v>
      </c>
      <c r="CC215" s="5">
        <v>0</v>
      </c>
      <c r="CD215" s="8">
        <v>1</v>
      </c>
      <c r="CE215" s="5">
        <v>0</v>
      </c>
      <c r="CF215" s="5">
        <v>0</v>
      </c>
      <c r="CG215" s="5" t="s">
        <v>442</v>
      </c>
      <c r="CH215" s="5">
        <v>3</v>
      </c>
      <c r="CI215" s="5">
        <v>0</v>
      </c>
      <c r="CJ215" s="4">
        <v>0</v>
      </c>
      <c r="CK215" s="20">
        <v>0</v>
      </c>
      <c r="CL215" s="5">
        <v>0</v>
      </c>
      <c r="CM215" s="20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10">
        <v>0.8</v>
      </c>
      <c r="CW215" s="10">
        <v>0.6</v>
      </c>
      <c r="CX215" s="10">
        <v>1</v>
      </c>
      <c r="CY215" s="10">
        <v>1</v>
      </c>
      <c r="CZ215" s="8">
        <v>0.2</v>
      </c>
      <c r="DA215" s="6">
        <f t="shared" si="728"/>
        <v>15</v>
      </c>
      <c r="DB215" s="5">
        <v>1</v>
      </c>
      <c r="DC215" s="5">
        <f t="shared" si="742"/>
        <v>0.55000000000000004</v>
      </c>
      <c r="DD215" s="6">
        <f t="shared" si="729"/>
        <v>0.55000000000000004</v>
      </c>
      <c r="DE215" s="6">
        <v>1</v>
      </c>
      <c r="DF215" s="5">
        <v>0</v>
      </c>
      <c r="DG215" s="6">
        <v>6</v>
      </c>
      <c r="DH215" s="5">
        <v>1</v>
      </c>
      <c r="DI215" s="8">
        <v>0</v>
      </c>
      <c r="DJ215" s="5">
        <v>0</v>
      </c>
      <c r="DK215" s="8">
        <v>0</v>
      </c>
      <c r="DL215" s="5">
        <f t="shared" si="731"/>
        <v>0</v>
      </c>
      <c r="DM215" s="5" t="str">
        <f t="shared" si="795"/>
        <v>3级蝙蝠</v>
      </c>
      <c r="DN215" s="5">
        <v>10</v>
      </c>
      <c r="DO215" s="5">
        <v>0</v>
      </c>
      <c r="DP215" s="5">
        <v>0</v>
      </c>
      <c r="DQ215" s="5">
        <v>0</v>
      </c>
      <c r="DR215" s="5">
        <f t="shared" si="796"/>
        <v>0.9</v>
      </c>
      <c r="DS215" s="6">
        <v>1</v>
      </c>
      <c r="DT215" s="8">
        <f t="shared" ref="DT215:DU215" si="800">DT194</f>
        <v>-0.5</v>
      </c>
      <c r="DU215" s="8">
        <f t="shared" si="800"/>
        <v>0.5</v>
      </c>
      <c r="DV215" s="6">
        <v>0.2</v>
      </c>
      <c r="DW215" s="5">
        <f t="shared" si="722"/>
        <v>8.3333333333333329E-2</v>
      </c>
      <c r="DX215" s="5">
        <v>1</v>
      </c>
      <c r="DY215" s="5">
        <f t="shared" si="798"/>
        <v>0.25</v>
      </c>
      <c r="DZ215" s="5">
        <v>3</v>
      </c>
      <c r="EA215" s="5"/>
    </row>
    <row r="216" spans="1:131" x14ac:dyDescent="0.15">
      <c r="A216" s="5">
        <v>201214</v>
      </c>
      <c r="B216" s="5" t="s">
        <v>443</v>
      </c>
      <c r="C216" s="5"/>
      <c r="D216" s="5"/>
      <c r="E216" s="5"/>
      <c r="F216" s="5">
        <v>0</v>
      </c>
      <c r="G216" s="45"/>
      <c r="H216" s="5"/>
      <c r="I216" s="5"/>
      <c r="J216" s="5"/>
      <c r="K216" s="5"/>
      <c r="L216" s="10"/>
      <c r="M216" s="5"/>
      <c r="N216" s="10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20"/>
      <c r="AF216" s="5"/>
      <c r="AG216" s="5"/>
      <c r="AH216" s="5"/>
      <c r="AI216" s="5"/>
      <c r="AJ216" s="5"/>
      <c r="AK216" s="5"/>
      <c r="AL216" s="5"/>
      <c r="AM216" s="5"/>
      <c r="AN216" s="8"/>
      <c r="AO216" s="5">
        <v>0</v>
      </c>
      <c r="AP216" s="5" t="s">
        <v>443</v>
      </c>
      <c r="AQ216" s="5">
        <v>0</v>
      </c>
      <c r="AR216" s="8">
        <v>1</v>
      </c>
      <c r="AS216" s="6">
        <f t="shared" si="733"/>
        <v>12</v>
      </c>
      <c r="AT216" s="6">
        <f t="shared" si="734"/>
        <v>24</v>
      </c>
      <c r="AU216" s="5">
        <v>0.2</v>
      </c>
      <c r="AV216" s="5">
        <v>1</v>
      </c>
      <c r="AW216" s="5">
        <v>0</v>
      </c>
      <c r="AX216" s="5">
        <v>0</v>
      </c>
      <c r="AY216" s="5">
        <v>1</v>
      </c>
      <c r="AZ216" s="5">
        <v>41</v>
      </c>
      <c r="BA216" s="5">
        <v>203022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f t="shared" si="794"/>
        <v>0</v>
      </c>
      <c r="BM216" s="5">
        <v>0</v>
      </c>
      <c r="BN216" s="5">
        <v>0</v>
      </c>
      <c r="BO216" s="5">
        <v>0</v>
      </c>
      <c r="BP216" s="5">
        <v>0</v>
      </c>
      <c r="BQ216" s="5"/>
      <c r="BR216" s="5"/>
      <c r="BS216" s="4">
        <v>0</v>
      </c>
      <c r="BT216" s="4">
        <v>4</v>
      </c>
      <c r="BU216" s="17">
        <v>0</v>
      </c>
      <c r="BV216" s="4">
        <f t="shared" si="736"/>
        <v>4</v>
      </c>
      <c r="BW216" s="4">
        <f t="shared" si="737"/>
        <v>4</v>
      </c>
      <c r="BX216" s="4">
        <f t="shared" si="738"/>
        <v>0.6399999999999999</v>
      </c>
      <c r="BY216" s="4">
        <f t="shared" si="739"/>
        <v>0.4</v>
      </c>
      <c r="BZ216" s="5" t="s">
        <v>440</v>
      </c>
      <c r="CA216" s="5" t="s">
        <v>441</v>
      </c>
      <c r="CB216" s="5" t="s">
        <v>441</v>
      </c>
      <c r="CC216" s="5">
        <v>0</v>
      </c>
      <c r="CD216" s="8">
        <v>1</v>
      </c>
      <c r="CE216" s="5">
        <v>0</v>
      </c>
      <c r="CF216" s="5">
        <v>0</v>
      </c>
      <c r="CG216" s="5" t="s">
        <v>443</v>
      </c>
      <c r="CH216" s="5">
        <v>3</v>
      </c>
      <c r="CI216" s="5">
        <v>0</v>
      </c>
      <c r="CJ216" s="4">
        <v>1</v>
      </c>
      <c r="CK216" s="20">
        <v>0</v>
      </c>
      <c r="CL216" s="5">
        <v>0</v>
      </c>
      <c r="CM216" s="20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10">
        <v>0.8</v>
      </c>
      <c r="CW216" s="10">
        <v>0.6</v>
      </c>
      <c r="CX216" s="10">
        <v>1</v>
      </c>
      <c r="CY216" s="10">
        <v>1</v>
      </c>
      <c r="CZ216" s="22">
        <v>0.2</v>
      </c>
      <c r="DA216" s="6">
        <f t="shared" si="728"/>
        <v>20</v>
      </c>
      <c r="DB216" s="5">
        <v>1</v>
      </c>
      <c r="DC216" s="5">
        <f t="shared" si="742"/>
        <v>0.57499999999999996</v>
      </c>
      <c r="DD216" s="6">
        <f t="shared" si="729"/>
        <v>0.57499999999999996</v>
      </c>
      <c r="DE216" s="6">
        <v>1</v>
      </c>
      <c r="DF216" s="5">
        <v>0</v>
      </c>
      <c r="DG216" s="6">
        <v>6</v>
      </c>
      <c r="DH216" s="5">
        <v>1</v>
      </c>
      <c r="DI216" s="8">
        <v>0</v>
      </c>
      <c r="DJ216" s="5">
        <v>0</v>
      </c>
      <c r="DK216" s="8">
        <v>0</v>
      </c>
      <c r="DL216" s="5">
        <f t="shared" si="731"/>
        <v>0</v>
      </c>
      <c r="DM216" s="5" t="str">
        <f t="shared" si="795"/>
        <v>4级蝙蝠</v>
      </c>
      <c r="DN216" s="5">
        <v>10</v>
      </c>
      <c r="DO216" s="5">
        <v>0</v>
      </c>
      <c r="DP216" s="5">
        <v>0</v>
      </c>
      <c r="DQ216" s="5">
        <v>0</v>
      </c>
      <c r="DR216" s="5">
        <f t="shared" si="796"/>
        <v>0.9</v>
      </c>
      <c r="DS216" s="6">
        <v>1</v>
      </c>
      <c r="DT216" s="8">
        <f t="shared" ref="DT216:DU216" si="801">DT195</f>
        <v>-0.5</v>
      </c>
      <c r="DU216" s="8">
        <f t="shared" si="801"/>
        <v>0.5</v>
      </c>
      <c r="DV216" s="6">
        <v>0.2</v>
      </c>
      <c r="DW216" s="5">
        <f t="shared" si="722"/>
        <v>8.3333333333333329E-2</v>
      </c>
      <c r="DX216" s="5">
        <v>1</v>
      </c>
      <c r="DY216" s="5">
        <f t="shared" si="798"/>
        <v>0.25</v>
      </c>
      <c r="DZ216" s="5">
        <v>3</v>
      </c>
      <c r="EA216" s="5"/>
    </row>
    <row r="217" spans="1:131" x14ac:dyDescent="0.15">
      <c r="A217" s="5">
        <v>201215</v>
      </c>
      <c r="B217" s="5" t="s">
        <v>444</v>
      </c>
      <c r="C217" s="5"/>
      <c r="D217" s="5"/>
      <c r="E217" s="5"/>
      <c r="F217" s="5">
        <v>0</v>
      </c>
      <c r="G217" s="45"/>
      <c r="H217" s="5"/>
      <c r="I217" s="5"/>
      <c r="J217" s="5"/>
      <c r="K217" s="5"/>
      <c r="L217" s="10"/>
      <c r="M217" s="5"/>
      <c r="N217" s="10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20"/>
      <c r="AF217" s="5"/>
      <c r="AG217" s="5"/>
      <c r="AH217" s="5"/>
      <c r="AI217" s="5"/>
      <c r="AJ217" s="5"/>
      <c r="AK217" s="5"/>
      <c r="AL217" s="5"/>
      <c r="AM217" s="5"/>
      <c r="AN217" s="8"/>
      <c r="AO217" s="5">
        <v>0</v>
      </c>
      <c r="AP217" s="5" t="s">
        <v>444</v>
      </c>
      <c r="AQ217" s="5">
        <v>0</v>
      </c>
      <c r="AR217" s="8">
        <v>1</v>
      </c>
      <c r="AS217" s="6">
        <f t="shared" si="733"/>
        <v>15</v>
      </c>
      <c r="AT217" s="6">
        <f t="shared" si="734"/>
        <v>30</v>
      </c>
      <c r="AU217" s="5">
        <v>0.2</v>
      </c>
      <c r="AV217" s="5">
        <v>1</v>
      </c>
      <c r="AW217" s="5">
        <v>0</v>
      </c>
      <c r="AX217" s="5">
        <v>0</v>
      </c>
      <c r="AY217" s="5">
        <v>1</v>
      </c>
      <c r="AZ217" s="5">
        <v>51</v>
      </c>
      <c r="BA217" s="5">
        <v>203022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f t="shared" si="794"/>
        <v>0</v>
      </c>
      <c r="BM217" s="5">
        <v>0</v>
      </c>
      <c r="BN217" s="5">
        <v>0</v>
      </c>
      <c r="BO217" s="5">
        <v>0</v>
      </c>
      <c r="BP217" s="5">
        <v>0</v>
      </c>
      <c r="BQ217" s="5"/>
      <c r="BR217" s="5"/>
      <c r="BS217" s="4">
        <v>0</v>
      </c>
      <c r="BT217" s="4">
        <v>5</v>
      </c>
      <c r="BU217" s="17">
        <v>0</v>
      </c>
      <c r="BV217" s="4">
        <f t="shared" si="736"/>
        <v>5</v>
      </c>
      <c r="BW217" s="4">
        <f t="shared" si="737"/>
        <v>5</v>
      </c>
      <c r="BX217" s="4">
        <f t="shared" si="738"/>
        <v>0.56999999999999995</v>
      </c>
      <c r="BY217" s="4">
        <f t="shared" si="739"/>
        <v>0.35000000000000003</v>
      </c>
      <c r="BZ217" s="5" t="s">
        <v>437</v>
      </c>
      <c r="CA217" s="5" t="s">
        <v>438</v>
      </c>
      <c r="CB217" s="5" t="s">
        <v>438</v>
      </c>
      <c r="CC217" s="5">
        <v>0</v>
      </c>
      <c r="CD217" s="8">
        <v>1</v>
      </c>
      <c r="CE217" s="5">
        <v>0</v>
      </c>
      <c r="CF217" s="5">
        <v>0</v>
      </c>
      <c r="CG217" s="5" t="s">
        <v>444</v>
      </c>
      <c r="CH217" s="5">
        <v>3</v>
      </c>
      <c r="CI217" s="5">
        <v>0</v>
      </c>
      <c r="CJ217" s="4">
        <v>0</v>
      </c>
      <c r="CK217" s="20">
        <v>0</v>
      </c>
      <c r="CL217" s="5">
        <v>0</v>
      </c>
      <c r="CM217" s="20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10">
        <v>0.8</v>
      </c>
      <c r="CW217" s="10">
        <v>0.6</v>
      </c>
      <c r="CX217" s="10">
        <v>1</v>
      </c>
      <c r="CY217" s="10">
        <v>1</v>
      </c>
      <c r="CZ217" s="22">
        <v>0.2</v>
      </c>
      <c r="DA217" s="6">
        <f t="shared" si="728"/>
        <v>25</v>
      </c>
      <c r="DB217" s="5">
        <v>1</v>
      </c>
      <c r="DC217" s="5">
        <f t="shared" si="742"/>
        <v>0.6</v>
      </c>
      <c r="DD217" s="6">
        <f t="shared" si="729"/>
        <v>0.6</v>
      </c>
      <c r="DE217" s="6">
        <v>1</v>
      </c>
      <c r="DF217" s="5">
        <v>0</v>
      </c>
      <c r="DG217" s="6">
        <v>6</v>
      </c>
      <c r="DH217" s="5">
        <v>1</v>
      </c>
      <c r="DI217" s="8">
        <v>0</v>
      </c>
      <c r="DJ217" s="5">
        <v>0</v>
      </c>
      <c r="DK217" s="8">
        <v>0</v>
      </c>
      <c r="DL217" s="5">
        <f t="shared" si="731"/>
        <v>0</v>
      </c>
      <c r="DM217" s="5" t="str">
        <f t="shared" si="795"/>
        <v>5级蝙蝠</v>
      </c>
      <c r="DN217" s="5">
        <v>10</v>
      </c>
      <c r="DO217" s="5">
        <v>0</v>
      </c>
      <c r="DP217" s="5">
        <v>0</v>
      </c>
      <c r="DQ217" s="5">
        <v>0</v>
      </c>
      <c r="DR217" s="5">
        <f t="shared" si="796"/>
        <v>0.9</v>
      </c>
      <c r="DS217" s="6">
        <v>1</v>
      </c>
      <c r="DT217" s="8">
        <f t="shared" ref="DT217:DU217" si="802">DT196</f>
        <v>-5</v>
      </c>
      <c r="DU217" s="8">
        <f t="shared" si="802"/>
        <v>5</v>
      </c>
      <c r="DV217" s="6">
        <v>0.2</v>
      </c>
      <c r="DW217" s="5">
        <f t="shared" si="722"/>
        <v>8.3333333333333329E-2</v>
      </c>
      <c r="DX217" s="5">
        <v>1</v>
      </c>
      <c r="DY217" s="5">
        <f t="shared" si="798"/>
        <v>0.25</v>
      </c>
      <c r="DZ217" s="5">
        <v>3</v>
      </c>
      <c r="EA217" s="5"/>
    </row>
    <row r="218" spans="1:131" x14ac:dyDescent="0.15">
      <c r="A218" s="5">
        <v>201216</v>
      </c>
      <c r="B218" s="5" t="s">
        <v>445</v>
      </c>
      <c r="C218" s="5"/>
      <c r="D218" s="5"/>
      <c r="E218" s="5"/>
      <c r="F218" s="5">
        <v>0</v>
      </c>
      <c r="G218" s="45"/>
      <c r="H218" s="5"/>
      <c r="I218" s="5"/>
      <c r="J218" s="5"/>
      <c r="K218" s="5"/>
      <c r="L218" s="10"/>
      <c r="M218" s="5"/>
      <c r="N218" s="10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20"/>
      <c r="AF218" s="5"/>
      <c r="AG218" s="5"/>
      <c r="AH218" s="5"/>
      <c r="AI218" s="5"/>
      <c r="AJ218" s="5"/>
      <c r="AK218" s="5"/>
      <c r="AL218" s="5"/>
      <c r="AM218" s="5"/>
      <c r="AN218" s="8"/>
      <c r="AO218" s="5">
        <v>0</v>
      </c>
      <c r="AP218" s="5" t="s">
        <v>445</v>
      </c>
      <c r="AQ218" s="5">
        <v>0</v>
      </c>
      <c r="AR218" s="8">
        <v>1</v>
      </c>
      <c r="AS218" s="6">
        <f t="shared" si="733"/>
        <v>18</v>
      </c>
      <c r="AT218" s="6">
        <f t="shared" si="734"/>
        <v>36</v>
      </c>
      <c r="AU218" s="5">
        <v>0.2</v>
      </c>
      <c r="AV218" s="5">
        <v>1</v>
      </c>
      <c r="AW218" s="5">
        <v>0</v>
      </c>
      <c r="AX218" s="5">
        <v>0</v>
      </c>
      <c r="AY218" s="5">
        <v>1</v>
      </c>
      <c r="AZ218" s="5">
        <v>61</v>
      </c>
      <c r="BA218" s="5">
        <v>203022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f t="shared" si="794"/>
        <v>1</v>
      </c>
      <c r="BM218" s="5">
        <v>0</v>
      </c>
      <c r="BN218" s="5">
        <v>0</v>
      </c>
      <c r="BO218" s="5">
        <v>0</v>
      </c>
      <c r="BP218" s="5">
        <v>0</v>
      </c>
      <c r="BQ218" s="5"/>
      <c r="BR218" s="5"/>
      <c r="BS218" s="4">
        <v>0</v>
      </c>
      <c r="BT218" s="4">
        <v>6</v>
      </c>
      <c r="BU218" s="17">
        <v>0</v>
      </c>
      <c r="BV218" s="4">
        <f t="shared" si="736"/>
        <v>6</v>
      </c>
      <c r="BW218" s="4">
        <f t="shared" si="737"/>
        <v>6</v>
      </c>
      <c r="BX218" s="4">
        <f t="shared" si="738"/>
        <v>0.49999999999999994</v>
      </c>
      <c r="BY218" s="4">
        <f t="shared" si="739"/>
        <v>0.30000000000000004</v>
      </c>
      <c r="BZ218" s="5" t="s">
        <v>440</v>
      </c>
      <c r="CA218" s="5" t="s">
        <v>441</v>
      </c>
      <c r="CB218" s="5" t="s">
        <v>441</v>
      </c>
      <c r="CC218" s="5">
        <v>0</v>
      </c>
      <c r="CD218" s="8">
        <v>1</v>
      </c>
      <c r="CE218" s="5">
        <v>0</v>
      </c>
      <c r="CF218" s="5">
        <v>0</v>
      </c>
      <c r="CG218" s="5" t="s">
        <v>445</v>
      </c>
      <c r="CH218" s="5">
        <v>3</v>
      </c>
      <c r="CI218" s="5">
        <v>0</v>
      </c>
      <c r="CJ218" s="4">
        <v>1</v>
      </c>
      <c r="CK218" s="20">
        <v>0</v>
      </c>
      <c r="CL218" s="5">
        <v>0</v>
      </c>
      <c r="CM218" s="20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10">
        <v>0.8</v>
      </c>
      <c r="CW218" s="10">
        <v>0.6</v>
      </c>
      <c r="CX218" s="10">
        <v>1</v>
      </c>
      <c r="CY218" s="10">
        <v>1</v>
      </c>
      <c r="CZ218" s="22">
        <v>0.2</v>
      </c>
      <c r="DA218" s="6">
        <f t="shared" si="728"/>
        <v>30</v>
      </c>
      <c r="DB218" s="5">
        <v>1</v>
      </c>
      <c r="DC218" s="5">
        <f t="shared" si="742"/>
        <v>0.625</v>
      </c>
      <c r="DD218" s="6">
        <f t="shared" si="729"/>
        <v>0.625</v>
      </c>
      <c r="DE218" s="6">
        <v>1</v>
      </c>
      <c r="DF218" s="5">
        <v>0</v>
      </c>
      <c r="DG218" s="6">
        <v>6</v>
      </c>
      <c r="DH218" s="5">
        <v>1</v>
      </c>
      <c r="DI218" s="8">
        <v>0</v>
      </c>
      <c r="DJ218" s="5">
        <v>0</v>
      </c>
      <c r="DK218" s="8">
        <v>0</v>
      </c>
      <c r="DL218" s="5">
        <f t="shared" si="731"/>
        <v>0</v>
      </c>
      <c r="DM218" s="5" t="str">
        <f t="shared" si="795"/>
        <v>6级蝙蝠</v>
      </c>
      <c r="DN218" s="5">
        <v>10</v>
      </c>
      <c r="DO218" s="5">
        <v>0</v>
      </c>
      <c r="DP218" s="5">
        <v>0</v>
      </c>
      <c r="DQ218" s="5">
        <v>0</v>
      </c>
      <c r="DR218" s="5">
        <f t="shared" si="796"/>
        <v>0.9</v>
      </c>
      <c r="DS218" s="6">
        <v>1</v>
      </c>
      <c r="DT218" s="8">
        <f t="shared" ref="DT218:DU218" si="803">DT197</f>
        <v>-0.5</v>
      </c>
      <c r="DU218" s="8">
        <f t="shared" si="803"/>
        <v>0.5</v>
      </c>
      <c r="DV218" s="6">
        <v>0.2</v>
      </c>
      <c r="DW218" s="5">
        <f t="shared" si="722"/>
        <v>8.3333333333333329E-2</v>
      </c>
      <c r="DX218" s="5">
        <v>1</v>
      </c>
      <c r="DY218" s="5">
        <f t="shared" si="798"/>
        <v>0.25</v>
      </c>
      <c r="DZ218" s="5">
        <v>3</v>
      </c>
      <c r="EA218" s="5"/>
    </row>
    <row r="219" spans="1:131" x14ac:dyDescent="0.15">
      <c r="A219" s="5">
        <v>201217</v>
      </c>
      <c r="B219" s="5" t="s">
        <v>446</v>
      </c>
      <c r="C219" s="5"/>
      <c r="D219" s="5"/>
      <c r="E219" s="5"/>
      <c r="F219" s="5">
        <v>0</v>
      </c>
      <c r="G219" s="45"/>
      <c r="H219" s="5"/>
      <c r="I219" s="5"/>
      <c r="J219" s="5"/>
      <c r="K219" s="5"/>
      <c r="L219" s="10"/>
      <c r="M219" s="5"/>
      <c r="N219" s="10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20"/>
      <c r="AF219" s="5"/>
      <c r="AG219" s="5"/>
      <c r="AH219" s="5"/>
      <c r="AI219" s="5"/>
      <c r="AJ219" s="5"/>
      <c r="AK219" s="5"/>
      <c r="AL219" s="5"/>
      <c r="AM219" s="5"/>
      <c r="AN219" s="8"/>
      <c r="AO219" s="5">
        <v>0</v>
      </c>
      <c r="AP219" s="5" t="s">
        <v>446</v>
      </c>
      <c r="AQ219" s="5">
        <v>0</v>
      </c>
      <c r="AR219" s="8">
        <v>1</v>
      </c>
      <c r="AS219" s="6">
        <f t="shared" si="733"/>
        <v>21</v>
      </c>
      <c r="AT219" s="6">
        <f t="shared" si="734"/>
        <v>42</v>
      </c>
      <c r="AU219" s="5">
        <v>0.2</v>
      </c>
      <c r="AV219" s="5">
        <v>1</v>
      </c>
      <c r="AW219" s="5">
        <v>0</v>
      </c>
      <c r="AX219" s="5">
        <v>0</v>
      </c>
      <c r="AY219" s="5">
        <v>1</v>
      </c>
      <c r="AZ219" s="5">
        <v>71</v>
      </c>
      <c r="BA219" s="5">
        <v>203022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f t="shared" si="794"/>
        <v>0</v>
      </c>
      <c r="BM219" s="5">
        <v>0</v>
      </c>
      <c r="BN219" s="5">
        <v>0</v>
      </c>
      <c r="BO219" s="5">
        <v>0</v>
      </c>
      <c r="BP219" s="5">
        <v>0</v>
      </c>
      <c r="BQ219" s="5"/>
      <c r="BR219" s="5"/>
      <c r="BS219" s="4">
        <v>0</v>
      </c>
      <c r="BT219" s="4">
        <v>7</v>
      </c>
      <c r="BU219" s="17">
        <v>0</v>
      </c>
      <c r="BV219" s="4">
        <f t="shared" si="736"/>
        <v>7</v>
      </c>
      <c r="BW219" s="4">
        <f t="shared" si="737"/>
        <v>7</v>
      </c>
      <c r="BX219" s="4">
        <f t="shared" si="738"/>
        <v>0.42999999999999994</v>
      </c>
      <c r="BY219" s="4">
        <f t="shared" si="739"/>
        <v>0.25</v>
      </c>
      <c r="BZ219" s="5" t="s">
        <v>437</v>
      </c>
      <c r="CA219" s="5" t="s">
        <v>438</v>
      </c>
      <c r="CB219" s="5" t="s">
        <v>438</v>
      </c>
      <c r="CC219" s="5">
        <v>0</v>
      </c>
      <c r="CD219" s="8">
        <v>1</v>
      </c>
      <c r="CE219" s="5">
        <v>0</v>
      </c>
      <c r="CF219" s="5">
        <v>0</v>
      </c>
      <c r="CG219" s="5" t="s">
        <v>446</v>
      </c>
      <c r="CH219" s="5">
        <v>3</v>
      </c>
      <c r="CI219" s="5">
        <v>0</v>
      </c>
      <c r="CJ219" s="4">
        <v>0</v>
      </c>
      <c r="CK219" s="20">
        <v>0</v>
      </c>
      <c r="CL219" s="5">
        <v>0</v>
      </c>
      <c r="CM219" s="20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10">
        <v>0.8</v>
      </c>
      <c r="CW219" s="10">
        <v>0.6</v>
      </c>
      <c r="CX219" s="10">
        <v>1</v>
      </c>
      <c r="CY219" s="10">
        <v>1</v>
      </c>
      <c r="CZ219" s="22">
        <v>0.2</v>
      </c>
      <c r="DA219" s="6">
        <f t="shared" si="728"/>
        <v>35</v>
      </c>
      <c r="DB219" s="5">
        <v>1</v>
      </c>
      <c r="DC219" s="5">
        <f t="shared" si="742"/>
        <v>0.65</v>
      </c>
      <c r="DD219" s="6">
        <f t="shared" si="729"/>
        <v>0.65</v>
      </c>
      <c r="DE219" s="6">
        <v>1</v>
      </c>
      <c r="DF219" s="5">
        <v>0</v>
      </c>
      <c r="DG219" s="6">
        <v>6</v>
      </c>
      <c r="DH219" s="5">
        <v>1</v>
      </c>
      <c r="DI219" s="8">
        <v>0</v>
      </c>
      <c r="DJ219" s="5">
        <v>0</v>
      </c>
      <c r="DK219" s="8">
        <v>0</v>
      </c>
      <c r="DL219" s="5">
        <f t="shared" si="731"/>
        <v>0</v>
      </c>
      <c r="DM219" s="5" t="str">
        <f t="shared" si="795"/>
        <v>7级蝙蝠</v>
      </c>
      <c r="DN219" s="5">
        <v>10</v>
      </c>
      <c r="DO219" s="5">
        <v>0</v>
      </c>
      <c r="DP219" s="5">
        <v>0</v>
      </c>
      <c r="DQ219" s="5">
        <v>0</v>
      </c>
      <c r="DR219" s="5">
        <f t="shared" si="796"/>
        <v>0.9</v>
      </c>
      <c r="DS219" s="6">
        <v>1</v>
      </c>
      <c r="DT219" s="8">
        <f t="shared" ref="DT219:DU219" si="804">DT198</f>
        <v>-0.5</v>
      </c>
      <c r="DU219" s="8">
        <f t="shared" si="804"/>
        <v>0.5</v>
      </c>
      <c r="DV219" s="6">
        <v>0.2</v>
      </c>
      <c r="DW219" s="5">
        <f t="shared" si="722"/>
        <v>8.3333333333333329E-2</v>
      </c>
      <c r="DX219" s="5">
        <v>1</v>
      </c>
      <c r="DY219" s="5">
        <f t="shared" si="798"/>
        <v>0.25</v>
      </c>
      <c r="DZ219" s="5">
        <v>3</v>
      </c>
      <c r="EA219" s="5"/>
    </row>
    <row r="220" spans="1:131" x14ac:dyDescent="0.15">
      <c r="A220" s="5">
        <v>201218</v>
      </c>
      <c r="B220" s="5" t="s">
        <v>447</v>
      </c>
      <c r="C220" s="5"/>
      <c r="D220" s="5"/>
      <c r="E220" s="5"/>
      <c r="F220" s="5">
        <v>0</v>
      </c>
      <c r="G220" s="45"/>
      <c r="H220" s="5"/>
      <c r="I220" s="5"/>
      <c r="J220" s="5"/>
      <c r="K220" s="5"/>
      <c r="L220" s="10"/>
      <c r="M220" s="5"/>
      <c r="N220" s="10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20"/>
      <c r="AF220" s="5"/>
      <c r="AG220" s="5"/>
      <c r="AH220" s="5"/>
      <c r="AI220" s="5"/>
      <c r="AJ220" s="5"/>
      <c r="AK220" s="5"/>
      <c r="AL220" s="5"/>
      <c r="AM220" s="5"/>
      <c r="AN220" s="8"/>
      <c r="AO220" s="5">
        <v>0</v>
      </c>
      <c r="AP220" s="5" t="s">
        <v>447</v>
      </c>
      <c r="AQ220" s="5">
        <v>0</v>
      </c>
      <c r="AR220" s="8">
        <v>1</v>
      </c>
      <c r="AS220" s="6">
        <f t="shared" si="733"/>
        <v>24</v>
      </c>
      <c r="AT220" s="6">
        <f t="shared" si="734"/>
        <v>48</v>
      </c>
      <c r="AU220" s="5">
        <v>0.2</v>
      </c>
      <c r="AV220" s="5">
        <v>1</v>
      </c>
      <c r="AW220" s="5">
        <v>0</v>
      </c>
      <c r="AX220" s="5">
        <v>0</v>
      </c>
      <c r="AY220" s="5">
        <v>1</v>
      </c>
      <c r="AZ220" s="5">
        <v>81</v>
      </c>
      <c r="BA220" s="5">
        <v>203022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f t="shared" si="794"/>
        <v>0</v>
      </c>
      <c r="BM220" s="5">
        <v>0</v>
      </c>
      <c r="BN220" s="5">
        <v>0</v>
      </c>
      <c r="BO220" s="5">
        <v>0</v>
      </c>
      <c r="BP220" s="5">
        <v>0</v>
      </c>
      <c r="BQ220" s="5"/>
      <c r="BR220" s="5"/>
      <c r="BS220" s="4">
        <v>0</v>
      </c>
      <c r="BT220" s="4">
        <v>8</v>
      </c>
      <c r="BU220" s="17">
        <v>0</v>
      </c>
      <c r="BV220" s="4">
        <f t="shared" si="736"/>
        <v>8</v>
      </c>
      <c r="BW220" s="4">
        <f t="shared" si="737"/>
        <v>8</v>
      </c>
      <c r="BX220" s="4">
        <f t="shared" si="738"/>
        <v>0.35999999999999993</v>
      </c>
      <c r="BY220" s="4">
        <f t="shared" si="739"/>
        <v>0.2</v>
      </c>
      <c r="BZ220" s="5" t="s">
        <v>440</v>
      </c>
      <c r="CA220" s="5" t="s">
        <v>441</v>
      </c>
      <c r="CB220" s="5" t="s">
        <v>441</v>
      </c>
      <c r="CC220" s="5">
        <v>0</v>
      </c>
      <c r="CD220" s="8">
        <v>1</v>
      </c>
      <c r="CE220" s="5">
        <v>0</v>
      </c>
      <c r="CF220" s="5">
        <v>0</v>
      </c>
      <c r="CG220" s="5" t="s">
        <v>447</v>
      </c>
      <c r="CH220" s="5">
        <v>3</v>
      </c>
      <c r="CI220" s="5">
        <v>0</v>
      </c>
      <c r="CJ220" s="4">
        <v>1</v>
      </c>
      <c r="CK220" s="20">
        <v>0</v>
      </c>
      <c r="CL220" s="5">
        <v>0</v>
      </c>
      <c r="CM220" s="20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10">
        <v>0.8</v>
      </c>
      <c r="CW220" s="10">
        <v>0.6</v>
      </c>
      <c r="CX220" s="10">
        <v>1</v>
      </c>
      <c r="CY220" s="10">
        <v>1</v>
      </c>
      <c r="CZ220" s="22">
        <v>0.2</v>
      </c>
      <c r="DA220" s="6">
        <f t="shared" si="728"/>
        <v>40</v>
      </c>
      <c r="DB220" s="5">
        <v>1</v>
      </c>
      <c r="DC220" s="5">
        <f t="shared" si="742"/>
        <v>0.67500000000000004</v>
      </c>
      <c r="DD220" s="6">
        <f t="shared" si="729"/>
        <v>0.67500000000000004</v>
      </c>
      <c r="DE220" s="6">
        <v>1</v>
      </c>
      <c r="DF220" s="5">
        <v>0</v>
      </c>
      <c r="DG220" s="6">
        <v>6</v>
      </c>
      <c r="DH220" s="5">
        <v>1</v>
      </c>
      <c r="DI220" s="8">
        <v>0</v>
      </c>
      <c r="DJ220" s="5">
        <v>0</v>
      </c>
      <c r="DK220" s="8">
        <v>0</v>
      </c>
      <c r="DL220" s="5">
        <f t="shared" si="731"/>
        <v>0</v>
      </c>
      <c r="DM220" s="5" t="str">
        <f t="shared" si="795"/>
        <v>8级蝙蝠</v>
      </c>
      <c r="DN220" s="5">
        <v>10</v>
      </c>
      <c r="DO220" s="5">
        <v>0</v>
      </c>
      <c r="DP220" s="5">
        <v>0</v>
      </c>
      <c r="DQ220" s="5">
        <v>0</v>
      </c>
      <c r="DR220" s="5">
        <f t="shared" si="796"/>
        <v>0.9</v>
      </c>
      <c r="DS220" s="6">
        <v>1</v>
      </c>
      <c r="DT220" s="8">
        <f t="shared" ref="DT220:DU220" si="805">DT199</f>
        <v>-0.5</v>
      </c>
      <c r="DU220" s="8">
        <f t="shared" si="805"/>
        <v>0.5</v>
      </c>
      <c r="DV220" s="6">
        <v>0.2</v>
      </c>
      <c r="DW220" s="5">
        <f t="shared" si="722"/>
        <v>8.3333333333333329E-2</v>
      </c>
      <c r="DX220" s="5">
        <v>1</v>
      </c>
      <c r="DY220" s="5">
        <f t="shared" si="798"/>
        <v>0.25</v>
      </c>
      <c r="DZ220" s="5">
        <v>3</v>
      </c>
      <c r="EA220" s="5"/>
    </row>
    <row r="221" spans="1:131" x14ac:dyDescent="0.15">
      <c r="A221" s="5">
        <v>201219</v>
      </c>
      <c r="B221" s="5" t="s">
        <v>448</v>
      </c>
      <c r="C221" s="5"/>
      <c r="D221" s="5"/>
      <c r="E221" s="5"/>
      <c r="F221" s="5">
        <v>0</v>
      </c>
      <c r="G221" s="45"/>
      <c r="H221" s="5"/>
      <c r="I221" s="5"/>
      <c r="J221" s="5"/>
      <c r="K221" s="5"/>
      <c r="L221" s="10"/>
      <c r="M221" s="5"/>
      <c r="N221" s="10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20"/>
      <c r="AF221" s="5"/>
      <c r="AG221" s="5"/>
      <c r="AH221" s="5"/>
      <c r="AI221" s="5"/>
      <c r="AJ221" s="5"/>
      <c r="AK221" s="5"/>
      <c r="AL221" s="5"/>
      <c r="AM221" s="5"/>
      <c r="AN221" s="8"/>
      <c r="AO221" s="5">
        <v>0</v>
      </c>
      <c r="AP221" s="5" t="s">
        <v>448</v>
      </c>
      <c r="AQ221" s="5">
        <v>0</v>
      </c>
      <c r="AR221" s="8">
        <v>1</v>
      </c>
      <c r="AS221" s="6">
        <f t="shared" si="733"/>
        <v>27</v>
      </c>
      <c r="AT221" s="6">
        <f t="shared" si="734"/>
        <v>54</v>
      </c>
      <c r="AU221" s="5">
        <v>0.2</v>
      </c>
      <c r="AV221" s="5">
        <v>1</v>
      </c>
      <c r="AW221" s="5">
        <v>0</v>
      </c>
      <c r="AX221" s="5">
        <v>0</v>
      </c>
      <c r="AY221" s="5">
        <v>1</v>
      </c>
      <c r="AZ221" s="5">
        <v>91</v>
      </c>
      <c r="BA221" s="5">
        <v>203022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f t="shared" si="794"/>
        <v>0</v>
      </c>
      <c r="BM221" s="5">
        <v>0</v>
      </c>
      <c r="BN221" s="5">
        <v>0</v>
      </c>
      <c r="BO221" s="5">
        <v>0</v>
      </c>
      <c r="BP221" s="5">
        <v>0</v>
      </c>
      <c r="BQ221" s="5"/>
      <c r="BR221" s="5"/>
      <c r="BS221" s="4">
        <v>0</v>
      </c>
      <c r="BT221" s="4">
        <v>9</v>
      </c>
      <c r="BU221" s="17">
        <v>0</v>
      </c>
      <c r="BV221" s="4">
        <f t="shared" si="736"/>
        <v>9</v>
      </c>
      <c r="BW221" s="4">
        <f t="shared" si="737"/>
        <v>9</v>
      </c>
      <c r="BX221" s="4">
        <f t="shared" si="738"/>
        <v>0.28999999999999992</v>
      </c>
      <c r="BY221" s="4">
        <f t="shared" si="739"/>
        <v>0.15000000000000002</v>
      </c>
      <c r="BZ221" s="5" t="s">
        <v>437</v>
      </c>
      <c r="CA221" s="5" t="s">
        <v>438</v>
      </c>
      <c r="CB221" s="5" t="s">
        <v>438</v>
      </c>
      <c r="CC221" s="5">
        <v>0</v>
      </c>
      <c r="CD221" s="8">
        <v>1</v>
      </c>
      <c r="CE221" s="5">
        <v>0</v>
      </c>
      <c r="CF221" s="5">
        <v>0</v>
      </c>
      <c r="CG221" s="5" t="s">
        <v>448</v>
      </c>
      <c r="CH221" s="5">
        <v>3</v>
      </c>
      <c r="CI221" s="5">
        <v>0</v>
      </c>
      <c r="CJ221" s="4">
        <v>0</v>
      </c>
      <c r="CK221" s="20">
        <v>0</v>
      </c>
      <c r="CL221" s="5">
        <v>0</v>
      </c>
      <c r="CM221" s="20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10">
        <v>0.8</v>
      </c>
      <c r="CW221" s="10">
        <v>0.6</v>
      </c>
      <c r="CX221" s="10">
        <v>1</v>
      </c>
      <c r="CY221" s="10">
        <v>1</v>
      </c>
      <c r="CZ221" s="22">
        <v>0.2</v>
      </c>
      <c r="DA221" s="6">
        <f t="shared" si="728"/>
        <v>45</v>
      </c>
      <c r="DB221" s="5">
        <v>1</v>
      </c>
      <c r="DC221" s="5">
        <f t="shared" si="742"/>
        <v>0.7</v>
      </c>
      <c r="DD221" s="6">
        <f t="shared" si="729"/>
        <v>0.7</v>
      </c>
      <c r="DE221" s="6">
        <v>1</v>
      </c>
      <c r="DF221" s="5">
        <v>0</v>
      </c>
      <c r="DG221" s="6">
        <v>6</v>
      </c>
      <c r="DH221" s="5">
        <v>1</v>
      </c>
      <c r="DI221" s="8">
        <v>0</v>
      </c>
      <c r="DJ221" s="5">
        <v>0</v>
      </c>
      <c r="DK221" s="8">
        <v>0</v>
      </c>
      <c r="DL221" s="5">
        <f t="shared" si="731"/>
        <v>0</v>
      </c>
      <c r="DM221" s="5" t="str">
        <f t="shared" si="795"/>
        <v>9级蝙蝠</v>
      </c>
      <c r="DN221" s="5">
        <v>10</v>
      </c>
      <c r="DO221" s="5">
        <v>0</v>
      </c>
      <c r="DP221" s="5">
        <v>0</v>
      </c>
      <c r="DQ221" s="5">
        <v>0</v>
      </c>
      <c r="DR221" s="5">
        <f t="shared" si="796"/>
        <v>0.9</v>
      </c>
      <c r="DS221" s="6">
        <v>1</v>
      </c>
      <c r="DT221" s="8">
        <f t="shared" ref="DT221:DU221" si="806">DT200</f>
        <v>-2</v>
      </c>
      <c r="DU221" s="8">
        <f t="shared" si="806"/>
        <v>2</v>
      </c>
      <c r="DV221" s="6">
        <v>0.2</v>
      </c>
      <c r="DW221" s="5">
        <f t="shared" si="722"/>
        <v>8.3333333333333329E-2</v>
      </c>
      <c r="DX221" s="5">
        <v>1</v>
      </c>
      <c r="DY221" s="5">
        <f t="shared" si="798"/>
        <v>0.25</v>
      </c>
      <c r="DZ221" s="5">
        <v>3</v>
      </c>
      <c r="EA221" s="5"/>
    </row>
    <row r="222" spans="1:131" x14ac:dyDescent="0.15">
      <c r="A222" s="5">
        <v>201220</v>
      </c>
      <c r="B222" s="5" t="s">
        <v>449</v>
      </c>
      <c r="C222" s="5"/>
      <c r="D222" s="5"/>
      <c r="E222" s="5"/>
      <c r="F222" s="5">
        <v>0</v>
      </c>
      <c r="G222" s="45"/>
      <c r="H222" s="5"/>
      <c r="I222" s="5"/>
      <c r="J222" s="5"/>
      <c r="K222" s="5"/>
      <c r="L222" s="10"/>
      <c r="M222" s="5"/>
      <c r="N222" s="10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20"/>
      <c r="AF222" s="5"/>
      <c r="AG222" s="5"/>
      <c r="AH222" s="5"/>
      <c r="AI222" s="5"/>
      <c r="AJ222" s="5"/>
      <c r="AK222" s="5"/>
      <c r="AL222" s="5"/>
      <c r="AM222" s="5"/>
      <c r="AN222" s="8"/>
      <c r="AO222" s="5">
        <v>0</v>
      </c>
      <c r="AP222" s="5" t="s">
        <v>449</v>
      </c>
      <c r="AQ222" s="5">
        <v>0</v>
      </c>
      <c r="AR222" s="8">
        <v>1</v>
      </c>
      <c r="AS222" s="6">
        <f t="shared" si="733"/>
        <v>30</v>
      </c>
      <c r="AT222" s="6">
        <f t="shared" si="734"/>
        <v>60</v>
      </c>
      <c r="AU222" s="5">
        <v>0.2</v>
      </c>
      <c r="AV222" s="5">
        <v>1</v>
      </c>
      <c r="AW222" s="5">
        <v>0</v>
      </c>
      <c r="AX222" s="5">
        <v>0</v>
      </c>
      <c r="AY222" s="5">
        <v>1</v>
      </c>
      <c r="AZ222" s="5">
        <v>101</v>
      </c>
      <c r="BA222" s="5">
        <v>203022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f t="shared" si="794"/>
        <v>1</v>
      </c>
      <c r="BM222" s="5">
        <v>0</v>
      </c>
      <c r="BN222" s="5">
        <v>0</v>
      </c>
      <c r="BO222" s="5">
        <v>0</v>
      </c>
      <c r="BP222" s="5">
        <v>0</v>
      </c>
      <c r="BQ222" s="5"/>
      <c r="BR222" s="5"/>
      <c r="BS222" s="4">
        <v>0</v>
      </c>
      <c r="BT222" s="4">
        <v>10</v>
      </c>
      <c r="BU222" s="17">
        <v>0</v>
      </c>
      <c r="BV222" s="4">
        <f t="shared" si="736"/>
        <v>10</v>
      </c>
      <c r="BW222" s="4">
        <f t="shared" si="737"/>
        <v>10</v>
      </c>
      <c r="BX222" s="4">
        <f t="shared" si="738"/>
        <v>0.21999999999999986</v>
      </c>
      <c r="BY222" s="4">
        <f t="shared" si="739"/>
        <v>0.10000000000000003</v>
      </c>
      <c r="BZ222" s="5" t="s">
        <v>440</v>
      </c>
      <c r="CA222" s="5" t="s">
        <v>441</v>
      </c>
      <c r="CB222" s="5" t="s">
        <v>441</v>
      </c>
      <c r="CC222" s="5">
        <v>0</v>
      </c>
      <c r="CD222" s="8">
        <v>1</v>
      </c>
      <c r="CE222" s="5">
        <v>0</v>
      </c>
      <c r="CF222" s="5">
        <v>0</v>
      </c>
      <c r="CG222" s="5" t="s">
        <v>449</v>
      </c>
      <c r="CH222" s="5">
        <v>3</v>
      </c>
      <c r="CI222" s="5">
        <v>0</v>
      </c>
      <c r="CJ222" s="4">
        <v>1</v>
      </c>
      <c r="CK222" s="20">
        <v>0</v>
      </c>
      <c r="CL222" s="5">
        <v>0</v>
      </c>
      <c r="CM222" s="20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10">
        <v>0.8</v>
      </c>
      <c r="CW222" s="10">
        <v>0.6</v>
      </c>
      <c r="CX222" s="10">
        <v>1</v>
      </c>
      <c r="CY222" s="10">
        <v>1</v>
      </c>
      <c r="CZ222" s="22">
        <v>0.2</v>
      </c>
      <c r="DA222" s="6">
        <f t="shared" si="728"/>
        <v>50</v>
      </c>
      <c r="DB222" s="5">
        <v>1</v>
      </c>
      <c r="DC222" s="5">
        <f t="shared" si="742"/>
        <v>0.87</v>
      </c>
      <c r="DD222" s="6">
        <f t="shared" si="729"/>
        <v>0.87</v>
      </c>
      <c r="DE222" s="6">
        <v>1.2</v>
      </c>
      <c r="DF222" s="5">
        <v>0</v>
      </c>
      <c r="DG222" s="6">
        <v>6</v>
      </c>
      <c r="DH222" s="5">
        <v>1</v>
      </c>
      <c r="DI222" s="8">
        <v>0</v>
      </c>
      <c r="DJ222" s="5">
        <v>0</v>
      </c>
      <c r="DK222" s="8">
        <v>0</v>
      </c>
      <c r="DL222" s="5">
        <f t="shared" si="731"/>
        <v>0</v>
      </c>
      <c r="DM222" s="5" t="str">
        <f t="shared" si="795"/>
        <v>10级蝙蝠</v>
      </c>
      <c r="DN222" s="5">
        <v>10</v>
      </c>
      <c r="DO222" s="5">
        <v>0</v>
      </c>
      <c r="DP222" s="5">
        <v>0</v>
      </c>
      <c r="DQ222" s="5">
        <v>0</v>
      </c>
      <c r="DR222" s="5">
        <f t="shared" si="796"/>
        <v>0.9</v>
      </c>
      <c r="DS222" s="6">
        <v>1</v>
      </c>
      <c r="DT222" s="8">
        <f t="shared" ref="DT222:DU222" si="807">DT201</f>
        <v>-0.5</v>
      </c>
      <c r="DU222" s="8">
        <f t="shared" si="807"/>
        <v>0.5</v>
      </c>
      <c r="DV222" s="6">
        <v>0.2</v>
      </c>
      <c r="DW222" s="5">
        <f t="shared" si="722"/>
        <v>8.3333333333333329E-2</v>
      </c>
      <c r="DX222" s="5">
        <v>1</v>
      </c>
      <c r="DY222" s="5">
        <f t="shared" si="798"/>
        <v>0.25</v>
      </c>
      <c r="DZ222" s="5">
        <v>3</v>
      </c>
      <c r="EA222" s="5"/>
    </row>
    <row r="223" spans="1:131" x14ac:dyDescent="0.15">
      <c r="A223" s="5">
        <v>201221</v>
      </c>
      <c r="B223" s="5" t="s">
        <v>450</v>
      </c>
      <c r="C223" s="5"/>
      <c r="D223" s="5"/>
      <c r="E223" s="5"/>
      <c r="F223" s="5">
        <v>1</v>
      </c>
      <c r="G223" s="45"/>
      <c r="H223" s="5"/>
      <c r="I223" s="5"/>
      <c r="J223" s="5"/>
      <c r="K223" s="5"/>
      <c r="L223" s="10"/>
      <c r="M223" s="5"/>
      <c r="N223" s="10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20"/>
      <c r="AF223" s="5"/>
      <c r="AG223" s="5"/>
      <c r="AH223" s="5"/>
      <c r="AI223" s="5"/>
      <c r="AJ223" s="5"/>
      <c r="AK223" s="5"/>
      <c r="AL223" s="5"/>
      <c r="AM223" s="5"/>
      <c r="AN223" s="8"/>
      <c r="AO223" s="5">
        <v>0</v>
      </c>
      <c r="AP223" s="5" t="s">
        <v>450</v>
      </c>
      <c r="AQ223" s="5">
        <v>0</v>
      </c>
      <c r="AR223" s="8">
        <v>10</v>
      </c>
      <c r="AS223" s="6">
        <f t="shared" si="733"/>
        <v>30</v>
      </c>
      <c r="AT223" s="6">
        <f t="shared" si="734"/>
        <v>33</v>
      </c>
      <c r="AU223" s="5">
        <v>0</v>
      </c>
      <c r="AV223" s="5">
        <v>0</v>
      </c>
      <c r="AW223" s="5">
        <v>0</v>
      </c>
      <c r="AX223" s="5">
        <v>1</v>
      </c>
      <c r="AY223" s="5">
        <v>0</v>
      </c>
      <c r="AZ223" s="23">
        <v>201221</v>
      </c>
      <c r="BA223" s="5">
        <f>BA213+1</f>
        <v>203023</v>
      </c>
      <c r="BB223" s="5">
        <v>10</v>
      </c>
      <c r="BC223" s="5">
        <v>903916</v>
      </c>
      <c r="BD223" s="5">
        <v>1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f t="shared" si="794"/>
        <v>1</v>
      </c>
      <c r="BM223" s="5">
        <v>0</v>
      </c>
      <c r="BN223" s="5">
        <v>0</v>
      </c>
      <c r="BO223" s="5">
        <v>0</v>
      </c>
      <c r="BP223" s="5">
        <v>0</v>
      </c>
      <c r="BQ223" s="5"/>
      <c r="BR223" s="5"/>
      <c r="BS223" s="4">
        <v>0</v>
      </c>
      <c r="BT223" s="4">
        <f>BT213</f>
        <v>1</v>
      </c>
      <c r="BU223" s="17">
        <v>0</v>
      </c>
      <c r="BV223" s="4">
        <f>BV213</f>
        <v>1</v>
      </c>
      <c r="BW223" s="4">
        <f>BW213</f>
        <v>1</v>
      </c>
      <c r="BX223" s="4">
        <f>BX213</f>
        <v>0.85</v>
      </c>
      <c r="BY223" s="4">
        <f>BY213</f>
        <v>0.55000000000000004</v>
      </c>
      <c r="BZ223" s="5" t="s">
        <v>451</v>
      </c>
      <c r="CA223" s="4" t="str">
        <f>BZ223</f>
        <v>monster23</v>
      </c>
      <c r="CB223" s="4" t="str">
        <f>CA223</f>
        <v>monster23</v>
      </c>
      <c r="CC223" s="5">
        <v>1</v>
      </c>
      <c r="CD223" s="8">
        <v>1</v>
      </c>
      <c r="CE223" s="5">
        <f>CF223*BT223</f>
        <v>1</v>
      </c>
      <c r="CF223" s="5">
        <v>1</v>
      </c>
      <c r="CG223" s="5" t="s">
        <v>450</v>
      </c>
      <c r="CH223" s="5">
        <v>0</v>
      </c>
      <c r="CI223" s="5">
        <v>0</v>
      </c>
      <c r="CJ223" s="4">
        <v>0</v>
      </c>
      <c r="CK223" s="20">
        <v>0</v>
      </c>
      <c r="CL223" s="5">
        <v>0</v>
      </c>
      <c r="CM223" s="20">
        <v>114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20">
        <v>2.5</v>
      </c>
      <c r="CW223" s="20">
        <v>3</v>
      </c>
      <c r="CX223" s="20">
        <v>2.5</v>
      </c>
      <c r="CY223" s="20">
        <v>3.5</v>
      </c>
      <c r="CZ223" s="8">
        <v>100</v>
      </c>
      <c r="DA223" s="6">
        <f t="shared" si="728"/>
        <v>2500</v>
      </c>
      <c r="DB223" s="5">
        <v>0</v>
      </c>
      <c r="DC223" s="5">
        <f t="shared" si="742"/>
        <v>0.5</v>
      </c>
      <c r="DD223" s="6">
        <f t="shared" si="729"/>
        <v>0.5</v>
      </c>
      <c r="DE223" s="6">
        <v>1</v>
      </c>
      <c r="DF223" s="5">
        <v>0</v>
      </c>
      <c r="DG223" s="6">
        <v>2.5</v>
      </c>
      <c r="DH223" s="5">
        <v>0</v>
      </c>
      <c r="DI223" s="8">
        <v>0</v>
      </c>
      <c r="DJ223" s="5">
        <v>0</v>
      </c>
      <c r="DK223" s="8">
        <v>0</v>
      </c>
      <c r="DL223" s="5">
        <f t="shared" si="731"/>
        <v>0</v>
      </c>
      <c r="DM223" s="5" t="str">
        <f t="shared" si="795"/>
        <v>1级钢铁泰坦</v>
      </c>
      <c r="DN223" s="5">
        <v>6</v>
      </c>
      <c r="DO223" s="5">
        <v>0</v>
      </c>
      <c r="DP223" s="5">
        <v>1</v>
      </c>
      <c r="DQ223" s="5">
        <v>1</v>
      </c>
      <c r="DR223" s="5">
        <v>2.5</v>
      </c>
      <c r="DS223" s="6">
        <v>3.5</v>
      </c>
      <c r="DT223" s="5">
        <v>-0.6</v>
      </c>
      <c r="DU223" s="5">
        <v>0.5</v>
      </c>
      <c r="DV223" s="6">
        <v>0.5</v>
      </c>
      <c r="DW223" s="5">
        <f t="shared" ref="DW223" si="808">DX223/12</f>
        <v>0.41666666666666669</v>
      </c>
      <c r="DX223" s="5">
        <v>5</v>
      </c>
      <c r="DY223" s="5">
        <f t="shared" si="798"/>
        <v>0</v>
      </c>
      <c r="DZ223" s="5">
        <v>0</v>
      </c>
    </row>
    <row r="224" spans="1:131" x14ac:dyDescent="0.15">
      <c r="A224" s="5">
        <v>201222</v>
      </c>
      <c r="B224" s="5" t="s">
        <v>452</v>
      </c>
      <c r="C224" s="5"/>
      <c r="D224" s="5"/>
      <c r="E224" s="5"/>
      <c r="F224" s="5">
        <v>1</v>
      </c>
      <c r="G224" s="45"/>
      <c r="H224" s="5"/>
      <c r="I224" s="5"/>
      <c r="J224" s="5"/>
      <c r="K224" s="5"/>
      <c r="L224" s="10"/>
      <c r="M224" s="5"/>
      <c r="N224" s="10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20"/>
      <c r="AF224" s="5"/>
      <c r="AG224" s="5"/>
      <c r="AH224" s="5"/>
      <c r="AI224" s="5"/>
      <c r="AJ224" s="5"/>
      <c r="AK224" s="5"/>
      <c r="AL224" s="5"/>
      <c r="AM224" s="5"/>
      <c r="AN224" s="8"/>
      <c r="AO224" s="5">
        <v>0</v>
      </c>
      <c r="AP224" s="5" t="s">
        <v>452</v>
      </c>
      <c r="AQ224" s="5">
        <v>0</v>
      </c>
      <c r="AR224" s="8">
        <v>10</v>
      </c>
      <c r="AS224" s="6">
        <f t="shared" si="733"/>
        <v>60</v>
      </c>
      <c r="AT224" s="6">
        <f t="shared" si="734"/>
        <v>66</v>
      </c>
      <c r="AU224" s="5">
        <v>0</v>
      </c>
      <c r="AV224" s="5">
        <v>0</v>
      </c>
      <c r="AW224" s="5">
        <v>0</v>
      </c>
      <c r="AX224" s="5">
        <v>1</v>
      </c>
      <c r="AY224" s="5">
        <v>0</v>
      </c>
      <c r="AZ224" s="23">
        <v>201222</v>
      </c>
      <c r="BA224" s="5">
        <f t="shared" ref="BA224:BA287" si="809">BA214+1</f>
        <v>203023</v>
      </c>
      <c r="BB224" s="5">
        <v>10</v>
      </c>
      <c r="BC224" s="5">
        <v>903916</v>
      </c>
      <c r="BD224" s="5">
        <v>1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f t="shared" si="794"/>
        <v>0</v>
      </c>
      <c r="BM224" s="5">
        <v>0</v>
      </c>
      <c r="BN224" s="5">
        <v>0</v>
      </c>
      <c r="BO224" s="5">
        <v>0</v>
      </c>
      <c r="BP224" s="5">
        <v>0</v>
      </c>
      <c r="BQ224" s="5"/>
      <c r="BR224" s="5"/>
      <c r="BS224" s="4">
        <v>0</v>
      </c>
      <c r="BT224" s="4">
        <f t="shared" ref="BT224:BT287" si="810">BT214</f>
        <v>2</v>
      </c>
      <c r="BU224" s="17">
        <v>0</v>
      </c>
      <c r="BV224" s="4">
        <f t="shared" ref="BV224:BY224" si="811">BV214</f>
        <v>2</v>
      </c>
      <c r="BW224" s="4">
        <f t="shared" si="811"/>
        <v>2</v>
      </c>
      <c r="BX224" s="4">
        <f t="shared" si="811"/>
        <v>0.78</v>
      </c>
      <c r="BY224" s="4">
        <f t="shared" si="811"/>
        <v>0.5</v>
      </c>
      <c r="BZ224" s="5" t="s">
        <v>453</v>
      </c>
      <c r="CA224" s="4" t="str">
        <f t="shared" ref="CA224:CB287" si="812">BZ224</f>
        <v>monster23_1</v>
      </c>
      <c r="CB224" s="4" t="str">
        <f t="shared" si="812"/>
        <v>monster23_1</v>
      </c>
      <c r="CC224" s="5">
        <v>1</v>
      </c>
      <c r="CD224" s="8">
        <v>1</v>
      </c>
      <c r="CE224" s="5">
        <f t="shared" ref="CE224:CE232" si="813">CF224*BT224</f>
        <v>2</v>
      </c>
      <c r="CF224" s="5">
        <v>1</v>
      </c>
      <c r="CG224" s="5" t="s">
        <v>452</v>
      </c>
      <c r="CH224" s="5">
        <v>0</v>
      </c>
      <c r="CI224" s="5">
        <v>0</v>
      </c>
      <c r="CJ224" s="4">
        <v>1</v>
      </c>
      <c r="CK224" s="20">
        <v>0</v>
      </c>
      <c r="CL224" s="5">
        <v>0</v>
      </c>
      <c r="CM224" s="20">
        <v>114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20">
        <v>2.5</v>
      </c>
      <c r="CW224" s="20">
        <v>3</v>
      </c>
      <c r="CX224" s="20">
        <v>2.5</v>
      </c>
      <c r="CY224" s="20">
        <v>3.5</v>
      </c>
      <c r="CZ224" s="8">
        <v>100</v>
      </c>
      <c r="DA224" s="6">
        <f t="shared" si="728"/>
        <v>5000</v>
      </c>
      <c r="DB224" s="5">
        <v>0</v>
      </c>
      <c r="DC224" s="5">
        <f t="shared" si="742"/>
        <v>0.52500000000000002</v>
      </c>
      <c r="DD224" s="6">
        <f t="shared" si="729"/>
        <v>0.52500000000000002</v>
      </c>
      <c r="DE224" s="6">
        <v>1</v>
      </c>
      <c r="DF224" s="5">
        <v>0</v>
      </c>
      <c r="DG224" s="6">
        <v>2.5</v>
      </c>
      <c r="DH224" s="5">
        <v>0</v>
      </c>
      <c r="DI224" s="8">
        <v>0</v>
      </c>
      <c r="DJ224" s="5">
        <v>0</v>
      </c>
      <c r="DK224" s="8">
        <v>0</v>
      </c>
      <c r="DL224" s="5">
        <f t="shared" si="731"/>
        <v>0</v>
      </c>
      <c r="DM224" s="5" t="str">
        <f t="shared" si="795"/>
        <v>2级钢铁泰坦</v>
      </c>
      <c r="DN224" s="5">
        <v>6</v>
      </c>
      <c r="DO224" s="5">
        <v>0</v>
      </c>
      <c r="DP224" s="5">
        <v>1</v>
      </c>
      <c r="DQ224" s="5">
        <v>1</v>
      </c>
      <c r="DR224" s="5">
        <v>2.5</v>
      </c>
      <c r="DS224" s="6">
        <v>3.5</v>
      </c>
      <c r="DT224" s="5">
        <v>-0.6</v>
      </c>
      <c r="DU224" s="5">
        <v>0.5</v>
      </c>
      <c r="DV224" s="6">
        <v>0.5</v>
      </c>
      <c r="DW224" s="5">
        <f t="shared" ref="DW224:DW287" si="814">DX224/12</f>
        <v>0.41666666666666669</v>
      </c>
      <c r="DX224" s="5">
        <v>5</v>
      </c>
      <c r="DY224" s="5">
        <f t="shared" ref="DY224:DY287" si="815">DZ224/12</f>
        <v>0</v>
      </c>
      <c r="DZ224" s="5">
        <v>0</v>
      </c>
    </row>
    <row r="225" spans="1:130" x14ac:dyDescent="0.15">
      <c r="A225" s="5">
        <v>201223</v>
      </c>
      <c r="B225" s="5" t="s">
        <v>454</v>
      </c>
      <c r="C225" s="5"/>
      <c r="D225" s="5"/>
      <c r="E225" s="5"/>
      <c r="F225" s="5">
        <v>1</v>
      </c>
      <c r="G225" s="45"/>
      <c r="H225" s="5"/>
      <c r="I225" s="5"/>
      <c r="J225" s="5"/>
      <c r="K225" s="5"/>
      <c r="L225" s="10"/>
      <c r="M225" s="5"/>
      <c r="N225" s="10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20"/>
      <c r="AF225" s="5"/>
      <c r="AG225" s="5"/>
      <c r="AH225" s="5"/>
      <c r="AI225" s="5"/>
      <c r="AJ225" s="5"/>
      <c r="AK225" s="5"/>
      <c r="AL225" s="5"/>
      <c r="AM225" s="5"/>
      <c r="AN225" s="8"/>
      <c r="AO225" s="5">
        <v>0</v>
      </c>
      <c r="AP225" s="5" t="s">
        <v>454</v>
      </c>
      <c r="AQ225" s="5">
        <v>0</v>
      </c>
      <c r="AR225" s="8">
        <v>10</v>
      </c>
      <c r="AS225" s="6">
        <f t="shared" si="733"/>
        <v>90</v>
      </c>
      <c r="AT225" s="6">
        <f t="shared" si="734"/>
        <v>99</v>
      </c>
      <c r="AU225" s="5">
        <v>0</v>
      </c>
      <c r="AV225" s="5">
        <v>0</v>
      </c>
      <c r="AW225" s="5">
        <v>0</v>
      </c>
      <c r="AX225" s="5">
        <v>1</v>
      </c>
      <c r="AY225" s="5">
        <v>0</v>
      </c>
      <c r="AZ225" s="23">
        <v>201223</v>
      </c>
      <c r="BA225" s="5">
        <f t="shared" si="809"/>
        <v>203023</v>
      </c>
      <c r="BB225" s="5">
        <v>10</v>
      </c>
      <c r="BC225" s="5">
        <v>903916</v>
      </c>
      <c r="BD225" s="5">
        <v>1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f t="shared" si="794"/>
        <v>0</v>
      </c>
      <c r="BM225" s="5">
        <v>0</v>
      </c>
      <c r="BN225" s="5">
        <v>0</v>
      </c>
      <c r="BO225" s="5">
        <v>0</v>
      </c>
      <c r="BP225" s="5">
        <v>0</v>
      </c>
      <c r="BQ225" s="5"/>
      <c r="BR225" s="5"/>
      <c r="BS225" s="4">
        <v>0</v>
      </c>
      <c r="BT225" s="4">
        <f t="shared" si="810"/>
        <v>3</v>
      </c>
      <c r="BU225" s="17">
        <v>0</v>
      </c>
      <c r="BV225" s="4">
        <f t="shared" ref="BV225:BY225" si="816">BV215</f>
        <v>3</v>
      </c>
      <c r="BW225" s="4">
        <f t="shared" si="816"/>
        <v>3</v>
      </c>
      <c r="BX225" s="4">
        <f t="shared" si="816"/>
        <v>0.71</v>
      </c>
      <c r="BY225" s="4">
        <f t="shared" si="816"/>
        <v>0.45000000000000007</v>
      </c>
      <c r="BZ225" s="5" t="s">
        <v>451</v>
      </c>
      <c r="CA225" s="4" t="str">
        <f t="shared" si="812"/>
        <v>monster23</v>
      </c>
      <c r="CB225" s="4" t="str">
        <f t="shared" si="812"/>
        <v>monster23</v>
      </c>
      <c r="CC225" s="5">
        <v>1</v>
      </c>
      <c r="CD225" s="8">
        <v>1</v>
      </c>
      <c r="CE225" s="5">
        <f t="shared" si="813"/>
        <v>3</v>
      </c>
      <c r="CF225" s="5">
        <v>1</v>
      </c>
      <c r="CG225" s="5" t="s">
        <v>454</v>
      </c>
      <c r="CH225" s="5">
        <v>0</v>
      </c>
      <c r="CI225" s="5">
        <v>0</v>
      </c>
      <c r="CJ225" s="4">
        <v>0</v>
      </c>
      <c r="CK225" s="20">
        <v>0</v>
      </c>
      <c r="CL225" s="5">
        <v>0</v>
      </c>
      <c r="CM225" s="20">
        <v>114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20">
        <v>2.5</v>
      </c>
      <c r="CW225" s="20">
        <v>3</v>
      </c>
      <c r="CX225" s="20">
        <v>2.5</v>
      </c>
      <c r="CY225" s="20">
        <v>3.5</v>
      </c>
      <c r="CZ225" s="8">
        <v>100</v>
      </c>
      <c r="DA225" s="6">
        <f t="shared" si="728"/>
        <v>7500</v>
      </c>
      <c r="DB225" s="5">
        <v>0</v>
      </c>
      <c r="DC225" s="5">
        <f t="shared" si="742"/>
        <v>0.55000000000000004</v>
      </c>
      <c r="DD225" s="6">
        <f t="shared" si="729"/>
        <v>0.55000000000000004</v>
      </c>
      <c r="DE225" s="6">
        <v>1</v>
      </c>
      <c r="DF225" s="5">
        <v>0</v>
      </c>
      <c r="DG225" s="6">
        <v>2.5</v>
      </c>
      <c r="DH225" s="5">
        <v>0</v>
      </c>
      <c r="DI225" s="8">
        <v>0</v>
      </c>
      <c r="DJ225" s="5">
        <v>0</v>
      </c>
      <c r="DK225" s="8">
        <v>0</v>
      </c>
      <c r="DL225" s="5">
        <f t="shared" si="731"/>
        <v>0</v>
      </c>
      <c r="DM225" s="5" t="str">
        <f t="shared" si="795"/>
        <v>3级钢铁泰坦</v>
      </c>
      <c r="DN225" s="5">
        <v>6</v>
      </c>
      <c r="DO225" s="5">
        <v>0</v>
      </c>
      <c r="DP225" s="5">
        <v>1</v>
      </c>
      <c r="DQ225" s="5">
        <v>1</v>
      </c>
      <c r="DR225" s="5">
        <v>2.5</v>
      </c>
      <c r="DS225" s="6">
        <v>3.5</v>
      </c>
      <c r="DT225" s="5">
        <v>-0.6</v>
      </c>
      <c r="DU225" s="5">
        <v>0.5</v>
      </c>
      <c r="DV225" s="6">
        <v>0.5</v>
      </c>
      <c r="DW225" s="5">
        <f t="shared" si="814"/>
        <v>0.41666666666666669</v>
      </c>
      <c r="DX225" s="5">
        <v>5</v>
      </c>
      <c r="DY225" s="5">
        <f t="shared" si="815"/>
        <v>0</v>
      </c>
      <c r="DZ225" s="5">
        <v>0</v>
      </c>
    </row>
    <row r="226" spans="1:130" x14ac:dyDescent="0.15">
      <c r="A226" s="5">
        <v>201224</v>
      </c>
      <c r="B226" s="5" t="s">
        <v>455</v>
      </c>
      <c r="C226" s="5"/>
      <c r="D226" s="5"/>
      <c r="E226" s="5"/>
      <c r="F226" s="5">
        <v>1</v>
      </c>
      <c r="G226" s="45"/>
      <c r="H226" s="5"/>
      <c r="I226" s="5"/>
      <c r="J226" s="5"/>
      <c r="K226" s="5"/>
      <c r="L226" s="10"/>
      <c r="M226" s="5"/>
      <c r="N226" s="10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20"/>
      <c r="AF226" s="5"/>
      <c r="AG226" s="5"/>
      <c r="AH226" s="5"/>
      <c r="AI226" s="5"/>
      <c r="AJ226" s="5"/>
      <c r="AK226" s="5"/>
      <c r="AL226" s="5"/>
      <c r="AM226" s="5"/>
      <c r="AN226" s="8"/>
      <c r="AO226" s="5">
        <v>0</v>
      </c>
      <c r="AP226" s="5" t="s">
        <v>455</v>
      </c>
      <c r="AQ226" s="5">
        <v>0</v>
      </c>
      <c r="AR226" s="8">
        <v>10</v>
      </c>
      <c r="AS226" s="6">
        <f t="shared" si="733"/>
        <v>120</v>
      </c>
      <c r="AT226" s="6">
        <f t="shared" si="734"/>
        <v>132</v>
      </c>
      <c r="AU226" s="5">
        <v>0</v>
      </c>
      <c r="AV226" s="5">
        <v>0</v>
      </c>
      <c r="AW226" s="5">
        <v>0</v>
      </c>
      <c r="AX226" s="5">
        <v>1</v>
      </c>
      <c r="AY226" s="5">
        <v>0</v>
      </c>
      <c r="AZ226" s="23">
        <v>201224</v>
      </c>
      <c r="BA226" s="5">
        <f t="shared" si="809"/>
        <v>203023</v>
      </c>
      <c r="BB226" s="5">
        <v>10</v>
      </c>
      <c r="BC226" s="5">
        <v>903916</v>
      </c>
      <c r="BD226" s="5">
        <v>1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f t="shared" si="794"/>
        <v>0</v>
      </c>
      <c r="BM226" s="5">
        <v>0</v>
      </c>
      <c r="BN226" s="5">
        <v>0</v>
      </c>
      <c r="BO226" s="5">
        <v>0</v>
      </c>
      <c r="BP226" s="5">
        <v>0</v>
      </c>
      <c r="BQ226" s="5"/>
      <c r="BR226" s="5"/>
      <c r="BS226" s="4">
        <v>0</v>
      </c>
      <c r="BT226" s="4">
        <f t="shared" si="810"/>
        <v>4</v>
      </c>
      <c r="BU226" s="17">
        <v>0</v>
      </c>
      <c r="BV226" s="4">
        <f t="shared" ref="BV226:BY226" si="817">BV216</f>
        <v>4</v>
      </c>
      <c r="BW226" s="4">
        <f t="shared" si="817"/>
        <v>4</v>
      </c>
      <c r="BX226" s="4">
        <f t="shared" si="817"/>
        <v>0.6399999999999999</v>
      </c>
      <c r="BY226" s="4">
        <f t="shared" si="817"/>
        <v>0.4</v>
      </c>
      <c r="BZ226" s="5" t="s">
        <v>453</v>
      </c>
      <c r="CA226" s="4" t="str">
        <f t="shared" si="812"/>
        <v>monster23_1</v>
      </c>
      <c r="CB226" s="4" t="str">
        <f t="shared" si="812"/>
        <v>monster23_1</v>
      </c>
      <c r="CC226" s="5">
        <v>1</v>
      </c>
      <c r="CD226" s="8">
        <v>1</v>
      </c>
      <c r="CE226" s="5">
        <f t="shared" si="813"/>
        <v>4</v>
      </c>
      <c r="CF226" s="5">
        <v>1</v>
      </c>
      <c r="CG226" s="5" t="s">
        <v>455</v>
      </c>
      <c r="CH226" s="5">
        <v>0</v>
      </c>
      <c r="CI226" s="5">
        <v>0</v>
      </c>
      <c r="CJ226" s="4">
        <v>1</v>
      </c>
      <c r="CK226" s="20">
        <v>0</v>
      </c>
      <c r="CL226" s="5">
        <v>0</v>
      </c>
      <c r="CM226" s="20">
        <v>114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20">
        <v>2.5</v>
      </c>
      <c r="CW226" s="20">
        <v>3</v>
      </c>
      <c r="CX226" s="20">
        <v>2.5</v>
      </c>
      <c r="CY226" s="20">
        <v>3.5</v>
      </c>
      <c r="CZ226" s="8">
        <v>100</v>
      </c>
      <c r="DA226" s="6">
        <f t="shared" si="728"/>
        <v>10000</v>
      </c>
      <c r="DB226" s="5">
        <v>0</v>
      </c>
      <c r="DC226" s="5">
        <f t="shared" si="742"/>
        <v>0.57499999999999996</v>
      </c>
      <c r="DD226" s="6">
        <f t="shared" si="729"/>
        <v>0.57499999999999996</v>
      </c>
      <c r="DE226" s="6">
        <v>1</v>
      </c>
      <c r="DF226" s="5">
        <v>0</v>
      </c>
      <c r="DG226" s="6">
        <v>2.5</v>
      </c>
      <c r="DH226" s="5">
        <v>0</v>
      </c>
      <c r="DI226" s="8">
        <v>0</v>
      </c>
      <c r="DJ226" s="5">
        <v>0</v>
      </c>
      <c r="DK226" s="8">
        <v>0</v>
      </c>
      <c r="DL226" s="5">
        <f t="shared" si="731"/>
        <v>0</v>
      </c>
      <c r="DM226" s="5" t="str">
        <f t="shared" si="795"/>
        <v>4级钢铁泰坦</v>
      </c>
      <c r="DN226" s="5">
        <v>6</v>
      </c>
      <c r="DO226" s="5">
        <v>0</v>
      </c>
      <c r="DP226" s="5">
        <v>1</v>
      </c>
      <c r="DQ226" s="5">
        <v>1</v>
      </c>
      <c r="DR226" s="5">
        <v>2.5</v>
      </c>
      <c r="DS226" s="6">
        <v>3.5</v>
      </c>
      <c r="DT226" s="5">
        <v>-0.6</v>
      </c>
      <c r="DU226" s="5">
        <v>0.5</v>
      </c>
      <c r="DV226" s="6">
        <v>0.5</v>
      </c>
      <c r="DW226" s="5">
        <f t="shared" si="814"/>
        <v>0.41666666666666669</v>
      </c>
      <c r="DX226" s="5">
        <v>5</v>
      </c>
      <c r="DY226" s="5">
        <f t="shared" si="815"/>
        <v>0</v>
      </c>
      <c r="DZ226" s="5">
        <v>0</v>
      </c>
    </row>
    <row r="227" spans="1:130" x14ac:dyDescent="0.15">
      <c r="A227" s="5">
        <v>201225</v>
      </c>
      <c r="B227" s="5" t="s">
        <v>456</v>
      </c>
      <c r="C227" s="5"/>
      <c r="D227" s="5"/>
      <c r="E227" s="5"/>
      <c r="F227" s="5">
        <v>1</v>
      </c>
      <c r="G227" s="45"/>
      <c r="H227" s="5"/>
      <c r="I227" s="5"/>
      <c r="J227" s="5"/>
      <c r="K227" s="5"/>
      <c r="L227" s="10"/>
      <c r="M227" s="5"/>
      <c r="N227" s="10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20"/>
      <c r="AF227" s="5"/>
      <c r="AG227" s="5"/>
      <c r="AH227" s="5"/>
      <c r="AI227" s="5"/>
      <c r="AJ227" s="5"/>
      <c r="AK227" s="5"/>
      <c r="AL227" s="5"/>
      <c r="AM227" s="5"/>
      <c r="AN227" s="8"/>
      <c r="AO227" s="5">
        <v>0</v>
      </c>
      <c r="AP227" s="5" t="s">
        <v>456</v>
      </c>
      <c r="AQ227" s="5">
        <v>0</v>
      </c>
      <c r="AR227" s="8">
        <v>10</v>
      </c>
      <c r="AS227" s="6">
        <f t="shared" si="733"/>
        <v>150</v>
      </c>
      <c r="AT227" s="6">
        <f t="shared" si="734"/>
        <v>165</v>
      </c>
      <c r="AU227" s="5">
        <v>0</v>
      </c>
      <c r="AV227" s="5">
        <v>0</v>
      </c>
      <c r="AW227" s="5">
        <v>0</v>
      </c>
      <c r="AX227" s="5">
        <v>1</v>
      </c>
      <c r="AY227" s="5">
        <v>0</v>
      </c>
      <c r="AZ227" s="23">
        <v>201225</v>
      </c>
      <c r="BA227" s="5">
        <f t="shared" si="809"/>
        <v>203023</v>
      </c>
      <c r="BB227" s="5">
        <v>10</v>
      </c>
      <c r="BC227" s="5">
        <v>903916</v>
      </c>
      <c r="BD227" s="5">
        <v>1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f t="shared" si="794"/>
        <v>0</v>
      </c>
      <c r="BM227" s="5">
        <v>0</v>
      </c>
      <c r="BN227" s="5">
        <v>0</v>
      </c>
      <c r="BO227" s="5">
        <v>0</v>
      </c>
      <c r="BP227" s="5">
        <v>0</v>
      </c>
      <c r="BQ227" s="5"/>
      <c r="BR227" s="5"/>
      <c r="BS227" s="4">
        <v>0</v>
      </c>
      <c r="BT227" s="4">
        <f t="shared" si="810"/>
        <v>5</v>
      </c>
      <c r="BU227" s="17">
        <v>0</v>
      </c>
      <c r="BV227" s="4">
        <f t="shared" ref="BV227:BY227" si="818">BV217</f>
        <v>5</v>
      </c>
      <c r="BW227" s="4">
        <f t="shared" si="818"/>
        <v>5</v>
      </c>
      <c r="BX227" s="4">
        <f t="shared" si="818"/>
        <v>0.56999999999999995</v>
      </c>
      <c r="BY227" s="4">
        <f t="shared" si="818"/>
        <v>0.35000000000000003</v>
      </c>
      <c r="BZ227" s="5" t="s">
        <v>451</v>
      </c>
      <c r="CA227" s="4" t="str">
        <f t="shared" si="812"/>
        <v>monster23</v>
      </c>
      <c r="CB227" s="4" t="str">
        <f t="shared" si="812"/>
        <v>monster23</v>
      </c>
      <c r="CC227" s="5">
        <v>1</v>
      </c>
      <c r="CD227" s="8">
        <v>1</v>
      </c>
      <c r="CE227" s="5">
        <f t="shared" si="813"/>
        <v>5</v>
      </c>
      <c r="CF227" s="5">
        <v>1</v>
      </c>
      <c r="CG227" s="5" t="s">
        <v>456</v>
      </c>
      <c r="CH227" s="5">
        <v>0</v>
      </c>
      <c r="CI227" s="5">
        <v>0</v>
      </c>
      <c r="CJ227" s="4">
        <v>0</v>
      </c>
      <c r="CK227" s="20">
        <v>0</v>
      </c>
      <c r="CL227" s="5">
        <v>0</v>
      </c>
      <c r="CM227" s="20">
        <v>114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20">
        <v>2.5</v>
      </c>
      <c r="CW227" s="20">
        <v>3</v>
      </c>
      <c r="CX227" s="20">
        <v>2.5</v>
      </c>
      <c r="CY227" s="20">
        <v>3.5</v>
      </c>
      <c r="CZ227" s="8">
        <v>100</v>
      </c>
      <c r="DA227" s="6">
        <f t="shared" si="728"/>
        <v>12500</v>
      </c>
      <c r="DB227" s="5">
        <v>0</v>
      </c>
      <c r="DC227" s="5">
        <f t="shared" si="742"/>
        <v>0.6</v>
      </c>
      <c r="DD227" s="6">
        <f t="shared" si="729"/>
        <v>0.6</v>
      </c>
      <c r="DE227" s="6">
        <v>1</v>
      </c>
      <c r="DF227" s="5">
        <v>0</v>
      </c>
      <c r="DG227" s="6">
        <v>2.5</v>
      </c>
      <c r="DH227" s="5">
        <v>0</v>
      </c>
      <c r="DI227" s="8">
        <v>0</v>
      </c>
      <c r="DJ227" s="5">
        <v>0</v>
      </c>
      <c r="DK227" s="8">
        <v>0</v>
      </c>
      <c r="DL227" s="5">
        <f t="shared" si="731"/>
        <v>0</v>
      </c>
      <c r="DM227" s="5" t="str">
        <f t="shared" si="795"/>
        <v>5级钢铁泰坦</v>
      </c>
      <c r="DN227" s="5">
        <v>6</v>
      </c>
      <c r="DO227" s="5">
        <v>0</v>
      </c>
      <c r="DP227" s="5">
        <v>1</v>
      </c>
      <c r="DQ227" s="5">
        <v>1</v>
      </c>
      <c r="DR227" s="5">
        <v>2.5</v>
      </c>
      <c r="DS227" s="6">
        <v>3.5</v>
      </c>
      <c r="DT227" s="5">
        <v>-0.6</v>
      </c>
      <c r="DU227" s="5">
        <v>0.5</v>
      </c>
      <c r="DV227" s="6">
        <v>0.5</v>
      </c>
      <c r="DW227" s="5">
        <f t="shared" si="814"/>
        <v>0.41666666666666669</v>
      </c>
      <c r="DX227" s="5">
        <v>5</v>
      </c>
      <c r="DY227" s="5">
        <f t="shared" si="815"/>
        <v>0</v>
      </c>
      <c r="DZ227" s="5">
        <v>0</v>
      </c>
    </row>
    <row r="228" spans="1:130" x14ac:dyDescent="0.15">
      <c r="A228" s="5">
        <v>201226</v>
      </c>
      <c r="B228" s="5" t="s">
        <v>457</v>
      </c>
      <c r="C228" s="5"/>
      <c r="D228" s="5"/>
      <c r="E228" s="5"/>
      <c r="F228" s="5">
        <v>1</v>
      </c>
      <c r="G228" s="45"/>
      <c r="H228" s="5"/>
      <c r="I228" s="5"/>
      <c r="J228" s="5"/>
      <c r="K228" s="5"/>
      <c r="L228" s="10"/>
      <c r="M228" s="5"/>
      <c r="N228" s="10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20"/>
      <c r="AF228" s="5"/>
      <c r="AG228" s="5"/>
      <c r="AH228" s="5"/>
      <c r="AI228" s="5"/>
      <c r="AJ228" s="5"/>
      <c r="AK228" s="5"/>
      <c r="AL228" s="5"/>
      <c r="AM228" s="5"/>
      <c r="AN228" s="8"/>
      <c r="AO228" s="5">
        <v>0</v>
      </c>
      <c r="AP228" s="5" t="s">
        <v>457</v>
      </c>
      <c r="AQ228" s="5">
        <v>0</v>
      </c>
      <c r="AR228" s="8">
        <v>10</v>
      </c>
      <c r="AS228" s="6">
        <f t="shared" si="733"/>
        <v>180</v>
      </c>
      <c r="AT228" s="6">
        <f t="shared" si="734"/>
        <v>198</v>
      </c>
      <c r="AU228" s="5">
        <v>0</v>
      </c>
      <c r="AV228" s="5">
        <v>0</v>
      </c>
      <c r="AW228" s="5">
        <v>0</v>
      </c>
      <c r="AX228" s="5">
        <v>1</v>
      </c>
      <c r="AY228" s="5">
        <v>0</v>
      </c>
      <c r="AZ228" s="23">
        <v>201226</v>
      </c>
      <c r="BA228" s="5">
        <f t="shared" si="809"/>
        <v>203023</v>
      </c>
      <c r="BB228" s="5">
        <v>10</v>
      </c>
      <c r="BC228" s="5">
        <v>903916</v>
      </c>
      <c r="BD228" s="5">
        <v>1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f t="shared" si="794"/>
        <v>1</v>
      </c>
      <c r="BM228" s="5">
        <v>0</v>
      </c>
      <c r="BN228" s="5">
        <v>0</v>
      </c>
      <c r="BO228" s="5">
        <v>0</v>
      </c>
      <c r="BP228" s="5">
        <v>0</v>
      </c>
      <c r="BQ228" s="5"/>
      <c r="BR228" s="5"/>
      <c r="BS228" s="4">
        <v>0</v>
      </c>
      <c r="BT228" s="4">
        <f t="shared" si="810"/>
        <v>6</v>
      </c>
      <c r="BU228" s="17">
        <v>0</v>
      </c>
      <c r="BV228" s="4">
        <f t="shared" ref="BV228:BY228" si="819">BV218</f>
        <v>6</v>
      </c>
      <c r="BW228" s="4">
        <f t="shared" si="819"/>
        <v>6</v>
      </c>
      <c r="BX228" s="4">
        <f t="shared" si="819"/>
        <v>0.49999999999999994</v>
      </c>
      <c r="BY228" s="4">
        <f t="shared" si="819"/>
        <v>0.30000000000000004</v>
      </c>
      <c r="BZ228" s="5" t="s">
        <v>453</v>
      </c>
      <c r="CA228" s="4" t="str">
        <f t="shared" si="812"/>
        <v>monster23_1</v>
      </c>
      <c r="CB228" s="4" t="str">
        <f t="shared" si="812"/>
        <v>monster23_1</v>
      </c>
      <c r="CC228" s="5">
        <v>1</v>
      </c>
      <c r="CD228" s="8">
        <v>1</v>
      </c>
      <c r="CE228" s="5">
        <f t="shared" si="813"/>
        <v>6</v>
      </c>
      <c r="CF228" s="5">
        <v>1</v>
      </c>
      <c r="CG228" s="5" t="s">
        <v>457</v>
      </c>
      <c r="CH228" s="5">
        <v>0</v>
      </c>
      <c r="CI228" s="5">
        <v>0</v>
      </c>
      <c r="CJ228" s="4">
        <v>1</v>
      </c>
      <c r="CK228" s="20">
        <v>0</v>
      </c>
      <c r="CL228" s="5">
        <v>0</v>
      </c>
      <c r="CM228" s="20">
        <v>114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20">
        <v>2.5</v>
      </c>
      <c r="CW228" s="20">
        <v>3</v>
      </c>
      <c r="CX228" s="20">
        <v>2.5</v>
      </c>
      <c r="CY228" s="20">
        <v>3.5</v>
      </c>
      <c r="CZ228" s="8">
        <v>100</v>
      </c>
      <c r="DA228" s="6">
        <f t="shared" si="728"/>
        <v>15000</v>
      </c>
      <c r="DB228" s="5">
        <v>0</v>
      </c>
      <c r="DC228" s="5">
        <f t="shared" si="742"/>
        <v>0.625</v>
      </c>
      <c r="DD228" s="6">
        <f t="shared" si="729"/>
        <v>0.625</v>
      </c>
      <c r="DE228" s="6">
        <v>1</v>
      </c>
      <c r="DF228" s="5">
        <v>0</v>
      </c>
      <c r="DG228" s="6">
        <v>2.5</v>
      </c>
      <c r="DH228" s="5">
        <v>0</v>
      </c>
      <c r="DI228" s="8">
        <v>0</v>
      </c>
      <c r="DJ228" s="5">
        <v>0</v>
      </c>
      <c r="DK228" s="8">
        <v>0</v>
      </c>
      <c r="DL228" s="5">
        <f t="shared" si="731"/>
        <v>0</v>
      </c>
      <c r="DM228" s="5" t="str">
        <f t="shared" si="795"/>
        <v>6级钢铁泰坦</v>
      </c>
      <c r="DN228" s="5">
        <v>6</v>
      </c>
      <c r="DO228" s="5">
        <v>0</v>
      </c>
      <c r="DP228" s="5">
        <v>1</v>
      </c>
      <c r="DQ228" s="5">
        <v>1</v>
      </c>
      <c r="DR228" s="5">
        <v>2.5</v>
      </c>
      <c r="DS228" s="6">
        <v>3.5</v>
      </c>
      <c r="DT228" s="5">
        <v>-0.6</v>
      </c>
      <c r="DU228" s="5">
        <v>0.5</v>
      </c>
      <c r="DV228" s="6">
        <v>0.5</v>
      </c>
      <c r="DW228" s="5">
        <f t="shared" si="814"/>
        <v>0.41666666666666669</v>
      </c>
      <c r="DX228" s="5">
        <v>5</v>
      </c>
      <c r="DY228" s="5">
        <f t="shared" si="815"/>
        <v>0</v>
      </c>
      <c r="DZ228" s="5">
        <v>0</v>
      </c>
    </row>
    <row r="229" spans="1:130" x14ac:dyDescent="0.15">
      <c r="A229" s="5">
        <v>201227</v>
      </c>
      <c r="B229" s="5" t="s">
        <v>458</v>
      </c>
      <c r="C229" s="5"/>
      <c r="D229" s="5"/>
      <c r="E229" s="5"/>
      <c r="F229" s="5">
        <v>1</v>
      </c>
      <c r="G229" s="45"/>
      <c r="H229" s="5"/>
      <c r="I229" s="5"/>
      <c r="J229" s="5"/>
      <c r="K229" s="5"/>
      <c r="L229" s="10"/>
      <c r="M229" s="5"/>
      <c r="N229" s="10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20"/>
      <c r="AF229" s="5"/>
      <c r="AG229" s="5"/>
      <c r="AH229" s="5"/>
      <c r="AI229" s="5"/>
      <c r="AJ229" s="5"/>
      <c r="AK229" s="5"/>
      <c r="AL229" s="5"/>
      <c r="AM229" s="5"/>
      <c r="AN229" s="8"/>
      <c r="AO229" s="5">
        <v>0</v>
      </c>
      <c r="AP229" s="5" t="s">
        <v>458</v>
      </c>
      <c r="AQ229" s="5">
        <v>0</v>
      </c>
      <c r="AR229" s="8">
        <v>10</v>
      </c>
      <c r="AS229" s="6">
        <f t="shared" si="733"/>
        <v>210</v>
      </c>
      <c r="AT229" s="6">
        <f t="shared" si="734"/>
        <v>231</v>
      </c>
      <c r="AU229" s="5">
        <v>0</v>
      </c>
      <c r="AV229" s="5">
        <v>0</v>
      </c>
      <c r="AW229" s="5">
        <v>0</v>
      </c>
      <c r="AX229" s="5">
        <v>1</v>
      </c>
      <c r="AY229" s="5">
        <v>0</v>
      </c>
      <c r="AZ229" s="23">
        <v>201227</v>
      </c>
      <c r="BA229" s="5">
        <f t="shared" si="809"/>
        <v>203023</v>
      </c>
      <c r="BB229" s="5">
        <v>10</v>
      </c>
      <c r="BC229" s="5">
        <v>903916</v>
      </c>
      <c r="BD229" s="5">
        <v>1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f t="shared" si="794"/>
        <v>0</v>
      </c>
      <c r="BM229" s="5">
        <v>0</v>
      </c>
      <c r="BN229" s="5">
        <v>0</v>
      </c>
      <c r="BO229" s="5">
        <v>0</v>
      </c>
      <c r="BP229" s="5">
        <v>0</v>
      </c>
      <c r="BQ229" s="5"/>
      <c r="BR229" s="5"/>
      <c r="BS229" s="4">
        <v>0</v>
      </c>
      <c r="BT229" s="4">
        <f t="shared" si="810"/>
        <v>7</v>
      </c>
      <c r="BU229" s="17">
        <v>0</v>
      </c>
      <c r="BV229" s="4">
        <f t="shared" ref="BV229:BY229" si="820">BV219</f>
        <v>7</v>
      </c>
      <c r="BW229" s="4">
        <f t="shared" si="820"/>
        <v>7</v>
      </c>
      <c r="BX229" s="4">
        <f t="shared" si="820"/>
        <v>0.42999999999999994</v>
      </c>
      <c r="BY229" s="4">
        <f t="shared" si="820"/>
        <v>0.25</v>
      </c>
      <c r="BZ229" s="5" t="s">
        <v>451</v>
      </c>
      <c r="CA229" s="4" t="str">
        <f t="shared" si="812"/>
        <v>monster23</v>
      </c>
      <c r="CB229" s="4" t="str">
        <f t="shared" si="812"/>
        <v>monster23</v>
      </c>
      <c r="CC229" s="5">
        <v>1</v>
      </c>
      <c r="CD229" s="8">
        <v>1</v>
      </c>
      <c r="CE229" s="5">
        <f t="shared" si="813"/>
        <v>7</v>
      </c>
      <c r="CF229" s="5">
        <v>1</v>
      </c>
      <c r="CG229" s="5" t="s">
        <v>458</v>
      </c>
      <c r="CH229" s="5">
        <v>0</v>
      </c>
      <c r="CI229" s="5">
        <v>0</v>
      </c>
      <c r="CJ229" s="4">
        <v>0</v>
      </c>
      <c r="CK229" s="20">
        <v>0</v>
      </c>
      <c r="CL229" s="5">
        <v>0</v>
      </c>
      <c r="CM229" s="20">
        <v>114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20">
        <v>2.5</v>
      </c>
      <c r="CW229" s="20">
        <v>3</v>
      </c>
      <c r="CX229" s="20">
        <v>2.5</v>
      </c>
      <c r="CY229" s="20">
        <v>3.5</v>
      </c>
      <c r="CZ229" s="8">
        <v>100</v>
      </c>
      <c r="DA229" s="6">
        <f t="shared" si="728"/>
        <v>17500</v>
      </c>
      <c r="DB229" s="5">
        <v>0</v>
      </c>
      <c r="DC229" s="5">
        <f t="shared" si="742"/>
        <v>0.65</v>
      </c>
      <c r="DD229" s="6">
        <f t="shared" si="729"/>
        <v>0.65</v>
      </c>
      <c r="DE229" s="6">
        <v>1</v>
      </c>
      <c r="DF229" s="5">
        <v>0</v>
      </c>
      <c r="DG229" s="6">
        <v>2.5</v>
      </c>
      <c r="DH229" s="5">
        <v>0</v>
      </c>
      <c r="DI229" s="8">
        <v>0</v>
      </c>
      <c r="DJ229" s="5">
        <v>0</v>
      </c>
      <c r="DK229" s="8">
        <v>0</v>
      </c>
      <c r="DL229" s="5">
        <f t="shared" si="731"/>
        <v>0</v>
      </c>
      <c r="DM229" s="5" t="str">
        <f t="shared" si="795"/>
        <v>7级钢铁泰坦</v>
      </c>
      <c r="DN229" s="5">
        <v>6</v>
      </c>
      <c r="DO229" s="5">
        <v>0</v>
      </c>
      <c r="DP229" s="5">
        <v>1</v>
      </c>
      <c r="DQ229" s="5">
        <v>1</v>
      </c>
      <c r="DR229" s="5">
        <v>2.5</v>
      </c>
      <c r="DS229" s="6">
        <v>3.5</v>
      </c>
      <c r="DT229" s="5">
        <v>-0.6</v>
      </c>
      <c r="DU229" s="5">
        <v>0.5</v>
      </c>
      <c r="DV229" s="6">
        <v>0.5</v>
      </c>
      <c r="DW229" s="5">
        <f t="shared" si="814"/>
        <v>0.41666666666666669</v>
      </c>
      <c r="DX229" s="5">
        <v>5</v>
      </c>
      <c r="DY229" s="5">
        <f t="shared" si="815"/>
        <v>0</v>
      </c>
      <c r="DZ229" s="5">
        <v>0</v>
      </c>
    </row>
    <row r="230" spans="1:130" x14ac:dyDescent="0.15">
      <c r="A230" s="5">
        <v>201228</v>
      </c>
      <c r="B230" s="5" t="s">
        <v>459</v>
      </c>
      <c r="C230" s="5"/>
      <c r="D230" s="5"/>
      <c r="E230" s="5"/>
      <c r="F230" s="5">
        <v>1</v>
      </c>
      <c r="G230" s="45"/>
      <c r="H230" s="5"/>
      <c r="I230" s="5"/>
      <c r="J230" s="5"/>
      <c r="K230" s="5"/>
      <c r="L230" s="10"/>
      <c r="M230" s="5"/>
      <c r="N230" s="10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20"/>
      <c r="AF230" s="5"/>
      <c r="AG230" s="5"/>
      <c r="AH230" s="5"/>
      <c r="AI230" s="5"/>
      <c r="AJ230" s="5"/>
      <c r="AK230" s="5"/>
      <c r="AL230" s="5"/>
      <c r="AM230" s="5"/>
      <c r="AN230" s="8"/>
      <c r="AO230" s="5">
        <v>0</v>
      </c>
      <c r="AP230" s="5" t="s">
        <v>459</v>
      </c>
      <c r="AQ230" s="5">
        <v>0</v>
      </c>
      <c r="AR230" s="8">
        <v>10</v>
      </c>
      <c r="AS230" s="6">
        <f t="shared" si="733"/>
        <v>240</v>
      </c>
      <c r="AT230" s="6">
        <f t="shared" si="734"/>
        <v>264</v>
      </c>
      <c r="AU230" s="5">
        <v>0</v>
      </c>
      <c r="AV230" s="5">
        <v>0</v>
      </c>
      <c r="AW230" s="5">
        <v>0</v>
      </c>
      <c r="AX230" s="5">
        <v>1</v>
      </c>
      <c r="AY230" s="5">
        <v>0</v>
      </c>
      <c r="AZ230" s="23">
        <v>201228</v>
      </c>
      <c r="BA230" s="5">
        <f t="shared" si="809"/>
        <v>203023</v>
      </c>
      <c r="BB230" s="5">
        <v>10</v>
      </c>
      <c r="BC230" s="5">
        <v>903916</v>
      </c>
      <c r="BD230" s="5">
        <v>1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f t="shared" si="794"/>
        <v>2</v>
      </c>
      <c r="BM230" s="5">
        <v>0</v>
      </c>
      <c r="BN230" s="5">
        <v>0</v>
      </c>
      <c r="BO230" s="5">
        <v>0</v>
      </c>
      <c r="BP230" s="5">
        <v>0</v>
      </c>
      <c r="BQ230" s="5"/>
      <c r="BR230" s="5"/>
      <c r="BS230" s="4">
        <v>0</v>
      </c>
      <c r="BT230" s="4">
        <f t="shared" si="810"/>
        <v>8</v>
      </c>
      <c r="BU230" s="17">
        <v>0</v>
      </c>
      <c r="BV230" s="4">
        <f t="shared" ref="BV230:BY230" si="821">BV220</f>
        <v>8</v>
      </c>
      <c r="BW230" s="4">
        <f t="shared" si="821"/>
        <v>8</v>
      </c>
      <c r="BX230" s="4">
        <f t="shared" si="821"/>
        <v>0.35999999999999993</v>
      </c>
      <c r="BY230" s="4">
        <f t="shared" si="821"/>
        <v>0.2</v>
      </c>
      <c r="BZ230" s="5" t="s">
        <v>453</v>
      </c>
      <c r="CA230" s="4" t="str">
        <f t="shared" si="812"/>
        <v>monster23_1</v>
      </c>
      <c r="CB230" s="4" t="str">
        <f t="shared" si="812"/>
        <v>monster23_1</v>
      </c>
      <c r="CC230" s="5">
        <v>1</v>
      </c>
      <c r="CD230" s="8">
        <v>1</v>
      </c>
      <c r="CE230" s="5">
        <f t="shared" si="813"/>
        <v>8</v>
      </c>
      <c r="CF230" s="5">
        <v>1</v>
      </c>
      <c r="CG230" s="5" t="s">
        <v>459</v>
      </c>
      <c r="CH230" s="5">
        <v>0</v>
      </c>
      <c r="CI230" s="5">
        <v>0</v>
      </c>
      <c r="CJ230" s="4">
        <v>1</v>
      </c>
      <c r="CK230" s="20">
        <v>0</v>
      </c>
      <c r="CL230" s="5">
        <v>0</v>
      </c>
      <c r="CM230" s="20">
        <v>114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20">
        <v>2.5</v>
      </c>
      <c r="CW230" s="20">
        <v>3</v>
      </c>
      <c r="CX230" s="20">
        <v>2.5</v>
      </c>
      <c r="CY230" s="20">
        <v>3.5</v>
      </c>
      <c r="CZ230" s="8">
        <v>100</v>
      </c>
      <c r="DA230" s="6">
        <f t="shared" si="728"/>
        <v>20000</v>
      </c>
      <c r="DB230" s="5">
        <v>0</v>
      </c>
      <c r="DC230" s="5">
        <f t="shared" si="742"/>
        <v>0.67500000000000004</v>
      </c>
      <c r="DD230" s="6">
        <f t="shared" si="729"/>
        <v>0.67500000000000004</v>
      </c>
      <c r="DE230" s="6">
        <v>1</v>
      </c>
      <c r="DF230" s="5">
        <v>0</v>
      </c>
      <c r="DG230" s="6">
        <v>2.5</v>
      </c>
      <c r="DH230" s="5">
        <v>0</v>
      </c>
      <c r="DI230" s="8">
        <v>0</v>
      </c>
      <c r="DJ230" s="5">
        <v>0</v>
      </c>
      <c r="DK230" s="8">
        <v>0</v>
      </c>
      <c r="DL230" s="5">
        <f t="shared" si="731"/>
        <v>0</v>
      </c>
      <c r="DM230" s="5" t="str">
        <f t="shared" si="795"/>
        <v>8级钢铁泰坦</v>
      </c>
      <c r="DN230" s="5">
        <v>6</v>
      </c>
      <c r="DO230" s="5">
        <v>0</v>
      </c>
      <c r="DP230" s="5">
        <v>1</v>
      </c>
      <c r="DQ230" s="5">
        <v>1</v>
      </c>
      <c r="DR230" s="5">
        <v>2.5</v>
      </c>
      <c r="DS230" s="6">
        <v>3.5</v>
      </c>
      <c r="DT230" s="5">
        <v>-0.6</v>
      </c>
      <c r="DU230" s="5">
        <v>0.5</v>
      </c>
      <c r="DV230" s="6">
        <v>0.5</v>
      </c>
      <c r="DW230" s="5">
        <f t="shared" si="814"/>
        <v>0.41666666666666669</v>
      </c>
      <c r="DX230" s="5">
        <v>5</v>
      </c>
      <c r="DY230" s="5">
        <f t="shared" si="815"/>
        <v>0</v>
      </c>
      <c r="DZ230" s="5">
        <v>0</v>
      </c>
    </row>
    <row r="231" spans="1:130" x14ac:dyDescent="0.15">
      <c r="A231" s="5">
        <v>201229</v>
      </c>
      <c r="B231" s="5" t="s">
        <v>460</v>
      </c>
      <c r="C231" s="5"/>
      <c r="D231" s="5"/>
      <c r="E231" s="5"/>
      <c r="F231" s="5">
        <v>1</v>
      </c>
      <c r="G231" s="45"/>
      <c r="H231" s="5"/>
      <c r="I231" s="5"/>
      <c r="J231" s="5"/>
      <c r="K231" s="5"/>
      <c r="L231" s="10"/>
      <c r="M231" s="5"/>
      <c r="N231" s="10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20"/>
      <c r="AF231" s="5"/>
      <c r="AG231" s="5"/>
      <c r="AH231" s="5"/>
      <c r="AI231" s="5"/>
      <c r="AJ231" s="5"/>
      <c r="AK231" s="5"/>
      <c r="AL231" s="5"/>
      <c r="AM231" s="5"/>
      <c r="AN231" s="8"/>
      <c r="AO231" s="5">
        <v>0</v>
      </c>
      <c r="AP231" s="5" t="s">
        <v>460</v>
      </c>
      <c r="AQ231" s="5">
        <v>0</v>
      </c>
      <c r="AR231" s="8">
        <v>10</v>
      </c>
      <c r="AS231" s="6">
        <f t="shared" si="733"/>
        <v>270</v>
      </c>
      <c r="AT231" s="6">
        <f t="shared" si="734"/>
        <v>297</v>
      </c>
      <c r="AU231" s="5">
        <v>0</v>
      </c>
      <c r="AV231" s="5">
        <v>0</v>
      </c>
      <c r="AW231" s="5">
        <v>0</v>
      </c>
      <c r="AX231" s="5">
        <v>1</v>
      </c>
      <c r="AY231" s="5">
        <v>0</v>
      </c>
      <c r="AZ231" s="23">
        <v>201229</v>
      </c>
      <c r="BA231" s="5">
        <f t="shared" si="809"/>
        <v>203023</v>
      </c>
      <c r="BB231" s="5">
        <v>10</v>
      </c>
      <c r="BC231" s="5">
        <v>903916</v>
      </c>
      <c r="BD231" s="5">
        <v>1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f t="shared" si="794"/>
        <v>0</v>
      </c>
      <c r="BM231" s="5">
        <v>0</v>
      </c>
      <c r="BN231" s="5">
        <v>0</v>
      </c>
      <c r="BO231" s="5">
        <v>0</v>
      </c>
      <c r="BP231" s="5">
        <v>0</v>
      </c>
      <c r="BQ231" s="5"/>
      <c r="BR231" s="5"/>
      <c r="BS231" s="4">
        <v>0</v>
      </c>
      <c r="BT231" s="4">
        <f t="shared" si="810"/>
        <v>9</v>
      </c>
      <c r="BU231" s="17">
        <v>0</v>
      </c>
      <c r="BV231" s="4">
        <f t="shared" ref="BV231:BY231" si="822">BV221</f>
        <v>9</v>
      </c>
      <c r="BW231" s="4">
        <f t="shared" si="822"/>
        <v>9</v>
      </c>
      <c r="BX231" s="4">
        <f t="shared" si="822"/>
        <v>0.28999999999999992</v>
      </c>
      <c r="BY231" s="4">
        <f t="shared" si="822"/>
        <v>0.15000000000000002</v>
      </c>
      <c r="BZ231" s="5" t="s">
        <v>451</v>
      </c>
      <c r="CA231" s="4" t="str">
        <f t="shared" si="812"/>
        <v>monster23</v>
      </c>
      <c r="CB231" s="4" t="str">
        <f t="shared" si="812"/>
        <v>monster23</v>
      </c>
      <c r="CC231" s="5">
        <v>1</v>
      </c>
      <c r="CD231" s="8">
        <v>1</v>
      </c>
      <c r="CE231" s="5">
        <f t="shared" si="813"/>
        <v>9</v>
      </c>
      <c r="CF231" s="5">
        <v>1</v>
      </c>
      <c r="CG231" s="5" t="s">
        <v>460</v>
      </c>
      <c r="CH231" s="5">
        <v>0</v>
      </c>
      <c r="CI231" s="5">
        <v>0</v>
      </c>
      <c r="CJ231" s="4">
        <v>0</v>
      </c>
      <c r="CK231" s="20">
        <v>0</v>
      </c>
      <c r="CL231" s="5">
        <v>0</v>
      </c>
      <c r="CM231" s="20">
        <v>114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20">
        <v>2.5</v>
      </c>
      <c r="CW231" s="20">
        <v>3</v>
      </c>
      <c r="CX231" s="20">
        <v>2.5</v>
      </c>
      <c r="CY231" s="20">
        <v>3.5</v>
      </c>
      <c r="CZ231" s="8">
        <v>100</v>
      </c>
      <c r="DA231" s="6">
        <f t="shared" si="728"/>
        <v>22500</v>
      </c>
      <c r="DB231" s="5">
        <v>0</v>
      </c>
      <c r="DC231" s="5">
        <f t="shared" si="742"/>
        <v>0.7</v>
      </c>
      <c r="DD231" s="6">
        <f t="shared" si="729"/>
        <v>0.7</v>
      </c>
      <c r="DE231" s="6">
        <v>1</v>
      </c>
      <c r="DF231" s="5">
        <v>0</v>
      </c>
      <c r="DG231" s="6">
        <v>2.5</v>
      </c>
      <c r="DH231" s="5">
        <v>0</v>
      </c>
      <c r="DI231" s="8">
        <v>0</v>
      </c>
      <c r="DJ231" s="5">
        <v>0</v>
      </c>
      <c r="DK231" s="8">
        <v>0</v>
      </c>
      <c r="DL231" s="5">
        <f t="shared" si="731"/>
        <v>0</v>
      </c>
      <c r="DM231" s="5" t="str">
        <f t="shared" si="795"/>
        <v>9级钢铁泰坦</v>
      </c>
      <c r="DN231" s="5">
        <v>6</v>
      </c>
      <c r="DO231" s="5">
        <v>0</v>
      </c>
      <c r="DP231" s="5">
        <v>1</v>
      </c>
      <c r="DQ231" s="5">
        <v>1</v>
      </c>
      <c r="DR231" s="5">
        <v>2.5</v>
      </c>
      <c r="DS231" s="6">
        <v>3.5</v>
      </c>
      <c r="DT231" s="5">
        <v>-0.6</v>
      </c>
      <c r="DU231" s="5">
        <v>0.5</v>
      </c>
      <c r="DV231" s="6">
        <v>0.5</v>
      </c>
      <c r="DW231" s="5">
        <f t="shared" si="814"/>
        <v>0.41666666666666669</v>
      </c>
      <c r="DX231" s="5">
        <v>5</v>
      </c>
      <c r="DY231" s="5">
        <f t="shared" si="815"/>
        <v>0</v>
      </c>
      <c r="DZ231" s="5">
        <v>0</v>
      </c>
    </row>
    <row r="232" spans="1:130" x14ac:dyDescent="0.15">
      <c r="A232" s="5">
        <v>201230</v>
      </c>
      <c r="B232" s="5" t="s">
        <v>461</v>
      </c>
      <c r="C232" s="5"/>
      <c r="D232" s="5"/>
      <c r="E232" s="5"/>
      <c r="F232" s="5">
        <v>1</v>
      </c>
      <c r="G232" s="45"/>
      <c r="H232" s="5"/>
      <c r="I232" s="5"/>
      <c r="J232" s="5"/>
      <c r="K232" s="5"/>
      <c r="L232" s="10"/>
      <c r="M232" s="5"/>
      <c r="N232" s="10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20"/>
      <c r="AF232" s="5"/>
      <c r="AG232" s="5"/>
      <c r="AH232" s="5"/>
      <c r="AI232" s="5"/>
      <c r="AJ232" s="5"/>
      <c r="AK232" s="5"/>
      <c r="AL232" s="5"/>
      <c r="AM232" s="5"/>
      <c r="AN232" s="8"/>
      <c r="AO232" s="5">
        <v>0</v>
      </c>
      <c r="AP232" s="5" t="s">
        <v>461</v>
      </c>
      <c r="AQ232" s="5">
        <v>0</v>
      </c>
      <c r="AR232" s="8">
        <v>10</v>
      </c>
      <c r="AS232" s="6">
        <f t="shared" si="733"/>
        <v>300</v>
      </c>
      <c r="AT232" s="6">
        <f t="shared" si="734"/>
        <v>330</v>
      </c>
      <c r="AU232" s="5">
        <v>0</v>
      </c>
      <c r="AV232" s="5">
        <v>0</v>
      </c>
      <c r="AW232" s="5">
        <v>0</v>
      </c>
      <c r="AX232" s="5">
        <v>1</v>
      </c>
      <c r="AY232" s="5">
        <v>0</v>
      </c>
      <c r="AZ232" s="23">
        <v>201230</v>
      </c>
      <c r="BA232" s="5">
        <f t="shared" si="809"/>
        <v>203023</v>
      </c>
      <c r="BB232" s="5">
        <v>10</v>
      </c>
      <c r="BC232" s="5">
        <v>903916</v>
      </c>
      <c r="BD232" s="5">
        <v>1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f t="shared" si="794"/>
        <v>0</v>
      </c>
      <c r="BM232" s="5">
        <v>0</v>
      </c>
      <c r="BN232" s="5">
        <v>0</v>
      </c>
      <c r="BO232" s="5">
        <v>0</v>
      </c>
      <c r="BP232" s="5">
        <v>0</v>
      </c>
      <c r="BQ232" s="5"/>
      <c r="BR232" s="5"/>
      <c r="BS232" s="4">
        <v>0</v>
      </c>
      <c r="BT232" s="4">
        <f t="shared" si="810"/>
        <v>10</v>
      </c>
      <c r="BU232" s="17">
        <v>0</v>
      </c>
      <c r="BV232" s="4">
        <f t="shared" ref="BV232:BY232" si="823">BV222</f>
        <v>10</v>
      </c>
      <c r="BW232" s="4">
        <f t="shared" si="823"/>
        <v>10</v>
      </c>
      <c r="BX232" s="4">
        <f t="shared" si="823"/>
        <v>0.21999999999999986</v>
      </c>
      <c r="BY232" s="4">
        <f t="shared" si="823"/>
        <v>0.10000000000000003</v>
      </c>
      <c r="BZ232" s="5" t="s">
        <v>453</v>
      </c>
      <c r="CA232" s="4" t="str">
        <f t="shared" si="812"/>
        <v>monster23_1</v>
      </c>
      <c r="CB232" s="4" t="str">
        <f t="shared" si="812"/>
        <v>monster23_1</v>
      </c>
      <c r="CC232" s="5">
        <v>1</v>
      </c>
      <c r="CD232" s="8">
        <v>1</v>
      </c>
      <c r="CE232" s="5">
        <f t="shared" si="813"/>
        <v>10</v>
      </c>
      <c r="CF232" s="5">
        <v>1</v>
      </c>
      <c r="CG232" s="5" t="s">
        <v>461</v>
      </c>
      <c r="CH232" s="5">
        <v>0</v>
      </c>
      <c r="CI232" s="5">
        <v>0</v>
      </c>
      <c r="CJ232" s="4">
        <v>1</v>
      </c>
      <c r="CK232" s="20">
        <v>0</v>
      </c>
      <c r="CL232" s="5">
        <v>0</v>
      </c>
      <c r="CM232" s="20">
        <v>114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20">
        <v>2.5</v>
      </c>
      <c r="CW232" s="20">
        <v>3</v>
      </c>
      <c r="CX232" s="20">
        <v>2.5</v>
      </c>
      <c r="CY232" s="20">
        <v>3.5</v>
      </c>
      <c r="CZ232" s="8">
        <v>100</v>
      </c>
      <c r="DA232" s="6">
        <f t="shared" si="728"/>
        <v>25000</v>
      </c>
      <c r="DB232" s="5">
        <v>0</v>
      </c>
      <c r="DC232" s="5">
        <f t="shared" si="742"/>
        <v>0.72499999999999998</v>
      </c>
      <c r="DD232" s="6">
        <f t="shared" si="729"/>
        <v>0.72499999999999998</v>
      </c>
      <c r="DE232" s="6">
        <v>1</v>
      </c>
      <c r="DF232" s="5">
        <v>0</v>
      </c>
      <c r="DG232" s="6">
        <v>2.5</v>
      </c>
      <c r="DH232" s="5">
        <v>0</v>
      </c>
      <c r="DI232" s="8">
        <v>0</v>
      </c>
      <c r="DJ232" s="5">
        <v>0</v>
      </c>
      <c r="DK232" s="8">
        <v>0</v>
      </c>
      <c r="DL232" s="5">
        <f t="shared" si="731"/>
        <v>0</v>
      </c>
      <c r="DM232" s="5" t="str">
        <f t="shared" si="795"/>
        <v>10级钢铁泰坦</v>
      </c>
      <c r="DN232" s="5">
        <v>6</v>
      </c>
      <c r="DO232" s="5">
        <v>0</v>
      </c>
      <c r="DP232" s="5">
        <v>1</v>
      </c>
      <c r="DQ232" s="5">
        <v>1</v>
      </c>
      <c r="DR232" s="5">
        <v>2.5</v>
      </c>
      <c r="DS232" s="6">
        <v>3.5</v>
      </c>
      <c r="DT232" s="5">
        <v>-0.6</v>
      </c>
      <c r="DU232" s="5">
        <v>0.5</v>
      </c>
      <c r="DV232" s="6">
        <v>0.5</v>
      </c>
      <c r="DW232" s="5">
        <f t="shared" si="814"/>
        <v>0.41666666666666669</v>
      </c>
      <c r="DX232" s="5">
        <v>5</v>
      </c>
      <c r="DY232" s="5">
        <f t="shared" si="815"/>
        <v>0</v>
      </c>
      <c r="DZ232" s="5">
        <v>0</v>
      </c>
    </row>
    <row r="233" spans="1:130" x14ac:dyDescent="0.15">
      <c r="A233" s="5">
        <v>201231</v>
      </c>
      <c r="B233" s="5" t="s">
        <v>462</v>
      </c>
      <c r="C233" s="5"/>
      <c r="D233" s="5"/>
      <c r="E233" s="5"/>
      <c r="F233" s="5">
        <v>1</v>
      </c>
      <c r="G233" s="45"/>
      <c r="H233" s="5"/>
      <c r="I233" s="5"/>
      <c r="J233" s="5"/>
      <c r="K233" s="5"/>
      <c r="L233" s="10"/>
      <c r="M233" s="5"/>
      <c r="N233" s="10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20"/>
      <c r="AF233" s="5"/>
      <c r="AG233" s="5"/>
      <c r="AH233" s="5"/>
      <c r="AI233" s="5"/>
      <c r="AJ233" s="5"/>
      <c r="AK233" s="5"/>
      <c r="AL233" s="5"/>
      <c r="AM233" s="5"/>
      <c r="AN233" s="8"/>
      <c r="AO233" s="5">
        <v>0</v>
      </c>
      <c r="AP233" s="5" t="s">
        <v>462</v>
      </c>
      <c r="AQ233" s="5">
        <v>0</v>
      </c>
      <c r="AR233" s="8">
        <v>20</v>
      </c>
      <c r="AS233" s="6">
        <f t="shared" si="733"/>
        <v>60</v>
      </c>
      <c r="AT233" s="6">
        <f t="shared" si="734"/>
        <v>63</v>
      </c>
      <c r="AU233" s="5">
        <v>0</v>
      </c>
      <c r="AV233" s="5">
        <v>0</v>
      </c>
      <c r="AW233" s="5">
        <v>0</v>
      </c>
      <c r="AX233" s="5">
        <v>1</v>
      </c>
      <c r="AY233" s="5">
        <v>0</v>
      </c>
      <c r="AZ233" s="23">
        <v>201231</v>
      </c>
      <c r="BA233" s="5">
        <f t="shared" si="809"/>
        <v>203024</v>
      </c>
      <c r="BB233" s="5">
        <v>10</v>
      </c>
      <c r="BC233" s="5">
        <v>903913</v>
      </c>
      <c r="BD233" s="5">
        <v>1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f t="shared" si="794"/>
        <v>0</v>
      </c>
      <c r="BM233" s="5">
        <v>0</v>
      </c>
      <c r="BN233" s="5">
        <v>0</v>
      </c>
      <c r="BO233" s="5">
        <v>0</v>
      </c>
      <c r="BP233" s="5">
        <v>0</v>
      </c>
      <c r="BQ233" s="5"/>
      <c r="BR233" s="5"/>
      <c r="BS233" s="4">
        <v>0</v>
      </c>
      <c r="BT233" s="4">
        <f t="shared" si="810"/>
        <v>1</v>
      </c>
      <c r="BU233" s="17">
        <v>0</v>
      </c>
      <c r="BV233" s="4">
        <f t="shared" ref="BV233:BY233" si="824">BV223</f>
        <v>1</v>
      </c>
      <c r="BW233" s="4">
        <f t="shared" si="824"/>
        <v>1</v>
      </c>
      <c r="BX233" s="4">
        <f t="shared" si="824"/>
        <v>0.85</v>
      </c>
      <c r="BY233" s="4">
        <f t="shared" si="824"/>
        <v>0.55000000000000004</v>
      </c>
      <c r="BZ233" s="5" t="s">
        <v>463</v>
      </c>
      <c r="CA233" s="4" t="str">
        <f t="shared" si="812"/>
        <v>monster24</v>
      </c>
      <c r="CB233" s="4" t="str">
        <f t="shared" si="812"/>
        <v>monster24</v>
      </c>
      <c r="CC233" s="5">
        <v>1</v>
      </c>
      <c r="CD233" s="8">
        <v>1</v>
      </c>
      <c r="CE233" s="5">
        <f>CE223</f>
        <v>1</v>
      </c>
      <c r="CF233" s="5">
        <f>CF223</f>
        <v>1</v>
      </c>
      <c r="CG233" s="5" t="s">
        <v>462</v>
      </c>
      <c r="CH233" s="5">
        <v>0</v>
      </c>
      <c r="CI233" s="5">
        <v>116</v>
      </c>
      <c r="CJ233" s="4">
        <v>0</v>
      </c>
      <c r="CK233" s="20">
        <v>0</v>
      </c>
      <c r="CL233" s="5">
        <v>0</v>
      </c>
      <c r="CM233" s="20">
        <v>111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20">
        <v>2.5</v>
      </c>
      <c r="CW233" s="20">
        <v>3</v>
      </c>
      <c r="CX233" s="20">
        <v>2.5</v>
      </c>
      <c r="CY233" s="20">
        <v>3.5</v>
      </c>
      <c r="CZ233" s="8">
        <v>50</v>
      </c>
      <c r="DA233" s="6">
        <f t="shared" si="728"/>
        <v>1250</v>
      </c>
      <c r="DB233" s="5">
        <v>0</v>
      </c>
      <c r="DC233" s="5">
        <f t="shared" si="742"/>
        <v>0.5</v>
      </c>
      <c r="DD233" s="6">
        <f t="shared" si="729"/>
        <v>0.5</v>
      </c>
      <c r="DE233" s="6">
        <v>1</v>
      </c>
      <c r="DF233" s="5">
        <v>0</v>
      </c>
      <c r="DG233" s="6">
        <v>2.5</v>
      </c>
      <c r="DH233" s="5">
        <v>0.83333000000000002</v>
      </c>
      <c r="DI233" s="8">
        <v>5</v>
      </c>
      <c r="DJ233" s="5">
        <f t="shared" ref="DJ233:DJ242" si="825">DI233*5*(1+BV233/2)</f>
        <v>37.5</v>
      </c>
      <c r="DK233" s="8">
        <v>0</v>
      </c>
      <c r="DL233" s="5">
        <f t="shared" si="731"/>
        <v>0</v>
      </c>
      <c r="DM233" s="5" t="str">
        <f t="shared" si="795"/>
        <v>1级熔岩泰坦</v>
      </c>
      <c r="DN233" s="5">
        <v>6</v>
      </c>
      <c r="DO233" s="5">
        <v>0</v>
      </c>
      <c r="DP233" s="5">
        <v>1</v>
      </c>
      <c r="DQ233" s="5">
        <v>1</v>
      </c>
      <c r="DR233" s="5">
        <v>2.5</v>
      </c>
      <c r="DS233" s="6">
        <v>3.5</v>
      </c>
      <c r="DT233" s="5">
        <v>-0.5</v>
      </c>
      <c r="DU233" s="5">
        <v>1</v>
      </c>
      <c r="DV233" s="6">
        <v>0.5</v>
      </c>
      <c r="DW233" s="5">
        <f t="shared" si="814"/>
        <v>0.5</v>
      </c>
      <c r="DX233" s="5">
        <v>6</v>
      </c>
      <c r="DY233" s="5">
        <f t="shared" si="815"/>
        <v>0</v>
      </c>
      <c r="DZ233" s="5">
        <v>0</v>
      </c>
    </row>
    <row r="234" spans="1:130" x14ac:dyDescent="0.15">
      <c r="A234" s="5">
        <v>201232</v>
      </c>
      <c r="B234" s="5" t="s">
        <v>464</v>
      </c>
      <c r="C234" s="5"/>
      <c r="D234" s="5"/>
      <c r="E234" s="5"/>
      <c r="F234" s="5">
        <v>1</v>
      </c>
      <c r="G234" s="45"/>
      <c r="H234" s="5"/>
      <c r="I234" s="5"/>
      <c r="J234" s="5"/>
      <c r="K234" s="5"/>
      <c r="L234" s="10"/>
      <c r="M234" s="5"/>
      <c r="N234" s="10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20"/>
      <c r="AF234" s="5"/>
      <c r="AG234" s="5"/>
      <c r="AH234" s="5"/>
      <c r="AI234" s="5"/>
      <c r="AJ234" s="5"/>
      <c r="AK234" s="5"/>
      <c r="AL234" s="5"/>
      <c r="AM234" s="5"/>
      <c r="AN234" s="8"/>
      <c r="AO234" s="5">
        <v>0</v>
      </c>
      <c r="AP234" s="5" t="s">
        <v>464</v>
      </c>
      <c r="AQ234" s="5">
        <v>0</v>
      </c>
      <c r="AR234" s="8">
        <v>20</v>
      </c>
      <c r="AS234" s="6">
        <f t="shared" si="733"/>
        <v>120</v>
      </c>
      <c r="AT234" s="6">
        <f t="shared" si="734"/>
        <v>126</v>
      </c>
      <c r="AU234" s="5">
        <v>0</v>
      </c>
      <c r="AV234" s="5">
        <v>0</v>
      </c>
      <c r="AW234" s="5">
        <v>0</v>
      </c>
      <c r="AX234" s="5">
        <v>1</v>
      </c>
      <c r="AY234" s="5">
        <v>0</v>
      </c>
      <c r="AZ234" s="23">
        <v>201232</v>
      </c>
      <c r="BA234" s="5">
        <f t="shared" si="809"/>
        <v>203024</v>
      </c>
      <c r="BB234" s="5">
        <v>10</v>
      </c>
      <c r="BC234" s="5">
        <v>903913</v>
      </c>
      <c r="BD234" s="5">
        <v>1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f t="shared" si="794"/>
        <v>0</v>
      </c>
      <c r="BM234" s="5">
        <v>0</v>
      </c>
      <c r="BN234" s="5">
        <v>0</v>
      </c>
      <c r="BO234" s="5">
        <v>0</v>
      </c>
      <c r="BP234" s="5">
        <v>0</v>
      </c>
      <c r="BQ234" s="5"/>
      <c r="BR234" s="5"/>
      <c r="BS234" s="4">
        <v>0</v>
      </c>
      <c r="BT234" s="4">
        <f t="shared" si="810"/>
        <v>2</v>
      </c>
      <c r="BU234" s="17">
        <v>0</v>
      </c>
      <c r="BV234" s="4">
        <f t="shared" ref="BV234:BY234" si="826">BV224</f>
        <v>2</v>
      </c>
      <c r="BW234" s="4">
        <f t="shared" si="826"/>
        <v>2</v>
      </c>
      <c r="BX234" s="4">
        <f t="shared" si="826"/>
        <v>0.78</v>
      </c>
      <c r="BY234" s="4">
        <f t="shared" si="826"/>
        <v>0.5</v>
      </c>
      <c r="BZ234" s="5" t="s">
        <v>465</v>
      </c>
      <c r="CA234" s="4" t="str">
        <f t="shared" si="812"/>
        <v>monster24_1</v>
      </c>
      <c r="CB234" s="4" t="str">
        <f t="shared" si="812"/>
        <v>monster24_1</v>
      </c>
      <c r="CC234" s="5">
        <v>1</v>
      </c>
      <c r="CD234" s="8">
        <v>1</v>
      </c>
      <c r="CE234" s="5">
        <f t="shared" ref="CE234:CF234" si="827">CE224</f>
        <v>2</v>
      </c>
      <c r="CF234" s="5">
        <f t="shared" si="827"/>
        <v>1</v>
      </c>
      <c r="CG234" s="5" t="s">
        <v>464</v>
      </c>
      <c r="CH234" s="5">
        <v>0</v>
      </c>
      <c r="CI234" s="5">
        <v>116</v>
      </c>
      <c r="CJ234" s="4">
        <v>1</v>
      </c>
      <c r="CK234" s="20">
        <v>0</v>
      </c>
      <c r="CL234" s="5">
        <v>0</v>
      </c>
      <c r="CM234" s="20">
        <v>111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20">
        <v>2.5</v>
      </c>
      <c r="CW234" s="20">
        <v>3</v>
      </c>
      <c r="CX234" s="20">
        <v>2.5</v>
      </c>
      <c r="CY234" s="20">
        <v>3.5</v>
      </c>
      <c r="CZ234" s="8">
        <v>50</v>
      </c>
      <c r="DA234" s="6">
        <f t="shared" si="728"/>
        <v>2500</v>
      </c>
      <c r="DB234" s="5">
        <v>0</v>
      </c>
      <c r="DC234" s="5">
        <f t="shared" si="742"/>
        <v>0.52500000000000002</v>
      </c>
      <c r="DD234" s="6">
        <f t="shared" si="729"/>
        <v>0.52500000000000002</v>
      </c>
      <c r="DE234" s="6">
        <v>1</v>
      </c>
      <c r="DF234" s="5">
        <v>0</v>
      </c>
      <c r="DG234" s="6">
        <v>2.5</v>
      </c>
      <c r="DH234" s="5">
        <v>0.83333000000000002</v>
      </c>
      <c r="DI234" s="8">
        <v>5</v>
      </c>
      <c r="DJ234" s="5">
        <f t="shared" si="825"/>
        <v>50</v>
      </c>
      <c r="DK234" s="8">
        <v>0</v>
      </c>
      <c r="DL234" s="5">
        <f t="shared" si="731"/>
        <v>0</v>
      </c>
      <c r="DM234" s="5" t="str">
        <f t="shared" si="795"/>
        <v>2级熔岩泰坦</v>
      </c>
      <c r="DN234" s="5">
        <v>6</v>
      </c>
      <c r="DO234" s="5">
        <v>0</v>
      </c>
      <c r="DP234" s="5">
        <v>1</v>
      </c>
      <c r="DQ234" s="5">
        <v>1</v>
      </c>
      <c r="DR234" s="5">
        <v>2.5</v>
      </c>
      <c r="DS234" s="6">
        <v>3.5</v>
      </c>
      <c r="DT234" s="5">
        <v>-0.5</v>
      </c>
      <c r="DU234" s="5">
        <v>1</v>
      </c>
      <c r="DV234" s="6">
        <v>0.5</v>
      </c>
      <c r="DW234" s="5">
        <f t="shared" si="814"/>
        <v>0.5</v>
      </c>
      <c r="DX234" s="5">
        <v>6</v>
      </c>
      <c r="DY234" s="5">
        <f t="shared" si="815"/>
        <v>0</v>
      </c>
      <c r="DZ234" s="5">
        <v>0</v>
      </c>
    </row>
    <row r="235" spans="1:130" x14ac:dyDescent="0.15">
      <c r="A235" s="5">
        <v>201233</v>
      </c>
      <c r="B235" s="5" t="s">
        <v>466</v>
      </c>
      <c r="C235" s="5"/>
      <c r="D235" s="5"/>
      <c r="E235" s="5"/>
      <c r="F235" s="5">
        <v>1</v>
      </c>
      <c r="G235" s="45"/>
      <c r="H235" s="5"/>
      <c r="I235" s="5"/>
      <c r="J235" s="5"/>
      <c r="K235" s="5"/>
      <c r="L235" s="10"/>
      <c r="M235" s="5"/>
      <c r="N235" s="10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20"/>
      <c r="AF235" s="5"/>
      <c r="AG235" s="5"/>
      <c r="AH235" s="5"/>
      <c r="AI235" s="5"/>
      <c r="AJ235" s="5"/>
      <c r="AK235" s="5"/>
      <c r="AL235" s="5"/>
      <c r="AM235" s="5"/>
      <c r="AN235" s="8"/>
      <c r="AO235" s="5">
        <v>0</v>
      </c>
      <c r="AP235" s="5" t="s">
        <v>466</v>
      </c>
      <c r="AQ235" s="5">
        <v>0</v>
      </c>
      <c r="AR235" s="8">
        <v>20</v>
      </c>
      <c r="AS235" s="6">
        <f t="shared" si="733"/>
        <v>180</v>
      </c>
      <c r="AT235" s="6">
        <f t="shared" si="734"/>
        <v>189</v>
      </c>
      <c r="AU235" s="5">
        <v>0</v>
      </c>
      <c r="AV235" s="5">
        <v>0</v>
      </c>
      <c r="AW235" s="5">
        <v>0</v>
      </c>
      <c r="AX235" s="5">
        <v>1</v>
      </c>
      <c r="AY235" s="5">
        <v>0</v>
      </c>
      <c r="AZ235" s="23">
        <v>201233</v>
      </c>
      <c r="BA235" s="5">
        <f t="shared" si="809"/>
        <v>203024</v>
      </c>
      <c r="BB235" s="5">
        <v>10</v>
      </c>
      <c r="BC235" s="5">
        <v>903913</v>
      </c>
      <c r="BD235" s="5">
        <v>1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f t="shared" si="794"/>
        <v>0</v>
      </c>
      <c r="BM235" s="5">
        <v>0</v>
      </c>
      <c r="BN235" s="5">
        <v>0</v>
      </c>
      <c r="BO235" s="5">
        <v>0</v>
      </c>
      <c r="BP235" s="5">
        <v>0</v>
      </c>
      <c r="BQ235" s="5"/>
      <c r="BR235" s="5"/>
      <c r="BS235" s="4">
        <v>0</v>
      </c>
      <c r="BT235" s="4">
        <f t="shared" si="810"/>
        <v>3</v>
      </c>
      <c r="BU235" s="17">
        <v>0</v>
      </c>
      <c r="BV235" s="4">
        <f t="shared" ref="BV235:BY235" si="828">BV225</f>
        <v>3</v>
      </c>
      <c r="BW235" s="4">
        <f t="shared" si="828"/>
        <v>3</v>
      </c>
      <c r="BX235" s="4">
        <f t="shared" si="828"/>
        <v>0.71</v>
      </c>
      <c r="BY235" s="4">
        <f t="shared" si="828"/>
        <v>0.45000000000000007</v>
      </c>
      <c r="BZ235" s="5" t="s">
        <v>463</v>
      </c>
      <c r="CA235" s="4" t="str">
        <f t="shared" si="812"/>
        <v>monster24</v>
      </c>
      <c r="CB235" s="4" t="str">
        <f t="shared" si="812"/>
        <v>monster24</v>
      </c>
      <c r="CC235" s="5">
        <v>1</v>
      </c>
      <c r="CD235" s="8">
        <v>1</v>
      </c>
      <c r="CE235" s="5">
        <f t="shared" ref="CE235:CF235" si="829">CE225</f>
        <v>3</v>
      </c>
      <c r="CF235" s="5">
        <f t="shared" si="829"/>
        <v>1</v>
      </c>
      <c r="CG235" s="5" t="s">
        <v>466</v>
      </c>
      <c r="CH235" s="5">
        <v>0</v>
      </c>
      <c r="CI235" s="5">
        <v>116</v>
      </c>
      <c r="CJ235" s="4">
        <v>0</v>
      </c>
      <c r="CK235" s="20">
        <v>0</v>
      </c>
      <c r="CL235" s="5">
        <v>0</v>
      </c>
      <c r="CM235" s="20">
        <v>111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20">
        <v>2.5</v>
      </c>
      <c r="CW235" s="20">
        <v>3</v>
      </c>
      <c r="CX235" s="20">
        <v>2.5</v>
      </c>
      <c r="CY235" s="20">
        <v>3.5</v>
      </c>
      <c r="CZ235" s="8">
        <v>50</v>
      </c>
      <c r="DA235" s="6">
        <f t="shared" si="728"/>
        <v>3750</v>
      </c>
      <c r="DB235" s="5">
        <v>0</v>
      </c>
      <c r="DC235" s="5">
        <f t="shared" si="742"/>
        <v>0.55000000000000004</v>
      </c>
      <c r="DD235" s="6">
        <f t="shared" si="729"/>
        <v>0.55000000000000004</v>
      </c>
      <c r="DE235" s="6">
        <v>1</v>
      </c>
      <c r="DF235" s="5">
        <v>0</v>
      </c>
      <c r="DG235" s="6">
        <v>2.5</v>
      </c>
      <c r="DH235" s="5">
        <v>0.83333000000000002</v>
      </c>
      <c r="DI235" s="8">
        <v>5</v>
      </c>
      <c r="DJ235" s="5">
        <f t="shared" si="825"/>
        <v>62.5</v>
      </c>
      <c r="DK235" s="8">
        <v>0</v>
      </c>
      <c r="DL235" s="5">
        <f t="shared" si="731"/>
        <v>0</v>
      </c>
      <c r="DM235" s="5" t="str">
        <f t="shared" si="795"/>
        <v>3级熔岩泰坦</v>
      </c>
      <c r="DN235" s="5">
        <v>6</v>
      </c>
      <c r="DO235" s="5">
        <v>0</v>
      </c>
      <c r="DP235" s="5">
        <v>1</v>
      </c>
      <c r="DQ235" s="5">
        <v>1</v>
      </c>
      <c r="DR235" s="5">
        <v>2.5</v>
      </c>
      <c r="DS235" s="6">
        <v>3.5</v>
      </c>
      <c r="DT235" s="5">
        <v>-0.5</v>
      </c>
      <c r="DU235" s="5">
        <v>1</v>
      </c>
      <c r="DV235" s="6">
        <v>0.5</v>
      </c>
      <c r="DW235" s="5">
        <f t="shared" si="814"/>
        <v>0.5</v>
      </c>
      <c r="DX235" s="5">
        <v>6</v>
      </c>
      <c r="DY235" s="5">
        <f t="shared" si="815"/>
        <v>0</v>
      </c>
      <c r="DZ235" s="5">
        <v>0</v>
      </c>
    </row>
    <row r="236" spans="1:130" x14ac:dyDescent="0.15">
      <c r="A236" s="5">
        <v>201234</v>
      </c>
      <c r="B236" s="5" t="s">
        <v>467</v>
      </c>
      <c r="C236" s="5"/>
      <c r="D236" s="5"/>
      <c r="E236" s="5"/>
      <c r="F236" s="5">
        <v>1</v>
      </c>
      <c r="G236" s="45"/>
      <c r="H236" s="5"/>
      <c r="I236" s="5"/>
      <c r="J236" s="5"/>
      <c r="K236" s="5"/>
      <c r="L236" s="10"/>
      <c r="M236" s="5"/>
      <c r="N236" s="10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20"/>
      <c r="AF236" s="5"/>
      <c r="AG236" s="5"/>
      <c r="AH236" s="5"/>
      <c r="AI236" s="5"/>
      <c r="AJ236" s="5"/>
      <c r="AK236" s="5"/>
      <c r="AL236" s="5"/>
      <c r="AM236" s="5"/>
      <c r="AN236" s="8"/>
      <c r="AO236" s="5">
        <v>0</v>
      </c>
      <c r="AP236" s="5" t="s">
        <v>467</v>
      </c>
      <c r="AQ236" s="5">
        <v>0</v>
      </c>
      <c r="AR236" s="8">
        <v>20</v>
      </c>
      <c r="AS236" s="6">
        <f t="shared" si="733"/>
        <v>240</v>
      </c>
      <c r="AT236" s="6">
        <f t="shared" si="734"/>
        <v>252</v>
      </c>
      <c r="AU236" s="5">
        <v>0</v>
      </c>
      <c r="AV236" s="5">
        <v>0</v>
      </c>
      <c r="AW236" s="5">
        <v>0</v>
      </c>
      <c r="AX236" s="5">
        <v>1</v>
      </c>
      <c r="AY236" s="5">
        <v>0</v>
      </c>
      <c r="AZ236" s="23">
        <v>201234</v>
      </c>
      <c r="BA236" s="5">
        <f t="shared" si="809"/>
        <v>203024</v>
      </c>
      <c r="BB236" s="5">
        <v>10</v>
      </c>
      <c r="BC236" s="5">
        <v>903913</v>
      </c>
      <c r="BD236" s="5">
        <v>1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f t="shared" si="794"/>
        <v>0</v>
      </c>
      <c r="BM236" s="5">
        <v>0</v>
      </c>
      <c r="BN236" s="5">
        <v>0</v>
      </c>
      <c r="BO236" s="5">
        <v>0</v>
      </c>
      <c r="BP236" s="5">
        <v>0</v>
      </c>
      <c r="BQ236" s="5"/>
      <c r="BR236" s="5"/>
      <c r="BS236" s="4">
        <v>0</v>
      </c>
      <c r="BT236" s="4">
        <f t="shared" si="810"/>
        <v>4</v>
      </c>
      <c r="BU236" s="17">
        <v>0</v>
      </c>
      <c r="BV236" s="4">
        <f t="shared" ref="BV236:BY236" si="830">BV226</f>
        <v>4</v>
      </c>
      <c r="BW236" s="4">
        <f t="shared" si="830"/>
        <v>4</v>
      </c>
      <c r="BX236" s="4">
        <f t="shared" si="830"/>
        <v>0.6399999999999999</v>
      </c>
      <c r="BY236" s="4">
        <f t="shared" si="830"/>
        <v>0.4</v>
      </c>
      <c r="BZ236" s="5" t="s">
        <v>465</v>
      </c>
      <c r="CA236" s="4" t="str">
        <f t="shared" si="812"/>
        <v>monster24_1</v>
      </c>
      <c r="CB236" s="4" t="str">
        <f t="shared" si="812"/>
        <v>monster24_1</v>
      </c>
      <c r="CC236" s="5">
        <v>1</v>
      </c>
      <c r="CD236" s="8">
        <v>1</v>
      </c>
      <c r="CE236" s="5">
        <f t="shared" ref="CE236:CF236" si="831">CE226</f>
        <v>4</v>
      </c>
      <c r="CF236" s="5">
        <f t="shared" si="831"/>
        <v>1</v>
      </c>
      <c r="CG236" s="5" t="s">
        <v>467</v>
      </c>
      <c r="CH236" s="5">
        <v>0</v>
      </c>
      <c r="CI236" s="5">
        <v>116</v>
      </c>
      <c r="CJ236" s="4">
        <v>1</v>
      </c>
      <c r="CK236" s="20">
        <v>0</v>
      </c>
      <c r="CL236" s="5">
        <v>0</v>
      </c>
      <c r="CM236" s="20">
        <v>111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20">
        <v>2.5</v>
      </c>
      <c r="CW236" s="20">
        <v>3</v>
      </c>
      <c r="CX236" s="20">
        <v>2.5</v>
      </c>
      <c r="CY236" s="20">
        <v>3.5</v>
      </c>
      <c r="CZ236" s="8">
        <v>50</v>
      </c>
      <c r="DA236" s="6">
        <f t="shared" si="728"/>
        <v>5000</v>
      </c>
      <c r="DB236" s="5">
        <v>0</v>
      </c>
      <c r="DC236" s="5">
        <f t="shared" si="742"/>
        <v>0.57499999999999996</v>
      </c>
      <c r="DD236" s="6">
        <f t="shared" si="729"/>
        <v>0.57499999999999996</v>
      </c>
      <c r="DE236" s="6">
        <v>1</v>
      </c>
      <c r="DF236" s="5">
        <v>0</v>
      </c>
      <c r="DG236" s="6">
        <v>2.5</v>
      </c>
      <c r="DH236" s="5">
        <v>0.83333000000000002</v>
      </c>
      <c r="DI236" s="8">
        <v>5</v>
      </c>
      <c r="DJ236" s="5">
        <f t="shared" si="825"/>
        <v>75</v>
      </c>
      <c r="DK236" s="8">
        <v>0</v>
      </c>
      <c r="DL236" s="5">
        <f t="shared" si="731"/>
        <v>0</v>
      </c>
      <c r="DM236" s="5" t="str">
        <f t="shared" si="795"/>
        <v>4级熔岩泰坦</v>
      </c>
      <c r="DN236" s="5">
        <v>6</v>
      </c>
      <c r="DO236" s="5">
        <v>0</v>
      </c>
      <c r="DP236" s="5">
        <v>1</v>
      </c>
      <c r="DQ236" s="5">
        <v>1</v>
      </c>
      <c r="DR236" s="5">
        <v>2.5</v>
      </c>
      <c r="DS236" s="6">
        <v>3.5</v>
      </c>
      <c r="DT236" s="5">
        <v>-0.5</v>
      </c>
      <c r="DU236" s="5">
        <v>1</v>
      </c>
      <c r="DV236" s="6">
        <v>0.5</v>
      </c>
      <c r="DW236" s="5">
        <f t="shared" si="814"/>
        <v>0.5</v>
      </c>
      <c r="DX236" s="5">
        <v>6</v>
      </c>
      <c r="DY236" s="5">
        <f t="shared" si="815"/>
        <v>0</v>
      </c>
      <c r="DZ236" s="5">
        <v>0</v>
      </c>
    </row>
    <row r="237" spans="1:130" x14ac:dyDescent="0.15">
      <c r="A237" s="5">
        <v>201235</v>
      </c>
      <c r="B237" s="5" t="s">
        <v>468</v>
      </c>
      <c r="C237" s="5"/>
      <c r="D237" s="5"/>
      <c r="E237" s="5"/>
      <c r="F237" s="5">
        <v>1</v>
      </c>
      <c r="G237" s="45"/>
      <c r="H237" s="5"/>
      <c r="I237" s="5"/>
      <c r="J237" s="5"/>
      <c r="K237" s="5"/>
      <c r="L237" s="10"/>
      <c r="M237" s="5"/>
      <c r="N237" s="10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20"/>
      <c r="AF237" s="5"/>
      <c r="AG237" s="5"/>
      <c r="AH237" s="5"/>
      <c r="AI237" s="5"/>
      <c r="AJ237" s="5"/>
      <c r="AK237" s="5"/>
      <c r="AL237" s="5"/>
      <c r="AM237" s="5"/>
      <c r="AN237" s="8"/>
      <c r="AO237" s="5">
        <v>0</v>
      </c>
      <c r="AP237" s="5" t="s">
        <v>468</v>
      </c>
      <c r="AQ237" s="5">
        <v>0</v>
      </c>
      <c r="AR237" s="8">
        <v>20</v>
      </c>
      <c r="AS237" s="6">
        <f t="shared" si="733"/>
        <v>300</v>
      </c>
      <c r="AT237" s="6">
        <f t="shared" si="734"/>
        <v>315</v>
      </c>
      <c r="AU237" s="5">
        <v>0</v>
      </c>
      <c r="AV237" s="5">
        <v>0</v>
      </c>
      <c r="AW237" s="5">
        <v>0</v>
      </c>
      <c r="AX237" s="5">
        <v>1</v>
      </c>
      <c r="AY237" s="5">
        <v>0</v>
      </c>
      <c r="AZ237" s="23">
        <v>201235</v>
      </c>
      <c r="BA237" s="5">
        <f t="shared" si="809"/>
        <v>203024</v>
      </c>
      <c r="BB237" s="5">
        <v>10</v>
      </c>
      <c r="BC237" s="5">
        <v>903913</v>
      </c>
      <c r="BD237" s="5">
        <v>1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f t="shared" si="794"/>
        <v>0</v>
      </c>
      <c r="BM237" s="5">
        <v>0</v>
      </c>
      <c r="BN237" s="5">
        <v>0</v>
      </c>
      <c r="BO237" s="5">
        <v>0</v>
      </c>
      <c r="BP237" s="5">
        <v>0</v>
      </c>
      <c r="BQ237" s="5"/>
      <c r="BR237" s="5"/>
      <c r="BS237" s="4">
        <v>0</v>
      </c>
      <c r="BT237" s="4">
        <f t="shared" si="810"/>
        <v>5</v>
      </c>
      <c r="BU237" s="17">
        <v>0</v>
      </c>
      <c r="BV237" s="4">
        <f t="shared" ref="BV237:BY237" si="832">BV227</f>
        <v>5</v>
      </c>
      <c r="BW237" s="4">
        <f t="shared" si="832"/>
        <v>5</v>
      </c>
      <c r="BX237" s="4">
        <f t="shared" si="832"/>
        <v>0.56999999999999995</v>
      </c>
      <c r="BY237" s="4">
        <f t="shared" si="832"/>
        <v>0.35000000000000003</v>
      </c>
      <c r="BZ237" s="5" t="s">
        <v>463</v>
      </c>
      <c r="CA237" s="4" t="str">
        <f t="shared" si="812"/>
        <v>monster24</v>
      </c>
      <c r="CB237" s="4" t="str">
        <f t="shared" si="812"/>
        <v>monster24</v>
      </c>
      <c r="CC237" s="5">
        <v>1</v>
      </c>
      <c r="CD237" s="8">
        <v>1</v>
      </c>
      <c r="CE237" s="5">
        <f t="shared" ref="CE237:CF237" si="833">CE227</f>
        <v>5</v>
      </c>
      <c r="CF237" s="5">
        <f t="shared" si="833"/>
        <v>1</v>
      </c>
      <c r="CG237" s="5" t="s">
        <v>468</v>
      </c>
      <c r="CH237" s="5">
        <v>0</v>
      </c>
      <c r="CI237" s="5">
        <v>116</v>
      </c>
      <c r="CJ237" s="4">
        <v>0</v>
      </c>
      <c r="CK237" s="20">
        <v>0</v>
      </c>
      <c r="CL237" s="5">
        <v>0</v>
      </c>
      <c r="CM237" s="20">
        <v>111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20">
        <v>2.5</v>
      </c>
      <c r="CW237" s="20">
        <v>3</v>
      </c>
      <c r="CX237" s="20">
        <v>2.5</v>
      </c>
      <c r="CY237" s="20">
        <v>3.5</v>
      </c>
      <c r="CZ237" s="8">
        <v>50</v>
      </c>
      <c r="DA237" s="6">
        <f t="shared" si="728"/>
        <v>6250</v>
      </c>
      <c r="DB237" s="5">
        <v>0</v>
      </c>
      <c r="DC237" s="5">
        <f t="shared" si="742"/>
        <v>0.6</v>
      </c>
      <c r="DD237" s="6">
        <f t="shared" si="729"/>
        <v>0.6</v>
      </c>
      <c r="DE237" s="6">
        <v>1</v>
      </c>
      <c r="DF237" s="5">
        <v>0</v>
      </c>
      <c r="DG237" s="6">
        <v>2.5</v>
      </c>
      <c r="DH237" s="5">
        <v>0.83333000000000002</v>
      </c>
      <c r="DI237" s="8">
        <v>5</v>
      </c>
      <c r="DJ237" s="5">
        <f t="shared" si="825"/>
        <v>87.5</v>
      </c>
      <c r="DK237" s="8">
        <v>0</v>
      </c>
      <c r="DL237" s="5">
        <f t="shared" si="731"/>
        <v>0</v>
      </c>
      <c r="DM237" s="5" t="str">
        <f t="shared" si="795"/>
        <v>5级熔岩泰坦</v>
      </c>
      <c r="DN237" s="5">
        <v>6</v>
      </c>
      <c r="DO237" s="5">
        <v>0</v>
      </c>
      <c r="DP237" s="5">
        <v>1</v>
      </c>
      <c r="DQ237" s="5">
        <v>1</v>
      </c>
      <c r="DR237" s="5">
        <v>2.5</v>
      </c>
      <c r="DS237" s="6">
        <v>3.5</v>
      </c>
      <c r="DT237" s="5">
        <v>-0.5</v>
      </c>
      <c r="DU237" s="5">
        <v>1</v>
      </c>
      <c r="DV237" s="6">
        <v>0.5</v>
      </c>
      <c r="DW237" s="5">
        <f t="shared" si="814"/>
        <v>0.5</v>
      </c>
      <c r="DX237" s="5">
        <v>6</v>
      </c>
      <c r="DY237" s="5">
        <f t="shared" si="815"/>
        <v>0</v>
      </c>
      <c r="DZ237" s="5">
        <v>0</v>
      </c>
    </row>
    <row r="238" spans="1:130" x14ac:dyDescent="0.15">
      <c r="A238" s="5">
        <v>201236</v>
      </c>
      <c r="B238" s="5" t="s">
        <v>469</v>
      </c>
      <c r="C238" s="5"/>
      <c r="D238" s="5"/>
      <c r="E238" s="5"/>
      <c r="F238" s="5">
        <v>1</v>
      </c>
      <c r="G238" s="45"/>
      <c r="H238" s="5"/>
      <c r="I238" s="5"/>
      <c r="J238" s="5"/>
      <c r="K238" s="5"/>
      <c r="L238" s="10"/>
      <c r="M238" s="5"/>
      <c r="N238" s="10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20"/>
      <c r="AF238" s="5"/>
      <c r="AG238" s="5"/>
      <c r="AH238" s="5"/>
      <c r="AI238" s="5"/>
      <c r="AJ238" s="5"/>
      <c r="AK238" s="5"/>
      <c r="AL238" s="5"/>
      <c r="AM238" s="5"/>
      <c r="AN238" s="8"/>
      <c r="AO238" s="5">
        <v>0</v>
      </c>
      <c r="AP238" s="5" t="s">
        <v>469</v>
      </c>
      <c r="AQ238" s="5">
        <v>0</v>
      </c>
      <c r="AR238" s="8">
        <v>20</v>
      </c>
      <c r="AS238" s="6">
        <f t="shared" si="733"/>
        <v>360</v>
      </c>
      <c r="AT238" s="6">
        <f t="shared" si="734"/>
        <v>378</v>
      </c>
      <c r="AU238" s="5">
        <v>0</v>
      </c>
      <c r="AV238" s="5">
        <v>0</v>
      </c>
      <c r="AW238" s="5">
        <v>0</v>
      </c>
      <c r="AX238" s="5">
        <v>1</v>
      </c>
      <c r="AY238" s="5">
        <v>0</v>
      </c>
      <c r="AZ238" s="23">
        <v>201236</v>
      </c>
      <c r="BA238" s="5">
        <f t="shared" si="809"/>
        <v>203024</v>
      </c>
      <c r="BB238" s="5">
        <v>10</v>
      </c>
      <c r="BC238" s="5">
        <v>903913</v>
      </c>
      <c r="BD238" s="5">
        <v>1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f t="shared" si="794"/>
        <v>0</v>
      </c>
      <c r="BM238" s="5">
        <v>0</v>
      </c>
      <c r="BN238" s="5">
        <v>0</v>
      </c>
      <c r="BO238" s="5">
        <v>0</v>
      </c>
      <c r="BP238" s="5">
        <v>0</v>
      </c>
      <c r="BQ238" s="5"/>
      <c r="BR238" s="5"/>
      <c r="BS238" s="4">
        <v>0</v>
      </c>
      <c r="BT238" s="4">
        <f t="shared" si="810"/>
        <v>6</v>
      </c>
      <c r="BU238" s="17">
        <v>0</v>
      </c>
      <c r="BV238" s="4">
        <f t="shared" ref="BV238:BY238" si="834">BV228</f>
        <v>6</v>
      </c>
      <c r="BW238" s="4">
        <f t="shared" si="834"/>
        <v>6</v>
      </c>
      <c r="BX238" s="4">
        <f t="shared" si="834"/>
        <v>0.49999999999999994</v>
      </c>
      <c r="BY238" s="4">
        <f t="shared" si="834"/>
        <v>0.30000000000000004</v>
      </c>
      <c r="BZ238" s="5" t="s">
        <v>465</v>
      </c>
      <c r="CA238" s="4" t="str">
        <f t="shared" si="812"/>
        <v>monster24_1</v>
      </c>
      <c r="CB238" s="4" t="str">
        <f t="shared" si="812"/>
        <v>monster24_1</v>
      </c>
      <c r="CC238" s="5">
        <v>1</v>
      </c>
      <c r="CD238" s="8">
        <v>1</v>
      </c>
      <c r="CE238" s="5">
        <f t="shared" ref="CE238:CF238" si="835">CE228</f>
        <v>6</v>
      </c>
      <c r="CF238" s="5">
        <f t="shared" si="835"/>
        <v>1</v>
      </c>
      <c r="CG238" s="5" t="s">
        <v>469</v>
      </c>
      <c r="CH238" s="5">
        <v>0</v>
      </c>
      <c r="CI238" s="5">
        <v>116</v>
      </c>
      <c r="CJ238" s="4">
        <v>1</v>
      </c>
      <c r="CK238" s="20">
        <v>0</v>
      </c>
      <c r="CL238" s="5">
        <v>0</v>
      </c>
      <c r="CM238" s="20">
        <v>111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20">
        <v>2.5</v>
      </c>
      <c r="CW238" s="20">
        <v>3</v>
      </c>
      <c r="CX238" s="20">
        <v>2.5</v>
      </c>
      <c r="CY238" s="20">
        <v>3.5</v>
      </c>
      <c r="CZ238" s="8">
        <v>50</v>
      </c>
      <c r="DA238" s="6">
        <f t="shared" si="728"/>
        <v>7500</v>
      </c>
      <c r="DB238" s="5">
        <v>0</v>
      </c>
      <c r="DC238" s="5">
        <f t="shared" si="742"/>
        <v>0.625</v>
      </c>
      <c r="DD238" s="6">
        <f t="shared" si="729"/>
        <v>0.625</v>
      </c>
      <c r="DE238" s="6">
        <v>1</v>
      </c>
      <c r="DF238" s="5">
        <v>0</v>
      </c>
      <c r="DG238" s="6">
        <v>2.5</v>
      </c>
      <c r="DH238" s="5">
        <v>0.83333000000000002</v>
      </c>
      <c r="DI238" s="8">
        <v>5</v>
      </c>
      <c r="DJ238" s="5">
        <f t="shared" si="825"/>
        <v>100</v>
      </c>
      <c r="DK238" s="8">
        <v>0</v>
      </c>
      <c r="DL238" s="5">
        <f t="shared" si="731"/>
        <v>0</v>
      </c>
      <c r="DM238" s="5" t="str">
        <f t="shared" si="795"/>
        <v>6级熔岩泰坦</v>
      </c>
      <c r="DN238" s="5">
        <v>6</v>
      </c>
      <c r="DO238" s="5">
        <v>0</v>
      </c>
      <c r="DP238" s="5">
        <v>1</v>
      </c>
      <c r="DQ238" s="5">
        <v>1</v>
      </c>
      <c r="DR238" s="5">
        <v>2.5</v>
      </c>
      <c r="DS238" s="6">
        <v>3.5</v>
      </c>
      <c r="DT238" s="5">
        <v>-0.5</v>
      </c>
      <c r="DU238" s="5">
        <v>1</v>
      </c>
      <c r="DV238" s="6">
        <v>0.5</v>
      </c>
      <c r="DW238" s="5">
        <f t="shared" si="814"/>
        <v>0.5</v>
      </c>
      <c r="DX238" s="5">
        <v>6</v>
      </c>
      <c r="DY238" s="5">
        <f t="shared" si="815"/>
        <v>0</v>
      </c>
      <c r="DZ238" s="5">
        <v>0</v>
      </c>
    </row>
    <row r="239" spans="1:130" x14ac:dyDescent="0.15">
      <c r="A239" s="5">
        <v>201237</v>
      </c>
      <c r="B239" s="5" t="s">
        <v>470</v>
      </c>
      <c r="C239" s="5"/>
      <c r="D239" s="5"/>
      <c r="E239" s="5"/>
      <c r="F239" s="5">
        <v>1</v>
      </c>
      <c r="G239" s="45"/>
      <c r="H239" s="5"/>
      <c r="I239" s="5"/>
      <c r="J239" s="5"/>
      <c r="K239" s="5"/>
      <c r="L239" s="10"/>
      <c r="M239" s="5"/>
      <c r="N239" s="10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20"/>
      <c r="AF239" s="5"/>
      <c r="AG239" s="5"/>
      <c r="AH239" s="5"/>
      <c r="AI239" s="5"/>
      <c r="AJ239" s="5"/>
      <c r="AK239" s="5"/>
      <c r="AL239" s="5"/>
      <c r="AM239" s="5"/>
      <c r="AN239" s="8"/>
      <c r="AO239" s="5">
        <v>0</v>
      </c>
      <c r="AP239" s="5" t="s">
        <v>470</v>
      </c>
      <c r="AQ239" s="5">
        <v>0</v>
      </c>
      <c r="AR239" s="8">
        <v>20</v>
      </c>
      <c r="AS239" s="6">
        <f t="shared" si="733"/>
        <v>420</v>
      </c>
      <c r="AT239" s="6">
        <f t="shared" si="734"/>
        <v>441</v>
      </c>
      <c r="AU239" s="5">
        <v>0</v>
      </c>
      <c r="AV239" s="5">
        <v>0</v>
      </c>
      <c r="AW239" s="5">
        <v>0</v>
      </c>
      <c r="AX239" s="5">
        <v>1</v>
      </c>
      <c r="AY239" s="5">
        <v>0</v>
      </c>
      <c r="AZ239" s="23">
        <v>201237</v>
      </c>
      <c r="BA239" s="5">
        <f t="shared" si="809"/>
        <v>203024</v>
      </c>
      <c r="BB239" s="5">
        <v>10</v>
      </c>
      <c r="BC239" s="5">
        <v>903913</v>
      </c>
      <c r="BD239" s="5">
        <v>1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f t="shared" si="794"/>
        <v>1</v>
      </c>
      <c r="BM239" s="5">
        <v>0</v>
      </c>
      <c r="BN239" s="5">
        <v>0</v>
      </c>
      <c r="BO239" s="5">
        <v>0</v>
      </c>
      <c r="BP239" s="5">
        <v>0</v>
      </c>
      <c r="BQ239" s="5"/>
      <c r="BR239" s="5"/>
      <c r="BS239" s="4">
        <v>0</v>
      </c>
      <c r="BT239" s="4">
        <f t="shared" si="810"/>
        <v>7</v>
      </c>
      <c r="BU239" s="17">
        <v>0</v>
      </c>
      <c r="BV239" s="4">
        <f t="shared" ref="BV239:BY239" si="836">BV229</f>
        <v>7</v>
      </c>
      <c r="BW239" s="4">
        <f t="shared" si="836"/>
        <v>7</v>
      </c>
      <c r="BX239" s="4">
        <f t="shared" si="836"/>
        <v>0.42999999999999994</v>
      </c>
      <c r="BY239" s="4">
        <f t="shared" si="836"/>
        <v>0.25</v>
      </c>
      <c r="BZ239" s="5" t="s">
        <v>463</v>
      </c>
      <c r="CA239" s="4" t="str">
        <f t="shared" si="812"/>
        <v>monster24</v>
      </c>
      <c r="CB239" s="4" t="str">
        <f t="shared" si="812"/>
        <v>monster24</v>
      </c>
      <c r="CC239" s="5">
        <v>1</v>
      </c>
      <c r="CD239" s="8">
        <v>1</v>
      </c>
      <c r="CE239" s="5">
        <f t="shared" ref="CE239:CF239" si="837">CE229</f>
        <v>7</v>
      </c>
      <c r="CF239" s="5">
        <f t="shared" si="837"/>
        <v>1</v>
      </c>
      <c r="CG239" s="5" t="s">
        <v>470</v>
      </c>
      <c r="CH239" s="5">
        <v>0</v>
      </c>
      <c r="CI239" s="5">
        <v>116</v>
      </c>
      <c r="CJ239" s="4">
        <v>0</v>
      </c>
      <c r="CK239" s="20">
        <v>0</v>
      </c>
      <c r="CL239" s="5">
        <v>0</v>
      </c>
      <c r="CM239" s="20">
        <v>111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20">
        <v>2.5</v>
      </c>
      <c r="CW239" s="20">
        <v>3</v>
      </c>
      <c r="CX239" s="20">
        <v>2.5</v>
      </c>
      <c r="CY239" s="20">
        <v>3.5</v>
      </c>
      <c r="CZ239" s="8">
        <v>50</v>
      </c>
      <c r="DA239" s="6">
        <f t="shared" si="728"/>
        <v>8750</v>
      </c>
      <c r="DB239" s="5">
        <v>0</v>
      </c>
      <c r="DC239" s="5">
        <f t="shared" si="742"/>
        <v>0.65</v>
      </c>
      <c r="DD239" s="6">
        <f t="shared" si="729"/>
        <v>0.65</v>
      </c>
      <c r="DE239" s="6">
        <v>1</v>
      </c>
      <c r="DF239" s="5">
        <v>0</v>
      </c>
      <c r="DG239" s="6">
        <v>2.5</v>
      </c>
      <c r="DH239" s="5">
        <v>0.83333000000000002</v>
      </c>
      <c r="DI239" s="8">
        <v>5</v>
      </c>
      <c r="DJ239" s="5">
        <f t="shared" si="825"/>
        <v>112.5</v>
      </c>
      <c r="DK239" s="8">
        <v>0</v>
      </c>
      <c r="DL239" s="5">
        <f t="shared" si="731"/>
        <v>0</v>
      </c>
      <c r="DM239" s="5" t="str">
        <f t="shared" si="795"/>
        <v>7级熔岩泰坦</v>
      </c>
      <c r="DN239" s="5">
        <v>6</v>
      </c>
      <c r="DO239" s="5">
        <v>0</v>
      </c>
      <c r="DP239" s="5">
        <v>1</v>
      </c>
      <c r="DQ239" s="5">
        <v>1</v>
      </c>
      <c r="DR239" s="5">
        <v>2.5</v>
      </c>
      <c r="DS239" s="6">
        <v>3.5</v>
      </c>
      <c r="DT239" s="5">
        <v>-0.5</v>
      </c>
      <c r="DU239" s="5">
        <v>1</v>
      </c>
      <c r="DV239" s="6">
        <v>0.5</v>
      </c>
      <c r="DW239" s="5">
        <f t="shared" si="814"/>
        <v>0.5</v>
      </c>
      <c r="DX239" s="5">
        <v>6</v>
      </c>
      <c r="DY239" s="5">
        <f t="shared" si="815"/>
        <v>0</v>
      </c>
      <c r="DZ239" s="5">
        <v>0</v>
      </c>
    </row>
    <row r="240" spans="1:130" x14ac:dyDescent="0.15">
      <c r="A240" s="5">
        <v>201238</v>
      </c>
      <c r="B240" s="5" t="s">
        <v>471</v>
      </c>
      <c r="C240" s="5"/>
      <c r="D240" s="5"/>
      <c r="E240" s="5"/>
      <c r="F240" s="5">
        <v>1</v>
      </c>
      <c r="G240" s="45"/>
      <c r="H240" s="5"/>
      <c r="I240" s="5"/>
      <c r="J240" s="5"/>
      <c r="K240" s="5"/>
      <c r="L240" s="10"/>
      <c r="M240" s="5"/>
      <c r="N240" s="10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20"/>
      <c r="AF240" s="5"/>
      <c r="AG240" s="5"/>
      <c r="AH240" s="5"/>
      <c r="AI240" s="5"/>
      <c r="AJ240" s="5"/>
      <c r="AK240" s="5"/>
      <c r="AL240" s="5"/>
      <c r="AM240" s="5"/>
      <c r="AN240" s="8"/>
      <c r="AO240" s="5">
        <v>0</v>
      </c>
      <c r="AP240" s="5" t="s">
        <v>471</v>
      </c>
      <c r="AQ240" s="5">
        <v>0</v>
      </c>
      <c r="AR240" s="8">
        <v>20</v>
      </c>
      <c r="AS240" s="6">
        <f t="shared" si="733"/>
        <v>480</v>
      </c>
      <c r="AT240" s="6">
        <f t="shared" si="734"/>
        <v>504</v>
      </c>
      <c r="AU240" s="5">
        <v>0</v>
      </c>
      <c r="AV240" s="5">
        <v>0</v>
      </c>
      <c r="AW240" s="5">
        <v>0</v>
      </c>
      <c r="AX240" s="5">
        <v>1</v>
      </c>
      <c r="AY240" s="5">
        <v>0</v>
      </c>
      <c r="AZ240" s="23">
        <v>201238</v>
      </c>
      <c r="BA240" s="5">
        <f t="shared" si="809"/>
        <v>203024</v>
      </c>
      <c r="BB240" s="5">
        <v>10</v>
      </c>
      <c r="BC240" s="5">
        <v>903913</v>
      </c>
      <c r="BD240" s="5">
        <v>1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f t="shared" si="794"/>
        <v>0</v>
      </c>
      <c r="BM240" s="5">
        <v>0</v>
      </c>
      <c r="BN240" s="5">
        <v>0</v>
      </c>
      <c r="BO240" s="5">
        <v>0</v>
      </c>
      <c r="BP240" s="5">
        <v>0</v>
      </c>
      <c r="BQ240" s="5"/>
      <c r="BR240" s="5"/>
      <c r="BS240" s="4">
        <v>0</v>
      </c>
      <c r="BT240" s="4">
        <f t="shared" si="810"/>
        <v>8</v>
      </c>
      <c r="BU240" s="17">
        <v>0</v>
      </c>
      <c r="BV240" s="4">
        <f t="shared" ref="BV240:BY240" si="838">BV230</f>
        <v>8</v>
      </c>
      <c r="BW240" s="4">
        <f t="shared" si="838"/>
        <v>8</v>
      </c>
      <c r="BX240" s="4">
        <f t="shared" si="838"/>
        <v>0.35999999999999993</v>
      </c>
      <c r="BY240" s="4">
        <f t="shared" si="838"/>
        <v>0.2</v>
      </c>
      <c r="BZ240" s="5" t="s">
        <v>465</v>
      </c>
      <c r="CA240" s="4" t="str">
        <f t="shared" si="812"/>
        <v>monster24_1</v>
      </c>
      <c r="CB240" s="4" t="str">
        <f t="shared" si="812"/>
        <v>monster24_1</v>
      </c>
      <c r="CC240" s="5">
        <v>1</v>
      </c>
      <c r="CD240" s="8">
        <v>1</v>
      </c>
      <c r="CE240" s="5">
        <f t="shared" ref="CE240:CF240" si="839">CE230</f>
        <v>8</v>
      </c>
      <c r="CF240" s="5">
        <f t="shared" si="839"/>
        <v>1</v>
      </c>
      <c r="CG240" s="5" t="s">
        <v>471</v>
      </c>
      <c r="CH240" s="5">
        <v>0</v>
      </c>
      <c r="CI240" s="5">
        <v>116</v>
      </c>
      <c r="CJ240" s="4">
        <v>1</v>
      </c>
      <c r="CK240" s="20">
        <v>0</v>
      </c>
      <c r="CL240" s="5">
        <v>0</v>
      </c>
      <c r="CM240" s="20">
        <v>111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20">
        <v>2.5</v>
      </c>
      <c r="CW240" s="20">
        <v>3</v>
      </c>
      <c r="CX240" s="20">
        <v>2.5</v>
      </c>
      <c r="CY240" s="20">
        <v>3.5</v>
      </c>
      <c r="CZ240" s="8">
        <v>50</v>
      </c>
      <c r="DA240" s="6">
        <f t="shared" si="728"/>
        <v>10000</v>
      </c>
      <c r="DB240" s="5">
        <v>0</v>
      </c>
      <c r="DC240" s="5">
        <f t="shared" si="742"/>
        <v>0.67500000000000004</v>
      </c>
      <c r="DD240" s="6">
        <f t="shared" si="729"/>
        <v>0.67500000000000004</v>
      </c>
      <c r="DE240" s="6">
        <v>1</v>
      </c>
      <c r="DF240" s="5">
        <v>0</v>
      </c>
      <c r="DG240" s="6">
        <v>2.5</v>
      </c>
      <c r="DH240" s="5">
        <v>0.83333000000000002</v>
      </c>
      <c r="DI240" s="8">
        <v>5</v>
      </c>
      <c r="DJ240" s="5">
        <f t="shared" si="825"/>
        <v>125</v>
      </c>
      <c r="DK240" s="8">
        <v>0</v>
      </c>
      <c r="DL240" s="5">
        <f t="shared" si="731"/>
        <v>0</v>
      </c>
      <c r="DM240" s="5" t="str">
        <f t="shared" si="795"/>
        <v>8级熔岩泰坦</v>
      </c>
      <c r="DN240" s="5">
        <v>6</v>
      </c>
      <c r="DO240" s="5">
        <v>0</v>
      </c>
      <c r="DP240" s="5">
        <v>1</v>
      </c>
      <c r="DQ240" s="5">
        <v>1</v>
      </c>
      <c r="DR240" s="5">
        <v>2.5</v>
      </c>
      <c r="DS240" s="6">
        <v>3.5</v>
      </c>
      <c r="DT240" s="5">
        <v>-0.5</v>
      </c>
      <c r="DU240" s="5">
        <v>1</v>
      </c>
      <c r="DV240" s="6">
        <v>0.5</v>
      </c>
      <c r="DW240" s="5">
        <f t="shared" si="814"/>
        <v>0.5</v>
      </c>
      <c r="DX240" s="5">
        <v>6</v>
      </c>
      <c r="DY240" s="5">
        <f t="shared" si="815"/>
        <v>0</v>
      </c>
      <c r="DZ240" s="5">
        <v>0</v>
      </c>
    </row>
    <row r="241" spans="1:130" x14ac:dyDescent="0.15">
      <c r="A241" s="5">
        <v>201239</v>
      </c>
      <c r="B241" s="5" t="s">
        <v>472</v>
      </c>
      <c r="C241" s="5"/>
      <c r="D241" s="5"/>
      <c r="E241" s="5"/>
      <c r="F241" s="5">
        <v>1</v>
      </c>
      <c r="G241" s="45"/>
      <c r="H241" s="5"/>
      <c r="I241" s="5"/>
      <c r="J241" s="5"/>
      <c r="K241" s="5"/>
      <c r="L241" s="10"/>
      <c r="M241" s="5"/>
      <c r="N241" s="10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20"/>
      <c r="AF241" s="5"/>
      <c r="AG241" s="5"/>
      <c r="AH241" s="5"/>
      <c r="AI241" s="5"/>
      <c r="AJ241" s="5"/>
      <c r="AK241" s="5"/>
      <c r="AL241" s="5"/>
      <c r="AM241" s="5"/>
      <c r="AN241" s="8"/>
      <c r="AO241" s="5">
        <v>0</v>
      </c>
      <c r="AP241" s="5" t="s">
        <v>472</v>
      </c>
      <c r="AQ241" s="5">
        <v>0</v>
      </c>
      <c r="AR241" s="8">
        <v>20</v>
      </c>
      <c r="AS241" s="6">
        <f t="shared" si="733"/>
        <v>540</v>
      </c>
      <c r="AT241" s="6">
        <f t="shared" si="734"/>
        <v>567</v>
      </c>
      <c r="AU241" s="5">
        <v>0</v>
      </c>
      <c r="AV241" s="5">
        <v>0</v>
      </c>
      <c r="AW241" s="5">
        <v>0</v>
      </c>
      <c r="AX241" s="5">
        <v>1</v>
      </c>
      <c r="AY241" s="5">
        <v>0</v>
      </c>
      <c r="AZ241" s="23">
        <v>201239</v>
      </c>
      <c r="BA241" s="5">
        <f t="shared" si="809"/>
        <v>203024</v>
      </c>
      <c r="BB241" s="5">
        <v>10</v>
      </c>
      <c r="BC241" s="5">
        <v>903913</v>
      </c>
      <c r="BD241" s="5">
        <v>1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f t="shared" si="794"/>
        <v>0</v>
      </c>
      <c r="BM241" s="5">
        <v>0</v>
      </c>
      <c r="BN241" s="5">
        <v>0</v>
      </c>
      <c r="BO241" s="5">
        <v>0</v>
      </c>
      <c r="BP241" s="5">
        <v>0</v>
      </c>
      <c r="BQ241" s="5"/>
      <c r="BR241" s="5"/>
      <c r="BS241" s="4">
        <v>0</v>
      </c>
      <c r="BT241" s="4">
        <f t="shared" si="810"/>
        <v>9</v>
      </c>
      <c r="BU241" s="17">
        <v>0</v>
      </c>
      <c r="BV241" s="4">
        <f t="shared" ref="BV241:BY241" si="840">BV231</f>
        <v>9</v>
      </c>
      <c r="BW241" s="4">
        <f t="shared" si="840"/>
        <v>9</v>
      </c>
      <c r="BX241" s="4">
        <f t="shared" si="840"/>
        <v>0.28999999999999992</v>
      </c>
      <c r="BY241" s="4">
        <f t="shared" si="840"/>
        <v>0.15000000000000002</v>
      </c>
      <c r="BZ241" s="5" t="s">
        <v>463</v>
      </c>
      <c r="CA241" s="4" t="str">
        <f t="shared" si="812"/>
        <v>monster24</v>
      </c>
      <c r="CB241" s="4" t="str">
        <f t="shared" si="812"/>
        <v>monster24</v>
      </c>
      <c r="CC241" s="5">
        <v>1</v>
      </c>
      <c r="CD241" s="8">
        <v>1</v>
      </c>
      <c r="CE241" s="5">
        <f t="shared" ref="CE241:CF241" si="841">CE231</f>
        <v>9</v>
      </c>
      <c r="CF241" s="5">
        <f t="shared" si="841"/>
        <v>1</v>
      </c>
      <c r="CG241" s="5" t="s">
        <v>472</v>
      </c>
      <c r="CH241" s="5">
        <v>0</v>
      </c>
      <c r="CI241" s="5">
        <v>116</v>
      </c>
      <c r="CJ241" s="4">
        <v>0</v>
      </c>
      <c r="CK241" s="20">
        <v>0</v>
      </c>
      <c r="CL241" s="5">
        <v>0</v>
      </c>
      <c r="CM241" s="20">
        <v>111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20">
        <v>2.5</v>
      </c>
      <c r="CW241" s="20">
        <v>3</v>
      </c>
      <c r="CX241" s="20">
        <v>2.5</v>
      </c>
      <c r="CY241" s="20">
        <v>3.5</v>
      </c>
      <c r="CZ241" s="8">
        <v>50</v>
      </c>
      <c r="DA241" s="6">
        <f t="shared" si="728"/>
        <v>11250</v>
      </c>
      <c r="DB241" s="5">
        <v>0</v>
      </c>
      <c r="DC241" s="5">
        <f t="shared" si="742"/>
        <v>0.7</v>
      </c>
      <c r="DD241" s="6">
        <f t="shared" si="729"/>
        <v>0.7</v>
      </c>
      <c r="DE241" s="6">
        <v>1</v>
      </c>
      <c r="DF241" s="5">
        <v>0</v>
      </c>
      <c r="DG241" s="6">
        <v>2.5</v>
      </c>
      <c r="DH241" s="5">
        <v>0.83333000000000002</v>
      </c>
      <c r="DI241" s="8">
        <v>5</v>
      </c>
      <c r="DJ241" s="5">
        <f t="shared" si="825"/>
        <v>137.5</v>
      </c>
      <c r="DK241" s="8">
        <v>0</v>
      </c>
      <c r="DL241" s="5">
        <f t="shared" si="731"/>
        <v>0</v>
      </c>
      <c r="DM241" s="5" t="str">
        <f t="shared" si="795"/>
        <v>9级熔岩泰坦</v>
      </c>
      <c r="DN241" s="5">
        <v>6</v>
      </c>
      <c r="DO241" s="5">
        <v>0</v>
      </c>
      <c r="DP241" s="5">
        <v>1</v>
      </c>
      <c r="DQ241" s="5">
        <v>1</v>
      </c>
      <c r="DR241" s="5">
        <v>2.5</v>
      </c>
      <c r="DS241" s="6">
        <v>3.5</v>
      </c>
      <c r="DT241" s="5">
        <v>-0.5</v>
      </c>
      <c r="DU241" s="5">
        <v>1</v>
      </c>
      <c r="DV241" s="6">
        <v>0.5</v>
      </c>
      <c r="DW241" s="5">
        <f t="shared" si="814"/>
        <v>0.5</v>
      </c>
      <c r="DX241" s="5">
        <v>6</v>
      </c>
      <c r="DY241" s="5">
        <f t="shared" si="815"/>
        <v>0</v>
      </c>
      <c r="DZ241" s="5">
        <v>0</v>
      </c>
    </row>
    <row r="242" spans="1:130" x14ac:dyDescent="0.15">
      <c r="A242" s="5">
        <v>201240</v>
      </c>
      <c r="B242" s="5" t="s">
        <v>473</v>
      </c>
      <c r="C242" s="5"/>
      <c r="D242" s="5"/>
      <c r="E242" s="5"/>
      <c r="F242" s="5">
        <v>1</v>
      </c>
      <c r="G242" s="45"/>
      <c r="H242" s="5"/>
      <c r="I242" s="5"/>
      <c r="J242" s="5"/>
      <c r="K242" s="5"/>
      <c r="L242" s="10"/>
      <c r="M242" s="5"/>
      <c r="N242" s="10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20"/>
      <c r="AF242" s="5"/>
      <c r="AG242" s="5"/>
      <c r="AH242" s="5"/>
      <c r="AI242" s="5"/>
      <c r="AJ242" s="5"/>
      <c r="AK242" s="5"/>
      <c r="AL242" s="5"/>
      <c r="AM242" s="5"/>
      <c r="AN242" s="8"/>
      <c r="AO242" s="5">
        <v>0</v>
      </c>
      <c r="AP242" s="5" t="s">
        <v>473</v>
      </c>
      <c r="AQ242" s="5">
        <v>0</v>
      </c>
      <c r="AR242" s="8">
        <v>20</v>
      </c>
      <c r="AS242" s="6">
        <f t="shared" si="733"/>
        <v>600</v>
      </c>
      <c r="AT242" s="6">
        <f t="shared" si="734"/>
        <v>630</v>
      </c>
      <c r="AU242" s="5">
        <v>0</v>
      </c>
      <c r="AV242" s="5">
        <v>0</v>
      </c>
      <c r="AW242" s="5">
        <v>0</v>
      </c>
      <c r="AX242" s="5">
        <v>1</v>
      </c>
      <c r="AY242" s="5">
        <v>0</v>
      </c>
      <c r="AZ242" s="23">
        <v>201240</v>
      </c>
      <c r="BA242" s="5">
        <f t="shared" si="809"/>
        <v>203024</v>
      </c>
      <c r="BB242" s="5">
        <v>10</v>
      </c>
      <c r="BC242" s="5">
        <v>903913</v>
      </c>
      <c r="BD242" s="5">
        <v>1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f t="shared" si="794"/>
        <v>0</v>
      </c>
      <c r="BM242" s="5">
        <v>0</v>
      </c>
      <c r="BN242" s="5">
        <v>0</v>
      </c>
      <c r="BO242" s="5">
        <v>0</v>
      </c>
      <c r="BP242" s="5">
        <v>0</v>
      </c>
      <c r="BQ242" s="5"/>
      <c r="BR242" s="5"/>
      <c r="BS242" s="4">
        <v>0</v>
      </c>
      <c r="BT242" s="4">
        <f t="shared" si="810"/>
        <v>10</v>
      </c>
      <c r="BU242" s="17">
        <v>0</v>
      </c>
      <c r="BV242" s="4">
        <f t="shared" ref="BV242:BY242" si="842">BV232</f>
        <v>10</v>
      </c>
      <c r="BW242" s="4">
        <f t="shared" si="842"/>
        <v>10</v>
      </c>
      <c r="BX242" s="4">
        <f t="shared" si="842"/>
        <v>0.21999999999999986</v>
      </c>
      <c r="BY242" s="4">
        <f t="shared" si="842"/>
        <v>0.10000000000000003</v>
      </c>
      <c r="BZ242" s="5" t="s">
        <v>465</v>
      </c>
      <c r="CA242" s="4" t="str">
        <f t="shared" si="812"/>
        <v>monster24_1</v>
      </c>
      <c r="CB242" s="4" t="str">
        <f t="shared" si="812"/>
        <v>monster24_1</v>
      </c>
      <c r="CC242" s="5">
        <v>1</v>
      </c>
      <c r="CD242" s="8">
        <v>1</v>
      </c>
      <c r="CE242" s="5">
        <f t="shared" ref="CE242:CF242" si="843">CE232</f>
        <v>10</v>
      </c>
      <c r="CF242" s="5">
        <f t="shared" si="843"/>
        <v>1</v>
      </c>
      <c r="CG242" s="5" t="s">
        <v>473</v>
      </c>
      <c r="CH242" s="5">
        <v>0</v>
      </c>
      <c r="CI242" s="5">
        <v>116</v>
      </c>
      <c r="CJ242" s="4">
        <v>1</v>
      </c>
      <c r="CK242" s="20">
        <v>0</v>
      </c>
      <c r="CL242" s="5">
        <v>0</v>
      </c>
      <c r="CM242" s="20">
        <v>111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20">
        <v>2.5</v>
      </c>
      <c r="CW242" s="20">
        <v>3</v>
      </c>
      <c r="CX242" s="20">
        <v>2.5</v>
      </c>
      <c r="CY242" s="20">
        <v>3.5</v>
      </c>
      <c r="CZ242" s="8">
        <v>50</v>
      </c>
      <c r="DA242" s="6">
        <f t="shared" si="728"/>
        <v>12500</v>
      </c>
      <c r="DB242" s="5">
        <v>0</v>
      </c>
      <c r="DC242" s="5">
        <f t="shared" si="742"/>
        <v>0.72499999999999998</v>
      </c>
      <c r="DD242" s="6">
        <f t="shared" si="729"/>
        <v>0.72499999999999998</v>
      </c>
      <c r="DE242" s="6">
        <v>1</v>
      </c>
      <c r="DF242" s="5">
        <v>0</v>
      </c>
      <c r="DG242" s="6">
        <v>2.5</v>
      </c>
      <c r="DH242" s="5">
        <v>0.83333000000000002</v>
      </c>
      <c r="DI242" s="8">
        <v>5</v>
      </c>
      <c r="DJ242" s="5">
        <f t="shared" si="825"/>
        <v>150</v>
      </c>
      <c r="DK242" s="8">
        <v>0</v>
      </c>
      <c r="DL242" s="5">
        <f t="shared" si="731"/>
        <v>0</v>
      </c>
      <c r="DM242" s="5" t="str">
        <f t="shared" si="795"/>
        <v>10级熔岩泰坦</v>
      </c>
      <c r="DN242" s="5">
        <v>6</v>
      </c>
      <c r="DO242" s="5">
        <v>0</v>
      </c>
      <c r="DP242" s="5">
        <v>1</v>
      </c>
      <c r="DQ242" s="5">
        <v>1</v>
      </c>
      <c r="DR242" s="5">
        <v>2.5</v>
      </c>
      <c r="DS242" s="6">
        <v>3.5</v>
      </c>
      <c r="DT242" s="5">
        <v>-0.5</v>
      </c>
      <c r="DU242" s="5">
        <v>1</v>
      </c>
      <c r="DV242" s="6">
        <v>0.5</v>
      </c>
      <c r="DW242" s="5">
        <f t="shared" si="814"/>
        <v>0.5</v>
      </c>
      <c r="DX242" s="5">
        <v>6</v>
      </c>
      <c r="DY242" s="5">
        <f t="shared" si="815"/>
        <v>0</v>
      </c>
      <c r="DZ242" s="5">
        <v>0</v>
      </c>
    </row>
    <row r="243" spans="1:130" x14ac:dyDescent="0.15">
      <c r="A243" s="5">
        <v>201241</v>
      </c>
      <c r="B243" s="5" t="s">
        <v>474</v>
      </c>
      <c r="C243" s="5"/>
      <c r="D243" s="5"/>
      <c r="E243" s="5"/>
      <c r="F243" s="5">
        <v>1</v>
      </c>
      <c r="G243" s="45"/>
      <c r="H243" s="5"/>
      <c r="I243" s="5"/>
      <c r="J243" s="5"/>
      <c r="K243" s="5"/>
      <c r="L243" s="10"/>
      <c r="M243" s="5"/>
      <c r="N243" s="10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20"/>
      <c r="AF243" s="5"/>
      <c r="AG243" s="5"/>
      <c r="AH243" s="5"/>
      <c r="AI243" s="5"/>
      <c r="AJ243" s="5"/>
      <c r="AK243" s="5"/>
      <c r="AL243" s="5"/>
      <c r="AM243" s="5"/>
      <c r="AN243" s="8"/>
      <c r="AO243" s="5">
        <v>0</v>
      </c>
      <c r="AP243" s="5" t="s">
        <v>474</v>
      </c>
      <c r="AQ243" s="5">
        <v>0</v>
      </c>
      <c r="AR243" s="8">
        <v>15</v>
      </c>
      <c r="AS243" s="6">
        <f t="shared" si="733"/>
        <v>45</v>
      </c>
      <c r="AT243" s="6">
        <f t="shared" si="734"/>
        <v>48</v>
      </c>
      <c r="AU243" s="5">
        <v>0</v>
      </c>
      <c r="AV243" s="5">
        <v>0</v>
      </c>
      <c r="AW243" s="5">
        <v>0</v>
      </c>
      <c r="AX243" s="5">
        <v>1</v>
      </c>
      <c r="AY243" s="5">
        <v>0</v>
      </c>
      <c r="AZ243" s="23">
        <v>201241</v>
      </c>
      <c r="BA243" s="5">
        <f t="shared" si="809"/>
        <v>203025</v>
      </c>
      <c r="BB243" s="5">
        <v>10</v>
      </c>
      <c r="BC243" s="5">
        <v>903915</v>
      </c>
      <c r="BD243" s="5">
        <v>1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f t="shared" si="794"/>
        <v>1</v>
      </c>
      <c r="BM243" s="5">
        <v>0</v>
      </c>
      <c r="BN243" s="5">
        <v>0</v>
      </c>
      <c r="BO243" s="5">
        <v>0</v>
      </c>
      <c r="BP243" s="5">
        <v>0</v>
      </c>
      <c r="BQ243" s="5"/>
      <c r="BR243" s="5"/>
      <c r="BS243" s="4">
        <v>0</v>
      </c>
      <c r="BT243" s="4">
        <f t="shared" si="810"/>
        <v>1</v>
      </c>
      <c r="BU243" s="17">
        <v>0</v>
      </c>
      <c r="BV243" s="4">
        <f t="shared" ref="BV243:BY243" si="844">BV233</f>
        <v>1</v>
      </c>
      <c r="BW243" s="4">
        <f t="shared" si="844"/>
        <v>1</v>
      </c>
      <c r="BX243" s="4">
        <f t="shared" si="844"/>
        <v>0.85</v>
      </c>
      <c r="BY243" s="4">
        <f t="shared" si="844"/>
        <v>0.55000000000000004</v>
      </c>
      <c r="BZ243" s="5" t="s">
        <v>475</v>
      </c>
      <c r="CA243" s="4" t="str">
        <f t="shared" si="812"/>
        <v>monster25</v>
      </c>
      <c r="CB243" s="4" t="str">
        <f t="shared" si="812"/>
        <v>monster25</v>
      </c>
      <c r="CC243" s="5">
        <v>1</v>
      </c>
      <c r="CD243" s="8">
        <v>1</v>
      </c>
      <c r="CE243" s="5">
        <f t="shared" ref="CE243:CF243" si="845">CE233</f>
        <v>1</v>
      </c>
      <c r="CF243" s="5">
        <f t="shared" si="845"/>
        <v>1</v>
      </c>
      <c r="CG243" s="5" t="s">
        <v>474</v>
      </c>
      <c r="CH243" s="5">
        <v>0</v>
      </c>
      <c r="CI243" s="5">
        <v>0</v>
      </c>
      <c r="CJ243" s="4">
        <v>0</v>
      </c>
      <c r="CK243" s="20">
        <v>903912</v>
      </c>
      <c r="CL243" s="5">
        <v>0</v>
      </c>
      <c r="CM243" s="20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20">
        <v>2.5</v>
      </c>
      <c r="CW243" s="20">
        <v>3</v>
      </c>
      <c r="CX243" s="20">
        <v>2.5</v>
      </c>
      <c r="CY243" s="20">
        <v>3.5</v>
      </c>
      <c r="CZ243" s="8">
        <v>75</v>
      </c>
      <c r="DA243" s="6">
        <f t="shared" si="728"/>
        <v>1875</v>
      </c>
      <c r="DB243" s="5">
        <v>0</v>
      </c>
      <c r="DC243" s="5">
        <f t="shared" si="742"/>
        <v>0.5</v>
      </c>
      <c r="DD243" s="6">
        <f t="shared" si="729"/>
        <v>0.5</v>
      </c>
      <c r="DE243" s="6">
        <v>1</v>
      </c>
      <c r="DF243" s="5">
        <v>0</v>
      </c>
      <c r="DG243" s="6">
        <v>2.5</v>
      </c>
      <c r="DH243" s="5"/>
      <c r="DI243" s="8"/>
      <c r="DJ243" s="5">
        <v>0</v>
      </c>
      <c r="DK243" s="8">
        <v>0</v>
      </c>
      <c r="DL243" s="5">
        <f t="shared" si="731"/>
        <v>0</v>
      </c>
      <c r="DM243" s="5" t="str">
        <f t="shared" si="795"/>
        <v>1级寒冰泰坦</v>
      </c>
      <c r="DN243" s="5">
        <v>6</v>
      </c>
      <c r="DO243" s="5">
        <v>0</v>
      </c>
      <c r="DP243" s="5">
        <v>1</v>
      </c>
      <c r="DQ243" s="5">
        <v>1</v>
      </c>
      <c r="DR243" s="5">
        <v>2.5</v>
      </c>
      <c r="DS243" s="6">
        <v>3.5</v>
      </c>
      <c r="DT243" s="5">
        <v>-0.5</v>
      </c>
      <c r="DU243" s="5">
        <v>1</v>
      </c>
      <c r="DV243" s="6">
        <v>0.5</v>
      </c>
      <c r="DW243" s="5">
        <f t="shared" si="814"/>
        <v>0.5</v>
      </c>
      <c r="DX243" s="5">
        <v>6</v>
      </c>
      <c r="DY243" s="5">
        <f t="shared" si="815"/>
        <v>0</v>
      </c>
      <c r="DZ243" s="5">
        <v>0</v>
      </c>
    </row>
    <row r="244" spans="1:130" x14ac:dyDescent="0.15">
      <c r="A244" s="5">
        <v>201242</v>
      </c>
      <c r="B244" s="5" t="s">
        <v>476</v>
      </c>
      <c r="C244" s="5"/>
      <c r="D244" s="5"/>
      <c r="E244" s="5"/>
      <c r="F244" s="5">
        <v>1</v>
      </c>
      <c r="G244" s="45"/>
      <c r="H244" s="5"/>
      <c r="I244" s="5"/>
      <c r="J244" s="5"/>
      <c r="K244" s="5"/>
      <c r="L244" s="10"/>
      <c r="M244" s="5"/>
      <c r="N244" s="10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20"/>
      <c r="AF244" s="5"/>
      <c r="AG244" s="5"/>
      <c r="AH244" s="5"/>
      <c r="AI244" s="5"/>
      <c r="AJ244" s="5"/>
      <c r="AK244" s="5"/>
      <c r="AL244" s="5"/>
      <c r="AM244" s="5"/>
      <c r="AN244" s="8"/>
      <c r="AO244" s="5">
        <v>0</v>
      </c>
      <c r="AP244" s="5" t="s">
        <v>476</v>
      </c>
      <c r="AQ244" s="5">
        <v>0</v>
      </c>
      <c r="AR244" s="8">
        <v>15</v>
      </c>
      <c r="AS244" s="6">
        <f t="shared" si="733"/>
        <v>90</v>
      </c>
      <c r="AT244" s="6">
        <f t="shared" si="734"/>
        <v>96</v>
      </c>
      <c r="AU244" s="5">
        <v>0</v>
      </c>
      <c r="AV244" s="5">
        <v>0</v>
      </c>
      <c r="AW244" s="5">
        <v>0</v>
      </c>
      <c r="AX244" s="5">
        <v>1</v>
      </c>
      <c r="AY244" s="5">
        <v>0</v>
      </c>
      <c r="AZ244" s="23">
        <v>201242</v>
      </c>
      <c r="BA244" s="5">
        <f t="shared" si="809"/>
        <v>203025</v>
      </c>
      <c r="BB244" s="5">
        <v>10</v>
      </c>
      <c r="BC244" s="5">
        <v>903915</v>
      </c>
      <c r="BD244" s="5">
        <v>1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f t="shared" si="794"/>
        <v>1</v>
      </c>
      <c r="BM244" s="5">
        <v>0</v>
      </c>
      <c r="BN244" s="5">
        <v>0</v>
      </c>
      <c r="BO244" s="5">
        <v>0</v>
      </c>
      <c r="BP244" s="5">
        <v>0</v>
      </c>
      <c r="BQ244" s="5"/>
      <c r="BR244" s="5"/>
      <c r="BS244" s="4">
        <v>0</v>
      </c>
      <c r="BT244" s="4">
        <f t="shared" si="810"/>
        <v>2</v>
      </c>
      <c r="BU244" s="17">
        <v>0</v>
      </c>
      <c r="BV244" s="4">
        <f t="shared" ref="BV244:BY244" si="846">BV234</f>
        <v>2</v>
      </c>
      <c r="BW244" s="4">
        <f t="shared" si="846"/>
        <v>2</v>
      </c>
      <c r="BX244" s="4">
        <f t="shared" si="846"/>
        <v>0.78</v>
      </c>
      <c r="BY244" s="4">
        <f t="shared" si="846"/>
        <v>0.5</v>
      </c>
      <c r="BZ244" s="5" t="s">
        <v>477</v>
      </c>
      <c r="CA244" s="4" t="str">
        <f t="shared" si="812"/>
        <v>monster25_1</v>
      </c>
      <c r="CB244" s="4" t="str">
        <f t="shared" si="812"/>
        <v>monster25_1</v>
      </c>
      <c r="CC244" s="5">
        <v>1</v>
      </c>
      <c r="CD244" s="8">
        <v>1</v>
      </c>
      <c r="CE244" s="5">
        <f t="shared" ref="CE244:CF244" si="847">CE234</f>
        <v>2</v>
      </c>
      <c r="CF244" s="5">
        <f t="shared" si="847"/>
        <v>1</v>
      </c>
      <c r="CG244" s="5" t="s">
        <v>476</v>
      </c>
      <c r="CH244" s="5">
        <v>0</v>
      </c>
      <c r="CI244" s="5">
        <v>0</v>
      </c>
      <c r="CJ244" s="4">
        <v>1</v>
      </c>
      <c r="CK244" s="20">
        <v>903912</v>
      </c>
      <c r="CL244" s="5">
        <v>0</v>
      </c>
      <c r="CM244" s="20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20">
        <v>2.5</v>
      </c>
      <c r="CW244" s="20">
        <v>3</v>
      </c>
      <c r="CX244" s="20">
        <v>2.5</v>
      </c>
      <c r="CY244" s="20">
        <v>3.5</v>
      </c>
      <c r="CZ244" s="8">
        <v>75</v>
      </c>
      <c r="DA244" s="6">
        <f t="shared" si="728"/>
        <v>3750</v>
      </c>
      <c r="DB244" s="5">
        <v>0</v>
      </c>
      <c r="DC244" s="5">
        <f t="shared" si="742"/>
        <v>0.52500000000000002</v>
      </c>
      <c r="DD244" s="6">
        <f t="shared" si="729"/>
        <v>0.52500000000000002</v>
      </c>
      <c r="DE244" s="6">
        <v>1</v>
      </c>
      <c r="DF244" s="5">
        <v>0</v>
      </c>
      <c r="DG244" s="6">
        <v>2.5</v>
      </c>
      <c r="DH244" s="5"/>
      <c r="DI244" s="8"/>
      <c r="DJ244" s="5">
        <v>0</v>
      </c>
      <c r="DK244" s="8">
        <v>0</v>
      </c>
      <c r="DL244" s="5">
        <f t="shared" si="731"/>
        <v>0</v>
      </c>
      <c r="DM244" s="5" t="str">
        <f t="shared" si="795"/>
        <v>2级寒冰泰坦</v>
      </c>
      <c r="DN244" s="5">
        <v>6</v>
      </c>
      <c r="DO244" s="5">
        <v>0</v>
      </c>
      <c r="DP244" s="5">
        <v>1</v>
      </c>
      <c r="DQ244" s="5">
        <v>1</v>
      </c>
      <c r="DR244" s="5">
        <v>2.5</v>
      </c>
      <c r="DS244" s="6">
        <v>3.5</v>
      </c>
      <c r="DT244" s="5">
        <v>-0.5</v>
      </c>
      <c r="DU244" s="5">
        <v>1</v>
      </c>
      <c r="DV244" s="6">
        <v>0.5</v>
      </c>
      <c r="DW244" s="5">
        <f t="shared" si="814"/>
        <v>0.5</v>
      </c>
      <c r="DX244" s="5">
        <v>6</v>
      </c>
      <c r="DY244" s="5">
        <f t="shared" si="815"/>
        <v>0</v>
      </c>
      <c r="DZ244" s="5">
        <v>0</v>
      </c>
    </row>
    <row r="245" spans="1:130" x14ac:dyDescent="0.15">
      <c r="A245" s="5">
        <v>201243</v>
      </c>
      <c r="B245" s="5" t="s">
        <v>478</v>
      </c>
      <c r="C245" s="5"/>
      <c r="D245" s="5"/>
      <c r="E245" s="5"/>
      <c r="F245" s="5">
        <v>1</v>
      </c>
      <c r="G245" s="45"/>
      <c r="H245" s="5"/>
      <c r="I245" s="5"/>
      <c r="J245" s="5"/>
      <c r="K245" s="5"/>
      <c r="L245" s="10"/>
      <c r="M245" s="5"/>
      <c r="N245" s="10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20"/>
      <c r="AF245" s="5"/>
      <c r="AG245" s="5"/>
      <c r="AH245" s="5"/>
      <c r="AI245" s="5"/>
      <c r="AJ245" s="5"/>
      <c r="AK245" s="5"/>
      <c r="AL245" s="5"/>
      <c r="AM245" s="5"/>
      <c r="AN245" s="8"/>
      <c r="AO245" s="5">
        <v>0</v>
      </c>
      <c r="AP245" s="5" t="s">
        <v>478</v>
      </c>
      <c r="AQ245" s="5">
        <v>0</v>
      </c>
      <c r="AR245" s="8">
        <v>15</v>
      </c>
      <c r="AS245" s="6">
        <f t="shared" si="733"/>
        <v>135</v>
      </c>
      <c r="AT245" s="6">
        <f t="shared" si="734"/>
        <v>144</v>
      </c>
      <c r="AU245" s="5">
        <v>0</v>
      </c>
      <c r="AV245" s="5">
        <v>0</v>
      </c>
      <c r="AW245" s="5">
        <v>0</v>
      </c>
      <c r="AX245" s="5">
        <v>1</v>
      </c>
      <c r="AY245" s="5">
        <v>0</v>
      </c>
      <c r="AZ245" s="23">
        <v>201243</v>
      </c>
      <c r="BA245" s="5">
        <f t="shared" si="809"/>
        <v>203025</v>
      </c>
      <c r="BB245" s="5">
        <v>10</v>
      </c>
      <c r="BC245" s="5">
        <v>903915</v>
      </c>
      <c r="BD245" s="5">
        <v>1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f t="shared" si="794"/>
        <v>0</v>
      </c>
      <c r="BM245" s="5">
        <v>0</v>
      </c>
      <c r="BN245" s="5">
        <v>0</v>
      </c>
      <c r="BO245" s="5">
        <v>0</v>
      </c>
      <c r="BP245" s="5">
        <v>0</v>
      </c>
      <c r="BQ245" s="5"/>
      <c r="BR245" s="5"/>
      <c r="BS245" s="4">
        <v>0</v>
      </c>
      <c r="BT245" s="4">
        <f t="shared" si="810"/>
        <v>3</v>
      </c>
      <c r="BU245" s="17">
        <v>0</v>
      </c>
      <c r="BV245" s="4">
        <f t="shared" ref="BV245:BY245" si="848">BV235</f>
        <v>3</v>
      </c>
      <c r="BW245" s="4">
        <f t="shared" si="848"/>
        <v>3</v>
      </c>
      <c r="BX245" s="4">
        <f t="shared" si="848"/>
        <v>0.71</v>
      </c>
      <c r="BY245" s="4">
        <f t="shared" si="848"/>
        <v>0.45000000000000007</v>
      </c>
      <c r="BZ245" s="5" t="s">
        <v>475</v>
      </c>
      <c r="CA245" s="4" t="str">
        <f t="shared" si="812"/>
        <v>monster25</v>
      </c>
      <c r="CB245" s="4" t="str">
        <f t="shared" si="812"/>
        <v>monster25</v>
      </c>
      <c r="CC245" s="5">
        <v>1</v>
      </c>
      <c r="CD245" s="8">
        <v>1</v>
      </c>
      <c r="CE245" s="5">
        <f t="shared" ref="CE245:CF245" si="849">CE235</f>
        <v>3</v>
      </c>
      <c r="CF245" s="5">
        <f t="shared" si="849"/>
        <v>1</v>
      </c>
      <c r="CG245" s="5" t="s">
        <v>478</v>
      </c>
      <c r="CH245" s="5">
        <v>0</v>
      </c>
      <c r="CI245" s="5">
        <v>0</v>
      </c>
      <c r="CJ245" s="4">
        <v>0</v>
      </c>
      <c r="CK245" s="20">
        <v>903912</v>
      </c>
      <c r="CL245" s="5">
        <v>0</v>
      </c>
      <c r="CM245" s="20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20">
        <v>2.5</v>
      </c>
      <c r="CW245" s="20">
        <v>3</v>
      </c>
      <c r="CX245" s="20">
        <v>2.5</v>
      </c>
      <c r="CY245" s="20">
        <v>3.5</v>
      </c>
      <c r="CZ245" s="8">
        <v>75</v>
      </c>
      <c r="DA245" s="6">
        <f t="shared" si="728"/>
        <v>5625</v>
      </c>
      <c r="DB245" s="5">
        <v>0</v>
      </c>
      <c r="DC245" s="5">
        <f t="shared" si="742"/>
        <v>0.55000000000000004</v>
      </c>
      <c r="DD245" s="6">
        <f t="shared" si="729"/>
        <v>0.55000000000000004</v>
      </c>
      <c r="DE245" s="6">
        <v>1</v>
      </c>
      <c r="DF245" s="5">
        <v>0</v>
      </c>
      <c r="DG245" s="6">
        <v>2.5</v>
      </c>
      <c r="DH245" s="5"/>
      <c r="DI245" s="8"/>
      <c r="DJ245" s="5">
        <v>0</v>
      </c>
      <c r="DK245" s="8">
        <v>0</v>
      </c>
      <c r="DL245" s="5">
        <f t="shared" si="731"/>
        <v>0</v>
      </c>
      <c r="DM245" s="5" t="str">
        <f t="shared" si="795"/>
        <v>3级寒冰泰坦</v>
      </c>
      <c r="DN245" s="5">
        <v>6</v>
      </c>
      <c r="DO245" s="5">
        <v>0</v>
      </c>
      <c r="DP245" s="5">
        <v>1</v>
      </c>
      <c r="DQ245" s="5">
        <v>1</v>
      </c>
      <c r="DR245" s="5">
        <v>2.5</v>
      </c>
      <c r="DS245" s="6">
        <v>3.5</v>
      </c>
      <c r="DT245" s="5">
        <v>-0.5</v>
      </c>
      <c r="DU245" s="5">
        <v>1</v>
      </c>
      <c r="DV245" s="6">
        <v>0.5</v>
      </c>
      <c r="DW245" s="5">
        <f t="shared" si="814"/>
        <v>0.5</v>
      </c>
      <c r="DX245" s="5">
        <v>6</v>
      </c>
      <c r="DY245" s="5">
        <f t="shared" si="815"/>
        <v>0</v>
      </c>
      <c r="DZ245" s="5">
        <v>0</v>
      </c>
    </row>
    <row r="246" spans="1:130" x14ac:dyDescent="0.15">
      <c r="A246" s="5">
        <v>201244</v>
      </c>
      <c r="B246" s="5" t="s">
        <v>479</v>
      </c>
      <c r="C246" s="5"/>
      <c r="D246" s="5"/>
      <c r="E246" s="5"/>
      <c r="F246" s="5">
        <v>1</v>
      </c>
      <c r="G246" s="45"/>
      <c r="H246" s="5"/>
      <c r="I246" s="5"/>
      <c r="J246" s="5"/>
      <c r="K246" s="5"/>
      <c r="L246" s="10"/>
      <c r="M246" s="5"/>
      <c r="N246" s="10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20"/>
      <c r="AF246" s="5"/>
      <c r="AG246" s="5"/>
      <c r="AH246" s="5"/>
      <c r="AI246" s="5"/>
      <c r="AJ246" s="5"/>
      <c r="AK246" s="5"/>
      <c r="AL246" s="5"/>
      <c r="AM246" s="5"/>
      <c r="AN246" s="8"/>
      <c r="AO246" s="5">
        <v>0</v>
      </c>
      <c r="AP246" s="5" t="s">
        <v>479</v>
      </c>
      <c r="AQ246" s="5">
        <v>0</v>
      </c>
      <c r="AR246" s="8">
        <v>15</v>
      </c>
      <c r="AS246" s="6">
        <f t="shared" si="733"/>
        <v>180</v>
      </c>
      <c r="AT246" s="6">
        <f t="shared" si="734"/>
        <v>192</v>
      </c>
      <c r="AU246" s="5">
        <v>0</v>
      </c>
      <c r="AV246" s="5">
        <v>0</v>
      </c>
      <c r="AW246" s="5">
        <v>0</v>
      </c>
      <c r="AX246" s="5">
        <v>1</v>
      </c>
      <c r="AY246" s="5">
        <v>0</v>
      </c>
      <c r="AZ246" s="23">
        <v>201244</v>
      </c>
      <c r="BA246" s="5">
        <f t="shared" si="809"/>
        <v>203025</v>
      </c>
      <c r="BB246" s="5">
        <v>10</v>
      </c>
      <c r="BC246" s="5">
        <v>903915</v>
      </c>
      <c r="BD246" s="5">
        <v>1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f t="shared" si="794"/>
        <v>0</v>
      </c>
      <c r="BM246" s="5">
        <v>0</v>
      </c>
      <c r="BN246" s="5">
        <v>0</v>
      </c>
      <c r="BO246" s="5">
        <v>0</v>
      </c>
      <c r="BP246" s="5">
        <v>0</v>
      </c>
      <c r="BQ246" s="5"/>
      <c r="BR246" s="5"/>
      <c r="BS246" s="4">
        <v>0</v>
      </c>
      <c r="BT246" s="4">
        <f t="shared" si="810"/>
        <v>4</v>
      </c>
      <c r="BU246" s="17">
        <v>0</v>
      </c>
      <c r="BV246" s="4">
        <f t="shared" ref="BV246:BY246" si="850">BV236</f>
        <v>4</v>
      </c>
      <c r="BW246" s="4">
        <f t="shared" si="850"/>
        <v>4</v>
      </c>
      <c r="BX246" s="4">
        <f t="shared" si="850"/>
        <v>0.6399999999999999</v>
      </c>
      <c r="BY246" s="4">
        <f t="shared" si="850"/>
        <v>0.4</v>
      </c>
      <c r="BZ246" s="5" t="s">
        <v>477</v>
      </c>
      <c r="CA246" s="4" t="str">
        <f t="shared" si="812"/>
        <v>monster25_1</v>
      </c>
      <c r="CB246" s="4" t="str">
        <f t="shared" si="812"/>
        <v>monster25_1</v>
      </c>
      <c r="CC246" s="5">
        <v>1</v>
      </c>
      <c r="CD246" s="8">
        <v>1</v>
      </c>
      <c r="CE246" s="5">
        <f t="shared" ref="CE246:CF246" si="851">CE236</f>
        <v>4</v>
      </c>
      <c r="CF246" s="5">
        <f t="shared" si="851"/>
        <v>1</v>
      </c>
      <c r="CG246" s="5" t="s">
        <v>479</v>
      </c>
      <c r="CH246" s="5">
        <v>0</v>
      </c>
      <c r="CI246" s="5">
        <v>0</v>
      </c>
      <c r="CJ246" s="4">
        <v>1</v>
      </c>
      <c r="CK246" s="20">
        <v>903912</v>
      </c>
      <c r="CL246" s="5">
        <v>0</v>
      </c>
      <c r="CM246" s="20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20">
        <v>2.5</v>
      </c>
      <c r="CW246" s="20">
        <v>3</v>
      </c>
      <c r="CX246" s="20">
        <v>2.5</v>
      </c>
      <c r="CY246" s="20">
        <v>3.5</v>
      </c>
      <c r="CZ246" s="8">
        <v>75</v>
      </c>
      <c r="DA246" s="6">
        <f t="shared" si="728"/>
        <v>7500</v>
      </c>
      <c r="DB246" s="5">
        <v>0</v>
      </c>
      <c r="DC246" s="5">
        <f t="shared" si="742"/>
        <v>0.57499999999999996</v>
      </c>
      <c r="DD246" s="6">
        <f t="shared" si="729"/>
        <v>0.57499999999999996</v>
      </c>
      <c r="DE246" s="6">
        <v>1</v>
      </c>
      <c r="DF246" s="5">
        <v>0</v>
      </c>
      <c r="DG246" s="6">
        <v>2.5</v>
      </c>
      <c r="DH246" s="5"/>
      <c r="DI246" s="8"/>
      <c r="DJ246" s="5">
        <v>0</v>
      </c>
      <c r="DK246" s="8">
        <v>0</v>
      </c>
      <c r="DL246" s="5">
        <f t="shared" si="731"/>
        <v>0</v>
      </c>
      <c r="DM246" s="5" t="str">
        <f t="shared" si="795"/>
        <v>4级寒冰泰坦</v>
      </c>
      <c r="DN246" s="5">
        <v>6</v>
      </c>
      <c r="DO246" s="5">
        <v>0</v>
      </c>
      <c r="DP246" s="5">
        <v>1</v>
      </c>
      <c r="DQ246" s="5">
        <v>1</v>
      </c>
      <c r="DR246" s="5">
        <v>2.5</v>
      </c>
      <c r="DS246" s="6">
        <v>3.5</v>
      </c>
      <c r="DT246" s="5">
        <v>-0.5</v>
      </c>
      <c r="DU246" s="5">
        <v>1</v>
      </c>
      <c r="DV246" s="6">
        <v>0.5</v>
      </c>
      <c r="DW246" s="5">
        <f t="shared" si="814"/>
        <v>0.5</v>
      </c>
      <c r="DX246" s="5">
        <v>6</v>
      </c>
      <c r="DY246" s="5">
        <f t="shared" si="815"/>
        <v>0</v>
      </c>
      <c r="DZ246" s="5">
        <v>0</v>
      </c>
    </row>
    <row r="247" spans="1:130" x14ac:dyDescent="0.15">
      <c r="A247" s="5">
        <v>201245</v>
      </c>
      <c r="B247" s="5" t="s">
        <v>480</v>
      </c>
      <c r="C247" s="5"/>
      <c r="D247" s="5"/>
      <c r="E247" s="5"/>
      <c r="F247" s="5">
        <v>1</v>
      </c>
      <c r="G247" s="45"/>
      <c r="H247" s="5"/>
      <c r="I247" s="5"/>
      <c r="J247" s="5"/>
      <c r="K247" s="5"/>
      <c r="L247" s="10"/>
      <c r="M247" s="5"/>
      <c r="N247" s="10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20"/>
      <c r="AF247" s="5"/>
      <c r="AG247" s="5"/>
      <c r="AH247" s="5"/>
      <c r="AI247" s="5"/>
      <c r="AJ247" s="5"/>
      <c r="AK247" s="5"/>
      <c r="AL247" s="5"/>
      <c r="AM247" s="5"/>
      <c r="AN247" s="8"/>
      <c r="AO247" s="5">
        <v>0</v>
      </c>
      <c r="AP247" s="5" t="s">
        <v>480</v>
      </c>
      <c r="AQ247" s="5">
        <v>0</v>
      </c>
      <c r="AR247" s="8">
        <v>15</v>
      </c>
      <c r="AS247" s="6">
        <f t="shared" si="733"/>
        <v>225</v>
      </c>
      <c r="AT247" s="6">
        <f t="shared" si="734"/>
        <v>240</v>
      </c>
      <c r="AU247" s="5">
        <v>0</v>
      </c>
      <c r="AV247" s="5">
        <v>0</v>
      </c>
      <c r="AW247" s="5">
        <v>0</v>
      </c>
      <c r="AX247" s="5">
        <v>1</v>
      </c>
      <c r="AY247" s="5">
        <v>0</v>
      </c>
      <c r="AZ247" s="23">
        <v>201245</v>
      </c>
      <c r="BA247" s="5">
        <f t="shared" si="809"/>
        <v>203025</v>
      </c>
      <c r="BB247" s="5">
        <v>10</v>
      </c>
      <c r="BC247" s="5">
        <v>903915</v>
      </c>
      <c r="BD247" s="5">
        <v>1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f t="shared" si="794"/>
        <v>0</v>
      </c>
      <c r="BM247" s="5">
        <v>0</v>
      </c>
      <c r="BN247" s="5">
        <v>0</v>
      </c>
      <c r="BO247" s="5">
        <v>0</v>
      </c>
      <c r="BP247" s="5">
        <v>0</v>
      </c>
      <c r="BQ247" s="5"/>
      <c r="BR247" s="5"/>
      <c r="BS247" s="4">
        <v>0</v>
      </c>
      <c r="BT247" s="4">
        <f t="shared" si="810"/>
        <v>5</v>
      </c>
      <c r="BU247" s="17">
        <v>0</v>
      </c>
      <c r="BV247" s="4">
        <f t="shared" ref="BV247:BY247" si="852">BV237</f>
        <v>5</v>
      </c>
      <c r="BW247" s="4">
        <f t="shared" si="852"/>
        <v>5</v>
      </c>
      <c r="BX247" s="4">
        <f t="shared" si="852"/>
        <v>0.56999999999999995</v>
      </c>
      <c r="BY247" s="4">
        <f t="shared" si="852"/>
        <v>0.35000000000000003</v>
      </c>
      <c r="BZ247" s="5" t="s">
        <v>475</v>
      </c>
      <c r="CA247" s="4" t="str">
        <f t="shared" si="812"/>
        <v>monster25</v>
      </c>
      <c r="CB247" s="4" t="str">
        <f t="shared" si="812"/>
        <v>monster25</v>
      </c>
      <c r="CC247" s="5">
        <v>1</v>
      </c>
      <c r="CD247" s="8">
        <v>1</v>
      </c>
      <c r="CE247" s="5">
        <f t="shared" ref="CE247:CF247" si="853">CE237</f>
        <v>5</v>
      </c>
      <c r="CF247" s="5">
        <f t="shared" si="853"/>
        <v>1</v>
      </c>
      <c r="CG247" s="5" t="s">
        <v>480</v>
      </c>
      <c r="CH247" s="5">
        <v>0</v>
      </c>
      <c r="CI247" s="5">
        <v>0</v>
      </c>
      <c r="CJ247" s="4">
        <v>0</v>
      </c>
      <c r="CK247" s="20">
        <v>903912</v>
      </c>
      <c r="CL247" s="5">
        <v>0</v>
      </c>
      <c r="CM247" s="20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20">
        <v>2.5</v>
      </c>
      <c r="CW247" s="20">
        <v>3</v>
      </c>
      <c r="CX247" s="20">
        <v>2.5</v>
      </c>
      <c r="CY247" s="20">
        <v>3.5</v>
      </c>
      <c r="CZ247" s="8">
        <v>75</v>
      </c>
      <c r="DA247" s="6">
        <f t="shared" si="728"/>
        <v>9375</v>
      </c>
      <c r="DB247" s="5">
        <v>0</v>
      </c>
      <c r="DC247" s="5">
        <f t="shared" si="742"/>
        <v>0.6</v>
      </c>
      <c r="DD247" s="6">
        <f t="shared" si="729"/>
        <v>0.6</v>
      </c>
      <c r="DE247" s="6">
        <v>1</v>
      </c>
      <c r="DF247" s="5">
        <v>0</v>
      </c>
      <c r="DG247" s="6">
        <v>2.5</v>
      </c>
      <c r="DH247" s="5"/>
      <c r="DI247" s="8"/>
      <c r="DJ247" s="5">
        <v>0</v>
      </c>
      <c r="DK247" s="8">
        <v>0</v>
      </c>
      <c r="DL247" s="5">
        <f t="shared" si="731"/>
        <v>0</v>
      </c>
      <c r="DM247" s="5" t="str">
        <f t="shared" si="795"/>
        <v>5级寒冰泰坦</v>
      </c>
      <c r="DN247" s="5">
        <v>6</v>
      </c>
      <c r="DO247" s="5">
        <v>0</v>
      </c>
      <c r="DP247" s="5">
        <v>1</v>
      </c>
      <c r="DQ247" s="5">
        <v>1</v>
      </c>
      <c r="DR247" s="5">
        <v>2.5</v>
      </c>
      <c r="DS247" s="6">
        <v>3.5</v>
      </c>
      <c r="DT247" s="5">
        <v>-0.5</v>
      </c>
      <c r="DU247" s="5">
        <v>1</v>
      </c>
      <c r="DV247" s="6">
        <v>0.5</v>
      </c>
      <c r="DW247" s="5">
        <f t="shared" si="814"/>
        <v>0.5</v>
      </c>
      <c r="DX247" s="5">
        <v>6</v>
      </c>
      <c r="DY247" s="5">
        <f t="shared" si="815"/>
        <v>0</v>
      </c>
      <c r="DZ247" s="5">
        <v>0</v>
      </c>
    </row>
    <row r="248" spans="1:130" x14ac:dyDescent="0.15">
      <c r="A248" s="5">
        <v>201246</v>
      </c>
      <c r="B248" s="5" t="s">
        <v>481</v>
      </c>
      <c r="C248" s="5"/>
      <c r="D248" s="5"/>
      <c r="E248" s="5"/>
      <c r="F248" s="5">
        <v>1</v>
      </c>
      <c r="G248" s="45"/>
      <c r="H248" s="5"/>
      <c r="I248" s="5"/>
      <c r="J248" s="5"/>
      <c r="K248" s="5"/>
      <c r="L248" s="10"/>
      <c r="M248" s="5"/>
      <c r="N248" s="10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20"/>
      <c r="AF248" s="5"/>
      <c r="AG248" s="5"/>
      <c r="AH248" s="5"/>
      <c r="AI248" s="5"/>
      <c r="AJ248" s="5"/>
      <c r="AK248" s="5"/>
      <c r="AL248" s="5"/>
      <c r="AM248" s="5"/>
      <c r="AN248" s="8"/>
      <c r="AO248" s="5">
        <v>0</v>
      </c>
      <c r="AP248" s="5" t="s">
        <v>481</v>
      </c>
      <c r="AQ248" s="5">
        <v>0</v>
      </c>
      <c r="AR248" s="8">
        <v>15</v>
      </c>
      <c r="AS248" s="6">
        <f t="shared" si="733"/>
        <v>270</v>
      </c>
      <c r="AT248" s="6">
        <f t="shared" si="734"/>
        <v>288</v>
      </c>
      <c r="AU248" s="5">
        <v>0</v>
      </c>
      <c r="AV248" s="5">
        <v>0</v>
      </c>
      <c r="AW248" s="5">
        <v>0</v>
      </c>
      <c r="AX248" s="5">
        <v>1</v>
      </c>
      <c r="AY248" s="5">
        <v>0</v>
      </c>
      <c r="AZ248" s="23">
        <v>201246</v>
      </c>
      <c r="BA248" s="5">
        <f t="shared" si="809"/>
        <v>203025</v>
      </c>
      <c r="BB248" s="5">
        <v>10</v>
      </c>
      <c r="BC248" s="5">
        <v>903915</v>
      </c>
      <c r="BD248" s="5">
        <v>1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f t="shared" si="794"/>
        <v>0</v>
      </c>
      <c r="BM248" s="5">
        <v>0</v>
      </c>
      <c r="BN248" s="5">
        <v>0</v>
      </c>
      <c r="BO248" s="5">
        <v>0</v>
      </c>
      <c r="BP248" s="5">
        <v>0</v>
      </c>
      <c r="BQ248" s="5"/>
      <c r="BR248" s="5"/>
      <c r="BS248" s="4">
        <v>0</v>
      </c>
      <c r="BT248" s="4">
        <f t="shared" si="810"/>
        <v>6</v>
      </c>
      <c r="BU248" s="17">
        <v>0</v>
      </c>
      <c r="BV248" s="4">
        <f t="shared" ref="BV248:BY248" si="854">BV238</f>
        <v>6</v>
      </c>
      <c r="BW248" s="4">
        <f t="shared" si="854"/>
        <v>6</v>
      </c>
      <c r="BX248" s="4">
        <f t="shared" si="854"/>
        <v>0.49999999999999994</v>
      </c>
      <c r="BY248" s="4">
        <f t="shared" si="854"/>
        <v>0.30000000000000004</v>
      </c>
      <c r="BZ248" s="5" t="s">
        <v>477</v>
      </c>
      <c r="CA248" s="4" t="str">
        <f t="shared" si="812"/>
        <v>monster25_1</v>
      </c>
      <c r="CB248" s="4" t="str">
        <f t="shared" si="812"/>
        <v>monster25_1</v>
      </c>
      <c r="CC248" s="5">
        <v>1</v>
      </c>
      <c r="CD248" s="8">
        <v>1</v>
      </c>
      <c r="CE248" s="5">
        <f t="shared" ref="CE248:CF248" si="855">CE238</f>
        <v>6</v>
      </c>
      <c r="CF248" s="5">
        <f t="shared" si="855"/>
        <v>1</v>
      </c>
      <c r="CG248" s="5" t="s">
        <v>481</v>
      </c>
      <c r="CH248" s="5">
        <v>0</v>
      </c>
      <c r="CI248" s="5">
        <v>0</v>
      </c>
      <c r="CJ248" s="4">
        <v>1</v>
      </c>
      <c r="CK248" s="20">
        <v>903912</v>
      </c>
      <c r="CL248" s="5">
        <v>0</v>
      </c>
      <c r="CM248" s="20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20">
        <v>2.5</v>
      </c>
      <c r="CW248" s="20">
        <v>3</v>
      </c>
      <c r="CX248" s="20">
        <v>2.5</v>
      </c>
      <c r="CY248" s="20">
        <v>3.5</v>
      </c>
      <c r="CZ248" s="8">
        <v>75</v>
      </c>
      <c r="DA248" s="6">
        <f t="shared" si="728"/>
        <v>11250</v>
      </c>
      <c r="DB248" s="5">
        <v>0</v>
      </c>
      <c r="DC248" s="5">
        <f t="shared" si="742"/>
        <v>0.625</v>
      </c>
      <c r="DD248" s="6">
        <f t="shared" si="729"/>
        <v>0.625</v>
      </c>
      <c r="DE248" s="6">
        <v>1</v>
      </c>
      <c r="DF248" s="5">
        <v>0</v>
      </c>
      <c r="DG248" s="6">
        <v>2.5</v>
      </c>
      <c r="DH248" s="5"/>
      <c r="DI248" s="8"/>
      <c r="DJ248" s="5">
        <v>0</v>
      </c>
      <c r="DK248" s="8">
        <v>0</v>
      </c>
      <c r="DL248" s="5">
        <f t="shared" si="731"/>
        <v>0</v>
      </c>
      <c r="DM248" s="5" t="str">
        <f t="shared" si="795"/>
        <v>6级寒冰泰坦</v>
      </c>
      <c r="DN248" s="5">
        <v>6</v>
      </c>
      <c r="DO248" s="5">
        <v>0</v>
      </c>
      <c r="DP248" s="5">
        <v>1</v>
      </c>
      <c r="DQ248" s="5">
        <v>1</v>
      </c>
      <c r="DR248" s="5">
        <v>2.5</v>
      </c>
      <c r="DS248" s="6">
        <v>3.5</v>
      </c>
      <c r="DT248" s="5">
        <v>-0.5</v>
      </c>
      <c r="DU248" s="5">
        <v>1</v>
      </c>
      <c r="DV248" s="6">
        <v>0.5</v>
      </c>
      <c r="DW248" s="5">
        <f t="shared" si="814"/>
        <v>0.5</v>
      </c>
      <c r="DX248" s="5">
        <v>6</v>
      </c>
      <c r="DY248" s="5">
        <f t="shared" si="815"/>
        <v>0</v>
      </c>
      <c r="DZ248" s="5">
        <v>0</v>
      </c>
    </row>
    <row r="249" spans="1:130" x14ac:dyDescent="0.15">
      <c r="A249" s="5">
        <v>201247</v>
      </c>
      <c r="B249" s="5" t="s">
        <v>482</v>
      </c>
      <c r="C249" s="5"/>
      <c r="D249" s="5"/>
      <c r="E249" s="5"/>
      <c r="F249" s="5">
        <v>1</v>
      </c>
      <c r="G249" s="45"/>
      <c r="H249" s="5"/>
      <c r="I249" s="5"/>
      <c r="J249" s="5"/>
      <c r="K249" s="5"/>
      <c r="L249" s="10"/>
      <c r="M249" s="5"/>
      <c r="N249" s="10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20"/>
      <c r="AF249" s="5"/>
      <c r="AG249" s="5"/>
      <c r="AH249" s="5"/>
      <c r="AI249" s="5"/>
      <c r="AJ249" s="5"/>
      <c r="AK249" s="5"/>
      <c r="AL249" s="5"/>
      <c r="AM249" s="5"/>
      <c r="AN249" s="8"/>
      <c r="AO249" s="5">
        <v>0</v>
      </c>
      <c r="AP249" s="5" t="s">
        <v>482</v>
      </c>
      <c r="AQ249" s="5">
        <v>0</v>
      </c>
      <c r="AR249" s="8">
        <v>15</v>
      </c>
      <c r="AS249" s="6">
        <f t="shared" si="733"/>
        <v>315</v>
      </c>
      <c r="AT249" s="6">
        <f t="shared" si="734"/>
        <v>336</v>
      </c>
      <c r="AU249" s="5">
        <v>0</v>
      </c>
      <c r="AV249" s="5">
        <v>0</v>
      </c>
      <c r="AW249" s="5">
        <v>0</v>
      </c>
      <c r="AX249" s="5">
        <v>1</v>
      </c>
      <c r="AY249" s="5">
        <v>0</v>
      </c>
      <c r="AZ249" s="23">
        <v>201247</v>
      </c>
      <c r="BA249" s="5">
        <f t="shared" si="809"/>
        <v>203025</v>
      </c>
      <c r="BB249" s="5">
        <v>10</v>
      </c>
      <c r="BC249" s="5">
        <v>903915</v>
      </c>
      <c r="BD249" s="5">
        <v>1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f t="shared" si="794"/>
        <v>1</v>
      </c>
      <c r="BM249" s="5">
        <v>0</v>
      </c>
      <c r="BN249" s="5">
        <v>0</v>
      </c>
      <c r="BO249" s="5">
        <v>0</v>
      </c>
      <c r="BP249" s="5">
        <v>0</v>
      </c>
      <c r="BQ249" s="5"/>
      <c r="BR249" s="5"/>
      <c r="BS249" s="4">
        <v>0</v>
      </c>
      <c r="BT249" s="4">
        <f t="shared" si="810"/>
        <v>7</v>
      </c>
      <c r="BU249" s="17">
        <v>0</v>
      </c>
      <c r="BV249" s="4">
        <f t="shared" ref="BV249:BY249" si="856">BV239</f>
        <v>7</v>
      </c>
      <c r="BW249" s="4">
        <f t="shared" si="856"/>
        <v>7</v>
      </c>
      <c r="BX249" s="4">
        <f t="shared" si="856"/>
        <v>0.42999999999999994</v>
      </c>
      <c r="BY249" s="4">
        <f t="shared" si="856"/>
        <v>0.25</v>
      </c>
      <c r="BZ249" s="5" t="s">
        <v>475</v>
      </c>
      <c r="CA249" s="4" t="str">
        <f t="shared" si="812"/>
        <v>monster25</v>
      </c>
      <c r="CB249" s="4" t="str">
        <f t="shared" si="812"/>
        <v>monster25</v>
      </c>
      <c r="CC249" s="5">
        <v>1</v>
      </c>
      <c r="CD249" s="8">
        <v>1</v>
      </c>
      <c r="CE249" s="5">
        <f t="shared" ref="CE249:CF249" si="857">CE239</f>
        <v>7</v>
      </c>
      <c r="CF249" s="5">
        <f t="shared" si="857"/>
        <v>1</v>
      </c>
      <c r="CG249" s="5" t="s">
        <v>482</v>
      </c>
      <c r="CH249" s="5">
        <v>0</v>
      </c>
      <c r="CI249" s="5">
        <v>0</v>
      </c>
      <c r="CJ249" s="4">
        <v>0</v>
      </c>
      <c r="CK249" s="20">
        <v>903912</v>
      </c>
      <c r="CL249" s="5">
        <v>0</v>
      </c>
      <c r="CM249" s="20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20">
        <v>2.5</v>
      </c>
      <c r="CW249" s="20">
        <v>3</v>
      </c>
      <c r="CX249" s="20">
        <v>2.5</v>
      </c>
      <c r="CY249" s="20">
        <v>3.5</v>
      </c>
      <c r="CZ249" s="8">
        <v>75</v>
      </c>
      <c r="DA249" s="6">
        <f t="shared" si="728"/>
        <v>13125</v>
      </c>
      <c r="DB249" s="5">
        <v>0</v>
      </c>
      <c r="DC249" s="5">
        <f t="shared" si="742"/>
        <v>0.65</v>
      </c>
      <c r="DD249" s="6">
        <f t="shared" si="729"/>
        <v>0.65</v>
      </c>
      <c r="DE249" s="6">
        <v>1</v>
      </c>
      <c r="DF249" s="5">
        <v>0</v>
      </c>
      <c r="DG249" s="6">
        <v>2.5</v>
      </c>
      <c r="DH249" s="5"/>
      <c r="DI249" s="8"/>
      <c r="DJ249" s="5">
        <v>0</v>
      </c>
      <c r="DK249" s="8">
        <v>0</v>
      </c>
      <c r="DL249" s="5">
        <f t="shared" si="731"/>
        <v>0</v>
      </c>
      <c r="DM249" s="5" t="str">
        <f t="shared" si="795"/>
        <v>7级寒冰泰坦</v>
      </c>
      <c r="DN249" s="5">
        <v>6</v>
      </c>
      <c r="DO249" s="5">
        <v>0</v>
      </c>
      <c r="DP249" s="5">
        <v>1</v>
      </c>
      <c r="DQ249" s="5">
        <v>1</v>
      </c>
      <c r="DR249" s="5">
        <v>2.5</v>
      </c>
      <c r="DS249" s="6">
        <v>3.5</v>
      </c>
      <c r="DT249" s="5">
        <v>-0.5</v>
      </c>
      <c r="DU249" s="5">
        <v>1</v>
      </c>
      <c r="DV249" s="6">
        <v>0.5</v>
      </c>
      <c r="DW249" s="5">
        <f t="shared" si="814"/>
        <v>0.5</v>
      </c>
      <c r="DX249" s="5">
        <v>6</v>
      </c>
      <c r="DY249" s="5">
        <f t="shared" si="815"/>
        <v>0</v>
      </c>
      <c r="DZ249" s="5">
        <v>0</v>
      </c>
    </row>
    <row r="250" spans="1:130" x14ac:dyDescent="0.15">
      <c r="A250" s="5">
        <v>201248</v>
      </c>
      <c r="B250" s="5" t="s">
        <v>483</v>
      </c>
      <c r="C250" s="5"/>
      <c r="D250" s="5"/>
      <c r="E250" s="5"/>
      <c r="F250" s="5">
        <v>1</v>
      </c>
      <c r="G250" s="45"/>
      <c r="H250" s="5"/>
      <c r="I250" s="5"/>
      <c r="J250" s="5"/>
      <c r="K250" s="5"/>
      <c r="L250" s="10"/>
      <c r="M250" s="5"/>
      <c r="N250" s="10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20"/>
      <c r="AF250" s="5"/>
      <c r="AG250" s="5"/>
      <c r="AH250" s="5"/>
      <c r="AI250" s="5"/>
      <c r="AJ250" s="5"/>
      <c r="AK250" s="5"/>
      <c r="AL250" s="5"/>
      <c r="AM250" s="5"/>
      <c r="AN250" s="8"/>
      <c r="AO250" s="5">
        <v>0</v>
      </c>
      <c r="AP250" s="5" t="s">
        <v>483</v>
      </c>
      <c r="AQ250" s="5">
        <v>0</v>
      </c>
      <c r="AR250" s="8">
        <v>15</v>
      </c>
      <c r="AS250" s="6">
        <f t="shared" si="733"/>
        <v>360</v>
      </c>
      <c r="AT250" s="6">
        <f t="shared" si="734"/>
        <v>384</v>
      </c>
      <c r="AU250" s="5">
        <v>0</v>
      </c>
      <c r="AV250" s="5">
        <v>0</v>
      </c>
      <c r="AW250" s="5">
        <v>0</v>
      </c>
      <c r="AX250" s="5">
        <v>1</v>
      </c>
      <c r="AY250" s="5">
        <v>0</v>
      </c>
      <c r="AZ250" s="23">
        <v>201248</v>
      </c>
      <c r="BA250" s="5">
        <f t="shared" si="809"/>
        <v>203025</v>
      </c>
      <c r="BB250" s="5">
        <v>10</v>
      </c>
      <c r="BC250" s="5">
        <v>903915</v>
      </c>
      <c r="BD250" s="5">
        <v>1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f t="shared" si="794"/>
        <v>0</v>
      </c>
      <c r="BM250" s="5">
        <v>0</v>
      </c>
      <c r="BN250" s="5">
        <v>0</v>
      </c>
      <c r="BO250" s="5">
        <v>0</v>
      </c>
      <c r="BP250" s="5">
        <v>0</v>
      </c>
      <c r="BQ250" s="5"/>
      <c r="BR250" s="5"/>
      <c r="BS250" s="4">
        <v>0</v>
      </c>
      <c r="BT250" s="4">
        <f t="shared" si="810"/>
        <v>8</v>
      </c>
      <c r="BU250" s="17">
        <v>0</v>
      </c>
      <c r="BV250" s="4">
        <f t="shared" ref="BV250:BY250" si="858">BV240</f>
        <v>8</v>
      </c>
      <c r="BW250" s="4">
        <f t="shared" si="858"/>
        <v>8</v>
      </c>
      <c r="BX250" s="4">
        <f t="shared" si="858"/>
        <v>0.35999999999999993</v>
      </c>
      <c r="BY250" s="4">
        <f t="shared" si="858"/>
        <v>0.2</v>
      </c>
      <c r="BZ250" s="5" t="s">
        <v>477</v>
      </c>
      <c r="CA250" s="4" t="str">
        <f t="shared" si="812"/>
        <v>monster25_1</v>
      </c>
      <c r="CB250" s="4" t="str">
        <f t="shared" si="812"/>
        <v>monster25_1</v>
      </c>
      <c r="CC250" s="5">
        <v>1</v>
      </c>
      <c r="CD250" s="8">
        <v>1</v>
      </c>
      <c r="CE250" s="5">
        <f t="shared" ref="CE250:CF250" si="859">CE240</f>
        <v>8</v>
      </c>
      <c r="CF250" s="5">
        <f t="shared" si="859"/>
        <v>1</v>
      </c>
      <c r="CG250" s="5" t="s">
        <v>483</v>
      </c>
      <c r="CH250" s="5">
        <v>0</v>
      </c>
      <c r="CI250" s="5">
        <v>0</v>
      </c>
      <c r="CJ250" s="4">
        <v>1</v>
      </c>
      <c r="CK250" s="20">
        <v>903912</v>
      </c>
      <c r="CL250" s="5">
        <v>0</v>
      </c>
      <c r="CM250" s="20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20">
        <v>2.5</v>
      </c>
      <c r="CW250" s="20">
        <v>3</v>
      </c>
      <c r="CX250" s="20">
        <v>2.5</v>
      </c>
      <c r="CY250" s="20">
        <v>3.5</v>
      </c>
      <c r="CZ250" s="8">
        <v>75</v>
      </c>
      <c r="DA250" s="6">
        <f t="shared" si="728"/>
        <v>15000</v>
      </c>
      <c r="DB250" s="5">
        <v>0</v>
      </c>
      <c r="DC250" s="5">
        <f t="shared" si="742"/>
        <v>0.67500000000000004</v>
      </c>
      <c r="DD250" s="6">
        <f t="shared" si="729"/>
        <v>0.67500000000000004</v>
      </c>
      <c r="DE250" s="6">
        <v>1</v>
      </c>
      <c r="DF250" s="5">
        <v>0</v>
      </c>
      <c r="DG250" s="6">
        <v>2.5</v>
      </c>
      <c r="DH250" s="5"/>
      <c r="DI250" s="8"/>
      <c r="DJ250" s="5">
        <v>0</v>
      </c>
      <c r="DK250" s="8">
        <v>0</v>
      </c>
      <c r="DL250" s="5">
        <f t="shared" si="731"/>
        <v>0</v>
      </c>
      <c r="DM250" s="5" t="str">
        <f t="shared" si="795"/>
        <v>8级寒冰泰坦</v>
      </c>
      <c r="DN250" s="5">
        <v>6</v>
      </c>
      <c r="DO250" s="5">
        <v>0</v>
      </c>
      <c r="DP250" s="5">
        <v>1</v>
      </c>
      <c r="DQ250" s="5">
        <v>1</v>
      </c>
      <c r="DR250" s="5">
        <v>2.5</v>
      </c>
      <c r="DS250" s="6">
        <v>3.5</v>
      </c>
      <c r="DT250" s="5">
        <v>-0.5</v>
      </c>
      <c r="DU250" s="5">
        <v>1</v>
      </c>
      <c r="DV250" s="6">
        <v>0.5</v>
      </c>
      <c r="DW250" s="5">
        <f t="shared" si="814"/>
        <v>0.5</v>
      </c>
      <c r="DX250" s="5">
        <v>6</v>
      </c>
      <c r="DY250" s="5">
        <f t="shared" si="815"/>
        <v>0</v>
      </c>
      <c r="DZ250" s="5">
        <v>0</v>
      </c>
    </row>
    <row r="251" spans="1:130" x14ac:dyDescent="0.15">
      <c r="A251" s="5">
        <v>201249</v>
      </c>
      <c r="B251" s="5" t="s">
        <v>484</v>
      </c>
      <c r="C251" s="5"/>
      <c r="D251" s="5"/>
      <c r="E251" s="5"/>
      <c r="F251" s="5">
        <v>1</v>
      </c>
      <c r="G251" s="45"/>
      <c r="H251" s="5"/>
      <c r="I251" s="5"/>
      <c r="J251" s="5"/>
      <c r="K251" s="5"/>
      <c r="L251" s="10"/>
      <c r="M251" s="5"/>
      <c r="N251" s="10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20"/>
      <c r="AF251" s="5"/>
      <c r="AG251" s="5"/>
      <c r="AH251" s="5"/>
      <c r="AI251" s="5"/>
      <c r="AJ251" s="5"/>
      <c r="AK251" s="5"/>
      <c r="AL251" s="5"/>
      <c r="AM251" s="5"/>
      <c r="AN251" s="8"/>
      <c r="AO251" s="5">
        <v>0</v>
      </c>
      <c r="AP251" s="5" t="s">
        <v>484</v>
      </c>
      <c r="AQ251" s="5">
        <v>0</v>
      </c>
      <c r="AR251" s="8">
        <v>15</v>
      </c>
      <c r="AS251" s="6">
        <f t="shared" si="733"/>
        <v>405</v>
      </c>
      <c r="AT251" s="6">
        <f t="shared" si="734"/>
        <v>432</v>
      </c>
      <c r="AU251" s="5">
        <v>0</v>
      </c>
      <c r="AV251" s="5">
        <v>0</v>
      </c>
      <c r="AW251" s="5">
        <v>0</v>
      </c>
      <c r="AX251" s="5">
        <v>1</v>
      </c>
      <c r="AY251" s="5">
        <v>0</v>
      </c>
      <c r="AZ251" s="23">
        <v>201249</v>
      </c>
      <c r="BA251" s="5">
        <f t="shared" si="809"/>
        <v>203025</v>
      </c>
      <c r="BB251" s="5">
        <v>10</v>
      </c>
      <c r="BC251" s="5">
        <v>903915</v>
      </c>
      <c r="BD251" s="5">
        <v>1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f t="shared" si="794"/>
        <v>2</v>
      </c>
      <c r="BM251" s="5">
        <v>0</v>
      </c>
      <c r="BN251" s="5">
        <v>0</v>
      </c>
      <c r="BO251" s="5">
        <v>0</v>
      </c>
      <c r="BP251" s="5">
        <v>0</v>
      </c>
      <c r="BQ251" s="5"/>
      <c r="BR251" s="5"/>
      <c r="BS251" s="4">
        <v>0</v>
      </c>
      <c r="BT251" s="4">
        <f t="shared" si="810"/>
        <v>9</v>
      </c>
      <c r="BU251" s="17">
        <v>0</v>
      </c>
      <c r="BV251" s="4">
        <f t="shared" ref="BV251:BY251" si="860">BV241</f>
        <v>9</v>
      </c>
      <c r="BW251" s="4">
        <f t="shared" si="860"/>
        <v>9</v>
      </c>
      <c r="BX251" s="4">
        <f t="shared" si="860"/>
        <v>0.28999999999999992</v>
      </c>
      <c r="BY251" s="4">
        <f t="shared" si="860"/>
        <v>0.15000000000000002</v>
      </c>
      <c r="BZ251" s="5" t="s">
        <v>475</v>
      </c>
      <c r="CA251" s="4" t="str">
        <f t="shared" si="812"/>
        <v>monster25</v>
      </c>
      <c r="CB251" s="4" t="str">
        <f t="shared" si="812"/>
        <v>monster25</v>
      </c>
      <c r="CC251" s="5">
        <v>1</v>
      </c>
      <c r="CD251" s="8">
        <v>1</v>
      </c>
      <c r="CE251" s="5">
        <f t="shared" ref="CE251:CF251" si="861">CE241</f>
        <v>9</v>
      </c>
      <c r="CF251" s="5">
        <f t="shared" si="861"/>
        <v>1</v>
      </c>
      <c r="CG251" s="5" t="s">
        <v>484</v>
      </c>
      <c r="CH251" s="5">
        <v>0</v>
      </c>
      <c r="CI251" s="5">
        <v>0</v>
      </c>
      <c r="CJ251" s="4">
        <v>0</v>
      </c>
      <c r="CK251" s="20">
        <v>903912</v>
      </c>
      <c r="CL251" s="5">
        <v>0</v>
      </c>
      <c r="CM251" s="20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20">
        <v>2.5</v>
      </c>
      <c r="CW251" s="20">
        <v>3</v>
      </c>
      <c r="CX251" s="20">
        <v>2.5</v>
      </c>
      <c r="CY251" s="20">
        <v>3.5</v>
      </c>
      <c r="CZ251" s="8">
        <v>75</v>
      </c>
      <c r="DA251" s="6">
        <f t="shared" si="728"/>
        <v>16875</v>
      </c>
      <c r="DB251" s="5">
        <v>0</v>
      </c>
      <c r="DC251" s="5">
        <f t="shared" si="742"/>
        <v>0.7</v>
      </c>
      <c r="DD251" s="6">
        <f t="shared" si="729"/>
        <v>0.7</v>
      </c>
      <c r="DE251" s="6">
        <v>1</v>
      </c>
      <c r="DF251" s="5">
        <v>0</v>
      </c>
      <c r="DG251" s="6">
        <v>2.5</v>
      </c>
      <c r="DH251" s="5"/>
      <c r="DI251" s="8"/>
      <c r="DJ251" s="5">
        <v>0</v>
      </c>
      <c r="DK251" s="8">
        <v>0</v>
      </c>
      <c r="DL251" s="5">
        <f t="shared" si="731"/>
        <v>0</v>
      </c>
      <c r="DM251" s="5" t="str">
        <f t="shared" si="795"/>
        <v>9级寒冰泰坦</v>
      </c>
      <c r="DN251" s="5">
        <v>6</v>
      </c>
      <c r="DO251" s="5">
        <v>0</v>
      </c>
      <c r="DP251" s="5">
        <v>1</v>
      </c>
      <c r="DQ251" s="5">
        <v>1</v>
      </c>
      <c r="DR251" s="5">
        <v>2.5</v>
      </c>
      <c r="DS251" s="6">
        <v>3.5</v>
      </c>
      <c r="DT251" s="5">
        <v>-0.5</v>
      </c>
      <c r="DU251" s="5">
        <v>1</v>
      </c>
      <c r="DV251" s="6">
        <v>0.5</v>
      </c>
      <c r="DW251" s="5">
        <f t="shared" si="814"/>
        <v>0.5</v>
      </c>
      <c r="DX251" s="5">
        <v>6</v>
      </c>
      <c r="DY251" s="5">
        <f t="shared" si="815"/>
        <v>0</v>
      </c>
      <c r="DZ251" s="5">
        <v>0</v>
      </c>
    </row>
    <row r="252" spans="1:130" x14ac:dyDescent="0.15">
      <c r="A252" s="5">
        <v>201250</v>
      </c>
      <c r="B252" s="5" t="s">
        <v>485</v>
      </c>
      <c r="C252" s="5"/>
      <c r="D252" s="5"/>
      <c r="E252" s="5"/>
      <c r="F252" s="5">
        <v>1</v>
      </c>
      <c r="G252" s="45"/>
      <c r="H252" s="5"/>
      <c r="I252" s="5"/>
      <c r="J252" s="5"/>
      <c r="K252" s="5"/>
      <c r="L252" s="10"/>
      <c r="M252" s="5"/>
      <c r="N252" s="10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20"/>
      <c r="AF252" s="5"/>
      <c r="AG252" s="5"/>
      <c r="AH252" s="5"/>
      <c r="AI252" s="5"/>
      <c r="AJ252" s="5"/>
      <c r="AK252" s="5"/>
      <c r="AL252" s="5"/>
      <c r="AM252" s="5"/>
      <c r="AN252" s="8"/>
      <c r="AO252" s="5">
        <v>0</v>
      </c>
      <c r="AP252" s="5" t="s">
        <v>485</v>
      </c>
      <c r="AQ252" s="5">
        <v>0</v>
      </c>
      <c r="AR252" s="8">
        <v>15</v>
      </c>
      <c r="AS252" s="6">
        <f t="shared" si="733"/>
        <v>450</v>
      </c>
      <c r="AT252" s="6">
        <f t="shared" si="734"/>
        <v>480</v>
      </c>
      <c r="AU252" s="5">
        <v>0</v>
      </c>
      <c r="AV252" s="5">
        <v>0</v>
      </c>
      <c r="AW252" s="5">
        <v>0</v>
      </c>
      <c r="AX252" s="5">
        <v>1</v>
      </c>
      <c r="AY252" s="5">
        <v>0</v>
      </c>
      <c r="AZ252" s="23">
        <v>201250</v>
      </c>
      <c r="BA252" s="5">
        <f t="shared" si="809"/>
        <v>203025</v>
      </c>
      <c r="BB252" s="5">
        <v>10</v>
      </c>
      <c r="BC252" s="5">
        <v>903915</v>
      </c>
      <c r="BD252" s="5">
        <v>1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f t="shared" si="794"/>
        <v>0</v>
      </c>
      <c r="BM252" s="5">
        <v>0</v>
      </c>
      <c r="BN252" s="5">
        <v>0</v>
      </c>
      <c r="BO252" s="5">
        <v>0</v>
      </c>
      <c r="BP252" s="5">
        <v>0</v>
      </c>
      <c r="BQ252" s="5"/>
      <c r="BR252" s="5"/>
      <c r="BS252" s="4">
        <v>0</v>
      </c>
      <c r="BT252" s="4">
        <f t="shared" si="810"/>
        <v>10</v>
      </c>
      <c r="BU252" s="17">
        <v>0</v>
      </c>
      <c r="BV252" s="4">
        <f t="shared" ref="BV252:BY252" si="862">BV242</f>
        <v>10</v>
      </c>
      <c r="BW252" s="4">
        <f t="shared" si="862"/>
        <v>10</v>
      </c>
      <c r="BX252" s="4">
        <f t="shared" si="862"/>
        <v>0.21999999999999986</v>
      </c>
      <c r="BY252" s="4">
        <f t="shared" si="862"/>
        <v>0.10000000000000003</v>
      </c>
      <c r="BZ252" s="5" t="s">
        <v>477</v>
      </c>
      <c r="CA252" s="4" t="str">
        <f t="shared" si="812"/>
        <v>monster25_1</v>
      </c>
      <c r="CB252" s="4" t="str">
        <f t="shared" si="812"/>
        <v>monster25_1</v>
      </c>
      <c r="CC252" s="5">
        <v>1</v>
      </c>
      <c r="CD252" s="8">
        <v>1</v>
      </c>
      <c r="CE252" s="5">
        <f t="shared" ref="CE252:CF252" si="863">CE242</f>
        <v>10</v>
      </c>
      <c r="CF252" s="5">
        <f t="shared" si="863"/>
        <v>1</v>
      </c>
      <c r="CG252" s="5" t="s">
        <v>485</v>
      </c>
      <c r="CH252" s="5">
        <v>0</v>
      </c>
      <c r="CI252" s="5">
        <v>0</v>
      </c>
      <c r="CJ252" s="4">
        <v>1</v>
      </c>
      <c r="CK252" s="20">
        <v>903912</v>
      </c>
      <c r="CL252" s="5">
        <v>0</v>
      </c>
      <c r="CM252" s="20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20">
        <v>2.5</v>
      </c>
      <c r="CW252" s="20">
        <v>3</v>
      </c>
      <c r="CX252" s="20">
        <v>2.5</v>
      </c>
      <c r="CY252" s="20">
        <v>3.5</v>
      </c>
      <c r="CZ252" s="8">
        <v>75</v>
      </c>
      <c r="DA252" s="6">
        <f t="shared" si="728"/>
        <v>18750</v>
      </c>
      <c r="DB252" s="5">
        <v>0</v>
      </c>
      <c r="DC252" s="5">
        <f t="shared" si="742"/>
        <v>0.72499999999999998</v>
      </c>
      <c r="DD252" s="6">
        <f t="shared" si="729"/>
        <v>0.72499999999999998</v>
      </c>
      <c r="DE252" s="6">
        <v>1</v>
      </c>
      <c r="DF252" s="5">
        <v>0</v>
      </c>
      <c r="DG252" s="6">
        <v>2.5</v>
      </c>
      <c r="DH252" s="5"/>
      <c r="DI252" s="8"/>
      <c r="DJ252" s="5">
        <v>0</v>
      </c>
      <c r="DK252" s="8">
        <v>0</v>
      </c>
      <c r="DL252" s="5">
        <f t="shared" si="731"/>
        <v>0</v>
      </c>
      <c r="DM252" s="5" t="str">
        <f t="shared" si="795"/>
        <v>10级寒冰泰坦</v>
      </c>
      <c r="DN252" s="5">
        <v>6</v>
      </c>
      <c r="DO252" s="5">
        <v>0</v>
      </c>
      <c r="DP252" s="5">
        <v>1</v>
      </c>
      <c r="DQ252" s="5">
        <v>1</v>
      </c>
      <c r="DR252" s="5">
        <v>2.5</v>
      </c>
      <c r="DS252" s="6">
        <v>3.5</v>
      </c>
      <c r="DT252" s="5">
        <v>-0.5</v>
      </c>
      <c r="DU252" s="5">
        <v>1</v>
      </c>
      <c r="DV252" s="6">
        <v>0.5</v>
      </c>
      <c r="DW252" s="5">
        <f t="shared" si="814"/>
        <v>0.5</v>
      </c>
      <c r="DX252" s="5">
        <v>6</v>
      </c>
      <c r="DY252" s="5">
        <f t="shared" si="815"/>
        <v>0</v>
      </c>
      <c r="DZ252" s="5">
        <v>0</v>
      </c>
    </row>
    <row r="253" spans="1:130" x14ac:dyDescent="0.15">
      <c r="A253" s="5">
        <v>201251</v>
      </c>
      <c r="B253" s="5" t="s">
        <v>486</v>
      </c>
      <c r="C253" s="5"/>
      <c r="D253" s="5"/>
      <c r="E253" s="5"/>
      <c r="F253" s="5">
        <v>1</v>
      </c>
      <c r="G253" s="45"/>
      <c r="H253" s="5"/>
      <c r="I253" s="5"/>
      <c r="J253" s="5"/>
      <c r="K253" s="5"/>
      <c r="L253" s="10"/>
      <c r="M253" s="5"/>
      <c r="N253" s="10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20"/>
      <c r="AF253" s="5"/>
      <c r="AG253" s="5"/>
      <c r="AH253" s="5"/>
      <c r="AI253" s="5"/>
      <c r="AJ253" s="5"/>
      <c r="AK253" s="5"/>
      <c r="AL253" s="5"/>
      <c r="AM253" s="5"/>
      <c r="AN253" s="8"/>
      <c r="AO253" s="5">
        <v>0</v>
      </c>
      <c r="AP253" s="5" t="s">
        <v>486</v>
      </c>
      <c r="AQ253" s="5">
        <v>0</v>
      </c>
      <c r="AR253" s="8">
        <v>15</v>
      </c>
      <c r="AS253" s="6">
        <f t="shared" si="733"/>
        <v>45</v>
      </c>
      <c r="AT253" s="6">
        <f t="shared" si="734"/>
        <v>48</v>
      </c>
      <c r="AU253" s="5">
        <v>0</v>
      </c>
      <c r="AV253" s="5">
        <v>0</v>
      </c>
      <c r="AW253" s="5">
        <v>0</v>
      </c>
      <c r="AX253" s="5">
        <v>1</v>
      </c>
      <c r="AY253" s="5">
        <v>0</v>
      </c>
      <c r="AZ253" s="23">
        <v>201251</v>
      </c>
      <c r="BA253" s="5">
        <f t="shared" si="809"/>
        <v>203026</v>
      </c>
      <c r="BB253" s="5">
        <v>10</v>
      </c>
      <c r="BC253" s="5">
        <v>903914</v>
      </c>
      <c r="BD253" s="5">
        <v>1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f t="shared" si="794"/>
        <v>0</v>
      </c>
      <c r="BM253" s="5">
        <v>0</v>
      </c>
      <c r="BN253" s="5">
        <v>0</v>
      </c>
      <c r="BO253" s="5">
        <v>0</v>
      </c>
      <c r="BP253" s="5">
        <v>0</v>
      </c>
      <c r="BQ253" s="5"/>
      <c r="BR253" s="5"/>
      <c r="BS253" s="4">
        <v>0</v>
      </c>
      <c r="BT253" s="4">
        <f t="shared" si="810"/>
        <v>1</v>
      </c>
      <c r="BU253" s="17">
        <v>0</v>
      </c>
      <c r="BV253" s="4">
        <f t="shared" ref="BV253:BY253" si="864">BV243</f>
        <v>1</v>
      </c>
      <c r="BW253" s="4">
        <f t="shared" si="864"/>
        <v>1</v>
      </c>
      <c r="BX253" s="4">
        <f t="shared" si="864"/>
        <v>0.85</v>
      </c>
      <c r="BY253" s="4">
        <f t="shared" si="864"/>
        <v>0.55000000000000004</v>
      </c>
      <c r="BZ253" s="27" t="s">
        <v>725</v>
      </c>
      <c r="CA253" s="4" t="str">
        <f t="shared" si="812"/>
        <v>monster26</v>
      </c>
      <c r="CB253" s="4" t="str">
        <f t="shared" si="812"/>
        <v>monster26</v>
      </c>
      <c r="CC253" s="5">
        <v>1</v>
      </c>
      <c r="CD253" s="8">
        <v>1</v>
      </c>
      <c r="CE253" s="5">
        <f t="shared" ref="CE253:CF253" si="865">CE243</f>
        <v>1</v>
      </c>
      <c r="CF253" s="5">
        <f t="shared" si="865"/>
        <v>1</v>
      </c>
      <c r="CG253" s="5" t="s">
        <v>486</v>
      </c>
      <c r="CH253" s="5">
        <v>0</v>
      </c>
      <c r="CI253" s="5">
        <v>0</v>
      </c>
      <c r="CJ253" s="4">
        <v>0</v>
      </c>
      <c r="CK253" s="20">
        <v>0</v>
      </c>
      <c r="CL253" s="5">
        <v>0</v>
      </c>
      <c r="CM253" s="20">
        <v>111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201211</v>
      </c>
      <c r="CU253" s="5">
        <v>3</v>
      </c>
      <c r="CV253" s="20">
        <v>2.5</v>
      </c>
      <c r="CW253" s="20">
        <v>3</v>
      </c>
      <c r="CX253" s="20">
        <v>2.5</v>
      </c>
      <c r="CY253" s="20">
        <v>3.5</v>
      </c>
      <c r="CZ253" s="8">
        <v>75</v>
      </c>
      <c r="DA253" s="6">
        <f t="shared" si="728"/>
        <v>1875</v>
      </c>
      <c r="DB253" s="5">
        <v>0</v>
      </c>
      <c r="DC253" s="5">
        <f t="shared" si="742"/>
        <v>0.5</v>
      </c>
      <c r="DD253" s="6">
        <f t="shared" si="729"/>
        <v>0.5</v>
      </c>
      <c r="DE253" s="6">
        <v>1</v>
      </c>
      <c r="DF253" s="5">
        <v>0</v>
      </c>
      <c r="DG253" s="6">
        <v>2.5</v>
      </c>
      <c r="DH253" s="5"/>
      <c r="DI253" s="8"/>
      <c r="DJ253" s="5">
        <v>0</v>
      </c>
      <c r="DK253" s="8">
        <v>0</v>
      </c>
      <c r="DL253" s="5">
        <f t="shared" si="731"/>
        <v>0</v>
      </c>
      <c r="DM253" s="5" t="str">
        <f t="shared" si="795"/>
        <v>1级森林泰坦</v>
      </c>
      <c r="DN253" s="5">
        <v>6</v>
      </c>
      <c r="DO253" s="5">
        <v>0</v>
      </c>
      <c r="DP253" s="5">
        <v>1</v>
      </c>
      <c r="DQ253" s="5">
        <v>1</v>
      </c>
      <c r="DR253" s="5">
        <v>2.5</v>
      </c>
      <c r="DS253" s="6">
        <v>3.5</v>
      </c>
      <c r="DT253" s="5">
        <v>-0.5</v>
      </c>
      <c r="DU253" s="5">
        <v>0.5</v>
      </c>
      <c r="DV253" s="6">
        <v>0.5</v>
      </c>
      <c r="DW253" s="5">
        <f t="shared" si="814"/>
        <v>0.5</v>
      </c>
      <c r="DX253" s="5">
        <v>6</v>
      </c>
      <c r="DY253" s="5">
        <f t="shared" si="815"/>
        <v>0</v>
      </c>
      <c r="DZ253" s="5">
        <v>0</v>
      </c>
    </row>
    <row r="254" spans="1:130" x14ac:dyDescent="0.15">
      <c r="A254" s="5">
        <v>201252</v>
      </c>
      <c r="B254" s="5" t="s">
        <v>488</v>
      </c>
      <c r="C254" s="5"/>
      <c r="D254" s="5"/>
      <c r="E254" s="5"/>
      <c r="F254" s="5">
        <v>1</v>
      </c>
      <c r="G254" s="45"/>
      <c r="H254" s="5"/>
      <c r="I254" s="5"/>
      <c r="J254" s="5"/>
      <c r="K254" s="5"/>
      <c r="L254" s="10"/>
      <c r="M254" s="5"/>
      <c r="N254" s="10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20"/>
      <c r="AF254" s="5"/>
      <c r="AG254" s="5"/>
      <c r="AH254" s="5"/>
      <c r="AI254" s="5"/>
      <c r="AJ254" s="5"/>
      <c r="AK254" s="5"/>
      <c r="AL254" s="5"/>
      <c r="AM254" s="5"/>
      <c r="AN254" s="8"/>
      <c r="AO254" s="5">
        <v>0</v>
      </c>
      <c r="AP254" s="5" t="s">
        <v>488</v>
      </c>
      <c r="AQ254" s="5">
        <v>0</v>
      </c>
      <c r="AR254" s="8">
        <v>15</v>
      </c>
      <c r="AS254" s="6">
        <f t="shared" si="733"/>
        <v>90</v>
      </c>
      <c r="AT254" s="6">
        <f t="shared" si="734"/>
        <v>96</v>
      </c>
      <c r="AU254" s="5">
        <v>0</v>
      </c>
      <c r="AV254" s="5">
        <v>0</v>
      </c>
      <c r="AW254" s="5">
        <v>0</v>
      </c>
      <c r="AX254" s="5">
        <v>1</v>
      </c>
      <c r="AY254" s="5">
        <v>0</v>
      </c>
      <c r="AZ254" s="23">
        <v>201252</v>
      </c>
      <c r="BA254" s="5">
        <f t="shared" si="809"/>
        <v>203026</v>
      </c>
      <c r="BB254" s="5">
        <v>10</v>
      </c>
      <c r="BC254" s="5">
        <v>903914</v>
      </c>
      <c r="BD254" s="5">
        <v>1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f t="shared" si="794"/>
        <v>0</v>
      </c>
      <c r="BM254" s="5">
        <v>0</v>
      </c>
      <c r="BN254" s="5">
        <v>0</v>
      </c>
      <c r="BO254" s="5">
        <v>0</v>
      </c>
      <c r="BP254" s="5">
        <v>0</v>
      </c>
      <c r="BQ254" s="5"/>
      <c r="BR254" s="5"/>
      <c r="BS254" s="4">
        <v>0</v>
      </c>
      <c r="BT254" s="4">
        <f t="shared" si="810"/>
        <v>2</v>
      </c>
      <c r="BU254" s="17">
        <v>0</v>
      </c>
      <c r="BV254" s="4">
        <f t="shared" ref="BV254:BY254" si="866">BV244</f>
        <v>2</v>
      </c>
      <c r="BW254" s="4">
        <f t="shared" si="866"/>
        <v>2</v>
      </c>
      <c r="BX254" s="4">
        <f t="shared" si="866"/>
        <v>0.78</v>
      </c>
      <c r="BY254" s="4">
        <f t="shared" si="866"/>
        <v>0.5</v>
      </c>
      <c r="BZ254" s="5" t="s">
        <v>489</v>
      </c>
      <c r="CA254" s="4" t="str">
        <f t="shared" si="812"/>
        <v>monster26_1</v>
      </c>
      <c r="CB254" s="4" t="str">
        <f t="shared" si="812"/>
        <v>monster26_1</v>
      </c>
      <c r="CC254" s="5">
        <v>1</v>
      </c>
      <c r="CD254" s="8">
        <v>1</v>
      </c>
      <c r="CE254" s="5">
        <f t="shared" ref="CE254:CF254" si="867">CE244</f>
        <v>2</v>
      </c>
      <c r="CF254" s="5">
        <f t="shared" si="867"/>
        <v>1</v>
      </c>
      <c r="CG254" s="5" t="s">
        <v>488</v>
      </c>
      <c r="CH254" s="5">
        <v>0</v>
      </c>
      <c r="CI254" s="5">
        <v>0</v>
      </c>
      <c r="CJ254" s="4">
        <v>1</v>
      </c>
      <c r="CK254" s="20">
        <v>0</v>
      </c>
      <c r="CL254" s="5">
        <v>0</v>
      </c>
      <c r="CM254" s="20">
        <v>111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201212</v>
      </c>
      <c r="CU254" s="5">
        <v>4</v>
      </c>
      <c r="CV254" s="20">
        <v>2.5</v>
      </c>
      <c r="CW254" s="20">
        <v>3</v>
      </c>
      <c r="CX254" s="20">
        <v>2.5</v>
      </c>
      <c r="CY254" s="20">
        <v>3.5</v>
      </c>
      <c r="CZ254" s="8">
        <v>75</v>
      </c>
      <c r="DA254" s="6">
        <f t="shared" si="728"/>
        <v>3750</v>
      </c>
      <c r="DB254" s="5">
        <v>0</v>
      </c>
      <c r="DC254" s="5">
        <f t="shared" si="742"/>
        <v>0.52500000000000002</v>
      </c>
      <c r="DD254" s="6">
        <f t="shared" si="729"/>
        <v>0.52500000000000002</v>
      </c>
      <c r="DE254" s="6">
        <v>1</v>
      </c>
      <c r="DF254" s="5">
        <v>0</v>
      </c>
      <c r="DG254" s="6">
        <v>2.5</v>
      </c>
      <c r="DH254" s="5"/>
      <c r="DI254" s="8"/>
      <c r="DJ254" s="5">
        <v>0</v>
      </c>
      <c r="DK254" s="8">
        <v>0</v>
      </c>
      <c r="DL254" s="5">
        <f t="shared" si="731"/>
        <v>0</v>
      </c>
      <c r="DM254" s="5" t="str">
        <f t="shared" si="795"/>
        <v>2级森林泰坦</v>
      </c>
      <c r="DN254" s="5">
        <v>6</v>
      </c>
      <c r="DO254" s="5">
        <v>0</v>
      </c>
      <c r="DP254" s="5">
        <v>1</v>
      </c>
      <c r="DQ254" s="5">
        <v>1</v>
      </c>
      <c r="DR254" s="5">
        <v>2.5</v>
      </c>
      <c r="DS254" s="6">
        <v>3.5</v>
      </c>
      <c r="DT254" s="5">
        <v>-0.6</v>
      </c>
      <c r="DU254" s="5">
        <v>0.5</v>
      </c>
      <c r="DV254" s="6">
        <v>0.5</v>
      </c>
      <c r="DW254" s="5">
        <f t="shared" si="814"/>
        <v>0.5</v>
      </c>
      <c r="DX254" s="5">
        <v>6</v>
      </c>
      <c r="DY254" s="5">
        <f t="shared" si="815"/>
        <v>0</v>
      </c>
      <c r="DZ254" s="5">
        <v>0</v>
      </c>
    </row>
    <row r="255" spans="1:130" x14ac:dyDescent="0.15">
      <c r="A255" s="5">
        <v>201253</v>
      </c>
      <c r="B255" s="5" t="s">
        <v>490</v>
      </c>
      <c r="C255" s="5"/>
      <c r="D255" s="5"/>
      <c r="E255" s="5"/>
      <c r="F255" s="5">
        <v>1</v>
      </c>
      <c r="G255" s="45"/>
      <c r="H255" s="5"/>
      <c r="I255" s="5"/>
      <c r="J255" s="5"/>
      <c r="K255" s="5"/>
      <c r="L255" s="10"/>
      <c r="M255" s="5"/>
      <c r="N255" s="10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20"/>
      <c r="AF255" s="5"/>
      <c r="AG255" s="5"/>
      <c r="AH255" s="5"/>
      <c r="AI255" s="5"/>
      <c r="AJ255" s="5"/>
      <c r="AK255" s="5"/>
      <c r="AL255" s="5"/>
      <c r="AM255" s="5"/>
      <c r="AN255" s="8"/>
      <c r="AO255" s="5">
        <v>0</v>
      </c>
      <c r="AP255" s="5" t="s">
        <v>490</v>
      </c>
      <c r="AQ255" s="5">
        <v>0</v>
      </c>
      <c r="AR255" s="8">
        <v>15</v>
      </c>
      <c r="AS255" s="6">
        <f t="shared" si="733"/>
        <v>135</v>
      </c>
      <c r="AT255" s="6">
        <f t="shared" si="734"/>
        <v>144</v>
      </c>
      <c r="AU255" s="5">
        <v>0</v>
      </c>
      <c r="AV255" s="5">
        <v>0</v>
      </c>
      <c r="AW255" s="5">
        <v>0</v>
      </c>
      <c r="AX255" s="5">
        <v>1</v>
      </c>
      <c r="AY255" s="5">
        <v>0</v>
      </c>
      <c r="AZ255" s="23">
        <v>201253</v>
      </c>
      <c r="BA255" s="5">
        <f t="shared" si="809"/>
        <v>203026</v>
      </c>
      <c r="BB255" s="5">
        <v>10</v>
      </c>
      <c r="BC255" s="5">
        <v>903914</v>
      </c>
      <c r="BD255" s="5">
        <v>1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f t="shared" si="794"/>
        <v>0</v>
      </c>
      <c r="BM255" s="5">
        <v>0</v>
      </c>
      <c r="BN255" s="5">
        <v>0</v>
      </c>
      <c r="BO255" s="5">
        <v>0</v>
      </c>
      <c r="BP255" s="5">
        <v>0</v>
      </c>
      <c r="BQ255" s="5"/>
      <c r="BR255" s="5"/>
      <c r="BS255" s="4">
        <v>0</v>
      </c>
      <c r="BT255" s="4">
        <f t="shared" si="810"/>
        <v>3</v>
      </c>
      <c r="BU255" s="17">
        <v>0</v>
      </c>
      <c r="BV255" s="4">
        <f t="shared" ref="BV255:BY255" si="868">BV245</f>
        <v>3</v>
      </c>
      <c r="BW255" s="4">
        <f t="shared" si="868"/>
        <v>3</v>
      </c>
      <c r="BX255" s="4">
        <f t="shared" si="868"/>
        <v>0.71</v>
      </c>
      <c r="BY255" s="4">
        <f t="shared" si="868"/>
        <v>0.45000000000000007</v>
      </c>
      <c r="BZ255" s="5" t="s">
        <v>487</v>
      </c>
      <c r="CA255" s="4" t="str">
        <f t="shared" si="812"/>
        <v>monster26</v>
      </c>
      <c r="CB255" s="4" t="str">
        <f t="shared" si="812"/>
        <v>monster26</v>
      </c>
      <c r="CC255" s="5">
        <v>1</v>
      </c>
      <c r="CD255" s="8">
        <v>1</v>
      </c>
      <c r="CE255" s="5">
        <f t="shared" ref="CE255:CF255" si="869">CE245</f>
        <v>3</v>
      </c>
      <c r="CF255" s="5">
        <f t="shared" si="869"/>
        <v>1</v>
      </c>
      <c r="CG255" s="5" t="s">
        <v>490</v>
      </c>
      <c r="CH255" s="5">
        <v>0</v>
      </c>
      <c r="CI255" s="5">
        <v>0</v>
      </c>
      <c r="CJ255" s="4">
        <v>0</v>
      </c>
      <c r="CK255" s="20">
        <v>0</v>
      </c>
      <c r="CL255" s="5">
        <v>0</v>
      </c>
      <c r="CM255" s="20">
        <v>111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201213</v>
      </c>
      <c r="CU255" s="5">
        <v>5</v>
      </c>
      <c r="CV255" s="20">
        <v>2.5</v>
      </c>
      <c r="CW255" s="20">
        <v>3</v>
      </c>
      <c r="CX255" s="20">
        <v>2.5</v>
      </c>
      <c r="CY255" s="20">
        <v>3.5</v>
      </c>
      <c r="CZ255" s="8">
        <v>75</v>
      </c>
      <c r="DA255" s="6">
        <f t="shared" si="728"/>
        <v>5625</v>
      </c>
      <c r="DB255" s="5">
        <v>0</v>
      </c>
      <c r="DC255" s="5">
        <f t="shared" si="742"/>
        <v>0.55000000000000004</v>
      </c>
      <c r="DD255" s="6">
        <f t="shared" si="729"/>
        <v>0.55000000000000004</v>
      </c>
      <c r="DE255" s="6">
        <v>1</v>
      </c>
      <c r="DF255" s="5">
        <v>0</v>
      </c>
      <c r="DG255" s="6">
        <v>2.5</v>
      </c>
      <c r="DH255" s="5"/>
      <c r="DI255" s="8"/>
      <c r="DJ255" s="5">
        <v>0</v>
      </c>
      <c r="DK255" s="8">
        <v>0</v>
      </c>
      <c r="DL255" s="5">
        <f t="shared" si="731"/>
        <v>0</v>
      </c>
      <c r="DM255" s="5" t="str">
        <f t="shared" si="795"/>
        <v>3级森林泰坦</v>
      </c>
      <c r="DN255" s="5">
        <v>6</v>
      </c>
      <c r="DO255" s="5">
        <v>0</v>
      </c>
      <c r="DP255" s="5">
        <v>1</v>
      </c>
      <c r="DQ255" s="5">
        <v>1</v>
      </c>
      <c r="DR255" s="5">
        <v>2.5</v>
      </c>
      <c r="DS255" s="6">
        <v>3.5</v>
      </c>
      <c r="DT255" s="5">
        <v>-0.6</v>
      </c>
      <c r="DU255" s="5">
        <v>0.5</v>
      </c>
      <c r="DV255" s="6">
        <v>0.5</v>
      </c>
      <c r="DW255" s="5">
        <f t="shared" si="814"/>
        <v>0.5</v>
      </c>
      <c r="DX255" s="5">
        <v>6</v>
      </c>
      <c r="DY255" s="5">
        <f t="shared" si="815"/>
        <v>0</v>
      </c>
      <c r="DZ255" s="5">
        <v>0</v>
      </c>
    </row>
    <row r="256" spans="1:130" x14ac:dyDescent="0.15">
      <c r="A256" s="5">
        <v>201254</v>
      </c>
      <c r="B256" s="5" t="s">
        <v>491</v>
      </c>
      <c r="C256" s="5"/>
      <c r="D256" s="5"/>
      <c r="E256" s="5"/>
      <c r="F256" s="5">
        <v>1</v>
      </c>
      <c r="G256" s="45"/>
      <c r="H256" s="5"/>
      <c r="I256" s="5"/>
      <c r="J256" s="5"/>
      <c r="K256" s="5"/>
      <c r="L256" s="10"/>
      <c r="M256" s="5"/>
      <c r="N256" s="10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20"/>
      <c r="AF256" s="5"/>
      <c r="AG256" s="5"/>
      <c r="AH256" s="5"/>
      <c r="AI256" s="5"/>
      <c r="AJ256" s="5"/>
      <c r="AK256" s="5"/>
      <c r="AL256" s="5"/>
      <c r="AM256" s="5"/>
      <c r="AN256" s="8"/>
      <c r="AO256" s="5">
        <v>0</v>
      </c>
      <c r="AP256" s="5" t="s">
        <v>491</v>
      </c>
      <c r="AQ256" s="5">
        <v>0</v>
      </c>
      <c r="AR256" s="8">
        <v>15</v>
      </c>
      <c r="AS256" s="6">
        <f t="shared" si="733"/>
        <v>180</v>
      </c>
      <c r="AT256" s="6">
        <f t="shared" si="734"/>
        <v>192</v>
      </c>
      <c r="AU256" s="5">
        <v>0</v>
      </c>
      <c r="AV256" s="5">
        <v>0</v>
      </c>
      <c r="AW256" s="5">
        <v>0</v>
      </c>
      <c r="AX256" s="5">
        <v>1</v>
      </c>
      <c r="AY256" s="5">
        <v>0</v>
      </c>
      <c r="AZ256" s="23">
        <v>201254</v>
      </c>
      <c r="BA256" s="5">
        <f t="shared" si="809"/>
        <v>203026</v>
      </c>
      <c r="BB256" s="5">
        <v>10</v>
      </c>
      <c r="BC256" s="5">
        <v>903914</v>
      </c>
      <c r="BD256" s="5">
        <v>1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f t="shared" si="794"/>
        <v>0</v>
      </c>
      <c r="BM256" s="5">
        <v>0</v>
      </c>
      <c r="BN256" s="5">
        <v>0</v>
      </c>
      <c r="BO256" s="5">
        <v>0</v>
      </c>
      <c r="BP256" s="5">
        <v>0</v>
      </c>
      <c r="BQ256" s="5"/>
      <c r="BR256" s="5"/>
      <c r="BS256" s="4">
        <v>0</v>
      </c>
      <c r="BT256" s="4">
        <f t="shared" si="810"/>
        <v>4</v>
      </c>
      <c r="BU256" s="17">
        <v>0</v>
      </c>
      <c r="BV256" s="4">
        <f t="shared" ref="BV256:BY256" si="870">BV246</f>
        <v>4</v>
      </c>
      <c r="BW256" s="4">
        <f t="shared" si="870"/>
        <v>4</v>
      </c>
      <c r="BX256" s="4">
        <f t="shared" si="870"/>
        <v>0.6399999999999999</v>
      </c>
      <c r="BY256" s="4">
        <f t="shared" si="870"/>
        <v>0.4</v>
      </c>
      <c r="BZ256" s="5" t="s">
        <v>489</v>
      </c>
      <c r="CA256" s="4" t="str">
        <f t="shared" si="812"/>
        <v>monster26_1</v>
      </c>
      <c r="CB256" s="4" t="str">
        <f t="shared" si="812"/>
        <v>monster26_1</v>
      </c>
      <c r="CC256" s="5">
        <v>1</v>
      </c>
      <c r="CD256" s="8">
        <v>1</v>
      </c>
      <c r="CE256" s="5">
        <f t="shared" ref="CE256:CF256" si="871">CE246</f>
        <v>4</v>
      </c>
      <c r="CF256" s="5">
        <f t="shared" si="871"/>
        <v>1</v>
      </c>
      <c r="CG256" s="5" t="s">
        <v>491</v>
      </c>
      <c r="CH256" s="5">
        <v>0</v>
      </c>
      <c r="CI256" s="5">
        <v>0</v>
      </c>
      <c r="CJ256" s="4">
        <v>1</v>
      </c>
      <c r="CK256" s="20">
        <v>0</v>
      </c>
      <c r="CL256" s="5">
        <v>0</v>
      </c>
      <c r="CM256" s="20">
        <v>111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201214</v>
      </c>
      <c r="CU256" s="5">
        <v>6</v>
      </c>
      <c r="CV256" s="20">
        <v>2.5</v>
      </c>
      <c r="CW256" s="20">
        <v>3</v>
      </c>
      <c r="CX256" s="20">
        <v>2.5</v>
      </c>
      <c r="CY256" s="20">
        <v>3.5</v>
      </c>
      <c r="CZ256" s="8">
        <v>75</v>
      </c>
      <c r="DA256" s="6">
        <f t="shared" si="728"/>
        <v>7500</v>
      </c>
      <c r="DB256" s="5">
        <v>0</v>
      </c>
      <c r="DC256" s="5">
        <f t="shared" si="742"/>
        <v>0.57499999999999996</v>
      </c>
      <c r="DD256" s="6">
        <f t="shared" si="729"/>
        <v>0.57499999999999996</v>
      </c>
      <c r="DE256" s="6">
        <v>1</v>
      </c>
      <c r="DF256" s="5">
        <v>0</v>
      </c>
      <c r="DG256" s="6">
        <v>2.5</v>
      </c>
      <c r="DH256" s="5"/>
      <c r="DI256" s="8"/>
      <c r="DJ256" s="5">
        <v>0</v>
      </c>
      <c r="DK256" s="8">
        <v>0</v>
      </c>
      <c r="DL256" s="5">
        <f t="shared" si="731"/>
        <v>0</v>
      </c>
      <c r="DM256" s="5" t="str">
        <f t="shared" si="795"/>
        <v>4级森林泰坦</v>
      </c>
      <c r="DN256" s="5">
        <v>6</v>
      </c>
      <c r="DO256" s="5">
        <v>0</v>
      </c>
      <c r="DP256" s="5">
        <v>1</v>
      </c>
      <c r="DQ256" s="5">
        <v>1</v>
      </c>
      <c r="DR256" s="5">
        <v>2.5</v>
      </c>
      <c r="DS256" s="6">
        <v>3.5</v>
      </c>
      <c r="DT256" s="5">
        <v>-0.6</v>
      </c>
      <c r="DU256" s="5">
        <v>0.5</v>
      </c>
      <c r="DV256" s="6">
        <v>0.5</v>
      </c>
      <c r="DW256" s="5">
        <f t="shared" si="814"/>
        <v>0.5</v>
      </c>
      <c r="DX256" s="5">
        <v>6</v>
      </c>
      <c r="DY256" s="5">
        <f t="shared" si="815"/>
        <v>0</v>
      </c>
      <c r="DZ256" s="5">
        <v>0</v>
      </c>
    </row>
    <row r="257" spans="1:130" x14ac:dyDescent="0.15">
      <c r="A257" s="5">
        <v>201255</v>
      </c>
      <c r="B257" s="5" t="s">
        <v>492</v>
      </c>
      <c r="C257" s="5"/>
      <c r="D257" s="5"/>
      <c r="E257" s="5"/>
      <c r="F257" s="5">
        <v>1</v>
      </c>
      <c r="G257" s="45"/>
      <c r="H257" s="5"/>
      <c r="I257" s="5"/>
      <c r="J257" s="5"/>
      <c r="K257" s="5"/>
      <c r="L257" s="10"/>
      <c r="M257" s="5"/>
      <c r="N257" s="10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20"/>
      <c r="AF257" s="5"/>
      <c r="AG257" s="5"/>
      <c r="AH257" s="5"/>
      <c r="AI257" s="5"/>
      <c r="AJ257" s="5"/>
      <c r="AK257" s="5"/>
      <c r="AL257" s="5"/>
      <c r="AM257" s="5"/>
      <c r="AN257" s="8"/>
      <c r="AO257" s="5">
        <v>0</v>
      </c>
      <c r="AP257" s="5" t="s">
        <v>492</v>
      </c>
      <c r="AQ257" s="5">
        <v>0</v>
      </c>
      <c r="AR257" s="8">
        <v>15</v>
      </c>
      <c r="AS257" s="6">
        <f t="shared" si="733"/>
        <v>225</v>
      </c>
      <c r="AT257" s="6">
        <f t="shared" si="734"/>
        <v>240</v>
      </c>
      <c r="AU257" s="5">
        <v>0</v>
      </c>
      <c r="AV257" s="5">
        <v>0</v>
      </c>
      <c r="AW257" s="5">
        <v>0</v>
      </c>
      <c r="AX257" s="5">
        <v>1</v>
      </c>
      <c r="AY257" s="5">
        <v>0</v>
      </c>
      <c r="AZ257" s="23">
        <v>201255</v>
      </c>
      <c r="BA257" s="5">
        <f t="shared" si="809"/>
        <v>203026</v>
      </c>
      <c r="BB257" s="5">
        <v>10</v>
      </c>
      <c r="BC257" s="5">
        <v>903914</v>
      </c>
      <c r="BD257" s="5">
        <v>1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f t="shared" si="794"/>
        <v>0</v>
      </c>
      <c r="BM257" s="5">
        <v>0</v>
      </c>
      <c r="BN257" s="5">
        <v>0</v>
      </c>
      <c r="BO257" s="5">
        <v>0</v>
      </c>
      <c r="BP257" s="5">
        <v>0</v>
      </c>
      <c r="BQ257" s="5"/>
      <c r="BR257" s="5"/>
      <c r="BS257" s="4">
        <v>0</v>
      </c>
      <c r="BT257" s="4">
        <f t="shared" si="810"/>
        <v>5</v>
      </c>
      <c r="BU257" s="17">
        <v>0</v>
      </c>
      <c r="BV257" s="4">
        <f t="shared" ref="BV257:BY257" si="872">BV247</f>
        <v>5</v>
      </c>
      <c r="BW257" s="4">
        <f t="shared" si="872"/>
        <v>5</v>
      </c>
      <c r="BX257" s="4">
        <f t="shared" si="872"/>
        <v>0.56999999999999995</v>
      </c>
      <c r="BY257" s="4">
        <f t="shared" si="872"/>
        <v>0.35000000000000003</v>
      </c>
      <c r="BZ257" s="5" t="s">
        <v>487</v>
      </c>
      <c r="CA257" s="4" t="str">
        <f t="shared" si="812"/>
        <v>monster26</v>
      </c>
      <c r="CB257" s="4" t="str">
        <f t="shared" si="812"/>
        <v>monster26</v>
      </c>
      <c r="CC257" s="5">
        <v>1</v>
      </c>
      <c r="CD257" s="8">
        <v>1</v>
      </c>
      <c r="CE257" s="5">
        <f t="shared" ref="CE257:CF257" si="873">CE247</f>
        <v>5</v>
      </c>
      <c r="CF257" s="5">
        <f t="shared" si="873"/>
        <v>1</v>
      </c>
      <c r="CG257" s="5" t="s">
        <v>492</v>
      </c>
      <c r="CH257" s="5">
        <v>0</v>
      </c>
      <c r="CI257" s="5">
        <v>0</v>
      </c>
      <c r="CJ257" s="4">
        <v>0</v>
      </c>
      <c r="CK257" s="20">
        <v>0</v>
      </c>
      <c r="CL257" s="5">
        <v>0</v>
      </c>
      <c r="CM257" s="20">
        <v>111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201215</v>
      </c>
      <c r="CU257" s="5">
        <v>7</v>
      </c>
      <c r="CV257" s="20">
        <v>2.5</v>
      </c>
      <c r="CW257" s="20">
        <v>3</v>
      </c>
      <c r="CX257" s="20">
        <v>2.5</v>
      </c>
      <c r="CY257" s="20">
        <v>3.5</v>
      </c>
      <c r="CZ257" s="8">
        <v>75</v>
      </c>
      <c r="DA257" s="6">
        <f t="shared" si="728"/>
        <v>9375</v>
      </c>
      <c r="DB257" s="5">
        <v>0</v>
      </c>
      <c r="DC257" s="5">
        <f t="shared" si="742"/>
        <v>0.6</v>
      </c>
      <c r="DD257" s="6">
        <f t="shared" si="729"/>
        <v>0.6</v>
      </c>
      <c r="DE257" s="6">
        <v>1</v>
      </c>
      <c r="DF257" s="5">
        <v>0</v>
      </c>
      <c r="DG257" s="6">
        <v>2.5</v>
      </c>
      <c r="DH257" s="5"/>
      <c r="DI257" s="8"/>
      <c r="DJ257" s="5">
        <v>0</v>
      </c>
      <c r="DK257" s="8">
        <v>0</v>
      </c>
      <c r="DL257" s="5">
        <f t="shared" si="731"/>
        <v>0</v>
      </c>
      <c r="DM257" s="5" t="str">
        <f t="shared" si="795"/>
        <v>5级森林泰坦</v>
      </c>
      <c r="DN257" s="5">
        <v>6</v>
      </c>
      <c r="DO257" s="5">
        <v>0</v>
      </c>
      <c r="DP257" s="5">
        <v>1</v>
      </c>
      <c r="DQ257" s="5">
        <v>1</v>
      </c>
      <c r="DR257" s="5">
        <v>2.5</v>
      </c>
      <c r="DS257" s="6">
        <v>3.5</v>
      </c>
      <c r="DT257" s="5">
        <v>-0.6</v>
      </c>
      <c r="DU257" s="5">
        <v>0.5</v>
      </c>
      <c r="DV257" s="6">
        <v>0.5</v>
      </c>
      <c r="DW257" s="5">
        <f t="shared" si="814"/>
        <v>0.5</v>
      </c>
      <c r="DX257" s="5">
        <v>6</v>
      </c>
      <c r="DY257" s="5">
        <f t="shared" si="815"/>
        <v>0</v>
      </c>
      <c r="DZ257" s="5">
        <v>0</v>
      </c>
    </row>
    <row r="258" spans="1:130" x14ac:dyDescent="0.15">
      <c r="A258" s="5">
        <v>201256</v>
      </c>
      <c r="B258" s="5" t="s">
        <v>493</v>
      </c>
      <c r="C258" s="5"/>
      <c r="D258" s="5"/>
      <c r="E258" s="5"/>
      <c r="F258" s="5">
        <v>1</v>
      </c>
      <c r="G258" s="45"/>
      <c r="H258" s="5"/>
      <c r="I258" s="5"/>
      <c r="J258" s="5"/>
      <c r="K258" s="5"/>
      <c r="L258" s="10"/>
      <c r="M258" s="5"/>
      <c r="N258" s="10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20"/>
      <c r="AF258" s="5"/>
      <c r="AG258" s="5"/>
      <c r="AH258" s="5"/>
      <c r="AI258" s="5"/>
      <c r="AJ258" s="5"/>
      <c r="AK258" s="5"/>
      <c r="AL258" s="5"/>
      <c r="AM258" s="5"/>
      <c r="AN258" s="8"/>
      <c r="AO258" s="5">
        <v>0</v>
      </c>
      <c r="AP258" s="5" t="s">
        <v>493</v>
      </c>
      <c r="AQ258" s="5">
        <v>0</v>
      </c>
      <c r="AR258" s="8">
        <v>15</v>
      </c>
      <c r="AS258" s="6">
        <f t="shared" si="733"/>
        <v>270</v>
      </c>
      <c r="AT258" s="6">
        <f t="shared" si="734"/>
        <v>288</v>
      </c>
      <c r="AU258" s="5">
        <v>0</v>
      </c>
      <c r="AV258" s="5">
        <v>0</v>
      </c>
      <c r="AW258" s="5">
        <v>0</v>
      </c>
      <c r="AX258" s="5">
        <v>1</v>
      </c>
      <c r="AY258" s="5">
        <v>0</v>
      </c>
      <c r="AZ258" s="23">
        <v>201256</v>
      </c>
      <c r="BA258" s="5">
        <f t="shared" si="809"/>
        <v>203026</v>
      </c>
      <c r="BB258" s="5">
        <v>10</v>
      </c>
      <c r="BC258" s="5">
        <v>903914</v>
      </c>
      <c r="BD258" s="5">
        <v>1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f t="shared" si="794"/>
        <v>0</v>
      </c>
      <c r="BM258" s="5">
        <v>0</v>
      </c>
      <c r="BN258" s="5">
        <v>0</v>
      </c>
      <c r="BO258" s="5">
        <v>0</v>
      </c>
      <c r="BP258" s="5">
        <v>0</v>
      </c>
      <c r="BQ258" s="5"/>
      <c r="BR258" s="5"/>
      <c r="BS258" s="4">
        <v>0</v>
      </c>
      <c r="BT258" s="4">
        <f t="shared" si="810"/>
        <v>6</v>
      </c>
      <c r="BU258" s="17">
        <v>0</v>
      </c>
      <c r="BV258" s="4">
        <f t="shared" ref="BV258:BY258" si="874">BV248</f>
        <v>6</v>
      </c>
      <c r="BW258" s="4">
        <f t="shared" si="874"/>
        <v>6</v>
      </c>
      <c r="BX258" s="4">
        <f t="shared" si="874"/>
        <v>0.49999999999999994</v>
      </c>
      <c r="BY258" s="4">
        <f t="shared" si="874"/>
        <v>0.30000000000000004</v>
      </c>
      <c r="BZ258" s="5" t="s">
        <v>489</v>
      </c>
      <c r="CA258" s="4" t="str">
        <f t="shared" si="812"/>
        <v>monster26_1</v>
      </c>
      <c r="CB258" s="4" t="str">
        <f t="shared" si="812"/>
        <v>monster26_1</v>
      </c>
      <c r="CC258" s="5">
        <v>1</v>
      </c>
      <c r="CD258" s="8">
        <v>1</v>
      </c>
      <c r="CE258" s="5">
        <f t="shared" ref="CE258:CF258" si="875">CE248</f>
        <v>6</v>
      </c>
      <c r="CF258" s="5">
        <f t="shared" si="875"/>
        <v>1</v>
      </c>
      <c r="CG258" s="5" t="s">
        <v>493</v>
      </c>
      <c r="CH258" s="5">
        <v>0</v>
      </c>
      <c r="CI258" s="5">
        <v>0</v>
      </c>
      <c r="CJ258" s="4">
        <v>1</v>
      </c>
      <c r="CK258" s="20">
        <v>0</v>
      </c>
      <c r="CL258" s="5">
        <v>0</v>
      </c>
      <c r="CM258" s="20">
        <v>111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201216</v>
      </c>
      <c r="CU258" s="5">
        <v>8</v>
      </c>
      <c r="CV258" s="20">
        <v>2.5</v>
      </c>
      <c r="CW258" s="20">
        <v>3</v>
      </c>
      <c r="CX258" s="20">
        <v>2.5</v>
      </c>
      <c r="CY258" s="20">
        <v>3.5</v>
      </c>
      <c r="CZ258" s="8">
        <v>75</v>
      </c>
      <c r="DA258" s="6">
        <f t="shared" si="728"/>
        <v>11250</v>
      </c>
      <c r="DB258" s="5">
        <v>0</v>
      </c>
      <c r="DC258" s="5">
        <f t="shared" si="742"/>
        <v>0.625</v>
      </c>
      <c r="DD258" s="6">
        <f t="shared" si="729"/>
        <v>0.625</v>
      </c>
      <c r="DE258" s="6">
        <v>1</v>
      </c>
      <c r="DF258" s="5">
        <v>0</v>
      </c>
      <c r="DG258" s="6">
        <v>2.5</v>
      </c>
      <c r="DH258" s="5"/>
      <c r="DI258" s="8"/>
      <c r="DJ258" s="5">
        <v>0</v>
      </c>
      <c r="DK258" s="8">
        <v>0</v>
      </c>
      <c r="DL258" s="5">
        <f t="shared" si="731"/>
        <v>0</v>
      </c>
      <c r="DM258" s="5" t="str">
        <f t="shared" si="795"/>
        <v>6级森林泰坦</v>
      </c>
      <c r="DN258" s="5">
        <v>6</v>
      </c>
      <c r="DO258" s="5">
        <v>0</v>
      </c>
      <c r="DP258" s="5">
        <v>1</v>
      </c>
      <c r="DQ258" s="5">
        <v>1</v>
      </c>
      <c r="DR258" s="5">
        <v>2.5</v>
      </c>
      <c r="DS258" s="6">
        <v>3.5</v>
      </c>
      <c r="DT258" s="5">
        <v>-0.6</v>
      </c>
      <c r="DU258" s="5">
        <v>0.5</v>
      </c>
      <c r="DV258" s="6">
        <v>0.5</v>
      </c>
      <c r="DW258" s="5">
        <f t="shared" si="814"/>
        <v>0.5</v>
      </c>
      <c r="DX258" s="5">
        <v>6</v>
      </c>
      <c r="DY258" s="5">
        <f t="shared" si="815"/>
        <v>0</v>
      </c>
      <c r="DZ258" s="5">
        <v>0</v>
      </c>
    </row>
    <row r="259" spans="1:130" x14ac:dyDescent="0.15">
      <c r="A259" s="5">
        <v>201257</v>
      </c>
      <c r="B259" s="5" t="s">
        <v>494</v>
      </c>
      <c r="C259" s="5"/>
      <c r="D259" s="5"/>
      <c r="E259" s="5"/>
      <c r="F259" s="5">
        <v>1</v>
      </c>
      <c r="G259" s="45"/>
      <c r="H259" s="5"/>
      <c r="I259" s="5"/>
      <c r="J259" s="5"/>
      <c r="K259" s="5"/>
      <c r="L259" s="10"/>
      <c r="M259" s="5"/>
      <c r="N259" s="10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20"/>
      <c r="AF259" s="5"/>
      <c r="AG259" s="5"/>
      <c r="AH259" s="5"/>
      <c r="AI259" s="5"/>
      <c r="AJ259" s="5"/>
      <c r="AK259" s="5"/>
      <c r="AL259" s="5"/>
      <c r="AM259" s="5"/>
      <c r="AN259" s="8"/>
      <c r="AO259" s="5">
        <v>0</v>
      </c>
      <c r="AP259" s="5" t="s">
        <v>494</v>
      </c>
      <c r="AQ259" s="5">
        <v>0</v>
      </c>
      <c r="AR259" s="8">
        <v>15</v>
      </c>
      <c r="AS259" s="6">
        <f t="shared" si="733"/>
        <v>315</v>
      </c>
      <c r="AT259" s="6">
        <f t="shared" si="734"/>
        <v>336</v>
      </c>
      <c r="AU259" s="5">
        <v>0</v>
      </c>
      <c r="AV259" s="5">
        <v>0</v>
      </c>
      <c r="AW259" s="5">
        <v>0</v>
      </c>
      <c r="AX259" s="5">
        <v>1</v>
      </c>
      <c r="AY259" s="5">
        <v>0</v>
      </c>
      <c r="AZ259" s="23">
        <v>201257</v>
      </c>
      <c r="BA259" s="5">
        <f t="shared" si="809"/>
        <v>203026</v>
      </c>
      <c r="BB259" s="5">
        <v>10</v>
      </c>
      <c r="BC259" s="5">
        <v>903914</v>
      </c>
      <c r="BD259" s="5">
        <v>1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f t="shared" si="794"/>
        <v>0</v>
      </c>
      <c r="BM259" s="5">
        <v>0</v>
      </c>
      <c r="BN259" s="5">
        <v>0</v>
      </c>
      <c r="BO259" s="5">
        <v>0</v>
      </c>
      <c r="BP259" s="5">
        <v>0</v>
      </c>
      <c r="BQ259" s="5"/>
      <c r="BR259" s="5"/>
      <c r="BS259" s="4">
        <v>0</v>
      </c>
      <c r="BT259" s="4">
        <f t="shared" si="810"/>
        <v>7</v>
      </c>
      <c r="BU259" s="17">
        <v>0</v>
      </c>
      <c r="BV259" s="4">
        <f t="shared" ref="BV259:BY259" si="876">BV249</f>
        <v>7</v>
      </c>
      <c r="BW259" s="4">
        <f t="shared" si="876"/>
        <v>7</v>
      </c>
      <c r="BX259" s="4">
        <f t="shared" si="876"/>
        <v>0.42999999999999994</v>
      </c>
      <c r="BY259" s="4">
        <f t="shared" si="876"/>
        <v>0.25</v>
      </c>
      <c r="BZ259" s="5" t="s">
        <v>487</v>
      </c>
      <c r="CA259" s="4" t="str">
        <f t="shared" si="812"/>
        <v>monster26</v>
      </c>
      <c r="CB259" s="4" t="str">
        <f t="shared" si="812"/>
        <v>monster26</v>
      </c>
      <c r="CC259" s="5">
        <v>1</v>
      </c>
      <c r="CD259" s="8">
        <v>1</v>
      </c>
      <c r="CE259" s="5">
        <f t="shared" ref="CE259:CF259" si="877">CE249</f>
        <v>7</v>
      </c>
      <c r="CF259" s="5">
        <f t="shared" si="877"/>
        <v>1</v>
      </c>
      <c r="CG259" s="5" t="s">
        <v>494</v>
      </c>
      <c r="CH259" s="5">
        <v>0</v>
      </c>
      <c r="CI259" s="5">
        <v>0</v>
      </c>
      <c r="CJ259" s="4">
        <v>0</v>
      </c>
      <c r="CK259" s="20">
        <v>0</v>
      </c>
      <c r="CL259" s="5">
        <v>0</v>
      </c>
      <c r="CM259" s="20">
        <v>111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201217</v>
      </c>
      <c r="CU259" s="5">
        <v>9</v>
      </c>
      <c r="CV259" s="20">
        <v>2.5</v>
      </c>
      <c r="CW259" s="20">
        <v>3</v>
      </c>
      <c r="CX259" s="20">
        <v>2.5</v>
      </c>
      <c r="CY259" s="20">
        <v>3.5</v>
      </c>
      <c r="CZ259" s="8">
        <v>75</v>
      </c>
      <c r="DA259" s="6">
        <f t="shared" ref="DA259:DA322" si="878">CZ259*25*BV259</f>
        <v>13125</v>
      </c>
      <c r="DB259" s="5">
        <v>0</v>
      </c>
      <c r="DC259" s="5">
        <f t="shared" si="742"/>
        <v>0.65</v>
      </c>
      <c r="DD259" s="6">
        <f t="shared" ref="DD259:DD322" si="879">(1+(BT259-1)*0.05)*DE259*0.5</f>
        <v>0.65</v>
      </c>
      <c r="DE259" s="6">
        <v>1</v>
      </c>
      <c r="DF259" s="5">
        <v>0</v>
      </c>
      <c r="DG259" s="6">
        <v>2.5</v>
      </c>
      <c r="DH259" s="5"/>
      <c r="DI259" s="8"/>
      <c r="DJ259" s="5">
        <v>0</v>
      </c>
      <c r="DK259" s="8">
        <v>0</v>
      </c>
      <c r="DL259" s="5">
        <f t="shared" ref="DL259:DL322" si="880">DK259*5*(1+BV259/2)</f>
        <v>0</v>
      </c>
      <c r="DM259" s="5" t="str">
        <f t="shared" si="795"/>
        <v>7级森林泰坦</v>
      </c>
      <c r="DN259" s="5">
        <v>6</v>
      </c>
      <c r="DO259" s="5">
        <v>0</v>
      </c>
      <c r="DP259" s="5">
        <v>1</v>
      </c>
      <c r="DQ259" s="5">
        <v>1</v>
      </c>
      <c r="DR259" s="5">
        <v>2.5</v>
      </c>
      <c r="DS259" s="6">
        <v>3.5</v>
      </c>
      <c r="DT259" s="5">
        <v>-0.6</v>
      </c>
      <c r="DU259" s="5">
        <v>0.5</v>
      </c>
      <c r="DV259" s="6">
        <v>0.5</v>
      </c>
      <c r="DW259" s="5">
        <f t="shared" si="814"/>
        <v>0.5</v>
      </c>
      <c r="DX259" s="5">
        <v>6</v>
      </c>
      <c r="DY259" s="5">
        <f t="shared" si="815"/>
        <v>0</v>
      </c>
      <c r="DZ259" s="5">
        <v>0</v>
      </c>
    </row>
    <row r="260" spans="1:130" x14ac:dyDescent="0.15">
      <c r="A260" s="5">
        <v>201258</v>
      </c>
      <c r="B260" s="5" t="s">
        <v>495</v>
      </c>
      <c r="C260" s="5"/>
      <c r="D260" s="5"/>
      <c r="E260" s="5"/>
      <c r="F260" s="5">
        <v>1</v>
      </c>
      <c r="G260" s="45"/>
      <c r="H260" s="5"/>
      <c r="I260" s="5"/>
      <c r="J260" s="5"/>
      <c r="K260" s="5"/>
      <c r="L260" s="10"/>
      <c r="M260" s="5"/>
      <c r="N260" s="10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20"/>
      <c r="AF260" s="5"/>
      <c r="AG260" s="5"/>
      <c r="AH260" s="5"/>
      <c r="AI260" s="5"/>
      <c r="AJ260" s="5"/>
      <c r="AK260" s="5"/>
      <c r="AL260" s="5"/>
      <c r="AM260" s="5"/>
      <c r="AN260" s="8"/>
      <c r="AO260" s="5">
        <v>0</v>
      </c>
      <c r="AP260" s="5" t="s">
        <v>495</v>
      </c>
      <c r="AQ260" s="5">
        <v>0</v>
      </c>
      <c r="AR260" s="8">
        <v>15</v>
      </c>
      <c r="AS260" s="6">
        <f t="shared" ref="AS260:AS323" si="881">AR260*3*BV260</f>
        <v>360</v>
      </c>
      <c r="AT260" s="6">
        <f t="shared" ref="AT260:AT323" si="882">(AR260+1)*3*BV260</f>
        <v>384</v>
      </c>
      <c r="AU260" s="5">
        <v>0</v>
      </c>
      <c r="AV260" s="5">
        <v>0</v>
      </c>
      <c r="AW260" s="5">
        <v>0</v>
      </c>
      <c r="AX260" s="5">
        <v>1</v>
      </c>
      <c r="AY260" s="5">
        <v>0</v>
      </c>
      <c r="AZ260" s="23">
        <v>201258</v>
      </c>
      <c r="BA260" s="5">
        <f t="shared" si="809"/>
        <v>203026</v>
      </c>
      <c r="BB260" s="5">
        <v>10</v>
      </c>
      <c r="BC260" s="5">
        <v>903914</v>
      </c>
      <c r="BD260" s="5">
        <v>1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f t="shared" si="794"/>
        <v>1</v>
      </c>
      <c r="BM260" s="5">
        <v>0</v>
      </c>
      <c r="BN260" s="5">
        <v>0</v>
      </c>
      <c r="BO260" s="5">
        <v>0</v>
      </c>
      <c r="BP260" s="5">
        <v>0</v>
      </c>
      <c r="BQ260" s="5"/>
      <c r="BR260" s="5"/>
      <c r="BS260" s="4">
        <v>0</v>
      </c>
      <c r="BT260" s="4">
        <f t="shared" si="810"/>
        <v>8</v>
      </c>
      <c r="BU260" s="17">
        <v>0</v>
      </c>
      <c r="BV260" s="4">
        <f t="shared" ref="BV260:BY260" si="883">BV250</f>
        <v>8</v>
      </c>
      <c r="BW260" s="4">
        <f t="shared" si="883"/>
        <v>8</v>
      </c>
      <c r="BX260" s="4">
        <f t="shared" si="883"/>
        <v>0.35999999999999993</v>
      </c>
      <c r="BY260" s="4">
        <f t="shared" si="883"/>
        <v>0.2</v>
      </c>
      <c r="BZ260" s="5" t="s">
        <v>489</v>
      </c>
      <c r="CA260" s="4" t="str">
        <f t="shared" si="812"/>
        <v>monster26_1</v>
      </c>
      <c r="CB260" s="4" t="str">
        <f t="shared" si="812"/>
        <v>monster26_1</v>
      </c>
      <c r="CC260" s="5">
        <v>1</v>
      </c>
      <c r="CD260" s="8">
        <v>1</v>
      </c>
      <c r="CE260" s="5">
        <f t="shared" ref="CE260:CF260" si="884">CE250</f>
        <v>8</v>
      </c>
      <c r="CF260" s="5">
        <f t="shared" si="884"/>
        <v>1</v>
      </c>
      <c r="CG260" s="5" t="s">
        <v>495</v>
      </c>
      <c r="CH260" s="5">
        <v>0</v>
      </c>
      <c r="CI260" s="5">
        <v>0</v>
      </c>
      <c r="CJ260" s="4">
        <v>1</v>
      </c>
      <c r="CK260" s="20">
        <v>0</v>
      </c>
      <c r="CL260" s="5">
        <v>0</v>
      </c>
      <c r="CM260" s="20">
        <v>111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201218</v>
      </c>
      <c r="CU260" s="5">
        <v>10</v>
      </c>
      <c r="CV260" s="20">
        <v>2.5</v>
      </c>
      <c r="CW260" s="20">
        <v>3</v>
      </c>
      <c r="CX260" s="20">
        <v>2.5</v>
      </c>
      <c r="CY260" s="20">
        <v>3.5</v>
      </c>
      <c r="CZ260" s="8">
        <v>75</v>
      </c>
      <c r="DA260" s="6">
        <f t="shared" si="878"/>
        <v>15000</v>
      </c>
      <c r="DB260" s="5">
        <v>0</v>
      </c>
      <c r="DC260" s="5">
        <f t="shared" ref="DC260:DC323" si="885">DD260</f>
        <v>0.67500000000000004</v>
      </c>
      <c r="DD260" s="6">
        <f t="shared" si="879"/>
        <v>0.67500000000000004</v>
      </c>
      <c r="DE260" s="6">
        <v>1</v>
      </c>
      <c r="DF260" s="5">
        <v>0</v>
      </c>
      <c r="DG260" s="6">
        <v>2.5</v>
      </c>
      <c r="DH260" s="5"/>
      <c r="DI260" s="8"/>
      <c r="DJ260" s="5">
        <v>0</v>
      </c>
      <c r="DK260" s="8">
        <v>0</v>
      </c>
      <c r="DL260" s="5">
        <f t="shared" si="880"/>
        <v>0</v>
      </c>
      <c r="DM260" s="5" t="str">
        <f t="shared" si="795"/>
        <v>8级森林泰坦</v>
      </c>
      <c r="DN260" s="5">
        <v>6</v>
      </c>
      <c r="DO260" s="5">
        <v>0</v>
      </c>
      <c r="DP260" s="5">
        <v>1</v>
      </c>
      <c r="DQ260" s="5">
        <v>1</v>
      </c>
      <c r="DR260" s="5">
        <v>2.5</v>
      </c>
      <c r="DS260" s="6">
        <v>3.5</v>
      </c>
      <c r="DT260" s="5">
        <v>-0.6</v>
      </c>
      <c r="DU260" s="5">
        <v>0.5</v>
      </c>
      <c r="DV260" s="6">
        <v>0.5</v>
      </c>
      <c r="DW260" s="5">
        <f t="shared" si="814"/>
        <v>0.5</v>
      </c>
      <c r="DX260" s="5">
        <v>6</v>
      </c>
      <c r="DY260" s="5">
        <f t="shared" si="815"/>
        <v>0</v>
      </c>
      <c r="DZ260" s="5">
        <v>0</v>
      </c>
    </row>
    <row r="261" spans="1:130" x14ac:dyDescent="0.15">
      <c r="A261" s="5">
        <v>201259</v>
      </c>
      <c r="B261" s="5" t="s">
        <v>496</v>
      </c>
      <c r="C261" s="5"/>
      <c r="D261" s="5"/>
      <c r="E261" s="5"/>
      <c r="F261" s="5">
        <v>1</v>
      </c>
      <c r="G261" s="45"/>
      <c r="H261" s="5"/>
      <c r="I261" s="5"/>
      <c r="J261" s="5"/>
      <c r="K261" s="5"/>
      <c r="L261" s="10"/>
      <c r="M261" s="5"/>
      <c r="N261" s="10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20"/>
      <c r="AF261" s="5"/>
      <c r="AG261" s="5"/>
      <c r="AH261" s="5"/>
      <c r="AI261" s="5"/>
      <c r="AJ261" s="5"/>
      <c r="AK261" s="5"/>
      <c r="AL261" s="5"/>
      <c r="AM261" s="5"/>
      <c r="AN261" s="8"/>
      <c r="AO261" s="5">
        <v>0</v>
      </c>
      <c r="AP261" s="5" t="s">
        <v>496</v>
      </c>
      <c r="AQ261" s="5">
        <v>0</v>
      </c>
      <c r="AR261" s="8">
        <v>15</v>
      </c>
      <c r="AS261" s="6">
        <f t="shared" si="881"/>
        <v>405</v>
      </c>
      <c r="AT261" s="6">
        <f t="shared" si="882"/>
        <v>432</v>
      </c>
      <c r="AU261" s="5">
        <v>0</v>
      </c>
      <c r="AV261" s="5">
        <v>0</v>
      </c>
      <c r="AW261" s="5">
        <v>0</v>
      </c>
      <c r="AX261" s="5">
        <v>1</v>
      </c>
      <c r="AY261" s="5">
        <v>0</v>
      </c>
      <c r="AZ261" s="23">
        <v>201259</v>
      </c>
      <c r="BA261" s="5">
        <f t="shared" si="809"/>
        <v>203026</v>
      </c>
      <c r="BB261" s="5">
        <v>10</v>
      </c>
      <c r="BC261" s="5">
        <v>903914</v>
      </c>
      <c r="BD261" s="5">
        <v>1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f t="shared" si="794"/>
        <v>0</v>
      </c>
      <c r="BM261" s="5">
        <v>0</v>
      </c>
      <c r="BN261" s="5">
        <v>0</v>
      </c>
      <c r="BO261" s="5">
        <v>0</v>
      </c>
      <c r="BP261" s="5">
        <v>0</v>
      </c>
      <c r="BQ261" s="5"/>
      <c r="BR261" s="5"/>
      <c r="BS261" s="4">
        <v>0</v>
      </c>
      <c r="BT261" s="4">
        <f t="shared" si="810"/>
        <v>9</v>
      </c>
      <c r="BU261" s="17">
        <v>0</v>
      </c>
      <c r="BV261" s="4">
        <f t="shared" ref="BV261:BY261" si="886">BV251</f>
        <v>9</v>
      </c>
      <c r="BW261" s="4">
        <f t="shared" si="886"/>
        <v>9</v>
      </c>
      <c r="BX261" s="4">
        <f t="shared" si="886"/>
        <v>0.28999999999999992</v>
      </c>
      <c r="BY261" s="4">
        <f t="shared" si="886"/>
        <v>0.15000000000000002</v>
      </c>
      <c r="BZ261" s="5" t="s">
        <v>487</v>
      </c>
      <c r="CA261" s="4" t="str">
        <f t="shared" si="812"/>
        <v>monster26</v>
      </c>
      <c r="CB261" s="4" t="str">
        <f t="shared" si="812"/>
        <v>monster26</v>
      </c>
      <c r="CC261" s="5">
        <v>1</v>
      </c>
      <c r="CD261" s="8">
        <v>1</v>
      </c>
      <c r="CE261" s="5">
        <f t="shared" ref="CE261:CF261" si="887">CE251</f>
        <v>9</v>
      </c>
      <c r="CF261" s="5">
        <f t="shared" si="887"/>
        <v>1</v>
      </c>
      <c r="CG261" s="5" t="s">
        <v>496</v>
      </c>
      <c r="CH261" s="5">
        <v>0</v>
      </c>
      <c r="CI261" s="5">
        <v>0</v>
      </c>
      <c r="CJ261" s="4">
        <v>0</v>
      </c>
      <c r="CK261" s="20">
        <v>0</v>
      </c>
      <c r="CL261" s="5">
        <v>0</v>
      </c>
      <c r="CM261" s="20">
        <v>111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201219</v>
      </c>
      <c r="CU261" s="5">
        <v>11</v>
      </c>
      <c r="CV261" s="20">
        <v>2.5</v>
      </c>
      <c r="CW261" s="20">
        <v>3</v>
      </c>
      <c r="CX261" s="20">
        <v>2.5</v>
      </c>
      <c r="CY261" s="20">
        <v>3.5</v>
      </c>
      <c r="CZ261" s="8">
        <v>75</v>
      </c>
      <c r="DA261" s="6">
        <f t="shared" si="878"/>
        <v>16875</v>
      </c>
      <c r="DB261" s="5">
        <v>0</v>
      </c>
      <c r="DC261" s="5">
        <f t="shared" si="885"/>
        <v>0.7</v>
      </c>
      <c r="DD261" s="6">
        <f t="shared" si="879"/>
        <v>0.7</v>
      </c>
      <c r="DE261" s="6">
        <v>1</v>
      </c>
      <c r="DF261" s="5">
        <v>0</v>
      </c>
      <c r="DG261" s="6">
        <v>2.5</v>
      </c>
      <c r="DH261" s="5"/>
      <c r="DI261" s="8"/>
      <c r="DJ261" s="5">
        <v>0</v>
      </c>
      <c r="DK261" s="8">
        <v>0</v>
      </c>
      <c r="DL261" s="5">
        <f t="shared" si="880"/>
        <v>0</v>
      </c>
      <c r="DM261" s="5" t="str">
        <f t="shared" si="795"/>
        <v>9级森林泰坦</v>
      </c>
      <c r="DN261" s="5">
        <v>6</v>
      </c>
      <c r="DO261" s="5">
        <v>0</v>
      </c>
      <c r="DP261" s="5">
        <v>1</v>
      </c>
      <c r="DQ261" s="5">
        <v>1</v>
      </c>
      <c r="DR261" s="5">
        <v>2.5</v>
      </c>
      <c r="DS261" s="6">
        <v>3.5</v>
      </c>
      <c r="DT261" s="5">
        <v>-0.6</v>
      </c>
      <c r="DU261" s="5">
        <v>0.5</v>
      </c>
      <c r="DV261" s="6">
        <v>0.5</v>
      </c>
      <c r="DW261" s="5">
        <f t="shared" si="814"/>
        <v>0.5</v>
      </c>
      <c r="DX261" s="5">
        <v>6</v>
      </c>
      <c r="DY261" s="5">
        <f t="shared" si="815"/>
        <v>0</v>
      </c>
      <c r="DZ261" s="5">
        <v>0</v>
      </c>
    </row>
    <row r="262" spans="1:130" x14ac:dyDescent="0.15">
      <c r="A262" s="5">
        <v>201260</v>
      </c>
      <c r="B262" s="5" t="s">
        <v>497</v>
      </c>
      <c r="C262" s="5"/>
      <c r="D262" s="5"/>
      <c r="E262" s="5"/>
      <c r="F262" s="5">
        <v>1</v>
      </c>
      <c r="G262" s="45"/>
      <c r="H262" s="5"/>
      <c r="I262" s="5"/>
      <c r="J262" s="5"/>
      <c r="K262" s="5"/>
      <c r="L262" s="10"/>
      <c r="M262" s="5"/>
      <c r="N262" s="10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20"/>
      <c r="AF262" s="5"/>
      <c r="AG262" s="5"/>
      <c r="AH262" s="5"/>
      <c r="AI262" s="5"/>
      <c r="AJ262" s="5"/>
      <c r="AK262" s="5"/>
      <c r="AL262" s="5"/>
      <c r="AM262" s="5"/>
      <c r="AN262" s="8"/>
      <c r="AO262" s="5">
        <v>0</v>
      </c>
      <c r="AP262" s="5" t="s">
        <v>497</v>
      </c>
      <c r="AQ262" s="5">
        <v>0</v>
      </c>
      <c r="AR262" s="8">
        <v>15</v>
      </c>
      <c r="AS262" s="6">
        <f t="shared" si="881"/>
        <v>450</v>
      </c>
      <c r="AT262" s="6">
        <f t="shared" si="882"/>
        <v>480</v>
      </c>
      <c r="AU262" s="5">
        <v>0</v>
      </c>
      <c r="AV262" s="5">
        <v>0</v>
      </c>
      <c r="AW262" s="5">
        <v>0</v>
      </c>
      <c r="AX262" s="5">
        <v>1</v>
      </c>
      <c r="AY262" s="5">
        <v>0</v>
      </c>
      <c r="AZ262" s="23">
        <v>201260</v>
      </c>
      <c r="BA262" s="5">
        <f t="shared" si="809"/>
        <v>203026</v>
      </c>
      <c r="BB262" s="5">
        <v>10</v>
      </c>
      <c r="BC262" s="5">
        <v>903914</v>
      </c>
      <c r="BD262" s="5">
        <v>1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f t="shared" si="794"/>
        <v>0</v>
      </c>
      <c r="BM262" s="5">
        <v>0</v>
      </c>
      <c r="BN262" s="5">
        <v>0</v>
      </c>
      <c r="BO262" s="5">
        <v>0</v>
      </c>
      <c r="BP262" s="5">
        <v>0</v>
      </c>
      <c r="BQ262" s="5"/>
      <c r="BR262" s="5"/>
      <c r="BS262" s="4">
        <v>0</v>
      </c>
      <c r="BT262" s="4">
        <f t="shared" si="810"/>
        <v>10</v>
      </c>
      <c r="BU262" s="17">
        <v>0</v>
      </c>
      <c r="BV262" s="4">
        <f t="shared" ref="BV262:BY262" si="888">BV252</f>
        <v>10</v>
      </c>
      <c r="BW262" s="4">
        <f t="shared" si="888"/>
        <v>10</v>
      </c>
      <c r="BX262" s="4">
        <f t="shared" si="888"/>
        <v>0.21999999999999986</v>
      </c>
      <c r="BY262" s="4">
        <f t="shared" si="888"/>
        <v>0.10000000000000003</v>
      </c>
      <c r="BZ262" s="5" t="s">
        <v>489</v>
      </c>
      <c r="CA262" s="4" t="str">
        <f t="shared" si="812"/>
        <v>monster26_1</v>
      </c>
      <c r="CB262" s="4" t="str">
        <f t="shared" si="812"/>
        <v>monster26_1</v>
      </c>
      <c r="CC262" s="5">
        <v>1</v>
      </c>
      <c r="CD262" s="8">
        <v>1</v>
      </c>
      <c r="CE262" s="5">
        <f t="shared" ref="CE262:CF262" si="889">CE252</f>
        <v>10</v>
      </c>
      <c r="CF262" s="5">
        <f t="shared" si="889"/>
        <v>1</v>
      </c>
      <c r="CG262" s="5" t="s">
        <v>497</v>
      </c>
      <c r="CH262" s="5">
        <v>0</v>
      </c>
      <c r="CI262" s="5">
        <v>0</v>
      </c>
      <c r="CJ262" s="4">
        <v>1</v>
      </c>
      <c r="CK262" s="20">
        <v>0</v>
      </c>
      <c r="CL262" s="5">
        <v>0</v>
      </c>
      <c r="CM262" s="20">
        <v>111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201220</v>
      </c>
      <c r="CU262" s="5">
        <v>12</v>
      </c>
      <c r="CV262" s="20">
        <v>2.5</v>
      </c>
      <c r="CW262" s="20">
        <v>3</v>
      </c>
      <c r="CX262" s="20">
        <v>2.5</v>
      </c>
      <c r="CY262" s="20">
        <v>3.5</v>
      </c>
      <c r="CZ262" s="8">
        <v>75</v>
      </c>
      <c r="DA262" s="6">
        <f t="shared" si="878"/>
        <v>18750</v>
      </c>
      <c r="DB262" s="5">
        <v>0</v>
      </c>
      <c r="DC262" s="5">
        <f t="shared" si="885"/>
        <v>0.72499999999999998</v>
      </c>
      <c r="DD262" s="6">
        <f t="shared" si="879"/>
        <v>0.72499999999999998</v>
      </c>
      <c r="DE262" s="6">
        <v>1</v>
      </c>
      <c r="DF262" s="5">
        <v>0</v>
      </c>
      <c r="DG262" s="6">
        <v>2.5</v>
      </c>
      <c r="DH262" s="5"/>
      <c r="DI262" s="8"/>
      <c r="DJ262" s="5">
        <v>0</v>
      </c>
      <c r="DK262" s="8">
        <v>0</v>
      </c>
      <c r="DL262" s="5">
        <f t="shared" si="880"/>
        <v>0</v>
      </c>
      <c r="DM262" s="5" t="str">
        <f t="shared" si="795"/>
        <v>10级森林泰坦</v>
      </c>
      <c r="DN262" s="5">
        <v>6</v>
      </c>
      <c r="DO262" s="5">
        <v>0</v>
      </c>
      <c r="DP262" s="5">
        <v>1</v>
      </c>
      <c r="DQ262" s="5">
        <v>1</v>
      </c>
      <c r="DR262" s="5">
        <v>2.5</v>
      </c>
      <c r="DS262" s="6">
        <v>3.5</v>
      </c>
      <c r="DT262" s="5">
        <v>-0.6</v>
      </c>
      <c r="DU262" s="5">
        <v>0.5</v>
      </c>
      <c r="DV262" s="6">
        <v>0.5</v>
      </c>
      <c r="DW262" s="5">
        <f t="shared" si="814"/>
        <v>0.5</v>
      </c>
      <c r="DX262" s="5">
        <v>6</v>
      </c>
      <c r="DY262" s="5">
        <f t="shared" si="815"/>
        <v>0</v>
      </c>
      <c r="DZ262" s="5">
        <v>0</v>
      </c>
    </row>
    <row r="263" spans="1:130" x14ac:dyDescent="0.15">
      <c r="A263" s="5">
        <v>201261</v>
      </c>
      <c r="B263" s="5" t="s">
        <v>498</v>
      </c>
      <c r="C263" s="5"/>
      <c r="D263" s="5"/>
      <c r="E263" s="5"/>
      <c r="F263" s="5">
        <v>1</v>
      </c>
      <c r="G263" s="45"/>
      <c r="H263" s="5"/>
      <c r="I263" s="5"/>
      <c r="J263" s="5"/>
      <c r="K263" s="5"/>
      <c r="L263" s="10"/>
      <c r="M263" s="5"/>
      <c r="N263" s="10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20"/>
      <c r="AF263" s="5"/>
      <c r="AG263" s="5"/>
      <c r="AH263" s="5"/>
      <c r="AI263" s="5"/>
      <c r="AJ263" s="5"/>
      <c r="AK263" s="5"/>
      <c r="AL263" s="5"/>
      <c r="AM263" s="5"/>
      <c r="AN263" s="8"/>
      <c r="AO263" s="5">
        <v>0</v>
      </c>
      <c r="AP263" s="5" t="s">
        <v>498</v>
      </c>
      <c r="AQ263" s="5">
        <v>0</v>
      </c>
      <c r="AR263" s="8">
        <v>10</v>
      </c>
      <c r="AS263" s="6">
        <f t="shared" si="881"/>
        <v>30</v>
      </c>
      <c r="AT263" s="6">
        <f t="shared" si="882"/>
        <v>33</v>
      </c>
      <c r="AU263" s="5">
        <v>0</v>
      </c>
      <c r="AV263" s="5">
        <v>0</v>
      </c>
      <c r="AW263" s="5">
        <v>0</v>
      </c>
      <c r="AX263" s="5">
        <v>1</v>
      </c>
      <c r="AY263" s="5">
        <v>0</v>
      </c>
      <c r="AZ263" s="23">
        <v>201261</v>
      </c>
      <c r="BA263" s="5">
        <f t="shared" si="809"/>
        <v>203027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f t="shared" si="794"/>
        <v>0</v>
      </c>
      <c r="BM263" s="5">
        <v>0</v>
      </c>
      <c r="BN263" s="5">
        <v>0</v>
      </c>
      <c r="BO263" s="5">
        <v>0</v>
      </c>
      <c r="BP263" s="5">
        <v>0</v>
      </c>
      <c r="BQ263" s="5"/>
      <c r="BR263" s="5"/>
      <c r="BS263" s="4">
        <v>0</v>
      </c>
      <c r="BT263" s="4">
        <f t="shared" si="810"/>
        <v>1</v>
      </c>
      <c r="BU263" s="17">
        <v>0</v>
      </c>
      <c r="BV263" s="4">
        <f t="shared" ref="BV263:BY263" si="890">BV253</f>
        <v>1</v>
      </c>
      <c r="BW263" s="4">
        <f t="shared" si="890"/>
        <v>1</v>
      </c>
      <c r="BX263" s="4">
        <f t="shared" si="890"/>
        <v>0.85</v>
      </c>
      <c r="BY263" s="4">
        <f t="shared" si="890"/>
        <v>0.55000000000000004</v>
      </c>
      <c r="BZ263" s="5" t="s">
        <v>499</v>
      </c>
      <c r="CA263" s="4" t="str">
        <f t="shared" si="812"/>
        <v>monster27</v>
      </c>
      <c r="CB263" s="4" t="str">
        <f t="shared" si="812"/>
        <v>monster27</v>
      </c>
      <c r="CC263" s="5">
        <v>1</v>
      </c>
      <c r="CD263" s="8">
        <v>1</v>
      </c>
      <c r="CE263" s="5">
        <f>CE253</f>
        <v>1</v>
      </c>
      <c r="CF263" s="5">
        <f>CF253</f>
        <v>1</v>
      </c>
      <c r="CG263" s="5" t="s">
        <v>498</v>
      </c>
      <c r="CH263" s="5">
        <v>0</v>
      </c>
      <c r="CI263" s="5">
        <v>0</v>
      </c>
      <c r="CJ263" s="4">
        <v>0</v>
      </c>
      <c r="CK263" s="20">
        <v>0</v>
      </c>
      <c r="CL263" s="5">
        <v>0</v>
      </c>
      <c r="CM263" s="20">
        <v>111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20">
        <v>2.5</v>
      </c>
      <c r="CW263" s="20">
        <v>3</v>
      </c>
      <c r="CX263" s="20">
        <v>2.5</v>
      </c>
      <c r="CY263" s="20">
        <v>3.5</v>
      </c>
      <c r="CZ263" s="8">
        <v>50</v>
      </c>
      <c r="DA263" s="6">
        <f t="shared" si="878"/>
        <v>1250</v>
      </c>
      <c r="DB263" s="5">
        <v>0</v>
      </c>
      <c r="DC263" s="5">
        <f t="shared" si="885"/>
        <v>0.5</v>
      </c>
      <c r="DD263" s="6">
        <f t="shared" si="879"/>
        <v>0.5</v>
      </c>
      <c r="DE263" s="6">
        <v>1</v>
      </c>
      <c r="DF263" s="5">
        <v>0</v>
      </c>
      <c r="DG263" s="6">
        <v>2.5</v>
      </c>
      <c r="DH263" s="5"/>
      <c r="DI263" s="8"/>
      <c r="DJ263" s="5">
        <v>0</v>
      </c>
      <c r="DK263" s="8">
        <v>0</v>
      </c>
      <c r="DL263" s="5">
        <f t="shared" si="880"/>
        <v>0</v>
      </c>
      <c r="DM263" s="5" t="str">
        <f t="shared" si="795"/>
        <v>1级坚甲犀牛</v>
      </c>
      <c r="DN263" s="5">
        <v>6</v>
      </c>
      <c r="DO263" s="5">
        <v>0</v>
      </c>
      <c r="DP263" s="5">
        <v>1</v>
      </c>
      <c r="DQ263" s="5">
        <v>1</v>
      </c>
      <c r="DR263" s="5">
        <v>2.5</v>
      </c>
      <c r="DS263" s="6">
        <v>3.5</v>
      </c>
      <c r="DT263" s="5">
        <v>-0.5</v>
      </c>
      <c r="DU263" s="5">
        <v>0.5</v>
      </c>
      <c r="DV263" s="6">
        <v>0.5</v>
      </c>
      <c r="DW263" s="5">
        <f t="shared" si="814"/>
        <v>0.33333333333333331</v>
      </c>
      <c r="DX263" s="5">
        <v>4</v>
      </c>
      <c r="DY263" s="5">
        <f t="shared" si="815"/>
        <v>0</v>
      </c>
      <c r="DZ263" s="5">
        <v>0</v>
      </c>
    </row>
    <row r="264" spans="1:130" x14ac:dyDescent="0.15">
      <c r="A264" s="5">
        <v>201262</v>
      </c>
      <c r="B264" s="5" t="s">
        <v>500</v>
      </c>
      <c r="C264" s="5"/>
      <c r="D264" s="5"/>
      <c r="E264" s="5"/>
      <c r="F264" s="5">
        <v>1</v>
      </c>
      <c r="G264" s="45"/>
      <c r="H264" s="5"/>
      <c r="I264" s="5"/>
      <c r="J264" s="5"/>
      <c r="K264" s="5"/>
      <c r="L264" s="10"/>
      <c r="M264" s="5"/>
      <c r="N264" s="10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20"/>
      <c r="AF264" s="5"/>
      <c r="AG264" s="5"/>
      <c r="AH264" s="5"/>
      <c r="AI264" s="5"/>
      <c r="AJ264" s="5"/>
      <c r="AK264" s="5"/>
      <c r="AL264" s="5"/>
      <c r="AM264" s="5"/>
      <c r="AN264" s="8"/>
      <c r="AO264" s="5">
        <v>0</v>
      </c>
      <c r="AP264" s="5" t="s">
        <v>500</v>
      </c>
      <c r="AQ264" s="5">
        <v>0</v>
      </c>
      <c r="AR264" s="8">
        <v>10</v>
      </c>
      <c r="AS264" s="6">
        <f t="shared" si="881"/>
        <v>60</v>
      </c>
      <c r="AT264" s="6">
        <f t="shared" si="882"/>
        <v>66</v>
      </c>
      <c r="AU264" s="5">
        <v>0</v>
      </c>
      <c r="AV264" s="5">
        <v>0</v>
      </c>
      <c r="AW264" s="5">
        <v>0</v>
      </c>
      <c r="AX264" s="5">
        <v>1</v>
      </c>
      <c r="AY264" s="5">
        <v>0</v>
      </c>
      <c r="AZ264" s="23">
        <v>201262</v>
      </c>
      <c r="BA264" s="5">
        <f t="shared" si="809"/>
        <v>203027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f t="shared" si="794"/>
        <v>1</v>
      </c>
      <c r="BM264" s="5">
        <v>0</v>
      </c>
      <c r="BN264" s="5">
        <v>0</v>
      </c>
      <c r="BO264" s="5">
        <v>0</v>
      </c>
      <c r="BP264" s="5">
        <v>0</v>
      </c>
      <c r="BQ264" s="5"/>
      <c r="BR264" s="5"/>
      <c r="BS264" s="4">
        <v>0</v>
      </c>
      <c r="BT264" s="4">
        <f t="shared" si="810"/>
        <v>2</v>
      </c>
      <c r="BU264" s="17">
        <v>0</v>
      </c>
      <c r="BV264" s="4">
        <f t="shared" ref="BV264:BY264" si="891">BV254</f>
        <v>2</v>
      </c>
      <c r="BW264" s="4">
        <f t="shared" si="891"/>
        <v>2</v>
      </c>
      <c r="BX264" s="4">
        <f t="shared" si="891"/>
        <v>0.78</v>
      </c>
      <c r="BY264" s="4">
        <f t="shared" si="891"/>
        <v>0.5</v>
      </c>
      <c r="BZ264" s="5" t="s">
        <v>501</v>
      </c>
      <c r="CA264" s="4" t="str">
        <f t="shared" si="812"/>
        <v>monster27_1</v>
      </c>
      <c r="CB264" s="4" t="str">
        <f t="shared" si="812"/>
        <v>monster27_1</v>
      </c>
      <c r="CC264" s="5">
        <v>1</v>
      </c>
      <c r="CD264" s="8">
        <v>1</v>
      </c>
      <c r="CE264" s="5">
        <f t="shared" ref="CE264:CF264" si="892">CE254</f>
        <v>2</v>
      </c>
      <c r="CF264" s="5">
        <f t="shared" si="892"/>
        <v>1</v>
      </c>
      <c r="CG264" s="5" t="s">
        <v>500</v>
      </c>
      <c r="CH264" s="5">
        <v>0</v>
      </c>
      <c r="CI264" s="5">
        <v>0</v>
      </c>
      <c r="CJ264" s="4">
        <v>1</v>
      </c>
      <c r="CK264" s="20">
        <v>0</v>
      </c>
      <c r="CL264" s="5">
        <v>0</v>
      </c>
      <c r="CM264" s="20">
        <v>111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20">
        <v>2.5</v>
      </c>
      <c r="CW264" s="20">
        <v>3</v>
      </c>
      <c r="CX264" s="20">
        <v>2.5</v>
      </c>
      <c r="CY264" s="20">
        <v>3.5</v>
      </c>
      <c r="CZ264" s="8">
        <v>50</v>
      </c>
      <c r="DA264" s="6">
        <f t="shared" si="878"/>
        <v>2500</v>
      </c>
      <c r="DB264" s="5">
        <v>0</v>
      </c>
      <c r="DC264" s="5">
        <f t="shared" si="885"/>
        <v>0.52500000000000002</v>
      </c>
      <c r="DD264" s="6">
        <f t="shared" si="879"/>
        <v>0.52500000000000002</v>
      </c>
      <c r="DE264" s="6">
        <v>1</v>
      </c>
      <c r="DF264" s="5">
        <v>0</v>
      </c>
      <c r="DG264" s="6">
        <v>2.5</v>
      </c>
      <c r="DH264" s="5"/>
      <c r="DI264" s="8"/>
      <c r="DJ264" s="5">
        <v>0</v>
      </c>
      <c r="DK264" s="8">
        <v>0</v>
      </c>
      <c r="DL264" s="5">
        <f t="shared" si="880"/>
        <v>0</v>
      </c>
      <c r="DM264" s="5" t="str">
        <f t="shared" si="795"/>
        <v>2级坚甲犀牛</v>
      </c>
      <c r="DN264" s="5">
        <v>6</v>
      </c>
      <c r="DO264" s="5">
        <v>0</v>
      </c>
      <c r="DP264" s="5">
        <v>1</v>
      </c>
      <c r="DQ264" s="5">
        <v>1</v>
      </c>
      <c r="DR264" s="5">
        <v>2.5</v>
      </c>
      <c r="DS264" s="6">
        <v>3.5</v>
      </c>
      <c r="DT264" s="5">
        <v>-0.5</v>
      </c>
      <c r="DU264" s="5">
        <v>0.5</v>
      </c>
      <c r="DV264" s="6">
        <v>0.5</v>
      </c>
      <c r="DW264" s="5">
        <f t="shared" si="814"/>
        <v>0.33333333333333331</v>
      </c>
      <c r="DX264" s="5">
        <v>4</v>
      </c>
      <c r="DY264" s="5">
        <f t="shared" si="815"/>
        <v>0</v>
      </c>
      <c r="DZ264" s="5">
        <v>0</v>
      </c>
    </row>
    <row r="265" spans="1:130" x14ac:dyDescent="0.15">
      <c r="A265" s="5">
        <v>201263</v>
      </c>
      <c r="B265" s="5" t="s">
        <v>502</v>
      </c>
      <c r="C265" s="5"/>
      <c r="D265" s="5"/>
      <c r="E265" s="5"/>
      <c r="F265" s="5">
        <v>1</v>
      </c>
      <c r="G265" s="45"/>
      <c r="H265" s="5"/>
      <c r="I265" s="5"/>
      <c r="J265" s="5"/>
      <c r="K265" s="5"/>
      <c r="L265" s="10"/>
      <c r="M265" s="5"/>
      <c r="N265" s="10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20"/>
      <c r="AF265" s="5"/>
      <c r="AG265" s="5"/>
      <c r="AH265" s="5"/>
      <c r="AI265" s="5"/>
      <c r="AJ265" s="5"/>
      <c r="AK265" s="5"/>
      <c r="AL265" s="5"/>
      <c r="AM265" s="5"/>
      <c r="AN265" s="8"/>
      <c r="AO265" s="5">
        <v>0</v>
      </c>
      <c r="AP265" s="5" t="s">
        <v>502</v>
      </c>
      <c r="AQ265" s="5">
        <v>0</v>
      </c>
      <c r="AR265" s="8">
        <v>10</v>
      </c>
      <c r="AS265" s="6">
        <f t="shared" si="881"/>
        <v>90</v>
      </c>
      <c r="AT265" s="6">
        <f t="shared" si="882"/>
        <v>99</v>
      </c>
      <c r="AU265" s="5">
        <v>0</v>
      </c>
      <c r="AV265" s="5">
        <v>0</v>
      </c>
      <c r="AW265" s="5">
        <v>0</v>
      </c>
      <c r="AX265" s="5">
        <v>1</v>
      </c>
      <c r="AY265" s="5">
        <v>0</v>
      </c>
      <c r="AZ265" s="23">
        <v>201263</v>
      </c>
      <c r="BA265" s="5">
        <f t="shared" si="809"/>
        <v>203027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f t="shared" si="794"/>
        <v>1</v>
      </c>
      <c r="BM265" s="5">
        <v>0</v>
      </c>
      <c r="BN265" s="5">
        <v>0</v>
      </c>
      <c r="BO265" s="5">
        <v>0</v>
      </c>
      <c r="BP265" s="5">
        <v>0</v>
      </c>
      <c r="BQ265" s="5"/>
      <c r="BR265" s="5"/>
      <c r="BS265" s="4">
        <v>0</v>
      </c>
      <c r="BT265" s="4">
        <f t="shared" si="810"/>
        <v>3</v>
      </c>
      <c r="BU265" s="17">
        <v>0</v>
      </c>
      <c r="BV265" s="4">
        <f t="shared" ref="BV265:BY265" si="893">BV255</f>
        <v>3</v>
      </c>
      <c r="BW265" s="4">
        <f t="shared" si="893"/>
        <v>3</v>
      </c>
      <c r="BX265" s="4">
        <f t="shared" si="893"/>
        <v>0.71</v>
      </c>
      <c r="BY265" s="4">
        <f t="shared" si="893"/>
        <v>0.45000000000000007</v>
      </c>
      <c r="BZ265" s="5" t="s">
        <v>499</v>
      </c>
      <c r="CA265" s="4" t="str">
        <f t="shared" si="812"/>
        <v>monster27</v>
      </c>
      <c r="CB265" s="4" t="str">
        <f t="shared" si="812"/>
        <v>monster27</v>
      </c>
      <c r="CC265" s="5">
        <v>1</v>
      </c>
      <c r="CD265" s="8">
        <v>1</v>
      </c>
      <c r="CE265" s="5">
        <f t="shared" ref="CE265:CF265" si="894">CE255</f>
        <v>3</v>
      </c>
      <c r="CF265" s="5">
        <f t="shared" si="894"/>
        <v>1</v>
      </c>
      <c r="CG265" s="5" t="s">
        <v>502</v>
      </c>
      <c r="CH265" s="5">
        <v>0</v>
      </c>
      <c r="CI265" s="5">
        <v>0</v>
      </c>
      <c r="CJ265" s="4">
        <v>0</v>
      </c>
      <c r="CK265" s="20">
        <v>0</v>
      </c>
      <c r="CL265" s="5">
        <v>0</v>
      </c>
      <c r="CM265" s="20">
        <v>111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20">
        <v>2.5</v>
      </c>
      <c r="CW265" s="20">
        <v>3</v>
      </c>
      <c r="CX265" s="20">
        <v>2.5</v>
      </c>
      <c r="CY265" s="20">
        <v>3.5</v>
      </c>
      <c r="CZ265" s="8">
        <v>50</v>
      </c>
      <c r="DA265" s="6">
        <f t="shared" si="878"/>
        <v>3750</v>
      </c>
      <c r="DB265" s="5">
        <v>0</v>
      </c>
      <c r="DC265" s="5">
        <f t="shared" si="885"/>
        <v>0.55000000000000004</v>
      </c>
      <c r="DD265" s="6">
        <f t="shared" si="879"/>
        <v>0.55000000000000004</v>
      </c>
      <c r="DE265" s="6">
        <v>1</v>
      </c>
      <c r="DF265" s="5">
        <v>0</v>
      </c>
      <c r="DG265" s="6">
        <v>2.5</v>
      </c>
      <c r="DH265" s="5"/>
      <c r="DI265" s="8"/>
      <c r="DJ265" s="5">
        <v>0</v>
      </c>
      <c r="DK265" s="8">
        <v>0</v>
      </c>
      <c r="DL265" s="5">
        <f t="shared" si="880"/>
        <v>0</v>
      </c>
      <c r="DM265" s="5" t="str">
        <f t="shared" si="795"/>
        <v>3级坚甲犀牛</v>
      </c>
      <c r="DN265" s="5">
        <v>6</v>
      </c>
      <c r="DO265" s="5">
        <v>0</v>
      </c>
      <c r="DP265" s="5">
        <v>1</v>
      </c>
      <c r="DQ265" s="5">
        <v>1</v>
      </c>
      <c r="DR265" s="5">
        <v>2.5</v>
      </c>
      <c r="DS265" s="6">
        <v>3.5</v>
      </c>
      <c r="DT265" s="5">
        <v>-0.5</v>
      </c>
      <c r="DU265" s="5">
        <v>0.5</v>
      </c>
      <c r="DV265" s="6">
        <v>0.5</v>
      </c>
      <c r="DW265" s="5">
        <f t="shared" si="814"/>
        <v>0.33333333333333331</v>
      </c>
      <c r="DX265" s="5">
        <v>4</v>
      </c>
      <c r="DY265" s="5">
        <f t="shared" si="815"/>
        <v>0</v>
      </c>
      <c r="DZ265" s="5">
        <v>0</v>
      </c>
    </row>
    <row r="266" spans="1:130" x14ac:dyDescent="0.15">
      <c r="A266" s="5">
        <v>201264</v>
      </c>
      <c r="B266" s="5" t="s">
        <v>503</v>
      </c>
      <c r="C266" s="5"/>
      <c r="D266" s="5"/>
      <c r="E266" s="5"/>
      <c r="F266" s="5">
        <v>1</v>
      </c>
      <c r="G266" s="45"/>
      <c r="H266" s="5"/>
      <c r="I266" s="5"/>
      <c r="J266" s="5"/>
      <c r="K266" s="5"/>
      <c r="L266" s="10"/>
      <c r="M266" s="5"/>
      <c r="N266" s="10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20"/>
      <c r="AF266" s="5"/>
      <c r="AG266" s="5"/>
      <c r="AH266" s="5"/>
      <c r="AI266" s="5"/>
      <c r="AJ266" s="5"/>
      <c r="AK266" s="5"/>
      <c r="AL266" s="5"/>
      <c r="AM266" s="5"/>
      <c r="AN266" s="8"/>
      <c r="AO266" s="5">
        <v>0</v>
      </c>
      <c r="AP266" s="5" t="s">
        <v>503</v>
      </c>
      <c r="AQ266" s="5">
        <v>0</v>
      </c>
      <c r="AR266" s="8">
        <v>10</v>
      </c>
      <c r="AS266" s="6">
        <f t="shared" si="881"/>
        <v>120</v>
      </c>
      <c r="AT266" s="6">
        <f t="shared" si="882"/>
        <v>132</v>
      </c>
      <c r="AU266" s="5">
        <v>0</v>
      </c>
      <c r="AV266" s="5">
        <v>0</v>
      </c>
      <c r="AW266" s="5">
        <v>0</v>
      </c>
      <c r="AX266" s="5">
        <v>1</v>
      </c>
      <c r="AY266" s="5">
        <v>0</v>
      </c>
      <c r="AZ266" s="23">
        <v>201264</v>
      </c>
      <c r="BA266" s="5">
        <f t="shared" si="809"/>
        <v>203027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f t="shared" si="794"/>
        <v>0</v>
      </c>
      <c r="BM266" s="5">
        <v>0</v>
      </c>
      <c r="BN266" s="5">
        <v>0</v>
      </c>
      <c r="BO266" s="5">
        <v>0</v>
      </c>
      <c r="BP266" s="5">
        <v>0</v>
      </c>
      <c r="BQ266" s="5"/>
      <c r="BR266" s="5"/>
      <c r="BS266" s="4">
        <v>0</v>
      </c>
      <c r="BT266" s="4">
        <f t="shared" si="810"/>
        <v>4</v>
      </c>
      <c r="BU266" s="17">
        <v>0</v>
      </c>
      <c r="BV266" s="4">
        <f t="shared" ref="BV266:BY266" si="895">BV256</f>
        <v>4</v>
      </c>
      <c r="BW266" s="4">
        <f t="shared" si="895"/>
        <v>4</v>
      </c>
      <c r="BX266" s="4">
        <f t="shared" si="895"/>
        <v>0.6399999999999999</v>
      </c>
      <c r="BY266" s="4">
        <f t="shared" si="895"/>
        <v>0.4</v>
      </c>
      <c r="BZ266" s="5" t="s">
        <v>501</v>
      </c>
      <c r="CA266" s="4" t="str">
        <f t="shared" si="812"/>
        <v>monster27_1</v>
      </c>
      <c r="CB266" s="4" t="str">
        <f t="shared" si="812"/>
        <v>monster27_1</v>
      </c>
      <c r="CC266" s="5">
        <v>1</v>
      </c>
      <c r="CD266" s="8">
        <v>1</v>
      </c>
      <c r="CE266" s="5">
        <f t="shared" ref="CE266:CF266" si="896">CE256</f>
        <v>4</v>
      </c>
      <c r="CF266" s="5">
        <f t="shared" si="896"/>
        <v>1</v>
      </c>
      <c r="CG266" s="5" t="s">
        <v>503</v>
      </c>
      <c r="CH266" s="5">
        <v>0</v>
      </c>
      <c r="CI266" s="5">
        <v>0</v>
      </c>
      <c r="CJ266" s="4">
        <v>1</v>
      </c>
      <c r="CK266" s="20">
        <v>0</v>
      </c>
      <c r="CL266" s="5">
        <v>0</v>
      </c>
      <c r="CM266" s="20">
        <v>111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20">
        <v>2.5</v>
      </c>
      <c r="CW266" s="20">
        <v>3</v>
      </c>
      <c r="CX266" s="20">
        <v>2.5</v>
      </c>
      <c r="CY266" s="20">
        <v>3.5</v>
      </c>
      <c r="CZ266" s="8">
        <v>50</v>
      </c>
      <c r="DA266" s="6">
        <f t="shared" si="878"/>
        <v>5000</v>
      </c>
      <c r="DB266" s="5">
        <v>0</v>
      </c>
      <c r="DC266" s="5">
        <f t="shared" si="885"/>
        <v>0.57499999999999996</v>
      </c>
      <c r="DD266" s="6">
        <f t="shared" si="879"/>
        <v>0.57499999999999996</v>
      </c>
      <c r="DE266" s="6">
        <v>1</v>
      </c>
      <c r="DF266" s="5">
        <v>0</v>
      </c>
      <c r="DG266" s="6">
        <v>2.5</v>
      </c>
      <c r="DH266" s="5"/>
      <c r="DI266" s="8"/>
      <c r="DJ266" s="5">
        <v>0</v>
      </c>
      <c r="DK266" s="8">
        <v>0</v>
      </c>
      <c r="DL266" s="5">
        <f t="shared" si="880"/>
        <v>0</v>
      </c>
      <c r="DM266" s="5" t="str">
        <f t="shared" si="795"/>
        <v>4级坚甲犀牛</v>
      </c>
      <c r="DN266" s="5">
        <v>6</v>
      </c>
      <c r="DO266" s="5">
        <v>0</v>
      </c>
      <c r="DP266" s="5">
        <v>1</v>
      </c>
      <c r="DQ266" s="5">
        <v>1</v>
      </c>
      <c r="DR266" s="5">
        <v>2.5</v>
      </c>
      <c r="DS266" s="6">
        <v>3.5</v>
      </c>
      <c r="DT266" s="5">
        <v>-0.5</v>
      </c>
      <c r="DU266" s="5">
        <v>0.5</v>
      </c>
      <c r="DV266" s="6">
        <v>0.5</v>
      </c>
      <c r="DW266" s="5">
        <f t="shared" si="814"/>
        <v>0.33333333333333331</v>
      </c>
      <c r="DX266" s="5">
        <v>4</v>
      </c>
      <c r="DY266" s="5">
        <f t="shared" si="815"/>
        <v>0</v>
      </c>
      <c r="DZ266" s="5">
        <v>0</v>
      </c>
    </row>
    <row r="267" spans="1:130" x14ac:dyDescent="0.15">
      <c r="A267" s="5">
        <v>201265</v>
      </c>
      <c r="B267" s="5" t="s">
        <v>504</v>
      </c>
      <c r="C267" s="5"/>
      <c r="D267" s="5"/>
      <c r="E267" s="5"/>
      <c r="F267" s="5">
        <v>1</v>
      </c>
      <c r="G267" s="45"/>
      <c r="H267" s="5"/>
      <c r="I267" s="5"/>
      <c r="J267" s="5"/>
      <c r="K267" s="5"/>
      <c r="L267" s="10"/>
      <c r="M267" s="5"/>
      <c r="N267" s="10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20"/>
      <c r="AF267" s="5"/>
      <c r="AG267" s="5"/>
      <c r="AH267" s="5"/>
      <c r="AI267" s="5"/>
      <c r="AJ267" s="5"/>
      <c r="AK267" s="5"/>
      <c r="AL267" s="5"/>
      <c r="AM267" s="5"/>
      <c r="AN267" s="8"/>
      <c r="AO267" s="5">
        <v>0</v>
      </c>
      <c r="AP267" s="5" t="s">
        <v>504</v>
      </c>
      <c r="AQ267" s="5">
        <v>0</v>
      </c>
      <c r="AR267" s="8">
        <v>10</v>
      </c>
      <c r="AS267" s="6">
        <f t="shared" si="881"/>
        <v>150</v>
      </c>
      <c r="AT267" s="6">
        <f t="shared" si="882"/>
        <v>165</v>
      </c>
      <c r="AU267" s="5">
        <v>0</v>
      </c>
      <c r="AV267" s="5">
        <v>0</v>
      </c>
      <c r="AW267" s="5">
        <v>0</v>
      </c>
      <c r="AX267" s="5">
        <v>1</v>
      </c>
      <c r="AY267" s="5">
        <v>0</v>
      </c>
      <c r="AZ267" s="23">
        <v>201265</v>
      </c>
      <c r="BA267" s="5">
        <f t="shared" si="809"/>
        <v>203027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f t="shared" si="794"/>
        <v>0</v>
      </c>
      <c r="BM267" s="5">
        <v>0</v>
      </c>
      <c r="BN267" s="5">
        <v>0</v>
      </c>
      <c r="BO267" s="5">
        <v>0</v>
      </c>
      <c r="BP267" s="5">
        <v>0</v>
      </c>
      <c r="BQ267" s="5"/>
      <c r="BR267" s="5"/>
      <c r="BS267" s="4">
        <v>0</v>
      </c>
      <c r="BT267" s="4">
        <f t="shared" si="810"/>
        <v>5</v>
      </c>
      <c r="BU267" s="17">
        <v>0</v>
      </c>
      <c r="BV267" s="4">
        <f t="shared" ref="BV267:BY267" si="897">BV257</f>
        <v>5</v>
      </c>
      <c r="BW267" s="4">
        <f t="shared" si="897"/>
        <v>5</v>
      </c>
      <c r="BX267" s="4">
        <f t="shared" si="897"/>
        <v>0.56999999999999995</v>
      </c>
      <c r="BY267" s="4">
        <f t="shared" si="897"/>
        <v>0.35000000000000003</v>
      </c>
      <c r="BZ267" s="5" t="s">
        <v>499</v>
      </c>
      <c r="CA267" s="4" t="str">
        <f t="shared" si="812"/>
        <v>monster27</v>
      </c>
      <c r="CB267" s="4" t="str">
        <f t="shared" si="812"/>
        <v>monster27</v>
      </c>
      <c r="CC267" s="5">
        <v>1</v>
      </c>
      <c r="CD267" s="8">
        <v>1</v>
      </c>
      <c r="CE267" s="5">
        <f t="shared" ref="CE267:CF267" si="898">CE257</f>
        <v>5</v>
      </c>
      <c r="CF267" s="5">
        <f t="shared" si="898"/>
        <v>1</v>
      </c>
      <c r="CG267" s="5" t="s">
        <v>504</v>
      </c>
      <c r="CH267" s="5">
        <v>0</v>
      </c>
      <c r="CI267" s="5">
        <v>0</v>
      </c>
      <c r="CJ267" s="4">
        <v>0</v>
      </c>
      <c r="CK267" s="20">
        <v>0</v>
      </c>
      <c r="CL267" s="5">
        <v>0</v>
      </c>
      <c r="CM267" s="20">
        <v>111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20">
        <v>2.5</v>
      </c>
      <c r="CW267" s="20">
        <v>3</v>
      </c>
      <c r="CX267" s="20">
        <v>2.5</v>
      </c>
      <c r="CY267" s="20">
        <v>3.5</v>
      </c>
      <c r="CZ267" s="8">
        <v>50</v>
      </c>
      <c r="DA267" s="6">
        <f t="shared" si="878"/>
        <v>6250</v>
      </c>
      <c r="DB267" s="5">
        <v>0</v>
      </c>
      <c r="DC267" s="5">
        <f t="shared" si="885"/>
        <v>0.6</v>
      </c>
      <c r="DD267" s="6">
        <f t="shared" si="879"/>
        <v>0.6</v>
      </c>
      <c r="DE267" s="6">
        <v>1</v>
      </c>
      <c r="DF267" s="5">
        <v>0</v>
      </c>
      <c r="DG267" s="6">
        <v>2.5</v>
      </c>
      <c r="DH267" s="5"/>
      <c r="DI267" s="8"/>
      <c r="DJ267" s="5">
        <v>0</v>
      </c>
      <c r="DK267" s="8">
        <v>0</v>
      </c>
      <c r="DL267" s="5">
        <f t="shared" si="880"/>
        <v>0</v>
      </c>
      <c r="DM267" s="5" t="str">
        <f t="shared" si="795"/>
        <v>5级坚甲犀牛</v>
      </c>
      <c r="DN267" s="5">
        <v>6</v>
      </c>
      <c r="DO267" s="5">
        <v>0</v>
      </c>
      <c r="DP267" s="5">
        <v>1</v>
      </c>
      <c r="DQ267" s="5">
        <v>1</v>
      </c>
      <c r="DR267" s="5">
        <v>2.5</v>
      </c>
      <c r="DS267" s="6">
        <v>3.5</v>
      </c>
      <c r="DT267" s="5">
        <v>-0.5</v>
      </c>
      <c r="DU267" s="5">
        <v>0.5</v>
      </c>
      <c r="DV267" s="6">
        <v>0.5</v>
      </c>
      <c r="DW267" s="5">
        <f t="shared" si="814"/>
        <v>0.33333333333333331</v>
      </c>
      <c r="DX267" s="5">
        <v>4</v>
      </c>
      <c r="DY267" s="5">
        <f t="shared" si="815"/>
        <v>0</v>
      </c>
      <c r="DZ267" s="5">
        <v>0</v>
      </c>
    </row>
    <row r="268" spans="1:130" x14ac:dyDescent="0.15">
      <c r="A268" s="5">
        <v>201266</v>
      </c>
      <c r="B268" s="5" t="s">
        <v>505</v>
      </c>
      <c r="C268" s="5"/>
      <c r="D268" s="5"/>
      <c r="E268" s="5"/>
      <c r="F268" s="5">
        <v>1</v>
      </c>
      <c r="G268" s="45"/>
      <c r="H268" s="5"/>
      <c r="I268" s="5"/>
      <c r="J268" s="5"/>
      <c r="K268" s="5"/>
      <c r="L268" s="10"/>
      <c r="M268" s="5"/>
      <c r="N268" s="10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20"/>
      <c r="AF268" s="5"/>
      <c r="AG268" s="5"/>
      <c r="AH268" s="5"/>
      <c r="AI268" s="5"/>
      <c r="AJ268" s="5"/>
      <c r="AK268" s="5"/>
      <c r="AL268" s="5"/>
      <c r="AM268" s="5"/>
      <c r="AN268" s="8"/>
      <c r="AO268" s="5">
        <v>0</v>
      </c>
      <c r="AP268" s="5" t="s">
        <v>505</v>
      </c>
      <c r="AQ268" s="5">
        <v>0</v>
      </c>
      <c r="AR268" s="8">
        <v>10</v>
      </c>
      <c r="AS268" s="6">
        <f t="shared" si="881"/>
        <v>180</v>
      </c>
      <c r="AT268" s="6">
        <f t="shared" si="882"/>
        <v>198</v>
      </c>
      <c r="AU268" s="5">
        <v>0</v>
      </c>
      <c r="AV268" s="5">
        <v>0</v>
      </c>
      <c r="AW268" s="5">
        <v>0</v>
      </c>
      <c r="AX268" s="5">
        <v>1</v>
      </c>
      <c r="AY268" s="5">
        <v>0</v>
      </c>
      <c r="AZ268" s="23">
        <v>201266</v>
      </c>
      <c r="BA268" s="5">
        <f t="shared" si="809"/>
        <v>203027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f t="shared" si="794"/>
        <v>0</v>
      </c>
      <c r="BM268" s="5">
        <v>0</v>
      </c>
      <c r="BN268" s="5">
        <v>0</v>
      </c>
      <c r="BO268" s="5">
        <v>0</v>
      </c>
      <c r="BP268" s="5">
        <v>0</v>
      </c>
      <c r="BQ268" s="5"/>
      <c r="BR268" s="5"/>
      <c r="BS268" s="4">
        <v>0</v>
      </c>
      <c r="BT268" s="4">
        <f t="shared" si="810"/>
        <v>6</v>
      </c>
      <c r="BU268" s="17">
        <v>0</v>
      </c>
      <c r="BV268" s="4">
        <f t="shared" ref="BV268:BY268" si="899">BV258</f>
        <v>6</v>
      </c>
      <c r="BW268" s="4">
        <f t="shared" si="899"/>
        <v>6</v>
      </c>
      <c r="BX268" s="4">
        <f t="shared" si="899"/>
        <v>0.49999999999999994</v>
      </c>
      <c r="BY268" s="4">
        <f t="shared" si="899"/>
        <v>0.30000000000000004</v>
      </c>
      <c r="BZ268" s="5" t="s">
        <v>501</v>
      </c>
      <c r="CA268" s="4" t="str">
        <f t="shared" si="812"/>
        <v>monster27_1</v>
      </c>
      <c r="CB268" s="4" t="str">
        <f t="shared" si="812"/>
        <v>monster27_1</v>
      </c>
      <c r="CC268" s="5">
        <v>1</v>
      </c>
      <c r="CD268" s="8">
        <v>1</v>
      </c>
      <c r="CE268" s="5">
        <f t="shared" ref="CE268:CF268" si="900">CE258</f>
        <v>6</v>
      </c>
      <c r="CF268" s="5">
        <f t="shared" si="900"/>
        <v>1</v>
      </c>
      <c r="CG268" s="5" t="s">
        <v>505</v>
      </c>
      <c r="CH268" s="5">
        <v>0</v>
      </c>
      <c r="CI268" s="5">
        <v>0</v>
      </c>
      <c r="CJ268" s="4">
        <v>1</v>
      </c>
      <c r="CK268" s="20">
        <v>0</v>
      </c>
      <c r="CL268" s="5">
        <v>0</v>
      </c>
      <c r="CM268" s="20">
        <v>111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20">
        <v>2.5</v>
      </c>
      <c r="CW268" s="20">
        <v>3</v>
      </c>
      <c r="CX268" s="20">
        <v>2.5</v>
      </c>
      <c r="CY268" s="20">
        <v>3.5</v>
      </c>
      <c r="CZ268" s="8">
        <v>50</v>
      </c>
      <c r="DA268" s="6">
        <f t="shared" si="878"/>
        <v>7500</v>
      </c>
      <c r="DB268" s="5">
        <v>0</v>
      </c>
      <c r="DC268" s="5">
        <f t="shared" si="885"/>
        <v>0.625</v>
      </c>
      <c r="DD268" s="6">
        <f t="shared" si="879"/>
        <v>0.625</v>
      </c>
      <c r="DE268" s="6">
        <v>1</v>
      </c>
      <c r="DF268" s="5">
        <v>0</v>
      </c>
      <c r="DG268" s="6">
        <v>2.5</v>
      </c>
      <c r="DH268" s="5"/>
      <c r="DI268" s="8"/>
      <c r="DJ268" s="5">
        <v>0</v>
      </c>
      <c r="DK268" s="8">
        <v>0</v>
      </c>
      <c r="DL268" s="5">
        <f t="shared" si="880"/>
        <v>0</v>
      </c>
      <c r="DM268" s="5" t="str">
        <f t="shared" si="795"/>
        <v>6级坚甲犀牛</v>
      </c>
      <c r="DN268" s="5">
        <v>6</v>
      </c>
      <c r="DO268" s="5">
        <v>0</v>
      </c>
      <c r="DP268" s="5">
        <v>1</v>
      </c>
      <c r="DQ268" s="5">
        <v>1</v>
      </c>
      <c r="DR268" s="5">
        <v>2.5</v>
      </c>
      <c r="DS268" s="6">
        <v>3.5</v>
      </c>
      <c r="DT268" s="5">
        <v>-0.5</v>
      </c>
      <c r="DU268" s="5">
        <v>0.5</v>
      </c>
      <c r="DV268" s="6">
        <v>0.5</v>
      </c>
      <c r="DW268" s="5">
        <f t="shared" si="814"/>
        <v>0.33333333333333331</v>
      </c>
      <c r="DX268" s="5">
        <v>4</v>
      </c>
      <c r="DY268" s="5">
        <f t="shared" si="815"/>
        <v>0</v>
      </c>
      <c r="DZ268" s="5">
        <v>0</v>
      </c>
    </row>
    <row r="269" spans="1:130" x14ac:dyDescent="0.15">
      <c r="A269" s="5">
        <v>201267</v>
      </c>
      <c r="B269" s="5" t="s">
        <v>506</v>
      </c>
      <c r="C269" s="5"/>
      <c r="D269" s="5"/>
      <c r="E269" s="5"/>
      <c r="F269" s="5">
        <v>1</v>
      </c>
      <c r="G269" s="45"/>
      <c r="H269" s="5"/>
      <c r="I269" s="5"/>
      <c r="J269" s="5"/>
      <c r="K269" s="5"/>
      <c r="L269" s="10"/>
      <c r="M269" s="5"/>
      <c r="N269" s="10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20"/>
      <c r="AF269" s="5"/>
      <c r="AG269" s="5"/>
      <c r="AH269" s="5"/>
      <c r="AI269" s="5"/>
      <c r="AJ269" s="5"/>
      <c r="AK269" s="5"/>
      <c r="AL269" s="5"/>
      <c r="AM269" s="5"/>
      <c r="AN269" s="8"/>
      <c r="AO269" s="5">
        <v>0</v>
      </c>
      <c r="AP269" s="5" t="s">
        <v>506</v>
      </c>
      <c r="AQ269" s="5">
        <v>0</v>
      </c>
      <c r="AR269" s="8">
        <v>10</v>
      </c>
      <c r="AS269" s="6">
        <f t="shared" si="881"/>
        <v>210</v>
      </c>
      <c r="AT269" s="6">
        <f t="shared" si="882"/>
        <v>231</v>
      </c>
      <c r="AU269" s="5">
        <v>0</v>
      </c>
      <c r="AV269" s="5">
        <v>0</v>
      </c>
      <c r="AW269" s="5">
        <v>0</v>
      </c>
      <c r="AX269" s="5">
        <v>1</v>
      </c>
      <c r="AY269" s="5">
        <v>0</v>
      </c>
      <c r="AZ269" s="23">
        <v>201267</v>
      </c>
      <c r="BA269" s="5">
        <f t="shared" si="809"/>
        <v>203027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f t="shared" si="794"/>
        <v>0</v>
      </c>
      <c r="BM269" s="5">
        <v>0</v>
      </c>
      <c r="BN269" s="5">
        <v>0</v>
      </c>
      <c r="BO269" s="5">
        <v>0</v>
      </c>
      <c r="BP269" s="5">
        <v>0</v>
      </c>
      <c r="BQ269" s="5"/>
      <c r="BR269" s="5"/>
      <c r="BS269" s="4">
        <v>0</v>
      </c>
      <c r="BT269" s="4">
        <f t="shared" si="810"/>
        <v>7</v>
      </c>
      <c r="BU269" s="17">
        <v>0</v>
      </c>
      <c r="BV269" s="4">
        <f t="shared" ref="BV269:BY269" si="901">BV259</f>
        <v>7</v>
      </c>
      <c r="BW269" s="4">
        <f t="shared" si="901"/>
        <v>7</v>
      </c>
      <c r="BX269" s="4">
        <f t="shared" si="901"/>
        <v>0.42999999999999994</v>
      </c>
      <c r="BY269" s="4">
        <f t="shared" si="901"/>
        <v>0.25</v>
      </c>
      <c r="BZ269" s="5" t="s">
        <v>499</v>
      </c>
      <c r="CA269" s="4" t="str">
        <f t="shared" si="812"/>
        <v>monster27</v>
      </c>
      <c r="CB269" s="4" t="str">
        <f t="shared" si="812"/>
        <v>monster27</v>
      </c>
      <c r="CC269" s="5">
        <v>1</v>
      </c>
      <c r="CD269" s="8">
        <v>1</v>
      </c>
      <c r="CE269" s="5">
        <f t="shared" ref="CE269:CF269" si="902">CE259</f>
        <v>7</v>
      </c>
      <c r="CF269" s="5">
        <f t="shared" si="902"/>
        <v>1</v>
      </c>
      <c r="CG269" s="5" t="s">
        <v>506</v>
      </c>
      <c r="CH269" s="5">
        <v>0</v>
      </c>
      <c r="CI269" s="5">
        <v>0</v>
      </c>
      <c r="CJ269" s="4">
        <v>0</v>
      </c>
      <c r="CK269" s="20">
        <v>0</v>
      </c>
      <c r="CL269" s="5">
        <v>0</v>
      </c>
      <c r="CM269" s="20">
        <v>111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20">
        <v>2.5</v>
      </c>
      <c r="CW269" s="20">
        <v>3</v>
      </c>
      <c r="CX269" s="20">
        <v>2.5</v>
      </c>
      <c r="CY269" s="20">
        <v>3.5</v>
      </c>
      <c r="CZ269" s="8">
        <v>50</v>
      </c>
      <c r="DA269" s="6">
        <f t="shared" si="878"/>
        <v>8750</v>
      </c>
      <c r="DB269" s="5">
        <v>0</v>
      </c>
      <c r="DC269" s="5">
        <f t="shared" si="885"/>
        <v>0.65</v>
      </c>
      <c r="DD269" s="6">
        <f t="shared" si="879"/>
        <v>0.65</v>
      </c>
      <c r="DE269" s="6">
        <v>1</v>
      </c>
      <c r="DF269" s="5">
        <v>0</v>
      </c>
      <c r="DG269" s="6">
        <v>2.5</v>
      </c>
      <c r="DH269" s="5"/>
      <c r="DI269" s="8"/>
      <c r="DJ269" s="5">
        <v>0</v>
      </c>
      <c r="DK269" s="8">
        <v>0</v>
      </c>
      <c r="DL269" s="5">
        <f t="shared" si="880"/>
        <v>0</v>
      </c>
      <c r="DM269" s="5" t="str">
        <f t="shared" si="795"/>
        <v>7级坚甲犀牛</v>
      </c>
      <c r="DN269" s="5">
        <v>6</v>
      </c>
      <c r="DO269" s="5">
        <v>0</v>
      </c>
      <c r="DP269" s="5">
        <v>1</v>
      </c>
      <c r="DQ269" s="5">
        <v>1</v>
      </c>
      <c r="DR269" s="5">
        <v>2.5</v>
      </c>
      <c r="DS269" s="6">
        <v>3.5</v>
      </c>
      <c r="DT269" s="5">
        <v>-0.5</v>
      </c>
      <c r="DU269" s="5">
        <v>0.5</v>
      </c>
      <c r="DV269" s="6">
        <v>0.5</v>
      </c>
      <c r="DW269" s="5">
        <f t="shared" si="814"/>
        <v>0.33333333333333331</v>
      </c>
      <c r="DX269" s="5">
        <v>4</v>
      </c>
      <c r="DY269" s="5">
        <f t="shared" si="815"/>
        <v>0</v>
      </c>
      <c r="DZ269" s="5">
        <v>0</v>
      </c>
    </row>
    <row r="270" spans="1:130" x14ac:dyDescent="0.15">
      <c r="A270" s="5">
        <v>201268</v>
      </c>
      <c r="B270" s="5" t="s">
        <v>507</v>
      </c>
      <c r="C270" s="5"/>
      <c r="D270" s="5"/>
      <c r="E270" s="5"/>
      <c r="F270" s="5">
        <v>1</v>
      </c>
      <c r="G270" s="45"/>
      <c r="H270" s="5"/>
      <c r="I270" s="5"/>
      <c r="J270" s="5"/>
      <c r="K270" s="5"/>
      <c r="L270" s="10"/>
      <c r="M270" s="5"/>
      <c r="N270" s="10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20"/>
      <c r="AF270" s="5"/>
      <c r="AG270" s="5"/>
      <c r="AH270" s="5"/>
      <c r="AI270" s="5"/>
      <c r="AJ270" s="5"/>
      <c r="AK270" s="5"/>
      <c r="AL270" s="5"/>
      <c r="AM270" s="5"/>
      <c r="AN270" s="8"/>
      <c r="AO270" s="5">
        <v>0</v>
      </c>
      <c r="AP270" s="5" t="s">
        <v>507</v>
      </c>
      <c r="AQ270" s="5">
        <v>0</v>
      </c>
      <c r="AR270" s="8">
        <v>10</v>
      </c>
      <c r="AS270" s="6">
        <f t="shared" si="881"/>
        <v>240</v>
      </c>
      <c r="AT270" s="6">
        <f t="shared" si="882"/>
        <v>264</v>
      </c>
      <c r="AU270" s="5">
        <v>0</v>
      </c>
      <c r="AV270" s="5">
        <v>0</v>
      </c>
      <c r="AW270" s="5">
        <v>0</v>
      </c>
      <c r="AX270" s="5">
        <v>1</v>
      </c>
      <c r="AY270" s="5">
        <v>0</v>
      </c>
      <c r="AZ270" s="23">
        <v>201268</v>
      </c>
      <c r="BA270" s="5">
        <f t="shared" si="809"/>
        <v>203027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f t="shared" si="794"/>
        <v>1</v>
      </c>
      <c r="BM270" s="5">
        <v>0</v>
      </c>
      <c r="BN270" s="5">
        <v>0</v>
      </c>
      <c r="BO270" s="5">
        <v>0</v>
      </c>
      <c r="BP270" s="5">
        <v>0</v>
      </c>
      <c r="BQ270" s="5"/>
      <c r="BR270" s="5"/>
      <c r="BS270" s="4">
        <v>0</v>
      </c>
      <c r="BT270" s="4">
        <f t="shared" si="810"/>
        <v>8</v>
      </c>
      <c r="BU270" s="17">
        <v>0</v>
      </c>
      <c r="BV270" s="4">
        <f t="shared" ref="BV270:BY270" si="903">BV260</f>
        <v>8</v>
      </c>
      <c r="BW270" s="4">
        <f t="shared" si="903"/>
        <v>8</v>
      </c>
      <c r="BX270" s="4">
        <f t="shared" si="903"/>
        <v>0.35999999999999993</v>
      </c>
      <c r="BY270" s="4">
        <f t="shared" si="903"/>
        <v>0.2</v>
      </c>
      <c r="BZ270" s="5" t="s">
        <v>501</v>
      </c>
      <c r="CA270" s="4" t="str">
        <f t="shared" si="812"/>
        <v>monster27_1</v>
      </c>
      <c r="CB270" s="4" t="str">
        <f t="shared" si="812"/>
        <v>monster27_1</v>
      </c>
      <c r="CC270" s="5">
        <v>1</v>
      </c>
      <c r="CD270" s="8">
        <v>1</v>
      </c>
      <c r="CE270" s="5">
        <f t="shared" ref="CE270:CF270" si="904">CE260</f>
        <v>8</v>
      </c>
      <c r="CF270" s="5">
        <f t="shared" si="904"/>
        <v>1</v>
      </c>
      <c r="CG270" s="5" t="s">
        <v>507</v>
      </c>
      <c r="CH270" s="5">
        <v>0</v>
      </c>
      <c r="CI270" s="5">
        <v>0</v>
      </c>
      <c r="CJ270" s="4">
        <v>1</v>
      </c>
      <c r="CK270" s="20">
        <v>0</v>
      </c>
      <c r="CL270" s="5">
        <v>0</v>
      </c>
      <c r="CM270" s="20">
        <v>111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20">
        <v>2.5</v>
      </c>
      <c r="CW270" s="20">
        <v>3</v>
      </c>
      <c r="CX270" s="20">
        <v>2.5</v>
      </c>
      <c r="CY270" s="20">
        <v>3.5</v>
      </c>
      <c r="CZ270" s="8">
        <v>50</v>
      </c>
      <c r="DA270" s="6">
        <f t="shared" si="878"/>
        <v>10000</v>
      </c>
      <c r="DB270" s="5">
        <v>0</v>
      </c>
      <c r="DC270" s="5">
        <f t="shared" si="885"/>
        <v>0.67500000000000004</v>
      </c>
      <c r="DD270" s="6">
        <f t="shared" si="879"/>
        <v>0.67500000000000004</v>
      </c>
      <c r="DE270" s="6">
        <v>1</v>
      </c>
      <c r="DF270" s="5">
        <v>0</v>
      </c>
      <c r="DG270" s="6">
        <v>2.5</v>
      </c>
      <c r="DH270" s="5"/>
      <c r="DI270" s="8"/>
      <c r="DJ270" s="5">
        <v>0</v>
      </c>
      <c r="DK270" s="8">
        <v>0</v>
      </c>
      <c r="DL270" s="5">
        <f t="shared" si="880"/>
        <v>0</v>
      </c>
      <c r="DM270" s="5" t="str">
        <f t="shared" si="795"/>
        <v>8级坚甲犀牛</v>
      </c>
      <c r="DN270" s="5">
        <v>6</v>
      </c>
      <c r="DO270" s="5">
        <v>0</v>
      </c>
      <c r="DP270" s="5">
        <v>1</v>
      </c>
      <c r="DQ270" s="5">
        <v>1</v>
      </c>
      <c r="DR270" s="5">
        <v>2.5</v>
      </c>
      <c r="DS270" s="6">
        <v>3.5</v>
      </c>
      <c r="DT270" s="5">
        <v>-0.5</v>
      </c>
      <c r="DU270" s="5">
        <v>0.5</v>
      </c>
      <c r="DV270" s="6">
        <v>0.5</v>
      </c>
      <c r="DW270" s="5">
        <f t="shared" si="814"/>
        <v>0.33333333333333331</v>
      </c>
      <c r="DX270" s="5">
        <v>4</v>
      </c>
      <c r="DY270" s="5">
        <f t="shared" si="815"/>
        <v>0</v>
      </c>
      <c r="DZ270" s="5">
        <v>0</v>
      </c>
    </row>
    <row r="271" spans="1:130" x14ac:dyDescent="0.15">
      <c r="A271" s="5">
        <v>201269</v>
      </c>
      <c r="B271" s="5" t="s">
        <v>508</v>
      </c>
      <c r="C271" s="5"/>
      <c r="D271" s="5"/>
      <c r="E271" s="5"/>
      <c r="F271" s="5">
        <v>1</v>
      </c>
      <c r="G271" s="45"/>
      <c r="H271" s="5"/>
      <c r="I271" s="5"/>
      <c r="J271" s="5"/>
      <c r="K271" s="5"/>
      <c r="L271" s="10"/>
      <c r="M271" s="5"/>
      <c r="N271" s="10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20"/>
      <c r="AF271" s="5"/>
      <c r="AG271" s="5"/>
      <c r="AH271" s="5"/>
      <c r="AI271" s="5"/>
      <c r="AJ271" s="5"/>
      <c r="AK271" s="5"/>
      <c r="AL271" s="5"/>
      <c r="AM271" s="5"/>
      <c r="AN271" s="8"/>
      <c r="AO271" s="5">
        <v>0</v>
      </c>
      <c r="AP271" s="5" t="s">
        <v>508</v>
      </c>
      <c r="AQ271" s="5">
        <v>0</v>
      </c>
      <c r="AR271" s="8">
        <v>10</v>
      </c>
      <c r="AS271" s="6">
        <f t="shared" si="881"/>
        <v>270</v>
      </c>
      <c r="AT271" s="6">
        <f t="shared" si="882"/>
        <v>297</v>
      </c>
      <c r="AU271" s="5">
        <v>0</v>
      </c>
      <c r="AV271" s="5">
        <v>0</v>
      </c>
      <c r="AW271" s="5">
        <v>0</v>
      </c>
      <c r="AX271" s="5">
        <v>1</v>
      </c>
      <c r="AY271" s="5">
        <v>0</v>
      </c>
      <c r="AZ271" s="23">
        <v>201269</v>
      </c>
      <c r="BA271" s="5">
        <f t="shared" si="809"/>
        <v>203027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f t="shared" si="794"/>
        <v>0</v>
      </c>
      <c r="BM271" s="5">
        <v>0</v>
      </c>
      <c r="BN271" s="5">
        <v>0</v>
      </c>
      <c r="BO271" s="5">
        <v>0</v>
      </c>
      <c r="BP271" s="5">
        <v>0</v>
      </c>
      <c r="BQ271" s="5"/>
      <c r="BR271" s="5"/>
      <c r="BS271" s="4">
        <v>0</v>
      </c>
      <c r="BT271" s="4">
        <f t="shared" si="810"/>
        <v>9</v>
      </c>
      <c r="BU271" s="17">
        <v>0</v>
      </c>
      <c r="BV271" s="4">
        <f t="shared" ref="BV271:BY271" si="905">BV261</f>
        <v>9</v>
      </c>
      <c r="BW271" s="4">
        <f t="shared" si="905"/>
        <v>9</v>
      </c>
      <c r="BX271" s="4">
        <f t="shared" si="905"/>
        <v>0.28999999999999992</v>
      </c>
      <c r="BY271" s="4">
        <f t="shared" si="905"/>
        <v>0.15000000000000002</v>
      </c>
      <c r="BZ271" s="5" t="s">
        <v>499</v>
      </c>
      <c r="CA271" s="4" t="str">
        <f t="shared" si="812"/>
        <v>monster27</v>
      </c>
      <c r="CB271" s="4" t="str">
        <f t="shared" si="812"/>
        <v>monster27</v>
      </c>
      <c r="CC271" s="5">
        <v>1</v>
      </c>
      <c r="CD271" s="8">
        <v>1</v>
      </c>
      <c r="CE271" s="5">
        <f t="shared" ref="CE271:CF271" si="906">CE261</f>
        <v>9</v>
      </c>
      <c r="CF271" s="5">
        <f t="shared" si="906"/>
        <v>1</v>
      </c>
      <c r="CG271" s="5" t="s">
        <v>508</v>
      </c>
      <c r="CH271" s="5">
        <v>0</v>
      </c>
      <c r="CI271" s="5">
        <v>0</v>
      </c>
      <c r="CJ271" s="4">
        <v>0</v>
      </c>
      <c r="CK271" s="20">
        <v>0</v>
      </c>
      <c r="CL271" s="5">
        <v>0</v>
      </c>
      <c r="CM271" s="20">
        <v>111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20">
        <v>2.5</v>
      </c>
      <c r="CW271" s="20">
        <v>3</v>
      </c>
      <c r="CX271" s="20">
        <v>2.5</v>
      </c>
      <c r="CY271" s="20">
        <v>3.5</v>
      </c>
      <c r="CZ271" s="8">
        <v>50</v>
      </c>
      <c r="DA271" s="6">
        <f t="shared" si="878"/>
        <v>11250</v>
      </c>
      <c r="DB271" s="5">
        <v>0</v>
      </c>
      <c r="DC271" s="5">
        <f t="shared" si="885"/>
        <v>0.7</v>
      </c>
      <c r="DD271" s="6">
        <f t="shared" si="879"/>
        <v>0.7</v>
      </c>
      <c r="DE271" s="6">
        <v>1</v>
      </c>
      <c r="DF271" s="5">
        <v>0</v>
      </c>
      <c r="DG271" s="6">
        <v>2.5</v>
      </c>
      <c r="DH271" s="5"/>
      <c r="DI271" s="8"/>
      <c r="DJ271" s="5">
        <v>0</v>
      </c>
      <c r="DK271" s="8">
        <v>0</v>
      </c>
      <c r="DL271" s="5">
        <f t="shared" si="880"/>
        <v>0</v>
      </c>
      <c r="DM271" s="5" t="str">
        <f t="shared" si="795"/>
        <v>9级坚甲犀牛</v>
      </c>
      <c r="DN271" s="5">
        <v>6</v>
      </c>
      <c r="DO271" s="5">
        <v>0</v>
      </c>
      <c r="DP271" s="5">
        <v>1</v>
      </c>
      <c r="DQ271" s="5">
        <v>1</v>
      </c>
      <c r="DR271" s="5">
        <v>2.5</v>
      </c>
      <c r="DS271" s="6">
        <v>3.5</v>
      </c>
      <c r="DT271" s="5">
        <v>-0.5</v>
      </c>
      <c r="DU271" s="5">
        <v>0.5</v>
      </c>
      <c r="DV271" s="6">
        <v>0.5</v>
      </c>
      <c r="DW271" s="5">
        <f t="shared" si="814"/>
        <v>0.33333333333333331</v>
      </c>
      <c r="DX271" s="5">
        <v>4</v>
      </c>
      <c r="DY271" s="5">
        <f t="shared" si="815"/>
        <v>0</v>
      </c>
      <c r="DZ271" s="5">
        <v>0</v>
      </c>
    </row>
    <row r="272" spans="1:130" x14ac:dyDescent="0.15">
      <c r="A272" s="5">
        <v>201270</v>
      </c>
      <c r="B272" s="5" t="s">
        <v>509</v>
      </c>
      <c r="C272" s="5"/>
      <c r="D272" s="5"/>
      <c r="E272" s="5"/>
      <c r="F272" s="5">
        <v>1</v>
      </c>
      <c r="G272" s="45"/>
      <c r="H272" s="5"/>
      <c r="I272" s="5"/>
      <c r="J272" s="5"/>
      <c r="K272" s="5"/>
      <c r="L272" s="10"/>
      <c r="M272" s="5"/>
      <c r="N272" s="10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20"/>
      <c r="AF272" s="5"/>
      <c r="AG272" s="5"/>
      <c r="AH272" s="5"/>
      <c r="AI272" s="5"/>
      <c r="AJ272" s="5"/>
      <c r="AK272" s="5"/>
      <c r="AL272" s="5"/>
      <c r="AM272" s="5"/>
      <c r="AN272" s="8"/>
      <c r="AO272" s="5">
        <v>0</v>
      </c>
      <c r="AP272" s="5" t="s">
        <v>509</v>
      </c>
      <c r="AQ272" s="5">
        <v>0</v>
      </c>
      <c r="AR272" s="8">
        <v>10</v>
      </c>
      <c r="AS272" s="6">
        <f t="shared" si="881"/>
        <v>300</v>
      </c>
      <c r="AT272" s="6">
        <f t="shared" si="882"/>
        <v>330</v>
      </c>
      <c r="AU272" s="5">
        <v>0</v>
      </c>
      <c r="AV272" s="5">
        <v>0</v>
      </c>
      <c r="AW272" s="5">
        <v>0</v>
      </c>
      <c r="AX272" s="5">
        <v>1</v>
      </c>
      <c r="AY272" s="5">
        <v>0</v>
      </c>
      <c r="AZ272" s="23">
        <v>201270</v>
      </c>
      <c r="BA272" s="5">
        <f t="shared" si="809"/>
        <v>203027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f t="shared" si="794"/>
        <v>2</v>
      </c>
      <c r="BM272" s="5">
        <v>0</v>
      </c>
      <c r="BN272" s="5">
        <v>0</v>
      </c>
      <c r="BO272" s="5">
        <v>0</v>
      </c>
      <c r="BP272" s="5">
        <v>0</v>
      </c>
      <c r="BQ272" s="5"/>
      <c r="BR272" s="5"/>
      <c r="BS272" s="4">
        <v>0</v>
      </c>
      <c r="BT272" s="4">
        <f t="shared" si="810"/>
        <v>10</v>
      </c>
      <c r="BU272" s="17">
        <v>0</v>
      </c>
      <c r="BV272" s="4">
        <f t="shared" ref="BV272:BY272" si="907">BV262</f>
        <v>10</v>
      </c>
      <c r="BW272" s="4">
        <f t="shared" si="907"/>
        <v>10</v>
      </c>
      <c r="BX272" s="4">
        <f t="shared" si="907"/>
        <v>0.21999999999999986</v>
      </c>
      <c r="BY272" s="4">
        <f t="shared" si="907"/>
        <v>0.10000000000000003</v>
      </c>
      <c r="BZ272" s="5" t="s">
        <v>501</v>
      </c>
      <c r="CA272" s="4" t="str">
        <f t="shared" si="812"/>
        <v>monster27_1</v>
      </c>
      <c r="CB272" s="4" t="str">
        <f t="shared" si="812"/>
        <v>monster27_1</v>
      </c>
      <c r="CC272" s="5">
        <v>1</v>
      </c>
      <c r="CD272" s="8">
        <v>1</v>
      </c>
      <c r="CE272" s="5">
        <f t="shared" ref="CE272:CF272" si="908">CE262</f>
        <v>10</v>
      </c>
      <c r="CF272" s="5">
        <f t="shared" si="908"/>
        <v>1</v>
      </c>
      <c r="CG272" s="5" t="s">
        <v>509</v>
      </c>
      <c r="CH272" s="5">
        <v>0</v>
      </c>
      <c r="CI272" s="5">
        <v>0</v>
      </c>
      <c r="CJ272" s="4">
        <v>1</v>
      </c>
      <c r="CK272" s="20">
        <v>0</v>
      </c>
      <c r="CL272" s="5">
        <v>0</v>
      </c>
      <c r="CM272" s="20">
        <v>111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20">
        <v>2.5</v>
      </c>
      <c r="CW272" s="20">
        <v>3</v>
      </c>
      <c r="CX272" s="20">
        <v>2.5</v>
      </c>
      <c r="CY272" s="20">
        <v>3.5</v>
      </c>
      <c r="CZ272" s="8">
        <v>50</v>
      </c>
      <c r="DA272" s="6">
        <f t="shared" si="878"/>
        <v>12500</v>
      </c>
      <c r="DB272" s="5">
        <v>0</v>
      </c>
      <c r="DC272" s="5">
        <f t="shared" si="885"/>
        <v>0.72499999999999998</v>
      </c>
      <c r="DD272" s="6">
        <f t="shared" si="879"/>
        <v>0.72499999999999998</v>
      </c>
      <c r="DE272" s="6">
        <v>1</v>
      </c>
      <c r="DF272" s="5">
        <v>0</v>
      </c>
      <c r="DG272" s="6">
        <v>2.5</v>
      </c>
      <c r="DH272" s="5"/>
      <c r="DI272" s="8"/>
      <c r="DJ272" s="5">
        <v>0</v>
      </c>
      <c r="DK272" s="8">
        <v>0</v>
      </c>
      <c r="DL272" s="5">
        <f t="shared" si="880"/>
        <v>0</v>
      </c>
      <c r="DM272" s="5" t="str">
        <f t="shared" si="795"/>
        <v>10级坚甲犀牛</v>
      </c>
      <c r="DN272" s="5">
        <v>6</v>
      </c>
      <c r="DO272" s="5">
        <v>0</v>
      </c>
      <c r="DP272" s="5">
        <v>1</v>
      </c>
      <c r="DQ272" s="5">
        <v>1</v>
      </c>
      <c r="DR272" s="5">
        <v>2.5</v>
      </c>
      <c r="DS272" s="6">
        <v>3.5</v>
      </c>
      <c r="DT272" s="5">
        <v>-0.5</v>
      </c>
      <c r="DU272" s="5">
        <v>0.5</v>
      </c>
      <c r="DV272" s="6">
        <v>0.5</v>
      </c>
      <c r="DW272" s="5">
        <f t="shared" si="814"/>
        <v>0.33333333333333331</v>
      </c>
      <c r="DX272" s="5">
        <v>4</v>
      </c>
      <c r="DY272" s="5">
        <f t="shared" si="815"/>
        <v>0</v>
      </c>
      <c r="DZ272" s="5">
        <v>0</v>
      </c>
    </row>
    <row r="273" spans="1:130" x14ac:dyDescent="0.15">
      <c r="A273" s="5">
        <v>201271</v>
      </c>
      <c r="B273" s="5" t="s">
        <v>510</v>
      </c>
      <c r="C273" s="5"/>
      <c r="D273" s="5"/>
      <c r="E273" s="5"/>
      <c r="F273" s="5">
        <v>1</v>
      </c>
      <c r="G273" s="45"/>
      <c r="H273" s="5"/>
      <c r="I273" s="5"/>
      <c r="J273" s="5"/>
      <c r="K273" s="5"/>
      <c r="L273" s="10"/>
      <c r="M273" s="5"/>
      <c r="N273" s="10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20"/>
      <c r="AF273" s="5"/>
      <c r="AG273" s="5"/>
      <c r="AH273" s="5"/>
      <c r="AI273" s="5"/>
      <c r="AJ273" s="5"/>
      <c r="AK273" s="5"/>
      <c r="AL273" s="5"/>
      <c r="AM273" s="5"/>
      <c r="AN273" s="8"/>
      <c r="AO273" s="5">
        <v>0</v>
      </c>
      <c r="AP273" s="5" t="s">
        <v>510</v>
      </c>
      <c r="AQ273" s="5">
        <v>0</v>
      </c>
      <c r="AR273" s="8">
        <v>10</v>
      </c>
      <c r="AS273" s="6">
        <f t="shared" si="881"/>
        <v>30</v>
      </c>
      <c r="AT273" s="6">
        <f t="shared" si="882"/>
        <v>33</v>
      </c>
      <c r="AU273" s="5">
        <v>0</v>
      </c>
      <c r="AV273" s="5">
        <v>0</v>
      </c>
      <c r="AW273" s="5">
        <v>0</v>
      </c>
      <c r="AX273" s="5">
        <v>1</v>
      </c>
      <c r="AY273" s="5">
        <v>0</v>
      </c>
      <c r="AZ273" s="23">
        <v>201271</v>
      </c>
      <c r="BA273" s="5">
        <f t="shared" si="809"/>
        <v>203028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f t="shared" si="794"/>
        <v>0</v>
      </c>
      <c r="BM273" s="5">
        <v>0</v>
      </c>
      <c r="BN273" s="5">
        <v>0</v>
      </c>
      <c r="BO273" s="5">
        <v>0</v>
      </c>
      <c r="BP273" s="5">
        <v>0</v>
      </c>
      <c r="BQ273" s="5"/>
      <c r="BR273" s="5"/>
      <c r="BS273" s="4">
        <v>0</v>
      </c>
      <c r="BT273" s="4">
        <f t="shared" si="810"/>
        <v>1</v>
      </c>
      <c r="BU273" s="17">
        <v>0</v>
      </c>
      <c r="BV273" s="4">
        <f t="shared" ref="BV273:BY273" si="909">BV263</f>
        <v>1</v>
      </c>
      <c r="BW273" s="4">
        <f t="shared" si="909"/>
        <v>1</v>
      </c>
      <c r="BX273" s="4">
        <f t="shared" si="909"/>
        <v>0.85</v>
      </c>
      <c r="BY273" s="4">
        <f t="shared" si="909"/>
        <v>0.55000000000000004</v>
      </c>
      <c r="BZ273" s="5" t="s">
        <v>511</v>
      </c>
      <c r="CA273" s="4" t="str">
        <f t="shared" si="812"/>
        <v>monster28</v>
      </c>
      <c r="CB273" s="4" t="str">
        <f t="shared" si="812"/>
        <v>monster28</v>
      </c>
      <c r="CC273" s="5">
        <v>1</v>
      </c>
      <c r="CD273" s="8">
        <v>1</v>
      </c>
      <c r="CE273" s="5">
        <f t="shared" ref="CE273:CF273" si="910">CE263</f>
        <v>1</v>
      </c>
      <c r="CF273" s="5">
        <f t="shared" si="910"/>
        <v>1</v>
      </c>
      <c r="CG273" s="5" t="s">
        <v>510</v>
      </c>
      <c r="CH273" s="5">
        <v>0</v>
      </c>
      <c r="CI273" s="5">
        <v>0</v>
      </c>
      <c r="CJ273" s="4">
        <v>0</v>
      </c>
      <c r="CK273" s="20">
        <v>0</v>
      </c>
      <c r="CL273" s="5">
        <v>0</v>
      </c>
      <c r="CM273" s="20">
        <v>114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20">
        <v>2.5</v>
      </c>
      <c r="CW273" s="20">
        <v>2.5</v>
      </c>
      <c r="CX273" s="20">
        <v>2.5</v>
      </c>
      <c r="CY273" s="20">
        <v>3</v>
      </c>
      <c r="CZ273" s="8">
        <v>50</v>
      </c>
      <c r="DA273" s="6">
        <f t="shared" si="878"/>
        <v>1250</v>
      </c>
      <c r="DB273" s="5">
        <v>0</v>
      </c>
      <c r="DC273" s="5">
        <f t="shared" si="885"/>
        <v>0.5</v>
      </c>
      <c r="DD273" s="6">
        <f t="shared" si="879"/>
        <v>0.5</v>
      </c>
      <c r="DE273" s="6">
        <v>1</v>
      </c>
      <c r="DF273" s="5">
        <v>0</v>
      </c>
      <c r="DG273" s="6">
        <v>2.5</v>
      </c>
      <c r="DH273" s="5"/>
      <c r="DI273" s="8"/>
      <c r="DJ273" s="5">
        <v>0</v>
      </c>
      <c r="DK273" s="8">
        <v>0</v>
      </c>
      <c r="DL273" s="5">
        <f t="shared" si="880"/>
        <v>0</v>
      </c>
      <c r="DM273" s="5" t="str">
        <f t="shared" si="795"/>
        <v>1级寄居蟹</v>
      </c>
      <c r="DN273" s="5">
        <v>6</v>
      </c>
      <c r="DO273" s="5">
        <v>0</v>
      </c>
      <c r="DP273" s="5">
        <v>1</v>
      </c>
      <c r="DQ273" s="5">
        <v>1</v>
      </c>
      <c r="DR273" s="5">
        <v>2.5</v>
      </c>
      <c r="DS273" s="6">
        <v>3.5</v>
      </c>
      <c r="DT273" s="5">
        <v>-0.5</v>
      </c>
      <c r="DU273" s="5">
        <v>0.5</v>
      </c>
      <c r="DV273" s="6">
        <v>0.5</v>
      </c>
      <c r="DW273" s="5">
        <f t="shared" si="814"/>
        <v>0.33333333333333331</v>
      </c>
      <c r="DX273" s="5">
        <v>4</v>
      </c>
      <c r="DY273" s="5">
        <f t="shared" si="815"/>
        <v>0</v>
      </c>
      <c r="DZ273" s="5">
        <v>0</v>
      </c>
    </row>
    <row r="274" spans="1:130" x14ac:dyDescent="0.15">
      <c r="A274" s="5">
        <v>201272</v>
      </c>
      <c r="B274" s="5" t="s">
        <v>512</v>
      </c>
      <c r="C274" s="5"/>
      <c r="D274" s="5"/>
      <c r="E274" s="5"/>
      <c r="F274" s="5">
        <v>1</v>
      </c>
      <c r="G274" s="45"/>
      <c r="H274" s="5"/>
      <c r="I274" s="5"/>
      <c r="J274" s="5"/>
      <c r="K274" s="5"/>
      <c r="L274" s="10"/>
      <c r="M274" s="5"/>
      <c r="N274" s="10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20"/>
      <c r="AF274" s="5"/>
      <c r="AG274" s="5"/>
      <c r="AH274" s="5"/>
      <c r="AI274" s="5"/>
      <c r="AJ274" s="5"/>
      <c r="AK274" s="5"/>
      <c r="AL274" s="5"/>
      <c r="AM274" s="5"/>
      <c r="AN274" s="8"/>
      <c r="AO274" s="5">
        <v>0</v>
      </c>
      <c r="AP274" s="5" t="s">
        <v>512</v>
      </c>
      <c r="AQ274" s="5">
        <v>0</v>
      </c>
      <c r="AR274" s="8">
        <v>10</v>
      </c>
      <c r="AS274" s="6">
        <f t="shared" si="881"/>
        <v>60</v>
      </c>
      <c r="AT274" s="6">
        <f t="shared" si="882"/>
        <v>66</v>
      </c>
      <c r="AU274" s="5">
        <v>0</v>
      </c>
      <c r="AV274" s="5">
        <v>0</v>
      </c>
      <c r="AW274" s="5">
        <v>0</v>
      </c>
      <c r="AX274" s="5">
        <v>1</v>
      </c>
      <c r="AY274" s="5">
        <v>0</v>
      </c>
      <c r="AZ274" s="23">
        <v>201272</v>
      </c>
      <c r="BA274" s="5">
        <f t="shared" si="809"/>
        <v>203028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f t="shared" si="794"/>
        <v>0</v>
      </c>
      <c r="BM274" s="5">
        <v>0</v>
      </c>
      <c r="BN274" s="5">
        <v>0</v>
      </c>
      <c r="BO274" s="5">
        <v>0</v>
      </c>
      <c r="BP274" s="5">
        <v>0</v>
      </c>
      <c r="BQ274" s="5"/>
      <c r="BR274" s="5"/>
      <c r="BS274" s="4">
        <v>0</v>
      </c>
      <c r="BT274" s="4">
        <f t="shared" si="810"/>
        <v>2</v>
      </c>
      <c r="BU274" s="17">
        <v>0</v>
      </c>
      <c r="BV274" s="4">
        <f t="shared" ref="BV274:BY274" si="911">BV264</f>
        <v>2</v>
      </c>
      <c r="BW274" s="4">
        <f t="shared" si="911"/>
        <v>2</v>
      </c>
      <c r="BX274" s="4">
        <f t="shared" si="911"/>
        <v>0.78</v>
      </c>
      <c r="BY274" s="4">
        <f t="shared" si="911"/>
        <v>0.5</v>
      </c>
      <c r="BZ274" s="5" t="s">
        <v>513</v>
      </c>
      <c r="CA274" s="4" t="str">
        <f t="shared" si="812"/>
        <v>monster28_1</v>
      </c>
      <c r="CB274" s="4" t="str">
        <f t="shared" si="812"/>
        <v>monster28_1</v>
      </c>
      <c r="CC274" s="5">
        <v>1</v>
      </c>
      <c r="CD274" s="8">
        <v>1</v>
      </c>
      <c r="CE274" s="5">
        <f t="shared" ref="CE274:CF274" si="912">CE264</f>
        <v>2</v>
      </c>
      <c r="CF274" s="5">
        <f t="shared" si="912"/>
        <v>1</v>
      </c>
      <c r="CG274" s="5" t="s">
        <v>512</v>
      </c>
      <c r="CH274" s="5">
        <v>0</v>
      </c>
      <c r="CI274" s="5">
        <v>0</v>
      </c>
      <c r="CJ274" s="4">
        <v>1</v>
      </c>
      <c r="CK274" s="20">
        <v>0</v>
      </c>
      <c r="CL274" s="5">
        <v>0</v>
      </c>
      <c r="CM274" s="20">
        <v>114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20">
        <v>2.5</v>
      </c>
      <c r="CW274" s="20">
        <v>2.5</v>
      </c>
      <c r="CX274" s="20">
        <v>2.5</v>
      </c>
      <c r="CY274" s="20">
        <v>3</v>
      </c>
      <c r="CZ274" s="8">
        <v>50</v>
      </c>
      <c r="DA274" s="6">
        <f t="shared" si="878"/>
        <v>2500</v>
      </c>
      <c r="DB274" s="5">
        <v>0</v>
      </c>
      <c r="DC274" s="5">
        <f t="shared" si="885"/>
        <v>0.52500000000000002</v>
      </c>
      <c r="DD274" s="6">
        <f t="shared" si="879"/>
        <v>0.52500000000000002</v>
      </c>
      <c r="DE274" s="6">
        <v>1</v>
      </c>
      <c r="DF274" s="5">
        <v>0</v>
      </c>
      <c r="DG274" s="6">
        <v>2.5</v>
      </c>
      <c r="DH274" s="5"/>
      <c r="DI274" s="8"/>
      <c r="DJ274" s="5">
        <v>0</v>
      </c>
      <c r="DK274" s="8">
        <v>0</v>
      </c>
      <c r="DL274" s="5">
        <f t="shared" si="880"/>
        <v>0</v>
      </c>
      <c r="DM274" s="5" t="str">
        <f t="shared" si="795"/>
        <v>2级寄居蟹</v>
      </c>
      <c r="DN274" s="5">
        <v>6</v>
      </c>
      <c r="DO274" s="5">
        <v>0</v>
      </c>
      <c r="DP274" s="5">
        <v>1</v>
      </c>
      <c r="DQ274" s="5">
        <v>1</v>
      </c>
      <c r="DR274" s="5">
        <v>2.5</v>
      </c>
      <c r="DS274" s="6">
        <v>3.5</v>
      </c>
      <c r="DT274" s="5">
        <v>-0.5</v>
      </c>
      <c r="DU274" s="5">
        <v>0.5</v>
      </c>
      <c r="DV274" s="6">
        <v>0.5</v>
      </c>
      <c r="DW274" s="5">
        <f t="shared" si="814"/>
        <v>0.33333333333333331</v>
      </c>
      <c r="DX274" s="5">
        <v>4</v>
      </c>
      <c r="DY274" s="5">
        <f t="shared" si="815"/>
        <v>0</v>
      </c>
      <c r="DZ274" s="5">
        <v>0</v>
      </c>
    </row>
    <row r="275" spans="1:130" x14ac:dyDescent="0.15">
      <c r="A275" s="5">
        <v>201273</v>
      </c>
      <c r="B275" s="5" t="s">
        <v>514</v>
      </c>
      <c r="C275" s="5"/>
      <c r="D275" s="5"/>
      <c r="E275" s="5"/>
      <c r="F275" s="5">
        <v>1</v>
      </c>
      <c r="G275" s="45"/>
      <c r="H275" s="5"/>
      <c r="I275" s="5"/>
      <c r="J275" s="5"/>
      <c r="K275" s="5"/>
      <c r="L275" s="10"/>
      <c r="M275" s="5"/>
      <c r="N275" s="10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20"/>
      <c r="AF275" s="5"/>
      <c r="AG275" s="5"/>
      <c r="AH275" s="5"/>
      <c r="AI275" s="5"/>
      <c r="AJ275" s="5"/>
      <c r="AK275" s="5"/>
      <c r="AL275" s="5"/>
      <c r="AM275" s="5"/>
      <c r="AN275" s="8"/>
      <c r="AO275" s="5">
        <v>0</v>
      </c>
      <c r="AP275" s="5" t="s">
        <v>514</v>
      </c>
      <c r="AQ275" s="5">
        <v>0</v>
      </c>
      <c r="AR275" s="8">
        <v>10</v>
      </c>
      <c r="AS275" s="6">
        <f t="shared" si="881"/>
        <v>90</v>
      </c>
      <c r="AT275" s="6">
        <f t="shared" si="882"/>
        <v>99</v>
      </c>
      <c r="AU275" s="5">
        <v>0</v>
      </c>
      <c r="AV275" s="5">
        <v>0</v>
      </c>
      <c r="AW275" s="5">
        <v>0</v>
      </c>
      <c r="AX275" s="5">
        <v>1</v>
      </c>
      <c r="AY275" s="5">
        <v>0</v>
      </c>
      <c r="AZ275" s="23">
        <v>201273</v>
      </c>
      <c r="BA275" s="5">
        <f t="shared" si="809"/>
        <v>203028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f t="shared" si="794"/>
        <v>0</v>
      </c>
      <c r="BM275" s="5">
        <v>0</v>
      </c>
      <c r="BN275" s="5">
        <v>0</v>
      </c>
      <c r="BO275" s="5">
        <v>0</v>
      </c>
      <c r="BP275" s="5">
        <v>0</v>
      </c>
      <c r="BQ275" s="5"/>
      <c r="BR275" s="5"/>
      <c r="BS275" s="4">
        <v>0</v>
      </c>
      <c r="BT275" s="4">
        <f t="shared" si="810"/>
        <v>3</v>
      </c>
      <c r="BU275" s="17">
        <v>0</v>
      </c>
      <c r="BV275" s="4">
        <f t="shared" ref="BV275:BY275" si="913">BV265</f>
        <v>3</v>
      </c>
      <c r="BW275" s="4">
        <f t="shared" si="913"/>
        <v>3</v>
      </c>
      <c r="BX275" s="4">
        <f t="shared" si="913"/>
        <v>0.71</v>
      </c>
      <c r="BY275" s="4">
        <f t="shared" si="913"/>
        <v>0.45000000000000007</v>
      </c>
      <c r="BZ275" s="5" t="s">
        <v>511</v>
      </c>
      <c r="CA275" s="4" t="str">
        <f t="shared" si="812"/>
        <v>monster28</v>
      </c>
      <c r="CB275" s="4" t="str">
        <f t="shared" si="812"/>
        <v>monster28</v>
      </c>
      <c r="CC275" s="5">
        <v>1</v>
      </c>
      <c r="CD275" s="8">
        <v>1</v>
      </c>
      <c r="CE275" s="5">
        <f t="shared" ref="CE275:CF275" si="914">CE265</f>
        <v>3</v>
      </c>
      <c r="CF275" s="5">
        <f t="shared" si="914"/>
        <v>1</v>
      </c>
      <c r="CG275" s="5" t="s">
        <v>514</v>
      </c>
      <c r="CH275" s="5">
        <v>0</v>
      </c>
      <c r="CI275" s="5">
        <v>0</v>
      </c>
      <c r="CJ275" s="4">
        <v>0</v>
      </c>
      <c r="CK275" s="20">
        <v>0</v>
      </c>
      <c r="CL275" s="5">
        <v>0</v>
      </c>
      <c r="CM275" s="20">
        <v>114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20">
        <v>2.5</v>
      </c>
      <c r="CW275" s="20">
        <v>2.5</v>
      </c>
      <c r="CX275" s="20">
        <v>2.5</v>
      </c>
      <c r="CY275" s="20">
        <v>3</v>
      </c>
      <c r="CZ275" s="8">
        <v>50</v>
      </c>
      <c r="DA275" s="6">
        <f t="shared" si="878"/>
        <v>3750</v>
      </c>
      <c r="DB275" s="5">
        <v>0</v>
      </c>
      <c r="DC275" s="5">
        <f t="shared" si="885"/>
        <v>0.55000000000000004</v>
      </c>
      <c r="DD275" s="6">
        <f t="shared" si="879"/>
        <v>0.55000000000000004</v>
      </c>
      <c r="DE275" s="6">
        <v>1</v>
      </c>
      <c r="DF275" s="5">
        <v>0</v>
      </c>
      <c r="DG275" s="6">
        <v>2.5</v>
      </c>
      <c r="DH275" s="5"/>
      <c r="DI275" s="8"/>
      <c r="DJ275" s="5">
        <v>0</v>
      </c>
      <c r="DK275" s="8">
        <v>0</v>
      </c>
      <c r="DL275" s="5">
        <f t="shared" si="880"/>
        <v>0</v>
      </c>
      <c r="DM275" s="5" t="str">
        <f t="shared" si="795"/>
        <v>3级寄居蟹</v>
      </c>
      <c r="DN275" s="5">
        <v>6</v>
      </c>
      <c r="DO275" s="5">
        <v>0</v>
      </c>
      <c r="DP275" s="5">
        <v>1</v>
      </c>
      <c r="DQ275" s="5">
        <v>1</v>
      </c>
      <c r="DR275" s="5">
        <v>2.5</v>
      </c>
      <c r="DS275" s="6">
        <v>3.5</v>
      </c>
      <c r="DT275" s="5">
        <v>-0.5</v>
      </c>
      <c r="DU275" s="5">
        <v>0.5</v>
      </c>
      <c r="DV275" s="6">
        <v>0.5</v>
      </c>
      <c r="DW275" s="5">
        <f t="shared" si="814"/>
        <v>0.33333333333333331</v>
      </c>
      <c r="DX275" s="5">
        <v>4</v>
      </c>
      <c r="DY275" s="5">
        <f t="shared" si="815"/>
        <v>0</v>
      </c>
      <c r="DZ275" s="5">
        <v>0</v>
      </c>
    </row>
    <row r="276" spans="1:130" x14ac:dyDescent="0.15">
      <c r="A276" s="5">
        <v>201274</v>
      </c>
      <c r="B276" s="5" t="s">
        <v>515</v>
      </c>
      <c r="C276" s="5"/>
      <c r="D276" s="5"/>
      <c r="E276" s="5"/>
      <c r="F276" s="5">
        <v>1</v>
      </c>
      <c r="G276" s="45"/>
      <c r="H276" s="5"/>
      <c r="I276" s="5"/>
      <c r="J276" s="5"/>
      <c r="K276" s="5"/>
      <c r="L276" s="10"/>
      <c r="M276" s="5"/>
      <c r="N276" s="10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20"/>
      <c r="AF276" s="5"/>
      <c r="AG276" s="5"/>
      <c r="AH276" s="5"/>
      <c r="AI276" s="5"/>
      <c r="AJ276" s="5"/>
      <c r="AK276" s="5"/>
      <c r="AL276" s="5"/>
      <c r="AM276" s="5"/>
      <c r="AN276" s="8"/>
      <c r="AO276" s="5">
        <v>0</v>
      </c>
      <c r="AP276" s="5" t="s">
        <v>515</v>
      </c>
      <c r="AQ276" s="5">
        <v>0</v>
      </c>
      <c r="AR276" s="8">
        <v>10</v>
      </c>
      <c r="AS276" s="6">
        <f t="shared" si="881"/>
        <v>120</v>
      </c>
      <c r="AT276" s="6">
        <f t="shared" si="882"/>
        <v>132</v>
      </c>
      <c r="AU276" s="5">
        <v>0</v>
      </c>
      <c r="AV276" s="5">
        <v>0</v>
      </c>
      <c r="AW276" s="5">
        <v>0</v>
      </c>
      <c r="AX276" s="5">
        <v>1</v>
      </c>
      <c r="AY276" s="5">
        <v>0</v>
      </c>
      <c r="AZ276" s="23">
        <v>201274</v>
      </c>
      <c r="BA276" s="5">
        <f t="shared" si="809"/>
        <v>203028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f t="shared" si="794"/>
        <v>0</v>
      </c>
      <c r="BM276" s="5">
        <v>0</v>
      </c>
      <c r="BN276" s="5">
        <v>0</v>
      </c>
      <c r="BO276" s="5">
        <v>0</v>
      </c>
      <c r="BP276" s="5">
        <v>0</v>
      </c>
      <c r="BQ276" s="5"/>
      <c r="BR276" s="5"/>
      <c r="BS276" s="4">
        <v>0</v>
      </c>
      <c r="BT276" s="4">
        <f t="shared" si="810"/>
        <v>4</v>
      </c>
      <c r="BU276" s="17">
        <v>0</v>
      </c>
      <c r="BV276" s="4">
        <f t="shared" ref="BV276:BY276" si="915">BV266</f>
        <v>4</v>
      </c>
      <c r="BW276" s="4">
        <f t="shared" si="915"/>
        <v>4</v>
      </c>
      <c r="BX276" s="4">
        <f t="shared" si="915"/>
        <v>0.6399999999999999</v>
      </c>
      <c r="BY276" s="4">
        <f t="shared" si="915"/>
        <v>0.4</v>
      </c>
      <c r="BZ276" s="5" t="s">
        <v>513</v>
      </c>
      <c r="CA276" s="4" t="str">
        <f t="shared" si="812"/>
        <v>monster28_1</v>
      </c>
      <c r="CB276" s="4" t="str">
        <f t="shared" si="812"/>
        <v>monster28_1</v>
      </c>
      <c r="CC276" s="5">
        <v>1</v>
      </c>
      <c r="CD276" s="8">
        <v>1</v>
      </c>
      <c r="CE276" s="5">
        <f t="shared" ref="CE276:CF276" si="916">CE266</f>
        <v>4</v>
      </c>
      <c r="CF276" s="5">
        <f t="shared" si="916"/>
        <v>1</v>
      </c>
      <c r="CG276" s="5" t="s">
        <v>515</v>
      </c>
      <c r="CH276" s="5">
        <v>0</v>
      </c>
      <c r="CI276" s="5">
        <v>0</v>
      </c>
      <c r="CJ276" s="4">
        <v>1</v>
      </c>
      <c r="CK276" s="20">
        <v>0</v>
      </c>
      <c r="CL276" s="5">
        <v>0</v>
      </c>
      <c r="CM276" s="20">
        <v>114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20">
        <v>2.5</v>
      </c>
      <c r="CW276" s="20">
        <v>2.5</v>
      </c>
      <c r="CX276" s="20">
        <v>2.5</v>
      </c>
      <c r="CY276" s="20">
        <v>3</v>
      </c>
      <c r="CZ276" s="8">
        <v>50</v>
      </c>
      <c r="DA276" s="6">
        <f t="shared" si="878"/>
        <v>5000</v>
      </c>
      <c r="DB276" s="5">
        <v>0</v>
      </c>
      <c r="DC276" s="5">
        <f t="shared" si="885"/>
        <v>0.57499999999999996</v>
      </c>
      <c r="DD276" s="6">
        <f t="shared" si="879"/>
        <v>0.57499999999999996</v>
      </c>
      <c r="DE276" s="6">
        <v>1</v>
      </c>
      <c r="DF276" s="5">
        <v>0</v>
      </c>
      <c r="DG276" s="6">
        <v>2.5</v>
      </c>
      <c r="DH276" s="5"/>
      <c r="DI276" s="8"/>
      <c r="DJ276" s="5">
        <v>0</v>
      </c>
      <c r="DK276" s="8">
        <v>0</v>
      </c>
      <c r="DL276" s="5">
        <f t="shared" si="880"/>
        <v>0</v>
      </c>
      <c r="DM276" s="5" t="str">
        <f t="shared" si="795"/>
        <v>4级寄居蟹</v>
      </c>
      <c r="DN276" s="5">
        <v>6</v>
      </c>
      <c r="DO276" s="5">
        <v>0</v>
      </c>
      <c r="DP276" s="5">
        <v>1</v>
      </c>
      <c r="DQ276" s="5">
        <v>1</v>
      </c>
      <c r="DR276" s="5">
        <v>2.5</v>
      </c>
      <c r="DS276" s="6">
        <v>3.5</v>
      </c>
      <c r="DT276" s="5">
        <v>-0.5</v>
      </c>
      <c r="DU276" s="5">
        <v>0.5</v>
      </c>
      <c r="DV276" s="6">
        <v>0.5</v>
      </c>
      <c r="DW276" s="5">
        <f t="shared" si="814"/>
        <v>0.33333333333333331</v>
      </c>
      <c r="DX276" s="5">
        <v>4</v>
      </c>
      <c r="DY276" s="5">
        <f t="shared" si="815"/>
        <v>0</v>
      </c>
      <c r="DZ276" s="5">
        <v>0</v>
      </c>
    </row>
    <row r="277" spans="1:130" x14ac:dyDescent="0.15">
      <c r="A277" s="5">
        <v>201275</v>
      </c>
      <c r="B277" s="5" t="s">
        <v>516</v>
      </c>
      <c r="C277" s="5"/>
      <c r="D277" s="5"/>
      <c r="E277" s="5"/>
      <c r="F277" s="5">
        <v>1</v>
      </c>
      <c r="G277" s="45"/>
      <c r="H277" s="5"/>
      <c r="I277" s="5"/>
      <c r="J277" s="5"/>
      <c r="K277" s="5"/>
      <c r="L277" s="10"/>
      <c r="M277" s="5"/>
      <c r="N277" s="10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20"/>
      <c r="AF277" s="5"/>
      <c r="AG277" s="5"/>
      <c r="AH277" s="5"/>
      <c r="AI277" s="5"/>
      <c r="AJ277" s="5"/>
      <c r="AK277" s="5"/>
      <c r="AL277" s="5"/>
      <c r="AM277" s="5"/>
      <c r="AN277" s="8"/>
      <c r="AO277" s="5">
        <v>0</v>
      </c>
      <c r="AP277" s="5" t="s">
        <v>516</v>
      </c>
      <c r="AQ277" s="5">
        <v>0</v>
      </c>
      <c r="AR277" s="8">
        <v>10</v>
      </c>
      <c r="AS277" s="6">
        <f t="shared" si="881"/>
        <v>150</v>
      </c>
      <c r="AT277" s="6">
        <f t="shared" si="882"/>
        <v>165</v>
      </c>
      <c r="AU277" s="5">
        <v>0</v>
      </c>
      <c r="AV277" s="5">
        <v>0</v>
      </c>
      <c r="AW277" s="5">
        <v>0</v>
      </c>
      <c r="AX277" s="5">
        <v>1</v>
      </c>
      <c r="AY277" s="5">
        <v>0</v>
      </c>
      <c r="AZ277" s="23">
        <v>201275</v>
      </c>
      <c r="BA277" s="5">
        <f t="shared" si="809"/>
        <v>203028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f t="shared" ref="BL277:BL340" si="917">BL256</f>
        <v>0</v>
      </c>
      <c r="BM277" s="5">
        <v>0</v>
      </c>
      <c r="BN277" s="5">
        <v>0</v>
      </c>
      <c r="BO277" s="5">
        <v>0</v>
      </c>
      <c r="BP277" s="5">
        <v>0</v>
      </c>
      <c r="BQ277" s="5"/>
      <c r="BR277" s="5"/>
      <c r="BS277" s="4">
        <v>0</v>
      </c>
      <c r="BT277" s="4">
        <f t="shared" si="810"/>
        <v>5</v>
      </c>
      <c r="BU277" s="17">
        <v>0</v>
      </c>
      <c r="BV277" s="4">
        <f t="shared" ref="BV277:BY277" si="918">BV267</f>
        <v>5</v>
      </c>
      <c r="BW277" s="4">
        <f t="shared" si="918"/>
        <v>5</v>
      </c>
      <c r="BX277" s="4">
        <f t="shared" si="918"/>
        <v>0.56999999999999995</v>
      </c>
      <c r="BY277" s="4">
        <f t="shared" si="918"/>
        <v>0.35000000000000003</v>
      </c>
      <c r="BZ277" s="5" t="s">
        <v>511</v>
      </c>
      <c r="CA277" s="4" t="str">
        <f t="shared" si="812"/>
        <v>monster28</v>
      </c>
      <c r="CB277" s="4" t="str">
        <f t="shared" si="812"/>
        <v>monster28</v>
      </c>
      <c r="CC277" s="5">
        <v>1</v>
      </c>
      <c r="CD277" s="8">
        <v>1</v>
      </c>
      <c r="CE277" s="5">
        <f t="shared" ref="CE277:CF277" si="919">CE267</f>
        <v>5</v>
      </c>
      <c r="CF277" s="5">
        <f t="shared" si="919"/>
        <v>1</v>
      </c>
      <c r="CG277" s="5" t="s">
        <v>516</v>
      </c>
      <c r="CH277" s="5">
        <v>0</v>
      </c>
      <c r="CI277" s="5">
        <v>0</v>
      </c>
      <c r="CJ277" s="4">
        <v>0</v>
      </c>
      <c r="CK277" s="20">
        <v>0</v>
      </c>
      <c r="CL277" s="5">
        <v>0</v>
      </c>
      <c r="CM277" s="20">
        <v>114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20">
        <v>2.5</v>
      </c>
      <c r="CW277" s="20">
        <v>2.5</v>
      </c>
      <c r="CX277" s="20">
        <v>2.5</v>
      </c>
      <c r="CY277" s="20">
        <v>3</v>
      </c>
      <c r="CZ277" s="8">
        <v>50</v>
      </c>
      <c r="DA277" s="6">
        <f t="shared" si="878"/>
        <v>6250</v>
      </c>
      <c r="DB277" s="5">
        <v>0</v>
      </c>
      <c r="DC277" s="5">
        <f t="shared" si="885"/>
        <v>0.6</v>
      </c>
      <c r="DD277" s="6">
        <f t="shared" si="879"/>
        <v>0.6</v>
      </c>
      <c r="DE277" s="6">
        <v>1</v>
      </c>
      <c r="DF277" s="5">
        <v>0</v>
      </c>
      <c r="DG277" s="6">
        <v>2.5</v>
      </c>
      <c r="DH277" s="5"/>
      <c r="DI277" s="8"/>
      <c r="DJ277" s="5">
        <v>0</v>
      </c>
      <c r="DK277" s="8">
        <v>0</v>
      </c>
      <c r="DL277" s="5">
        <f t="shared" si="880"/>
        <v>0</v>
      </c>
      <c r="DM277" s="5" t="str">
        <f t="shared" ref="DM277:DM340" si="920">B277</f>
        <v>5级寄居蟹</v>
      </c>
      <c r="DN277" s="5">
        <v>6</v>
      </c>
      <c r="DO277" s="5">
        <v>0</v>
      </c>
      <c r="DP277" s="5">
        <v>1</v>
      </c>
      <c r="DQ277" s="5">
        <v>1</v>
      </c>
      <c r="DR277" s="5">
        <v>2.5</v>
      </c>
      <c r="DS277" s="6">
        <v>3.5</v>
      </c>
      <c r="DT277" s="5">
        <v>-0.5</v>
      </c>
      <c r="DU277" s="5">
        <v>0.5</v>
      </c>
      <c r="DV277" s="6">
        <v>0.5</v>
      </c>
      <c r="DW277" s="5">
        <f t="shared" si="814"/>
        <v>0.33333333333333331</v>
      </c>
      <c r="DX277" s="5">
        <v>4</v>
      </c>
      <c r="DY277" s="5">
        <f t="shared" si="815"/>
        <v>0</v>
      </c>
      <c r="DZ277" s="5">
        <v>0</v>
      </c>
    </row>
    <row r="278" spans="1:130" x14ac:dyDescent="0.15">
      <c r="A278" s="5">
        <v>201276</v>
      </c>
      <c r="B278" s="5" t="s">
        <v>517</v>
      </c>
      <c r="C278" s="5"/>
      <c r="D278" s="5"/>
      <c r="E278" s="5"/>
      <c r="F278" s="5">
        <v>1</v>
      </c>
      <c r="G278" s="45"/>
      <c r="H278" s="5"/>
      <c r="I278" s="5"/>
      <c r="J278" s="5"/>
      <c r="K278" s="5"/>
      <c r="L278" s="10"/>
      <c r="M278" s="5"/>
      <c r="N278" s="10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20"/>
      <c r="AF278" s="5"/>
      <c r="AG278" s="5"/>
      <c r="AH278" s="5"/>
      <c r="AI278" s="5"/>
      <c r="AJ278" s="5"/>
      <c r="AK278" s="5"/>
      <c r="AL278" s="5"/>
      <c r="AM278" s="5"/>
      <c r="AN278" s="8"/>
      <c r="AO278" s="5">
        <v>0</v>
      </c>
      <c r="AP278" s="5" t="s">
        <v>517</v>
      </c>
      <c r="AQ278" s="5">
        <v>0</v>
      </c>
      <c r="AR278" s="8">
        <v>10</v>
      </c>
      <c r="AS278" s="6">
        <f t="shared" si="881"/>
        <v>180</v>
      </c>
      <c r="AT278" s="6">
        <f t="shared" si="882"/>
        <v>198</v>
      </c>
      <c r="AU278" s="5">
        <v>0</v>
      </c>
      <c r="AV278" s="5">
        <v>0</v>
      </c>
      <c r="AW278" s="5">
        <v>0</v>
      </c>
      <c r="AX278" s="5">
        <v>1</v>
      </c>
      <c r="AY278" s="5">
        <v>0</v>
      </c>
      <c r="AZ278" s="23">
        <v>201276</v>
      </c>
      <c r="BA278" s="5">
        <f t="shared" si="809"/>
        <v>203028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f t="shared" si="917"/>
        <v>0</v>
      </c>
      <c r="BM278" s="5">
        <v>0</v>
      </c>
      <c r="BN278" s="5">
        <v>0</v>
      </c>
      <c r="BO278" s="5">
        <v>0</v>
      </c>
      <c r="BP278" s="5">
        <v>0</v>
      </c>
      <c r="BQ278" s="5"/>
      <c r="BR278" s="5"/>
      <c r="BS278" s="4">
        <v>0</v>
      </c>
      <c r="BT278" s="4">
        <f t="shared" si="810"/>
        <v>6</v>
      </c>
      <c r="BU278" s="17">
        <v>0</v>
      </c>
      <c r="BV278" s="4">
        <f t="shared" ref="BV278:BY278" si="921">BV268</f>
        <v>6</v>
      </c>
      <c r="BW278" s="4">
        <f t="shared" si="921"/>
        <v>6</v>
      </c>
      <c r="BX278" s="4">
        <f t="shared" si="921"/>
        <v>0.49999999999999994</v>
      </c>
      <c r="BY278" s="4">
        <f t="shared" si="921"/>
        <v>0.30000000000000004</v>
      </c>
      <c r="BZ278" s="5" t="s">
        <v>513</v>
      </c>
      <c r="CA278" s="4" t="str">
        <f t="shared" si="812"/>
        <v>monster28_1</v>
      </c>
      <c r="CB278" s="4" t="str">
        <f t="shared" si="812"/>
        <v>monster28_1</v>
      </c>
      <c r="CC278" s="5">
        <v>1</v>
      </c>
      <c r="CD278" s="8">
        <v>1</v>
      </c>
      <c r="CE278" s="5">
        <f t="shared" ref="CE278:CF278" si="922">CE268</f>
        <v>6</v>
      </c>
      <c r="CF278" s="5">
        <f t="shared" si="922"/>
        <v>1</v>
      </c>
      <c r="CG278" s="5" t="s">
        <v>517</v>
      </c>
      <c r="CH278" s="5">
        <v>0</v>
      </c>
      <c r="CI278" s="5">
        <v>0</v>
      </c>
      <c r="CJ278" s="4">
        <v>1</v>
      </c>
      <c r="CK278" s="20">
        <v>0</v>
      </c>
      <c r="CL278" s="5">
        <v>0</v>
      </c>
      <c r="CM278" s="20">
        <v>114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20">
        <v>2.5</v>
      </c>
      <c r="CW278" s="20">
        <v>2.5</v>
      </c>
      <c r="CX278" s="20">
        <v>2.5</v>
      </c>
      <c r="CY278" s="20">
        <v>3</v>
      </c>
      <c r="CZ278" s="8">
        <v>50</v>
      </c>
      <c r="DA278" s="6">
        <f t="shared" si="878"/>
        <v>7500</v>
      </c>
      <c r="DB278" s="5">
        <v>0</v>
      </c>
      <c r="DC278" s="5">
        <f t="shared" si="885"/>
        <v>0.625</v>
      </c>
      <c r="DD278" s="6">
        <f t="shared" si="879"/>
        <v>0.625</v>
      </c>
      <c r="DE278" s="6">
        <v>1</v>
      </c>
      <c r="DF278" s="5">
        <v>0</v>
      </c>
      <c r="DG278" s="6">
        <v>2.5</v>
      </c>
      <c r="DH278" s="5"/>
      <c r="DI278" s="8"/>
      <c r="DJ278" s="5">
        <v>0</v>
      </c>
      <c r="DK278" s="8">
        <v>0</v>
      </c>
      <c r="DL278" s="5">
        <f t="shared" si="880"/>
        <v>0</v>
      </c>
      <c r="DM278" s="5" t="str">
        <f t="shared" si="920"/>
        <v>6级寄居蟹</v>
      </c>
      <c r="DN278" s="5">
        <v>6</v>
      </c>
      <c r="DO278" s="5">
        <v>0</v>
      </c>
      <c r="DP278" s="5">
        <v>1</v>
      </c>
      <c r="DQ278" s="5">
        <v>1</v>
      </c>
      <c r="DR278" s="5">
        <v>2.5</v>
      </c>
      <c r="DS278" s="6">
        <v>3.5</v>
      </c>
      <c r="DT278" s="5">
        <v>-0.5</v>
      </c>
      <c r="DU278" s="5">
        <v>0.5</v>
      </c>
      <c r="DV278" s="6">
        <v>0.5</v>
      </c>
      <c r="DW278" s="5">
        <f t="shared" si="814"/>
        <v>0.33333333333333331</v>
      </c>
      <c r="DX278" s="5">
        <v>4</v>
      </c>
      <c r="DY278" s="5">
        <f t="shared" si="815"/>
        <v>0</v>
      </c>
      <c r="DZ278" s="5">
        <v>0</v>
      </c>
    </row>
    <row r="279" spans="1:130" x14ac:dyDescent="0.15">
      <c r="A279" s="5">
        <v>201277</v>
      </c>
      <c r="B279" s="5" t="s">
        <v>518</v>
      </c>
      <c r="C279" s="5"/>
      <c r="D279" s="5"/>
      <c r="E279" s="5"/>
      <c r="F279" s="5">
        <v>1</v>
      </c>
      <c r="G279" s="45"/>
      <c r="H279" s="5"/>
      <c r="I279" s="5"/>
      <c r="J279" s="5"/>
      <c r="K279" s="5"/>
      <c r="L279" s="10"/>
      <c r="M279" s="5"/>
      <c r="N279" s="10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20"/>
      <c r="AF279" s="5"/>
      <c r="AG279" s="5"/>
      <c r="AH279" s="5"/>
      <c r="AI279" s="5"/>
      <c r="AJ279" s="5"/>
      <c r="AK279" s="5"/>
      <c r="AL279" s="5"/>
      <c r="AM279" s="5"/>
      <c r="AN279" s="8"/>
      <c r="AO279" s="5">
        <v>0</v>
      </c>
      <c r="AP279" s="5" t="s">
        <v>518</v>
      </c>
      <c r="AQ279" s="5">
        <v>0</v>
      </c>
      <c r="AR279" s="8">
        <v>10</v>
      </c>
      <c r="AS279" s="6">
        <f t="shared" si="881"/>
        <v>210</v>
      </c>
      <c r="AT279" s="6">
        <f t="shared" si="882"/>
        <v>231</v>
      </c>
      <c r="AU279" s="5">
        <v>0</v>
      </c>
      <c r="AV279" s="5">
        <v>0</v>
      </c>
      <c r="AW279" s="5">
        <v>0</v>
      </c>
      <c r="AX279" s="5">
        <v>1</v>
      </c>
      <c r="AY279" s="5">
        <v>0</v>
      </c>
      <c r="AZ279" s="23">
        <v>201277</v>
      </c>
      <c r="BA279" s="5">
        <f t="shared" si="809"/>
        <v>203028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f t="shared" si="917"/>
        <v>0</v>
      </c>
      <c r="BM279" s="5">
        <v>0</v>
      </c>
      <c r="BN279" s="5">
        <v>0</v>
      </c>
      <c r="BO279" s="5">
        <v>0</v>
      </c>
      <c r="BP279" s="5">
        <v>0</v>
      </c>
      <c r="BQ279" s="5"/>
      <c r="BR279" s="5"/>
      <c r="BS279" s="4">
        <v>0</v>
      </c>
      <c r="BT279" s="4">
        <f t="shared" si="810"/>
        <v>7</v>
      </c>
      <c r="BU279" s="17">
        <v>0</v>
      </c>
      <c r="BV279" s="4">
        <f t="shared" ref="BV279:BY279" si="923">BV269</f>
        <v>7</v>
      </c>
      <c r="BW279" s="4">
        <f t="shared" si="923"/>
        <v>7</v>
      </c>
      <c r="BX279" s="4">
        <f t="shared" si="923"/>
        <v>0.42999999999999994</v>
      </c>
      <c r="BY279" s="4">
        <f t="shared" si="923"/>
        <v>0.25</v>
      </c>
      <c r="BZ279" s="5" t="s">
        <v>511</v>
      </c>
      <c r="CA279" s="4" t="str">
        <f t="shared" si="812"/>
        <v>monster28</v>
      </c>
      <c r="CB279" s="4" t="str">
        <f t="shared" si="812"/>
        <v>monster28</v>
      </c>
      <c r="CC279" s="5">
        <v>1</v>
      </c>
      <c r="CD279" s="8">
        <v>1</v>
      </c>
      <c r="CE279" s="5">
        <f t="shared" ref="CE279:CF279" si="924">CE269</f>
        <v>7</v>
      </c>
      <c r="CF279" s="5">
        <f t="shared" si="924"/>
        <v>1</v>
      </c>
      <c r="CG279" s="5" t="s">
        <v>518</v>
      </c>
      <c r="CH279" s="5">
        <v>0</v>
      </c>
      <c r="CI279" s="5">
        <v>0</v>
      </c>
      <c r="CJ279" s="4">
        <v>0</v>
      </c>
      <c r="CK279" s="20">
        <v>0</v>
      </c>
      <c r="CL279" s="5">
        <v>0</v>
      </c>
      <c r="CM279" s="20">
        <v>114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20">
        <v>2.5</v>
      </c>
      <c r="CW279" s="20">
        <v>2.5</v>
      </c>
      <c r="CX279" s="20">
        <v>2.5</v>
      </c>
      <c r="CY279" s="20">
        <v>3</v>
      </c>
      <c r="CZ279" s="8">
        <v>50</v>
      </c>
      <c r="DA279" s="6">
        <f t="shared" si="878"/>
        <v>8750</v>
      </c>
      <c r="DB279" s="5">
        <v>0</v>
      </c>
      <c r="DC279" s="5">
        <f t="shared" si="885"/>
        <v>0.65</v>
      </c>
      <c r="DD279" s="6">
        <f t="shared" si="879"/>
        <v>0.65</v>
      </c>
      <c r="DE279" s="6">
        <v>1</v>
      </c>
      <c r="DF279" s="5">
        <v>0</v>
      </c>
      <c r="DG279" s="6">
        <v>2.5</v>
      </c>
      <c r="DH279" s="5"/>
      <c r="DI279" s="8"/>
      <c r="DJ279" s="5">
        <v>0</v>
      </c>
      <c r="DK279" s="8">
        <v>0</v>
      </c>
      <c r="DL279" s="5">
        <f t="shared" si="880"/>
        <v>0</v>
      </c>
      <c r="DM279" s="5" t="str">
        <f t="shared" si="920"/>
        <v>7级寄居蟹</v>
      </c>
      <c r="DN279" s="5">
        <v>6</v>
      </c>
      <c r="DO279" s="5">
        <v>0</v>
      </c>
      <c r="DP279" s="5">
        <v>1</v>
      </c>
      <c r="DQ279" s="5">
        <v>1</v>
      </c>
      <c r="DR279" s="5">
        <v>2.5</v>
      </c>
      <c r="DS279" s="6">
        <v>3.5</v>
      </c>
      <c r="DT279" s="5">
        <v>-0.5</v>
      </c>
      <c r="DU279" s="5">
        <v>0.5</v>
      </c>
      <c r="DV279" s="6">
        <v>0.5</v>
      </c>
      <c r="DW279" s="5">
        <f t="shared" si="814"/>
        <v>0.33333333333333331</v>
      </c>
      <c r="DX279" s="5">
        <v>4</v>
      </c>
      <c r="DY279" s="5">
        <f t="shared" si="815"/>
        <v>0</v>
      </c>
      <c r="DZ279" s="5">
        <v>0</v>
      </c>
    </row>
    <row r="280" spans="1:130" x14ac:dyDescent="0.15">
      <c r="A280" s="5">
        <v>201278</v>
      </c>
      <c r="B280" s="5" t="s">
        <v>519</v>
      </c>
      <c r="C280" s="5"/>
      <c r="D280" s="5"/>
      <c r="E280" s="5"/>
      <c r="F280" s="5">
        <v>1</v>
      </c>
      <c r="G280" s="45"/>
      <c r="H280" s="5"/>
      <c r="I280" s="5"/>
      <c r="J280" s="5"/>
      <c r="K280" s="5"/>
      <c r="L280" s="10"/>
      <c r="M280" s="5"/>
      <c r="N280" s="10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20"/>
      <c r="AF280" s="5"/>
      <c r="AG280" s="5"/>
      <c r="AH280" s="5"/>
      <c r="AI280" s="5"/>
      <c r="AJ280" s="5"/>
      <c r="AK280" s="5"/>
      <c r="AL280" s="5"/>
      <c r="AM280" s="5"/>
      <c r="AN280" s="8"/>
      <c r="AO280" s="5">
        <v>0</v>
      </c>
      <c r="AP280" s="5" t="s">
        <v>519</v>
      </c>
      <c r="AQ280" s="5">
        <v>0</v>
      </c>
      <c r="AR280" s="8">
        <v>10</v>
      </c>
      <c r="AS280" s="6">
        <f t="shared" si="881"/>
        <v>240</v>
      </c>
      <c r="AT280" s="6">
        <f t="shared" si="882"/>
        <v>264</v>
      </c>
      <c r="AU280" s="5">
        <v>0</v>
      </c>
      <c r="AV280" s="5">
        <v>0</v>
      </c>
      <c r="AW280" s="5">
        <v>0</v>
      </c>
      <c r="AX280" s="5">
        <v>1</v>
      </c>
      <c r="AY280" s="5">
        <v>0</v>
      </c>
      <c r="AZ280" s="23">
        <v>201278</v>
      </c>
      <c r="BA280" s="5">
        <f t="shared" si="809"/>
        <v>203028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f t="shared" si="917"/>
        <v>0</v>
      </c>
      <c r="BM280" s="5">
        <v>0</v>
      </c>
      <c r="BN280" s="5">
        <v>0</v>
      </c>
      <c r="BO280" s="5">
        <v>0</v>
      </c>
      <c r="BP280" s="5">
        <v>0</v>
      </c>
      <c r="BQ280" s="5"/>
      <c r="BR280" s="5"/>
      <c r="BS280" s="4">
        <v>0</v>
      </c>
      <c r="BT280" s="4">
        <f t="shared" si="810"/>
        <v>8</v>
      </c>
      <c r="BU280" s="17">
        <v>0</v>
      </c>
      <c r="BV280" s="4">
        <f t="shared" ref="BV280:BY280" si="925">BV270</f>
        <v>8</v>
      </c>
      <c r="BW280" s="4">
        <f t="shared" si="925"/>
        <v>8</v>
      </c>
      <c r="BX280" s="4">
        <f t="shared" si="925"/>
        <v>0.35999999999999993</v>
      </c>
      <c r="BY280" s="4">
        <f t="shared" si="925"/>
        <v>0.2</v>
      </c>
      <c r="BZ280" s="5" t="s">
        <v>513</v>
      </c>
      <c r="CA280" s="4" t="str">
        <f t="shared" si="812"/>
        <v>monster28_1</v>
      </c>
      <c r="CB280" s="4" t="str">
        <f t="shared" si="812"/>
        <v>monster28_1</v>
      </c>
      <c r="CC280" s="5">
        <v>1</v>
      </c>
      <c r="CD280" s="8">
        <v>1</v>
      </c>
      <c r="CE280" s="5">
        <f t="shared" ref="CE280:CF280" si="926">CE270</f>
        <v>8</v>
      </c>
      <c r="CF280" s="5">
        <f t="shared" si="926"/>
        <v>1</v>
      </c>
      <c r="CG280" s="5" t="s">
        <v>519</v>
      </c>
      <c r="CH280" s="5">
        <v>0</v>
      </c>
      <c r="CI280" s="5">
        <v>0</v>
      </c>
      <c r="CJ280" s="4">
        <v>1</v>
      </c>
      <c r="CK280" s="20">
        <v>0</v>
      </c>
      <c r="CL280" s="5">
        <v>0</v>
      </c>
      <c r="CM280" s="20">
        <v>114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20">
        <v>2.5</v>
      </c>
      <c r="CW280" s="20">
        <v>2.5</v>
      </c>
      <c r="CX280" s="20">
        <v>2.5</v>
      </c>
      <c r="CY280" s="20">
        <v>3</v>
      </c>
      <c r="CZ280" s="8">
        <v>50</v>
      </c>
      <c r="DA280" s="6">
        <f t="shared" si="878"/>
        <v>10000</v>
      </c>
      <c r="DB280" s="5">
        <v>0</v>
      </c>
      <c r="DC280" s="5">
        <f t="shared" si="885"/>
        <v>0.67500000000000004</v>
      </c>
      <c r="DD280" s="6">
        <f t="shared" si="879"/>
        <v>0.67500000000000004</v>
      </c>
      <c r="DE280" s="6">
        <v>1</v>
      </c>
      <c r="DF280" s="5">
        <v>0</v>
      </c>
      <c r="DG280" s="6">
        <v>2.5</v>
      </c>
      <c r="DH280" s="5"/>
      <c r="DI280" s="8"/>
      <c r="DJ280" s="5">
        <v>0</v>
      </c>
      <c r="DK280" s="8">
        <v>0</v>
      </c>
      <c r="DL280" s="5">
        <f t="shared" si="880"/>
        <v>0</v>
      </c>
      <c r="DM280" s="5" t="str">
        <f t="shared" si="920"/>
        <v>8级寄居蟹</v>
      </c>
      <c r="DN280" s="5">
        <v>6</v>
      </c>
      <c r="DO280" s="5">
        <v>0</v>
      </c>
      <c r="DP280" s="5">
        <v>1</v>
      </c>
      <c r="DQ280" s="5">
        <v>1</v>
      </c>
      <c r="DR280" s="5">
        <v>2.5</v>
      </c>
      <c r="DS280" s="6">
        <v>3.5</v>
      </c>
      <c r="DT280" s="5">
        <v>-0.5</v>
      </c>
      <c r="DU280" s="5">
        <v>0.5</v>
      </c>
      <c r="DV280" s="6">
        <v>0.5</v>
      </c>
      <c r="DW280" s="5">
        <f t="shared" si="814"/>
        <v>0.33333333333333331</v>
      </c>
      <c r="DX280" s="5">
        <v>4</v>
      </c>
      <c r="DY280" s="5">
        <f t="shared" si="815"/>
        <v>0</v>
      </c>
      <c r="DZ280" s="5">
        <v>0</v>
      </c>
    </row>
    <row r="281" spans="1:130" x14ac:dyDescent="0.15">
      <c r="A281" s="5">
        <v>201279</v>
      </c>
      <c r="B281" s="5" t="s">
        <v>520</v>
      </c>
      <c r="C281" s="5"/>
      <c r="D281" s="5"/>
      <c r="E281" s="5"/>
      <c r="F281" s="5">
        <v>1</v>
      </c>
      <c r="G281" s="45"/>
      <c r="H281" s="5"/>
      <c r="I281" s="5"/>
      <c r="J281" s="5"/>
      <c r="K281" s="5"/>
      <c r="L281" s="10"/>
      <c r="M281" s="5"/>
      <c r="N281" s="10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20"/>
      <c r="AF281" s="5"/>
      <c r="AG281" s="5"/>
      <c r="AH281" s="5"/>
      <c r="AI281" s="5"/>
      <c r="AJ281" s="5"/>
      <c r="AK281" s="5"/>
      <c r="AL281" s="5"/>
      <c r="AM281" s="5"/>
      <c r="AN281" s="8"/>
      <c r="AO281" s="5">
        <v>0</v>
      </c>
      <c r="AP281" s="5" t="s">
        <v>520</v>
      </c>
      <c r="AQ281" s="5">
        <v>0</v>
      </c>
      <c r="AR281" s="8">
        <v>10</v>
      </c>
      <c r="AS281" s="6">
        <f t="shared" si="881"/>
        <v>270</v>
      </c>
      <c r="AT281" s="6">
        <f t="shared" si="882"/>
        <v>297</v>
      </c>
      <c r="AU281" s="5">
        <v>0</v>
      </c>
      <c r="AV281" s="5">
        <v>0</v>
      </c>
      <c r="AW281" s="5">
        <v>0</v>
      </c>
      <c r="AX281" s="5">
        <v>1</v>
      </c>
      <c r="AY281" s="5">
        <v>0</v>
      </c>
      <c r="AZ281" s="23">
        <v>201279</v>
      </c>
      <c r="BA281" s="5">
        <f t="shared" si="809"/>
        <v>203028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f t="shared" si="917"/>
        <v>1</v>
      </c>
      <c r="BM281" s="5">
        <v>0</v>
      </c>
      <c r="BN281" s="5">
        <v>0</v>
      </c>
      <c r="BO281" s="5">
        <v>0</v>
      </c>
      <c r="BP281" s="5">
        <v>0</v>
      </c>
      <c r="BQ281" s="5"/>
      <c r="BR281" s="5"/>
      <c r="BS281" s="4">
        <v>0</v>
      </c>
      <c r="BT281" s="4">
        <f t="shared" si="810"/>
        <v>9</v>
      </c>
      <c r="BU281" s="17">
        <v>0</v>
      </c>
      <c r="BV281" s="4">
        <f t="shared" ref="BV281:BY281" si="927">BV271</f>
        <v>9</v>
      </c>
      <c r="BW281" s="4">
        <f t="shared" si="927"/>
        <v>9</v>
      </c>
      <c r="BX281" s="4">
        <f t="shared" si="927"/>
        <v>0.28999999999999992</v>
      </c>
      <c r="BY281" s="4">
        <f t="shared" si="927"/>
        <v>0.15000000000000002</v>
      </c>
      <c r="BZ281" s="5" t="s">
        <v>511</v>
      </c>
      <c r="CA281" s="4" t="str">
        <f t="shared" si="812"/>
        <v>monster28</v>
      </c>
      <c r="CB281" s="4" t="str">
        <f t="shared" si="812"/>
        <v>monster28</v>
      </c>
      <c r="CC281" s="5">
        <v>1</v>
      </c>
      <c r="CD281" s="8">
        <v>1</v>
      </c>
      <c r="CE281" s="5">
        <f t="shared" ref="CE281:CF281" si="928">CE271</f>
        <v>9</v>
      </c>
      <c r="CF281" s="5">
        <f t="shared" si="928"/>
        <v>1</v>
      </c>
      <c r="CG281" s="5" t="s">
        <v>520</v>
      </c>
      <c r="CH281" s="5">
        <v>0</v>
      </c>
      <c r="CI281" s="5">
        <v>0</v>
      </c>
      <c r="CJ281" s="4">
        <v>0</v>
      </c>
      <c r="CK281" s="20">
        <v>0</v>
      </c>
      <c r="CL281" s="5">
        <v>0</v>
      </c>
      <c r="CM281" s="20">
        <v>114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20">
        <v>2.5</v>
      </c>
      <c r="CW281" s="20">
        <v>2.5</v>
      </c>
      <c r="CX281" s="20">
        <v>2.5</v>
      </c>
      <c r="CY281" s="20">
        <v>3</v>
      </c>
      <c r="CZ281" s="8">
        <v>50</v>
      </c>
      <c r="DA281" s="6">
        <f t="shared" si="878"/>
        <v>11250</v>
      </c>
      <c r="DB281" s="5">
        <v>0</v>
      </c>
      <c r="DC281" s="5">
        <f t="shared" si="885"/>
        <v>0.7</v>
      </c>
      <c r="DD281" s="6">
        <f t="shared" si="879"/>
        <v>0.7</v>
      </c>
      <c r="DE281" s="6">
        <v>1</v>
      </c>
      <c r="DF281" s="5">
        <v>0</v>
      </c>
      <c r="DG281" s="6">
        <v>2.5</v>
      </c>
      <c r="DH281" s="5"/>
      <c r="DI281" s="8"/>
      <c r="DJ281" s="5">
        <v>0</v>
      </c>
      <c r="DK281" s="8">
        <v>0</v>
      </c>
      <c r="DL281" s="5">
        <f t="shared" si="880"/>
        <v>0</v>
      </c>
      <c r="DM281" s="5" t="str">
        <f t="shared" si="920"/>
        <v>9级寄居蟹</v>
      </c>
      <c r="DN281" s="5">
        <v>6</v>
      </c>
      <c r="DO281" s="5">
        <v>0</v>
      </c>
      <c r="DP281" s="5">
        <v>1</v>
      </c>
      <c r="DQ281" s="5">
        <v>1</v>
      </c>
      <c r="DR281" s="5">
        <v>2.5</v>
      </c>
      <c r="DS281" s="6">
        <v>3.5</v>
      </c>
      <c r="DT281" s="5">
        <v>-0.5</v>
      </c>
      <c r="DU281" s="5">
        <v>0.5</v>
      </c>
      <c r="DV281" s="6">
        <v>0.5</v>
      </c>
      <c r="DW281" s="5">
        <f t="shared" si="814"/>
        <v>0.33333333333333331</v>
      </c>
      <c r="DX281" s="5">
        <v>4</v>
      </c>
      <c r="DY281" s="5">
        <f t="shared" si="815"/>
        <v>0</v>
      </c>
      <c r="DZ281" s="5">
        <v>0</v>
      </c>
    </row>
    <row r="282" spans="1:130" x14ac:dyDescent="0.15">
      <c r="A282" s="5">
        <v>201280</v>
      </c>
      <c r="B282" s="5" t="s">
        <v>521</v>
      </c>
      <c r="C282" s="5"/>
      <c r="D282" s="5"/>
      <c r="E282" s="5"/>
      <c r="F282" s="5">
        <v>1</v>
      </c>
      <c r="G282" s="45"/>
      <c r="H282" s="5"/>
      <c r="I282" s="5"/>
      <c r="J282" s="5"/>
      <c r="K282" s="5"/>
      <c r="L282" s="10"/>
      <c r="M282" s="5"/>
      <c r="N282" s="10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20"/>
      <c r="AF282" s="5"/>
      <c r="AG282" s="5"/>
      <c r="AH282" s="5"/>
      <c r="AI282" s="5"/>
      <c r="AJ282" s="5"/>
      <c r="AK282" s="5"/>
      <c r="AL282" s="5"/>
      <c r="AM282" s="5"/>
      <c r="AN282" s="8"/>
      <c r="AO282" s="5">
        <v>0</v>
      </c>
      <c r="AP282" s="5" t="s">
        <v>521</v>
      </c>
      <c r="AQ282" s="5">
        <v>0</v>
      </c>
      <c r="AR282" s="8">
        <v>10</v>
      </c>
      <c r="AS282" s="6">
        <f t="shared" si="881"/>
        <v>300</v>
      </c>
      <c r="AT282" s="6">
        <f t="shared" si="882"/>
        <v>330</v>
      </c>
      <c r="AU282" s="5">
        <v>0</v>
      </c>
      <c r="AV282" s="5">
        <v>0</v>
      </c>
      <c r="AW282" s="5">
        <v>0</v>
      </c>
      <c r="AX282" s="5">
        <v>1</v>
      </c>
      <c r="AY282" s="5">
        <v>0</v>
      </c>
      <c r="AZ282" s="23">
        <v>201280</v>
      </c>
      <c r="BA282" s="5">
        <f t="shared" si="809"/>
        <v>203028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f t="shared" si="917"/>
        <v>0</v>
      </c>
      <c r="BM282" s="5">
        <v>0</v>
      </c>
      <c r="BN282" s="5">
        <v>0</v>
      </c>
      <c r="BO282" s="5">
        <v>0</v>
      </c>
      <c r="BP282" s="5">
        <v>0</v>
      </c>
      <c r="BQ282" s="5"/>
      <c r="BR282" s="5"/>
      <c r="BS282" s="4">
        <v>0</v>
      </c>
      <c r="BT282" s="4">
        <f t="shared" si="810"/>
        <v>10</v>
      </c>
      <c r="BU282" s="17">
        <v>0</v>
      </c>
      <c r="BV282" s="4">
        <f t="shared" ref="BV282:BY282" si="929">BV272</f>
        <v>10</v>
      </c>
      <c r="BW282" s="4">
        <f t="shared" si="929"/>
        <v>10</v>
      </c>
      <c r="BX282" s="4">
        <f t="shared" si="929"/>
        <v>0.21999999999999986</v>
      </c>
      <c r="BY282" s="4">
        <f t="shared" si="929"/>
        <v>0.10000000000000003</v>
      </c>
      <c r="BZ282" s="5" t="s">
        <v>513</v>
      </c>
      <c r="CA282" s="4" t="str">
        <f t="shared" si="812"/>
        <v>monster28_1</v>
      </c>
      <c r="CB282" s="4" t="str">
        <f t="shared" si="812"/>
        <v>monster28_1</v>
      </c>
      <c r="CC282" s="5">
        <v>1</v>
      </c>
      <c r="CD282" s="8">
        <v>1</v>
      </c>
      <c r="CE282" s="5">
        <f t="shared" ref="CE282:CF282" si="930">CE272</f>
        <v>10</v>
      </c>
      <c r="CF282" s="5">
        <f t="shared" si="930"/>
        <v>1</v>
      </c>
      <c r="CG282" s="5" t="s">
        <v>521</v>
      </c>
      <c r="CH282" s="5">
        <v>0</v>
      </c>
      <c r="CI282" s="5">
        <v>0</v>
      </c>
      <c r="CJ282" s="4">
        <v>1</v>
      </c>
      <c r="CK282" s="20">
        <v>0</v>
      </c>
      <c r="CL282" s="5">
        <v>0</v>
      </c>
      <c r="CM282" s="20">
        <v>114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0</v>
      </c>
      <c r="CV282" s="20">
        <v>2.5</v>
      </c>
      <c r="CW282" s="20">
        <v>2.5</v>
      </c>
      <c r="CX282" s="20">
        <v>2.5</v>
      </c>
      <c r="CY282" s="20">
        <v>3</v>
      </c>
      <c r="CZ282" s="8">
        <v>50</v>
      </c>
      <c r="DA282" s="6">
        <f t="shared" si="878"/>
        <v>12500</v>
      </c>
      <c r="DB282" s="5">
        <v>0</v>
      </c>
      <c r="DC282" s="5">
        <f t="shared" si="885"/>
        <v>0.72499999999999998</v>
      </c>
      <c r="DD282" s="6">
        <f t="shared" si="879"/>
        <v>0.72499999999999998</v>
      </c>
      <c r="DE282" s="6">
        <v>1</v>
      </c>
      <c r="DF282" s="5">
        <v>0</v>
      </c>
      <c r="DG282" s="6">
        <v>2.5</v>
      </c>
      <c r="DH282" s="5"/>
      <c r="DI282" s="8"/>
      <c r="DJ282" s="5">
        <v>0</v>
      </c>
      <c r="DK282" s="8">
        <v>0</v>
      </c>
      <c r="DL282" s="5">
        <f t="shared" si="880"/>
        <v>0</v>
      </c>
      <c r="DM282" s="5" t="str">
        <f t="shared" si="920"/>
        <v>10级寄居蟹</v>
      </c>
      <c r="DN282" s="5">
        <v>6</v>
      </c>
      <c r="DO282" s="5">
        <v>0</v>
      </c>
      <c r="DP282" s="5">
        <v>1</v>
      </c>
      <c r="DQ282" s="5">
        <v>1</v>
      </c>
      <c r="DR282" s="5">
        <v>2.5</v>
      </c>
      <c r="DS282" s="6">
        <v>3.5</v>
      </c>
      <c r="DT282" s="5">
        <v>-0.5</v>
      </c>
      <c r="DU282" s="5">
        <v>0.5</v>
      </c>
      <c r="DV282" s="6">
        <v>0.5</v>
      </c>
      <c r="DW282" s="5">
        <f t="shared" si="814"/>
        <v>0.33333333333333331</v>
      </c>
      <c r="DX282" s="5">
        <v>4</v>
      </c>
      <c r="DY282" s="5">
        <f t="shared" si="815"/>
        <v>0</v>
      </c>
      <c r="DZ282" s="5">
        <v>0</v>
      </c>
    </row>
    <row r="283" spans="1:130" x14ac:dyDescent="0.15">
      <c r="A283" s="5">
        <v>201281</v>
      </c>
      <c r="B283" s="5" t="s">
        <v>522</v>
      </c>
      <c r="C283" s="5"/>
      <c r="D283" s="5"/>
      <c r="E283" s="5"/>
      <c r="F283" s="5">
        <v>1</v>
      </c>
      <c r="G283" s="45"/>
      <c r="H283" s="5"/>
      <c r="I283" s="5"/>
      <c r="J283" s="5"/>
      <c r="K283" s="5"/>
      <c r="L283" s="10"/>
      <c r="M283" s="5"/>
      <c r="N283" s="10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20"/>
      <c r="AF283" s="5"/>
      <c r="AG283" s="5"/>
      <c r="AH283" s="5"/>
      <c r="AI283" s="5"/>
      <c r="AJ283" s="5"/>
      <c r="AK283" s="5"/>
      <c r="AL283" s="5"/>
      <c r="AM283" s="5"/>
      <c r="AN283" s="8"/>
      <c r="AO283" s="5">
        <v>0</v>
      </c>
      <c r="AP283" s="5" t="s">
        <v>522</v>
      </c>
      <c r="AQ283" s="5">
        <v>0</v>
      </c>
      <c r="AR283" s="8">
        <v>10</v>
      </c>
      <c r="AS283" s="6">
        <f t="shared" si="881"/>
        <v>30</v>
      </c>
      <c r="AT283" s="6">
        <f t="shared" si="882"/>
        <v>33</v>
      </c>
      <c r="AU283" s="5">
        <v>0</v>
      </c>
      <c r="AV283" s="5">
        <v>0</v>
      </c>
      <c r="AW283" s="5">
        <v>0</v>
      </c>
      <c r="AX283" s="5">
        <v>1</v>
      </c>
      <c r="AY283" s="5">
        <v>0</v>
      </c>
      <c r="AZ283" s="23">
        <v>201281</v>
      </c>
      <c r="BA283" s="5">
        <f t="shared" si="809"/>
        <v>203029</v>
      </c>
      <c r="BB283" s="5">
        <v>0</v>
      </c>
      <c r="BC283" s="5">
        <v>0</v>
      </c>
      <c r="BD283" s="5">
        <v>1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f t="shared" si="917"/>
        <v>0</v>
      </c>
      <c r="BM283" s="5">
        <v>0</v>
      </c>
      <c r="BN283" s="5">
        <v>0</v>
      </c>
      <c r="BO283" s="5">
        <v>0</v>
      </c>
      <c r="BP283" s="5">
        <v>0</v>
      </c>
      <c r="BQ283" s="5"/>
      <c r="BR283" s="5"/>
      <c r="BS283" s="4">
        <v>0</v>
      </c>
      <c r="BT283" s="4">
        <f t="shared" si="810"/>
        <v>1</v>
      </c>
      <c r="BU283" s="17">
        <v>0</v>
      </c>
      <c r="BV283" s="4">
        <f t="shared" ref="BV283:BY283" si="931">BV273</f>
        <v>1</v>
      </c>
      <c r="BW283" s="4">
        <f t="shared" si="931"/>
        <v>1</v>
      </c>
      <c r="BX283" s="4">
        <f t="shared" si="931"/>
        <v>0.85</v>
      </c>
      <c r="BY283" s="4">
        <f t="shared" si="931"/>
        <v>0.55000000000000004</v>
      </c>
      <c r="BZ283" s="5" t="s">
        <v>523</v>
      </c>
      <c r="CA283" s="4" t="str">
        <f t="shared" si="812"/>
        <v>monster29</v>
      </c>
      <c r="CB283" s="4" t="str">
        <f t="shared" si="812"/>
        <v>monster29</v>
      </c>
      <c r="CC283" s="5">
        <v>1</v>
      </c>
      <c r="CD283" s="8">
        <v>1</v>
      </c>
      <c r="CE283" s="5">
        <f>CE273</f>
        <v>1</v>
      </c>
      <c r="CF283" s="5">
        <f>CF273</f>
        <v>1</v>
      </c>
      <c r="CG283" s="5" t="s">
        <v>522</v>
      </c>
      <c r="CH283" s="5">
        <v>0</v>
      </c>
      <c r="CI283" s="5">
        <v>133</v>
      </c>
      <c r="CJ283" s="4">
        <v>0</v>
      </c>
      <c r="CK283" s="20">
        <v>0</v>
      </c>
      <c r="CL283" s="5">
        <v>0</v>
      </c>
      <c r="CM283" s="20">
        <v>111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20">
        <v>2.5</v>
      </c>
      <c r="CW283" s="20">
        <v>3</v>
      </c>
      <c r="CX283" s="20">
        <v>2.5</v>
      </c>
      <c r="CY283" s="20">
        <v>3.5</v>
      </c>
      <c r="CZ283" s="8">
        <v>50</v>
      </c>
      <c r="DA283" s="6">
        <f t="shared" si="878"/>
        <v>1250</v>
      </c>
      <c r="DB283" s="5">
        <v>0</v>
      </c>
      <c r="DC283" s="5">
        <f t="shared" si="885"/>
        <v>0.5</v>
      </c>
      <c r="DD283" s="6">
        <f t="shared" si="879"/>
        <v>0.5</v>
      </c>
      <c r="DE283" s="6">
        <v>1</v>
      </c>
      <c r="DF283" s="5">
        <v>0</v>
      </c>
      <c r="DG283" s="6">
        <v>2.5</v>
      </c>
      <c r="DH283" s="5"/>
      <c r="DI283" s="8"/>
      <c r="DJ283" s="5">
        <v>0</v>
      </c>
      <c r="DK283" s="8">
        <v>0</v>
      </c>
      <c r="DL283" s="5">
        <f t="shared" si="880"/>
        <v>0</v>
      </c>
      <c r="DM283" s="5" t="str">
        <f t="shared" si="920"/>
        <v>1级海盗王</v>
      </c>
      <c r="DN283" s="5">
        <v>6</v>
      </c>
      <c r="DO283" s="5">
        <v>0</v>
      </c>
      <c r="DP283" s="5">
        <v>1</v>
      </c>
      <c r="DQ283" s="5">
        <v>1</v>
      </c>
      <c r="DR283" s="5">
        <v>2.5</v>
      </c>
      <c r="DS283" s="6">
        <v>3.5</v>
      </c>
      <c r="DT283" s="5">
        <v>-0.6</v>
      </c>
      <c r="DU283" s="5">
        <v>0.5</v>
      </c>
      <c r="DV283" s="6">
        <v>0.5</v>
      </c>
      <c r="DW283" s="5">
        <f t="shared" si="814"/>
        <v>0.33333333333333331</v>
      </c>
      <c r="DX283" s="5">
        <v>4</v>
      </c>
      <c r="DY283" s="5">
        <f t="shared" si="815"/>
        <v>0</v>
      </c>
      <c r="DZ283" s="5">
        <v>0</v>
      </c>
    </row>
    <row r="284" spans="1:130" x14ac:dyDescent="0.15">
      <c r="A284" s="5">
        <v>201282</v>
      </c>
      <c r="B284" s="5" t="s">
        <v>524</v>
      </c>
      <c r="C284" s="5"/>
      <c r="D284" s="5"/>
      <c r="E284" s="5"/>
      <c r="F284" s="5">
        <v>1</v>
      </c>
      <c r="G284" s="45"/>
      <c r="H284" s="5"/>
      <c r="I284" s="5"/>
      <c r="J284" s="5"/>
      <c r="K284" s="5"/>
      <c r="L284" s="10"/>
      <c r="M284" s="5"/>
      <c r="N284" s="10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20"/>
      <c r="AF284" s="5"/>
      <c r="AG284" s="5"/>
      <c r="AH284" s="5"/>
      <c r="AI284" s="5"/>
      <c r="AJ284" s="5"/>
      <c r="AK284" s="5"/>
      <c r="AL284" s="5"/>
      <c r="AM284" s="5"/>
      <c r="AN284" s="8"/>
      <c r="AO284" s="5">
        <v>0</v>
      </c>
      <c r="AP284" s="5" t="s">
        <v>524</v>
      </c>
      <c r="AQ284" s="5">
        <v>0</v>
      </c>
      <c r="AR284" s="8">
        <v>10</v>
      </c>
      <c r="AS284" s="6">
        <f t="shared" si="881"/>
        <v>60</v>
      </c>
      <c r="AT284" s="6">
        <f t="shared" si="882"/>
        <v>66</v>
      </c>
      <c r="AU284" s="5">
        <v>0</v>
      </c>
      <c r="AV284" s="5">
        <v>0</v>
      </c>
      <c r="AW284" s="5">
        <v>0</v>
      </c>
      <c r="AX284" s="5">
        <v>1</v>
      </c>
      <c r="AY284" s="5">
        <v>0</v>
      </c>
      <c r="AZ284" s="23">
        <v>201282</v>
      </c>
      <c r="BA284" s="5">
        <f t="shared" si="809"/>
        <v>203029</v>
      </c>
      <c r="BB284" s="5">
        <v>0</v>
      </c>
      <c r="BC284" s="5">
        <v>0</v>
      </c>
      <c r="BD284" s="5">
        <v>1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f t="shared" si="917"/>
        <v>0</v>
      </c>
      <c r="BM284" s="5">
        <v>0</v>
      </c>
      <c r="BN284" s="5">
        <v>0</v>
      </c>
      <c r="BO284" s="5">
        <v>0</v>
      </c>
      <c r="BP284" s="5">
        <v>0</v>
      </c>
      <c r="BQ284" s="5"/>
      <c r="BR284" s="5"/>
      <c r="BS284" s="4">
        <v>0</v>
      </c>
      <c r="BT284" s="4">
        <f t="shared" si="810"/>
        <v>2</v>
      </c>
      <c r="BU284" s="17">
        <v>0</v>
      </c>
      <c r="BV284" s="4">
        <f t="shared" ref="BV284:BY284" si="932">BV274</f>
        <v>2</v>
      </c>
      <c r="BW284" s="4">
        <f t="shared" si="932"/>
        <v>2</v>
      </c>
      <c r="BX284" s="4">
        <f t="shared" si="932"/>
        <v>0.78</v>
      </c>
      <c r="BY284" s="4">
        <f t="shared" si="932"/>
        <v>0.5</v>
      </c>
      <c r="BZ284" s="5" t="s">
        <v>525</v>
      </c>
      <c r="CA284" s="4" t="str">
        <f t="shared" si="812"/>
        <v>monster29_1</v>
      </c>
      <c r="CB284" s="4" t="str">
        <f t="shared" si="812"/>
        <v>monster29_1</v>
      </c>
      <c r="CC284" s="5">
        <v>1</v>
      </c>
      <c r="CD284" s="8">
        <v>1</v>
      </c>
      <c r="CE284" s="5">
        <f t="shared" ref="CE284:CF284" si="933">CE274</f>
        <v>2</v>
      </c>
      <c r="CF284" s="5">
        <f t="shared" si="933"/>
        <v>1</v>
      </c>
      <c r="CG284" s="5" t="s">
        <v>524</v>
      </c>
      <c r="CH284" s="5">
        <v>0</v>
      </c>
      <c r="CI284" s="5">
        <v>133</v>
      </c>
      <c r="CJ284" s="4">
        <v>1</v>
      </c>
      <c r="CK284" s="20">
        <v>0</v>
      </c>
      <c r="CL284" s="5">
        <v>0</v>
      </c>
      <c r="CM284" s="20">
        <v>111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20">
        <v>2.5</v>
      </c>
      <c r="CW284" s="20">
        <v>3</v>
      </c>
      <c r="CX284" s="20">
        <v>2.5</v>
      </c>
      <c r="CY284" s="20">
        <v>3.5</v>
      </c>
      <c r="CZ284" s="8">
        <v>50</v>
      </c>
      <c r="DA284" s="6">
        <f t="shared" si="878"/>
        <v>2500</v>
      </c>
      <c r="DB284" s="5">
        <v>0</v>
      </c>
      <c r="DC284" s="5">
        <f t="shared" si="885"/>
        <v>0.52500000000000002</v>
      </c>
      <c r="DD284" s="6">
        <f t="shared" si="879"/>
        <v>0.52500000000000002</v>
      </c>
      <c r="DE284" s="6">
        <v>1</v>
      </c>
      <c r="DF284" s="5">
        <v>0</v>
      </c>
      <c r="DG284" s="6">
        <v>2.5</v>
      </c>
      <c r="DH284" s="5"/>
      <c r="DI284" s="8"/>
      <c r="DJ284" s="5">
        <v>0</v>
      </c>
      <c r="DK284" s="8">
        <v>0</v>
      </c>
      <c r="DL284" s="5">
        <f t="shared" si="880"/>
        <v>0</v>
      </c>
      <c r="DM284" s="5" t="str">
        <f t="shared" si="920"/>
        <v>2级海盗王</v>
      </c>
      <c r="DN284" s="5">
        <v>6</v>
      </c>
      <c r="DO284" s="5">
        <v>0</v>
      </c>
      <c r="DP284" s="5">
        <v>1</v>
      </c>
      <c r="DQ284" s="5">
        <v>1</v>
      </c>
      <c r="DR284" s="5">
        <v>2.5</v>
      </c>
      <c r="DS284" s="6">
        <v>3.5</v>
      </c>
      <c r="DT284" s="5">
        <v>-0.6</v>
      </c>
      <c r="DU284" s="5">
        <v>0.5</v>
      </c>
      <c r="DV284" s="6">
        <v>0.5</v>
      </c>
      <c r="DW284" s="5">
        <f t="shared" si="814"/>
        <v>0.33333333333333331</v>
      </c>
      <c r="DX284" s="5">
        <v>4</v>
      </c>
      <c r="DY284" s="5">
        <f t="shared" si="815"/>
        <v>0</v>
      </c>
      <c r="DZ284" s="5">
        <v>0</v>
      </c>
    </row>
    <row r="285" spans="1:130" x14ac:dyDescent="0.15">
      <c r="A285" s="5">
        <v>201283</v>
      </c>
      <c r="B285" s="5" t="s">
        <v>526</v>
      </c>
      <c r="C285" s="5"/>
      <c r="D285" s="5"/>
      <c r="E285" s="5"/>
      <c r="F285" s="5">
        <v>1</v>
      </c>
      <c r="G285" s="45"/>
      <c r="H285" s="5"/>
      <c r="I285" s="5"/>
      <c r="J285" s="5"/>
      <c r="K285" s="5"/>
      <c r="L285" s="10"/>
      <c r="M285" s="5"/>
      <c r="N285" s="10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20"/>
      <c r="AF285" s="5"/>
      <c r="AG285" s="5"/>
      <c r="AH285" s="5"/>
      <c r="AI285" s="5"/>
      <c r="AJ285" s="5"/>
      <c r="AK285" s="5"/>
      <c r="AL285" s="5"/>
      <c r="AM285" s="5"/>
      <c r="AN285" s="8"/>
      <c r="AO285" s="5">
        <v>0</v>
      </c>
      <c r="AP285" s="5" t="s">
        <v>526</v>
      </c>
      <c r="AQ285" s="5">
        <v>0</v>
      </c>
      <c r="AR285" s="8">
        <v>10</v>
      </c>
      <c r="AS285" s="6">
        <f t="shared" si="881"/>
        <v>90</v>
      </c>
      <c r="AT285" s="6">
        <f t="shared" si="882"/>
        <v>99</v>
      </c>
      <c r="AU285" s="5">
        <v>0</v>
      </c>
      <c r="AV285" s="5">
        <v>0</v>
      </c>
      <c r="AW285" s="5">
        <v>0</v>
      </c>
      <c r="AX285" s="5">
        <v>1</v>
      </c>
      <c r="AY285" s="5">
        <v>0</v>
      </c>
      <c r="AZ285" s="23">
        <v>201283</v>
      </c>
      <c r="BA285" s="5">
        <f t="shared" si="809"/>
        <v>203029</v>
      </c>
      <c r="BB285" s="5">
        <v>0</v>
      </c>
      <c r="BC285" s="5">
        <v>0</v>
      </c>
      <c r="BD285" s="5">
        <v>1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f t="shared" si="917"/>
        <v>1</v>
      </c>
      <c r="BM285" s="5">
        <v>0</v>
      </c>
      <c r="BN285" s="5">
        <v>0</v>
      </c>
      <c r="BO285" s="5">
        <v>0</v>
      </c>
      <c r="BP285" s="5">
        <v>0</v>
      </c>
      <c r="BQ285" s="5"/>
      <c r="BR285" s="5"/>
      <c r="BS285" s="4">
        <v>0</v>
      </c>
      <c r="BT285" s="4">
        <f t="shared" si="810"/>
        <v>3</v>
      </c>
      <c r="BU285" s="17">
        <v>0</v>
      </c>
      <c r="BV285" s="4">
        <f t="shared" ref="BV285:BY285" si="934">BV275</f>
        <v>3</v>
      </c>
      <c r="BW285" s="4">
        <f t="shared" si="934"/>
        <v>3</v>
      </c>
      <c r="BX285" s="4">
        <f t="shared" si="934"/>
        <v>0.71</v>
      </c>
      <c r="BY285" s="4">
        <f t="shared" si="934"/>
        <v>0.45000000000000007</v>
      </c>
      <c r="BZ285" s="5" t="s">
        <v>523</v>
      </c>
      <c r="CA285" s="4" t="str">
        <f t="shared" si="812"/>
        <v>monster29</v>
      </c>
      <c r="CB285" s="4" t="str">
        <f t="shared" si="812"/>
        <v>monster29</v>
      </c>
      <c r="CC285" s="5">
        <v>1</v>
      </c>
      <c r="CD285" s="8">
        <v>1</v>
      </c>
      <c r="CE285" s="5">
        <f t="shared" ref="CE285:CF285" si="935">CE275</f>
        <v>3</v>
      </c>
      <c r="CF285" s="5">
        <f t="shared" si="935"/>
        <v>1</v>
      </c>
      <c r="CG285" s="5" t="s">
        <v>526</v>
      </c>
      <c r="CH285" s="5">
        <v>0</v>
      </c>
      <c r="CI285" s="5">
        <v>133</v>
      </c>
      <c r="CJ285" s="4">
        <v>0</v>
      </c>
      <c r="CK285" s="20">
        <v>0</v>
      </c>
      <c r="CL285" s="5">
        <v>0</v>
      </c>
      <c r="CM285" s="20">
        <v>111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20">
        <v>2.5</v>
      </c>
      <c r="CW285" s="20">
        <v>3</v>
      </c>
      <c r="CX285" s="20">
        <v>2.5</v>
      </c>
      <c r="CY285" s="20">
        <v>3.5</v>
      </c>
      <c r="CZ285" s="8">
        <v>50</v>
      </c>
      <c r="DA285" s="6">
        <f t="shared" si="878"/>
        <v>3750</v>
      </c>
      <c r="DB285" s="5">
        <v>0</v>
      </c>
      <c r="DC285" s="5">
        <f t="shared" si="885"/>
        <v>0.55000000000000004</v>
      </c>
      <c r="DD285" s="6">
        <f t="shared" si="879"/>
        <v>0.55000000000000004</v>
      </c>
      <c r="DE285" s="6">
        <v>1</v>
      </c>
      <c r="DF285" s="5">
        <v>0</v>
      </c>
      <c r="DG285" s="6">
        <v>2.5</v>
      </c>
      <c r="DH285" s="5"/>
      <c r="DI285" s="8"/>
      <c r="DJ285" s="5">
        <v>0</v>
      </c>
      <c r="DK285" s="8">
        <v>0</v>
      </c>
      <c r="DL285" s="5">
        <f t="shared" si="880"/>
        <v>0</v>
      </c>
      <c r="DM285" s="5" t="str">
        <f t="shared" si="920"/>
        <v>3级海盗王</v>
      </c>
      <c r="DN285" s="5">
        <v>6</v>
      </c>
      <c r="DO285" s="5">
        <v>0</v>
      </c>
      <c r="DP285" s="5">
        <v>1</v>
      </c>
      <c r="DQ285" s="5">
        <v>1</v>
      </c>
      <c r="DR285" s="5">
        <v>2.5</v>
      </c>
      <c r="DS285" s="6">
        <v>3.5</v>
      </c>
      <c r="DT285" s="5">
        <v>-0.6</v>
      </c>
      <c r="DU285" s="5">
        <v>0.5</v>
      </c>
      <c r="DV285" s="6">
        <v>0.5</v>
      </c>
      <c r="DW285" s="5">
        <f t="shared" si="814"/>
        <v>0.33333333333333331</v>
      </c>
      <c r="DX285" s="5">
        <v>4</v>
      </c>
      <c r="DY285" s="5">
        <f t="shared" si="815"/>
        <v>0</v>
      </c>
      <c r="DZ285" s="5">
        <v>0</v>
      </c>
    </row>
    <row r="286" spans="1:130" x14ac:dyDescent="0.15">
      <c r="A286" s="5">
        <v>201284</v>
      </c>
      <c r="B286" s="5" t="s">
        <v>527</v>
      </c>
      <c r="C286" s="5"/>
      <c r="D286" s="5"/>
      <c r="E286" s="5"/>
      <c r="F286" s="5">
        <v>1</v>
      </c>
      <c r="G286" s="45"/>
      <c r="H286" s="5"/>
      <c r="I286" s="5"/>
      <c r="J286" s="5"/>
      <c r="K286" s="5"/>
      <c r="L286" s="10"/>
      <c r="M286" s="5"/>
      <c r="N286" s="10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20"/>
      <c r="AF286" s="5"/>
      <c r="AG286" s="5"/>
      <c r="AH286" s="5"/>
      <c r="AI286" s="5"/>
      <c r="AJ286" s="5"/>
      <c r="AK286" s="5"/>
      <c r="AL286" s="5"/>
      <c r="AM286" s="5"/>
      <c r="AN286" s="8"/>
      <c r="AO286" s="5">
        <v>0</v>
      </c>
      <c r="AP286" s="5" t="s">
        <v>527</v>
      </c>
      <c r="AQ286" s="5">
        <v>0</v>
      </c>
      <c r="AR286" s="8">
        <v>10</v>
      </c>
      <c r="AS286" s="6">
        <f t="shared" si="881"/>
        <v>120</v>
      </c>
      <c r="AT286" s="6">
        <f t="shared" si="882"/>
        <v>132</v>
      </c>
      <c r="AU286" s="5">
        <v>0</v>
      </c>
      <c r="AV286" s="5">
        <v>0</v>
      </c>
      <c r="AW286" s="5">
        <v>0</v>
      </c>
      <c r="AX286" s="5">
        <v>1</v>
      </c>
      <c r="AY286" s="5">
        <v>0</v>
      </c>
      <c r="AZ286" s="23">
        <v>201284</v>
      </c>
      <c r="BA286" s="5">
        <f t="shared" si="809"/>
        <v>203029</v>
      </c>
      <c r="BB286" s="5">
        <v>0</v>
      </c>
      <c r="BC286" s="5">
        <v>0</v>
      </c>
      <c r="BD286" s="5">
        <v>1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f t="shared" si="917"/>
        <v>1</v>
      </c>
      <c r="BM286" s="5">
        <v>0</v>
      </c>
      <c r="BN286" s="5">
        <v>0</v>
      </c>
      <c r="BO286" s="5">
        <v>0</v>
      </c>
      <c r="BP286" s="5">
        <v>0</v>
      </c>
      <c r="BQ286" s="5"/>
      <c r="BR286" s="5"/>
      <c r="BS286" s="4">
        <v>0</v>
      </c>
      <c r="BT286" s="4">
        <f t="shared" si="810"/>
        <v>4</v>
      </c>
      <c r="BU286" s="17">
        <v>0</v>
      </c>
      <c r="BV286" s="4">
        <f t="shared" ref="BV286:BY286" si="936">BV276</f>
        <v>4</v>
      </c>
      <c r="BW286" s="4">
        <f t="shared" si="936"/>
        <v>4</v>
      </c>
      <c r="BX286" s="4">
        <f t="shared" si="936"/>
        <v>0.6399999999999999</v>
      </c>
      <c r="BY286" s="4">
        <f t="shared" si="936"/>
        <v>0.4</v>
      </c>
      <c r="BZ286" s="5" t="s">
        <v>525</v>
      </c>
      <c r="CA286" s="4" t="str">
        <f t="shared" si="812"/>
        <v>monster29_1</v>
      </c>
      <c r="CB286" s="4" t="str">
        <f t="shared" si="812"/>
        <v>monster29_1</v>
      </c>
      <c r="CC286" s="5">
        <v>1</v>
      </c>
      <c r="CD286" s="8">
        <v>1</v>
      </c>
      <c r="CE286" s="5">
        <f t="shared" ref="CE286:CF286" si="937">CE276</f>
        <v>4</v>
      </c>
      <c r="CF286" s="5">
        <f t="shared" si="937"/>
        <v>1</v>
      </c>
      <c r="CG286" s="5" t="s">
        <v>527</v>
      </c>
      <c r="CH286" s="5">
        <v>0</v>
      </c>
      <c r="CI286" s="5">
        <v>133</v>
      </c>
      <c r="CJ286" s="4">
        <v>1</v>
      </c>
      <c r="CK286" s="20">
        <v>0</v>
      </c>
      <c r="CL286" s="5">
        <v>0</v>
      </c>
      <c r="CM286" s="20">
        <v>111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20">
        <v>2.5</v>
      </c>
      <c r="CW286" s="20">
        <v>3</v>
      </c>
      <c r="CX286" s="20">
        <v>2.5</v>
      </c>
      <c r="CY286" s="20">
        <v>3.5</v>
      </c>
      <c r="CZ286" s="8">
        <v>50</v>
      </c>
      <c r="DA286" s="6">
        <f t="shared" si="878"/>
        <v>5000</v>
      </c>
      <c r="DB286" s="5">
        <v>0</v>
      </c>
      <c r="DC286" s="5">
        <f t="shared" si="885"/>
        <v>0.57499999999999996</v>
      </c>
      <c r="DD286" s="6">
        <f t="shared" si="879"/>
        <v>0.57499999999999996</v>
      </c>
      <c r="DE286" s="6">
        <v>1</v>
      </c>
      <c r="DF286" s="5">
        <v>0</v>
      </c>
      <c r="DG286" s="6">
        <v>2.5</v>
      </c>
      <c r="DH286" s="5"/>
      <c r="DI286" s="8"/>
      <c r="DJ286" s="5">
        <v>0</v>
      </c>
      <c r="DK286" s="8">
        <v>0</v>
      </c>
      <c r="DL286" s="5">
        <f t="shared" si="880"/>
        <v>0</v>
      </c>
      <c r="DM286" s="5" t="str">
        <f t="shared" si="920"/>
        <v>4级海盗王</v>
      </c>
      <c r="DN286" s="5">
        <v>6</v>
      </c>
      <c r="DO286" s="5">
        <v>0</v>
      </c>
      <c r="DP286" s="5">
        <v>1</v>
      </c>
      <c r="DQ286" s="5">
        <v>1</v>
      </c>
      <c r="DR286" s="5">
        <v>2.5</v>
      </c>
      <c r="DS286" s="6">
        <v>3.5</v>
      </c>
      <c r="DT286" s="5">
        <v>-0.6</v>
      </c>
      <c r="DU286" s="5">
        <v>0.5</v>
      </c>
      <c r="DV286" s="6">
        <v>0.5</v>
      </c>
      <c r="DW286" s="5">
        <f t="shared" si="814"/>
        <v>0.33333333333333331</v>
      </c>
      <c r="DX286" s="5">
        <v>4</v>
      </c>
      <c r="DY286" s="5">
        <f t="shared" si="815"/>
        <v>0</v>
      </c>
      <c r="DZ286" s="5">
        <v>0</v>
      </c>
    </row>
    <row r="287" spans="1:130" x14ac:dyDescent="0.15">
      <c r="A287" s="5">
        <v>201285</v>
      </c>
      <c r="B287" s="5" t="s">
        <v>528</v>
      </c>
      <c r="C287" s="5"/>
      <c r="D287" s="5"/>
      <c r="E287" s="5"/>
      <c r="F287" s="5">
        <v>1</v>
      </c>
      <c r="G287" s="45"/>
      <c r="H287" s="5"/>
      <c r="I287" s="5"/>
      <c r="J287" s="5"/>
      <c r="K287" s="5"/>
      <c r="L287" s="10"/>
      <c r="M287" s="5"/>
      <c r="N287" s="10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20"/>
      <c r="AF287" s="5"/>
      <c r="AG287" s="5"/>
      <c r="AH287" s="5"/>
      <c r="AI287" s="5"/>
      <c r="AJ287" s="5"/>
      <c r="AK287" s="5"/>
      <c r="AL287" s="5"/>
      <c r="AM287" s="5"/>
      <c r="AN287" s="8"/>
      <c r="AO287" s="5">
        <v>0</v>
      </c>
      <c r="AP287" s="5" t="s">
        <v>528</v>
      </c>
      <c r="AQ287" s="5">
        <v>0</v>
      </c>
      <c r="AR287" s="8">
        <v>10</v>
      </c>
      <c r="AS287" s="6">
        <f t="shared" si="881"/>
        <v>150</v>
      </c>
      <c r="AT287" s="6">
        <f t="shared" si="882"/>
        <v>165</v>
      </c>
      <c r="AU287" s="5">
        <v>0</v>
      </c>
      <c r="AV287" s="5">
        <v>0</v>
      </c>
      <c r="AW287" s="5">
        <v>0</v>
      </c>
      <c r="AX287" s="5">
        <v>1</v>
      </c>
      <c r="AY287" s="5">
        <v>0</v>
      </c>
      <c r="AZ287" s="23">
        <v>201285</v>
      </c>
      <c r="BA287" s="5">
        <f t="shared" si="809"/>
        <v>203029</v>
      </c>
      <c r="BB287" s="5">
        <v>0</v>
      </c>
      <c r="BC287" s="5">
        <v>0</v>
      </c>
      <c r="BD287" s="5">
        <v>1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f t="shared" si="917"/>
        <v>0</v>
      </c>
      <c r="BM287" s="5">
        <v>0</v>
      </c>
      <c r="BN287" s="5">
        <v>0</v>
      </c>
      <c r="BO287" s="5">
        <v>0</v>
      </c>
      <c r="BP287" s="5">
        <v>0</v>
      </c>
      <c r="BQ287" s="5"/>
      <c r="BR287" s="5"/>
      <c r="BS287" s="4">
        <v>0</v>
      </c>
      <c r="BT287" s="4">
        <f t="shared" si="810"/>
        <v>5</v>
      </c>
      <c r="BU287" s="17">
        <v>0</v>
      </c>
      <c r="BV287" s="4">
        <f t="shared" ref="BV287:BY287" si="938">BV277</f>
        <v>5</v>
      </c>
      <c r="BW287" s="4">
        <f t="shared" si="938"/>
        <v>5</v>
      </c>
      <c r="BX287" s="4">
        <f t="shared" si="938"/>
        <v>0.56999999999999995</v>
      </c>
      <c r="BY287" s="4">
        <f t="shared" si="938"/>
        <v>0.35000000000000003</v>
      </c>
      <c r="BZ287" s="5" t="s">
        <v>523</v>
      </c>
      <c r="CA287" s="4" t="str">
        <f t="shared" si="812"/>
        <v>monster29</v>
      </c>
      <c r="CB287" s="4" t="str">
        <f t="shared" si="812"/>
        <v>monster29</v>
      </c>
      <c r="CC287" s="5">
        <v>1</v>
      </c>
      <c r="CD287" s="8">
        <v>1</v>
      </c>
      <c r="CE287" s="5">
        <f t="shared" ref="CE287:CF287" si="939">CE277</f>
        <v>5</v>
      </c>
      <c r="CF287" s="5">
        <f t="shared" si="939"/>
        <v>1</v>
      </c>
      <c r="CG287" s="5" t="s">
        <v>528</v>
      </c>
      <c r="CH287" s="5">
        <v>0</v>
      </c>
      <c r="CI287" s="5">
        <v>133</v>
      </c>
      <c r="CJ287" s="4">
        <v>0</v>
      </c>
      <c r="CK287" s="20">
        <v>0</v>
      </c>
      <c r="CL287" s="5">
        <v>0</v>
      </c>
      <c r="CM287" s="20">
        <v>111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20">
        <v>2.5</v>
      </c>
      <c r="CW287" s="20">
        <v>3</v>
      </c>
      <c r="CX287" s="20">
        <v>2.5</v>
      </c>
      <c r="CY287" s="20">
        <v>3.5</v>
      </c>
      <c r="CZ287" s="8">
        <v>50</v>
      </c>
      <c r="DA287" s="6">
        <f t="shared" si="878"/>
        <v>6250</v>
      </c>
      <c r="DB287" s="5">
        <v>0</v>
      </c>
      <c r="DC287" s="5">
        <f t="shared" si="885"/>
        <v>0.6</v>
      </c>
      <c r="DD287" s="6">
        <f t="shared" si="879"/>
        <v>0.6</v>
      </c>
      <c r="DE287" s="6">
        <v>1</v>
      </c>
      <c r="DF287" s="5">
        <v>0</v>
      </c>
      <c r="DG287" s="6">
        <v>2.5</v>
      </c>
      <c r="DH287" s="5"/>
      <c r="DI287" s="8"/>
      <c r="DJ287" s="5">
        <v>0</v>
      </c>
      <c r="DK287" s="8">
        <v>0</v>
      </c>
      <c r="DL287" s="5">
        <f t="shared" si="880"/>
        <v>0</v>
      </c>
      <c r="DM287" s="5" t="str">
        <f t="shared" si="920"/>
        <v>5级海盗王</v>
      </c>
      <c r="DN287" s="5">
        <v>6</v>
      </c>
      <c r="DO287" s="5">
        <v>0</v>
      </c>
      <c r="DP287" s="5">
        <v>1</v>
      </c>
      <c r="DQ287" s="5">
        <v>1</v>
      </c>
      <c r="DR287" s="5">
        <v>2.5</v>
      </c>
      <c r="DS287" s="6">
        <v>3.5</v>
      </c>
      <c r="DT287" s="5">
        <v>-0.6</v>
      </c>
      <c r="DU287" s="5">
        <v>0.5</v>
      </c>
      <c r="DV287" s="6">
        <v>0.5</v>
      </c>
      <c r="DW287" s="5">
        <f t="shared" si="814"/>
        <v>0.33333333333333331</v>
      </c>
      <c r="DX287" s="5">
        <v>4</v>
      </c>
      <c r="DY287" s="5">
        <f t="shared" si="815"/>
        <v>0</v>
      </c>
      <c r="DZ287" s="5">
        <v>0</v>
      </c>
    </row>
    <row r="288" spans="1:130" x14ac:dyDescent="0.15">
      <c r="A288" s="5">
        <v>201286</v>
      </c>
      <c r="B288" s="5" t="s">
        <v>529</v>
      </c>
      <c r="C288" s="5"/>
      <c r="D288" s="5"/>
      <c r="E288" s="5"/>
      <c r="F288" s="5">
        <v>1</v>
      </c>
      <c r="G288" s="45"/>
      <c r="H288" s="5"/>
      <c r="I288" s="5"/>
      <c r="J288" s="5"/>
      <c r="K288" s="5"/>
      <c r="L288" s="10"/>
      <c r="M288" s="5"/>
      <c r="N288" s="10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20"/>
      <c r="AF288" s="5"/>
      <c r="AG288" s="5"/>
      <c r="AH288" s="5"/>
      <c r="AI288" s="5"/>
      <c r="AJ288" s="5"/>
      <c r="AK288" s="5"/>
      <c r="AL288" s="5"/>
      <c r="AM288" s="5"/>
      <c r="AN288" s="8"/>
      <c r="AO288" s="5">
        <v>0</v>
      </c>
      <c r="AP288" s="5" t="s">
        <v>529</v>
      </c>
      <c r="AQ288" s="5">
        <v>0</v>
      </c>
      <c r="AR288" s="8">
        <v>10</v>
      </c>
      <c r="AS288" s="6">
        <f t="shared" si="881"/>
        <v>180</v>
      </c>
      <c r="AT288" s="6">
        <f t="shared" si="882"/>
        <v>198</v>
      </c>
      <c r="AU288" s="5">
        <v>0</v>
      </c>
      <c r="AV288" s="5">
        <v>0</v>
      </c>
      <c r="AW288" s="5">
        <v>0</v>
      </c>
      <c r="AX288" s="5">
        <v>1</v>
      </c>
      <c r="AY288" s="5">
        <v>0</v>
      </c>
      <c r="AZ288" s="23">
        <v>201286</v>
      </c>
      <c r="BA288" s="5">
        <f t="shared" ref="BA288:BA312" si="940">BA278+1</f>
        <v>203029</v>
      </c>
      <c r="BB288" s="5">
        <v>0</v>
      </c>
      <c r="BC288" s="5">
        <v>0</v>
      </c>
      <c r="BD288" s="5">
        <v>1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f t="shared" si="917"/>
        <v>0</v>
      </c>
      <c r="BM288" s="5">
        <v>0</v>
      </c>
      <c r="BN288" s="5">
        <v>0</v>
      </c>
      <c r="BO288" s="5">
        <v>0</v>
      </c>
      <c r="BP288" s="5">
        <v>0</v>
      </c>
      <c r="BQ288" s="5"/>
      <c r="BR288" s="5"/>
      <c r="BS288" s="4">
        <v>0</v>
      </c>
      <c r="BT288" s="4">
        <f t="shared" ref="BT288:BT313" si="941">BT278</f>
        <v>6</v>
      </c>
      <c r="BU288" s="17">
        <v>0</v>
      </c>
      <c r="BV288" s="4">
        <f t="shared" ref="BV288:BY288" si="942">BV278</f>
        <v>6</v>
      </c>
      <c r="BW288" s="4">
        <f t="shared" si="942"/>
        <v>6</v>
      </c>
      <c r="BX288" s="4">
        <f t="shared" si="942"/>
        <v>0.49999999999999994</v>
      </c>
      <c r="BY288" s="4">
        <f t="shared" si="942"/>
        <v>0.30000000000000004</v>
      </c>
      <c r="BZ288" s="5" t="s">
        <v>525</v>
      </c>
      <c r="CA288" s="4" t="str">
        <f t="shared" ref="CA288:CB312" si="943">BZ288</f>
        <v>monster29_1</v>
      </c>
      <c r="CB288" s="4" t="str">
        <f t="shared" si="943"/>
        <v>monster29_1</v>
      </c>
      <c r="CC288" s="5">
        <v>1</v>
      </c>
      <c r="CD288" s="8">
        <v>1</v>
      </c>
      <c r="CE288" s="5">
        <f t="shared" ref="CE288:CF288" si="944">CE278</f>
        <v>6</v>
      </c>
      <c r="CF288" s="5">
        <f t="shared" si="944"/>
        <v>1</v>
      </c>
      <c r="CG288" s="5" t="s">
        <v>529</v>
      </c>
      <c r="CH288" s="5">
        <v>0</v>
      </c>
      <c r="CI288" s="5">
        <v>133</v>
      </c>
      <c r="CJ288" s="4">
        <v>1</v>
      </c>
      <c r="CK288" s="20">
        <v>0</v>
      </c>
      <c r="CL288" s="5">
        <v>0</v>
      </c>
      <c r="CM288" s="20">
        <v>111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20">
        <v>2.5</v>
      </c>
      <c r="CW288" s="20">
        <v>3</v>
      </c>
      <c r="CX288" s="20">
        <v>2.5</v>
      </c>
      <c r="CY288" s="20">
        <v>3.5</v>
      </c>
      <c r="CZ288" s="8">
        <v>50</v>
      </c>
      <c r="DA288" s="6">
        <f t="shared" si="878"/>
        <v>7500</v>
      </c>
      <c r="DB288" s="5">
        <v>0</v>
      </c>
      <c r="DC288" s="5">
        <f t="shared" si="885"/>
        <v>0.625</v>
      </c>
      <c r="DD288" s="6">
        <f t="shared" si="879"/>
        <v>0.625</v>
      </c>
      <c r="DE288" s="6">
        <v>1</v>
      </c>
      <c r="DF288" s="5">
        <v>0</v>
      </c>
      <c r="DG288" s="6">
        <v>2.5</v>
      </c>
      <c r="DH288" s="5"/>
      <c r="DI288" s="8"/>
      <c r="DJ288" s="5">
        <v>0</v>
      </c>
      <c r="DK288" s="8">
        <v>0</v>
      </c>
      <c r="DL288" s="5">
        <f t="shared" si="880"/>
        <v>0</v>
      </c>
      <c r="DM288" s="5" t="str">
        <f t="shared" si="920"/>
        <v>6级海盗王</v>
      </c>
      <c r="DN288" s="5">
        <v>6</v>
      </c>
      <c r="DO288" s="5">
        <v>0</v>
      </c>
      <c r="DP288" s="5">
        <v>1</v>
      </c>
      <c r="DQ288" s="5">
        <v>1</v>
      </c>
      <c r="DR288" s="5">
        <v>2.5</v>
      </c>
      <c r="DS288" s="6">
        <v>3.5</v>
      </c>
      <c r="DT288" s="5">
        <v>-0.6</v>
      </c>
      <c r="DU288" s="5">
        <v>0.5</v>
      </c>
      <c r="DV288" s="6">
        <v>0.5</v>
      </c>
      <c r="DW288" s="5">
        <f t="shared" ref="DW288:DW313" si="945">DX288/12</f>
        <v>0.33333333333333331</v>
      </c>
      <c r="DX288" s="5">
        <v>4</v>
      </c>
      <c r="DY288" s="5">
        <f t="shared" ref="DY288:DY312" si="946">DZ288/12</f>
        <v>0</v>
      </c>
      <c r="DZ288" s="5">
        <v>0</v>
      </c>
    </row>
    <row r="289" spans="1:130" x14ac:dyDescent="0.15">
      <c r="A289" s="5">
        <v>201287</v>
      </c>
      <c r="B289" s="5" t="s">
        <v>530</v>
      </c>
      <c r="C289" s="5"/>
      <c r="D289" s="5"/>
      <c r="E289" s="5"/>
      <c r="F289" s="5">
        <v>1</v>
      </c>
      <c r="G289" s="45"/>
      <c r="H289" s="5"/>
      <c r="I289" s="5"/>
      <c r="J289" s="5"/>
      <c r="K289" s="5"/>
      <c r="L289" s="10"/>
      <c r="M289" s="5"/>
      <c r="N289" s="10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20"/>
      <c r="AF289" s="5"/>
      <c r="AG289" s="5"/>
      <c r="AH289" s="5"/>
      <c r="AI289" s="5"/>
      <c r="AJ289" s="5"/>
      <c r="AK289" s="5"/>
      <c r="AL289" s="5"/>
      <c r="AM289" s="5"/>
      <c r="AN289" s="8"/>
      <c r="AO289" s="5">
        <v>0</v>
      </c>
      <c r="AP289" s="5" t="s">
        <v>530</v>
      </c>
      <c r="AQ289" s="5">
        <v>0</v>
      </c>
      <c r="AR289" s="8">
        <v>10</v>
      </c>
      <c r="AS289" s="6">
        <f t="shared" si="881"/>
        <v>210</v>
      </c>
      <c r="AT289" s="6">
        <f t="shared" si="882"/>
        <v>231</v>
      </c>
      <c r="AU289" s="5">
        <v>0</v>
      </c>
      <c r="AV289" s="5">
        <v>0</v>
      </c>
      <c r="AW289" s="5">
        <v>0</v>
      </c>
      <c r="AX289" s="5">
        <v>1</v>
      </c>
      <c r="AY289" s="5">
        <v>0</v>
      </c>
      <c r="AZ289" s="23">
        <v>201287</v>
      </c>
      <c r="BA289" s="5">
        <f t="shared" si="940"/>
        <v>203029</v>
      </c>
      <c r="BB289" s="5">
        <v>0</v>
      </c>
      <c r="BC289" s="5">
        <v>0</v>
      </c>
      <c r="BD289" s="5">
        <v>1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f t="shared" si="917"/>
        <v>0</v>
      </c>
      <c r="BM289" s="5">
        <v>0</v>
      </c>
      <c r="BN289" s="5">
        <v>0</v>
      </c>
      <c r="BO289" s="5">
        <v>0</v>
      </c>
      <c r="BP289" s="5">
        <v>0</v>
      </c>
      <c r="BQ289" s="5"/>
      <c r="BR289" s="5"/>
      <c r="BS289" s="4">
        <v>0</v>
      </c>
      <c r="BT289" s="4">
        <f t="shared" si="941"/>
        <v>7</v>
      </c>
      <c r="BU289" s="17">
        <v>0</v>
      </c>
      <c r="BV289" s="4">
        <f t="shared" ref="BV289:BY289" si="947">BV279</f>
        <v>7</v>
      </c>
      <c r="BW289" s="4">
        <f t="shared" si="947"/>
        <v>7</v>
      </c>
      <c r="BX289" s="4">
        <f t="shared" si="947"/>
        <v>0.42999999999999994</v>
      </c>
      <c r="BY289" s="4">
        <f t="shared" si="947"/>
        <v>0.25</v>
      </c>
      <c r="BZ289" s="5" t="s">
        <v>523</v>
      </c>
      <c r="CA289" s="4" t="str">
        <f t="shared" si="943"/>
        <v>monster29</v>
      </c>
      <c r="CB289" s="4" t="str">
        <f t="shared" si="943"/>
        <v>monster29</v>
      </c>
      <c r="CC289" s="5">
        <v>1</v>
      </c>
      <c r="CD289" s="8">
        <v>1</v>
      </c>
      <c r="CE289" s="5">
        <f t="shared" ref="CE289:CF289" si="948">CE279</f>
        <v>7</v>
      </c>
      <c r="CF289" s="5">
        <f t="shared" si="948"/>
        <v>1</v>
      </c>
      <c r="CG289" s="5" t="s">
        <v>530</v>
      </c>
      <c r="CH289" s="5">
        <v>0</v>
      </c>
      <c r="CI289" s="5">
        <v>133</v>
      </c>
      <c r="CJ289" s="4">
        <v>0</v>
      </c>
      <c r="CK289" s="20">
        <v>0</v>
      </c>
      <c r="CL289" s="5">
        <v>0</v>
      </c>
      <c r="CM289" s="20">
        <v>111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20">
        <v>2.5</v>
      </c>
      <c r="CW289" s="20">
        <v>3</v>
      </c>
      <c r="CX289" s="20">
        <v>2.5</v>
      </c>
      <c r="CY289" s="20">
        <v>3.5</v>
      </c>
      <c r="CZ289" s="8">
        <v>50</v>
      </c>
      <c r="DA289" s="6">
        <f t="shared" si="878"/>
        <v>8750</v>
      </c>
      <c r="DB289" s="5">
        <v>0</v>
      </c>
      <c r="DC289" s="5">
        <f t="shared" si="885"/>
        <v>0.65</v>
      </c>
      <c r="DD289" s="6">
        <f t="shared" si="879"/>
        <v>0.65</v>
      </c>
      <c r="DE289" s="6">
        <v>1</v>
      </c>
      <c r="DF289" s="5">
        <v>0</v>
      </c>
      <c r="DG289" s="6">
        <v>2.5</v>
      </c>
      <c r="DH289" s="5"/>
      <c r="DI289" s="8"/>
      <c r="DJ289" s="5">
        <v>0</v>
      </c>
      <c r="DK289" s="8">
        <v>0</v>
      </c>
      <c r="DL289" s="5">
        <f t="shared" si="880"/>
        <v>0</v>
      </c>
      <c r="DM289" s="5" t="str">
        <f t="shared" si="920"/>
        <v>7级海盗王</v>
      </c>
      <c r="DN289" s="5">
        <v>6</v>
      </c>
      <c r="DO289" s="5">
        <v>0</v>
      </c>
      <c r="DP289" s="5">
        <v>1</v>
      </c>
      <c r="DQ289" s="5">
        <v>1</v>
      </c>
      <c r="DR289" s="5">
        <v>2.5</v>
      </c>
      <c r="DS289" s="6">
        <v>3.5</v>
      </c>
      <c r="DT289" s="5">
        <v>-0.6</v>
      </c>
      <c r="DU289" s="5">
        <v>0.5</v>
      </c>
      <c r="DV289" s="6">
        <v>0.5</v>
      </c>
      <c r="DW289" s="5">
        <f t="shared" si="945"/>
        <v>0.33333333333333331</v>
      </c>
      <c r="DX289" s="5">
        <v>4</v>
      </c>
      <c r="DY289" s="5">
        <f t="shared" si="946"/>
        <v>0</v>
      </c>
      <c r="DZ289" s="5">
        <v>0</v>
      </c>
    </row>
    <row r="290" spans="1:130" x14ac:dyDescent="0.15">
      <c r="A290" s="5">
        <v>201288</v>
      </c>
      <c r="B290" s="5" t="s">
        <v>531</v>
      </c>
      <c r="C290" s="5"/>
      <c r="D290" s="5"/>
      <c r="E290" s="5"/>
      <c r="F290" s="5">
        <v>1</v>
      </c>
      <c r="G290" s="45"/>
      <c r="H290" s="5"/>
      <c r="I290" s="5"/>
      <c r="J290" s="5"/>
      <c r="K290" s="5"/>
      <c r="L290" s="10"/>
      <c r="M290" s="5"/>
      <c r="N290" s="10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20"/>
      <c r="AF290" s="5"/>
      <c r="AG290" s="5"/>
      <c r="AH290" s="5"/>
      <c r="AI290" s="5"/>
      <c r="AJ290" s="5"/>
      <c r="AK290" s="5"/>
      <c r="AL290" s="5"/>
      <c r="AM290" s="5"/>
      <c r="AN290" s="8"/>
      <c r="AO290" s="5">
        <v>0</v>
      </c>
      <c r="AP290" s="5" t="s">
        <v>531</v>
      </c>
      <c r="AQ290" s="5">
        <v>0</v>
      </c>
      <c r="AR290" s="8">
        <v>10</v>
      </c>
      <c r="AS290" s="6">
        <f t="shared" si="881"/>
        <v>240</v>
      </c>
      <c r="AT290" s="6">
        <f t="shared" si="882"/>
        <v>264</v>
      </c>
      <c r="AU290" s="5">
        <v>0</v>
      </c>
      <c r="AV290" s="5">
        <v>0</v>
      </c>
      <c r="AW290" s="5">
        <v>0</v>
      </c>
      <c r="AX290" s="5">
        <v>1</v>
      </c>
      <c r="AY290" s="5">
        <v>0</v>
      </c>
      <c r="AZ290" s="23">
        <v>201288</v>
      </c>
      <c r="BA290" s="5">
        <f t="shared" si="940"/>
        <v>203029</v>
      </c>
      <c r="BB290" s="5">
        <v>0</v>
      </c>
      <c r="BC290" s="5">
        <v>0</v>
      </c>
      <c r="BD290" s="5">
        <v>1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f t="shared" si="917"/>
        <v>0</v>
      </c>
      <c r="BM290" s="5">
        <v>0</v>
      </c>
      <c r="BN290" s="5">
        <v>0</v>
      </c>
      <c r="BO290" s="5">
        <v>0</v>
      </c>
      <c r="BP290" s="5">
        <v>0</v>
      </c>
      <c r="BQ290" s="5"/>
      <c r="BR290" s="5"/>
      <c r="BS290" s="4">
        <v>0</v>
      </c>
      <c r="BT290" s="4">
        <f t="shared" si="941"/>
        <v>8</v>
      </c>
      <c r="BU290" s="17">
        <v>0</v>
      </c>
      <c r="BV290" s="4">
        <f t="shared" ref="BV290:BY290" si="949">BV280</f>
        <v>8</v>
      </c>
      <c r="BW290" s="4">
        <f t="shared" si="949"/>
        <v>8</v>
      </c>
      <c r="BX290" s="4">
        <f t="shared" si="949"/>
        <v>0.35999999999999993</v>
      </c>
      <c r="BY290" s="4">
        <f t="shared" si="949"/>
        <v>0.2</v>
      </c>
      <c r="BZ290" s="5" t="s">
        <v>525</v>
      </c>
      <c r="CA290" s="4" t="str">
        <f t="shared" si="943"/>
        <v>monster29_1</v>
      </c>
      <c r="CB290" s="4" t="str">
        <f t="shared" si="943"/>
        <v>monster29_1</v>
      </c>
      <c r="CC290" s="5">
        <v>1</v>
      </c>
      <c r="CD290" s="8">
        <v>1</v>
      </c>
      <c r="CE290" s="5">
        <f t="shared" ref="CE290:CF290" si="950">CE280</f>
        <v>8</v>
      </c>
      <c r="CF290" s="5">
        <f t="shared" si="950"/>
        <v>1</v>
      </c>
      <c r="CG290" s="5" t="s">
        <v>531</v>
      </c>
      <c r="CH290" s="5">
        <v>0</v>
      </c>
      <c r="CI290" s="5">
        <v>133</v>
      </c>
      <c r="CJ290" s="4">
        <v>1</v>
      </c>
      <c r="CK290" s="20">
        <v>0</v>
      </c>
      <c r="CL290" s="5">
        <v>0</v>
      </c>
      <c r="CM290" s="20">
        <v>111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20">
        <v>2.5</v>
      </c>
      <c r="CW290" s="20">
        <v>3</v>
      </c>
      <c r="CX290" s="20">
        <v>2.5</v>
      </c>
      <c r="CY290" s="20">
        <v>3.5</v>
      </c>
      <c r="CZ290" s="8">
        <v>50</v>
      </c>
      <c r="DA290" s="6">
        <f t="shared" si="878"/>
        <v>10000</v>
      </c>
      <c r="DB290" s="5">
        <v>0</v>
      </c>
      <c r="DC290" s="5">
        <f t="shared" si="885"/>
        <v>0.67500000000000004</v>
      </c>
      <c r="DD290" s="6">
        <f t="shared" si="879"/>
        <v>0.67500000000000004</v>
      </c>
      <c r="DE290" s="6">
        <v>1</v>
      </c>
      <c r="DF290" s="5">
        <v>0</v>
      </c>
      <c r="DG290" s="6">
        <v>2.5</v>
      </c>
      <c r="DH290" s="5"/>
      <c r="DI290" s="8"/>
      <c r="DJ290" s="5">
        <v>0</v>
      </c>
      <c r="DK290" s="8">
        <v>0</v>
      </c>
      <c r="DL290" s="5">
        <f t="shared" si="880"/>
        <v>0</v>
      </c>
      <c r="DM290" s="5" t="str">
        <f t="shared" si="920"/>
        <v>8级海盗王</v>
      </c>
      <c r="DN290" s="5">
        <v>6</v>
      </c>
      <c r="DO290" s="5">
        <v>0</v>
      </c>
      <c r="DP290" s="5">
        <v>1</v>
      </c>
      <c r="DQ290" s="5">
        <v>1</v>
      </c>
      <c r="DR290" s="5">
        <v>2.5</v>
      </c>
      <c r="DS290" s="6">
        <v>3.5</v>
      </c>
      <c r="DT290" s="5">
        <v>-0.6</v>
      </c>
      <c r="DU290" s="5">
        <v>0.5</v>
      </c>
      <c r="DV290" s="6">
        <v>0.5</v>
      </c>
      <c r="DW290" s="5">
        <f t="shared" si="945"/>
        <v>0.33333333333333331</v>
      </c>
      <c r="DX290" s="5">
        <v>4</v>
      </c>
      <c r="DY290" s="5">
        <f t="shared" si="946"/>
        <v>0</v>
      </c>
      <c r="DZ290" s="5">
        <v>0</v>
      </c>
    </row>
    <row r="291" spans="1:130" x14ac:dyDescent="0.15">
      <c r="A291" s="5">
        <v>201289</v>
      </c>
      <c r="B291" s="5" t="s">
        <v>532</v>
      </c>
      <c r="C291" s="5"/>
      <c r="D291" s="5"/>
      <c r="E291" s="5"/>
      <c r="F291" s="5">
        <v>1</v>
      </c>
      <c r="G291" s="45"/>
      <c r="H291" s="5"/>
      <c r="I291" s="5"/>
      <c r="J291" s="5"/>
      <c r="K291" s="5"/>
      <c r="L291" s="10"/>
      <c r="M291" s="5"/>
      <c r="N291" s="10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20"/>
      <c r="AF291" s="5"/>
      <c r="AG291" s="5"/>
      <c r="AH291" s="5"/>
      <c r="AI291" s="5"/>
      <c r="AJ291" s="5"/>
      <c r="AK291" s="5"/>
      <c r="AL291" s="5"/>
      <c r="AM291" s="5"/>
      <c r="AN291" s="8"/>
      <c r="AO291" s="5">
        <v>0</v>
      </c>
      <c r="AP291" s="5" t="s">
        <v>532</v>
      </c>
      <c r="AQ291" s="5">
        <v>0</v>
      </c>
      <c r="AR291" s="8">
        <v>10</v>
      </c>
      <c r="AS291" s="6">
        <f t="shared" si="881"/>
        <v>270</v>
      </c>
      <c r="AT291" s="6">
        <f t="shared" si="882"/>
        <v>297</v>
      </c>
      <c r="AU291" s="5">
        <v>0</v>
      </c>
      <c r="AV291" s="5">
        <v>0</v>
      </c>
      <c r="AW291" s="5">
        <v>0</v>
      </c>
      <c r="AX291" s="5">
        <v>1</v>
      </c>
      <c r="AY291" s="5">
        <v>0</v>
      </c>
      <c r="AZ291" s="23">
        <v>201289</v>
      </c>
      <c r="BA291" s="5">
        <f t="shared" si="940"/>
        <v>203029</v>
      </c>
      <c r="BB291" s="5">
        <v>0</v>
      </c>
      <c r="BC291" s="5">
        <v>0</v>
      </c>
      <c r="BD291" s="5">
        <v>1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f t="shared" si="917"/>
        <v>1</v>
      </c>
      <c r="BM291" s="5">
        <v>0</v>
      </c>
      <c r="BN291" s="5">
        <v>0</v>
      </c>
      <c r="BO291" s="5">
        <v>0</v>
      </c>
      <c r="BP291" s="5">
        <v>0</v>
      </c>
      <c r="BQ291" s="5"/>
      <c r="BR291" s="5"/>
      <c r="BS291" s="4">
        <v>0</v>
      </c>
      <c r="BT291" s="4">
        <f t="shared" si="941"/>
        <v>9</v>
      </c>
      <c r="BU291" s="17">
        <v>0</v>
      </c>
      <c r="BV291" s="4">
        <f t="shared" ref="BV291:BY291" si="951">BV281</f>
        <v>9</v>
      </c>
      <c r="BW291" s="4">
        <f t="shared" si="951"/>
        <v>9</v>
      </c>
      <c r="BX291" s="4">
        <f t="shared" si="951"/>
        <v>0.28999999999999992</v>
      </c>
      <c r="BY291" s="4">
        <f t="shared" si="951"/>
        <v>0.15000000000000002</v>
      </c>
      <c r="BZ291" s="5" t="s">
        <v>523</v>
      </c>
      <c r="CA291" s="4" t="str">
        <f t="shared" si="943"/>
        <v>monster29</v>
      </c>
      <c r="CB291" s="4" t="str">
        <f t="shared" si="943"/>
        <v>monster29</v>
      </c>
      <c r="CC291" s="5">
        <v>1</v>
      </c>
      <c r="CD291" s="8">
        <v>1</v>
      </c>
      <c r="CE291" s="5">
        <f t="shared" ref="CE291:CF291" si="952">CE281</f>
        <v>9</v>
      </c>
      <c r="CF291" s="5">
        <f t="shared" si="952"/>
        <v>1</v>
      </c>
      <c r="CG291" s="5" t="s">
        <v>532</v>
      </c>
      <c r="CH291" s="5">
        <v>0</v>
      </c>
      <c r="CI291" s="5">
        <v>133</v>
      </c>
      <c r="CJ291" s="4">
        <v>0</v>
      </c>
      <c r="CK291" s="20">
        <v>0</v>
      </c>
      <c r="CL291" s="5">
        <v>0</v>
      </c>
      <c r="CM291" s="20">
        <v>111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20">
        <v>2.5</v>
      </c>
      <c r="CW291" s="20">
        <v>3</v>
      </c>
      <c r="CX291" s="20">
        <v>2.5</v>
      </c>
      <c r="CY291" s="20">
        <v>3.5</v>
      </c>
      <c r="CZ291" s="8">
        <v>50</v>
      </c>
      <c r="DA291" s="6">
        <f t="shared" si="878"/>
        <v>11250</v>
      </c>
      <c r="DB291" s="5">
        <v>0</v>
      </c>
      <c r="DC291" s="5">
        <f t="shared" si="885"/>
        <v>0.7</v>
      </c>
      <c r="DD291" s="6">
        <f t="shared" si="879"/>
        <v>0.7</v>
      </c>
      <c r="DE291" s="6">
        <v>1</v>
      </c>
      <c r="DF291" s="5">
        <v>0</v>
      </c>
      <c r="DG291" s="6">
        <v>2.5</v>
      </c>
      <c r="DH291" s="5"/>
      <c r="DI291" s="8"/>
      <c r="DJ291" s="5">
        <v>0</v>
      </c>
      <c r="DK291" s="8">
        <v>0</v>
      </c>
      <c r="DL291" s="5">
        <f t="shared" si="880"/>
        <v>0</v>
      </c>
      <c r="DM291" s="5" t="str">
        <f t="shared" si="920"/>
        <v>9级海盗王</v>
      </c>
      <c r="DN291" s="5">
        <v>6</v>
      </c>
      <c r="DO291" s="5">
        <v>0</v>
      </c>
      <c r="DP291" s="5">
        <v>1</v>
      </c>
      <c r="DQ291" s="5">
        <v>1</v>
      </c>
      <c r="DR291" s="5">
        <v>2.5</v>
      </c>
      <c r="DS291" s="6">
        <v>3.5</v>
      </c>
      <c r="DT291" s="5">
        <v>-0.6</v>
      </c>
      <c r="DU291" s="5">
        <v>0.5</v>
      </c>
      <c r="DV291" s="6">
        <v>0.5</v>
      </c>
      <c r="DW291" s="5">
        <f t="shared" si="945"/>
        <v>0.33333333333333331</v>
      </c>
      <c r="DX291" s="5">
        <v>4</v>
      </c>
      <c r="DY291" s="5">
        <f t="shared" si="946"/>
        <v>0</v>
      </c>
      <c r="DZ291" s="5">
        <v>0</v>
      </c>
    </row>
    <row r="292" spans="1:130" x14ac:dyDescent="0.15">
      <c r="A292" s="5">
        <v>201290</v>
      </c>
      <c r="B292" s="5" t="s">
        <v>533</v>
      </c>
      <c r="C292" s="5"/>
      <c r="D292" s="5"/>
      <c r="E292" s="5"/>
      <c r="F292" s="5">
        <v>1</v>
      </c>
      <c r="G292" s="45"/>
      <c r="H292" s="5"/>
      <c r="I292" s="5"/>
      <c r="J292" s="5"/>
      <c r="K292" s="5"/>
      <c r="L292" s="10"/>
      <c r="M292" s="5"/>
      <c r="N292" s="10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20"/>
      <c r="AF292" s="5"/>
      <c r="AG292" s="5"/>
      <c r="AH292" s="5"/>
      <c r="AI292" s="5"/>
      <c r="AJ292" s="5"/>
      <c r="AK292" s="5"/>
      <c r="AL292" s="5"/>
      <c r="AM292" s="5"/>
      <c r="AN292" s="8"/>
      <c r="AO292" s="5">
        <v>0</v>
      </c>
      <c r="AP292" s="5" t="s">
        <v>533</v>
      </c>
      <c r="AQ292" s="5">
        <v>0</v>
      </c>
      <c r="AR292" s="8">
        <v>10</v>
      </c>
      <c r="AS292" s="6">
        <f t="shared" si="881"/>
        <v>300</v>
      </c>
      <c r="AT292" s="6">
        <f t="shared" si="882"/>
        <v>330</v>
      </c>
      <c r="AU292" s="5">
        <v>0</v>
      </c>
      <c r="AV292" s="5">
        <v>0</v>
      </c>
      <c r="AW292" s="5">
        <v>0</v>
      </c>
      <c r="AX292" s="5">
        <v>1</v>
      </c>
      <c r="AY292" s="5">
        <v>0</v>
      </c>
      <c r="AZ292" s="23">
        <v>201290</v>
      </c>
      <c r="BA292" s="5">
        <f t="shared" si="940"/>
        <v>203029</v>
      </c>
      <c r="BB292" s="5">
        <v>0</v>
      </c>
      <c r="BC292" s="5">
        <v>0</v>
      </c>
      <c r="BD292" s="5">
        <v>1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f t="shared" si="917"/>
        <v>0</v>
      </c>
      <c r="BM292" s="5">
        <v>0</v>
      </c>
      <c r="BN292" s="5">
        <v>0</v>
      </c>
      <c r="BO292" s="5">
        <v>0</v>
      </c>
      <c r="BP292" s="5">
        <v>0</v>
      </c>
      <c r="BQ292" s="5"/>
      <c r="BR292" s="5"/>
      <c r="BS292" s="4">
        <v>0</v>
      </c>
      <c r="BT292" s="4">
        <f t="shared" si="941"/>
        <v>10</v>
      </c>
      <c r="BU292" s="17">
        <v>0</v>
      </c>
      <c r="BV292" s="4">
        <f t="shared" ref="BV292:BY292" si="953">BV282</f>
        <v>10</v>
      </c>
      <c r="BW292" s="4">
        <f t="shared" si="953"/>
        <v>10</v>
      </c>
      <c r="BX292" s="4">
        <f t="shared" si="953"/>
        <v>0.21999999999999986</v>
      </c>
      <c r="BY292" s="4">
        <f t="shared" si="953"/>
        <v>0.10000000000000003</v>
      </c>
      <c r="BZ292" s="5" t="s">
        <v>525</v>
      </c>
      <c r="CA292" s="4" t="str">
        <f t="shared" si="943"/>
        <v>monster29_1</v>
      </c>
      <c r="CB292" s="4" t="str">
        <f t="shared" si="943"/>
        <v>monster29_1</v>
      </c>
      <c r="CC292" s="5">
        <v>1</v>
      </c>
      <c r="CD292" s="8">
        <v>1</v>
      </c>
      <c r="CE292" s="5">
        <f t="shared" ref="CE292:CF292" si="954">CE282</f>
        <v>10</v>
      </c>
      <c r="CF292" s="5">
        <f t="shared" si="954"/>
        <v>1</v>
      </c>
      <c r="CG292" s="5" t="s">
        <v>533</v>
      </c>
      <c r="CH292" s="5">
        <v>0</v>
      </c>
      <c r="CI292" s="5">
        <v>133</v>
      </c>
      <c r="CJ292" s="4">
        <v>1</v>
      </c>
      <c r="CK292" s="20">
        <v>0</v>
      </c>
      <c r="CL292" s="5">
        <v>0</v>
      </c>
      <c r="CM292" s="20">
        <v>111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20">
        <v>2.5</v>
      </c>
      <c r="CW292" s="20">
        <v>3</v>
      </c>
      <c r="CX292" s="20">
        <v>2.5</v>
      </c>
      <c r="CY292" s="20">
        <v>3.5</v>
      </c>
      <c r="CZ292" s="8">
        <v>50</v>
      </c>
      <c r="DA292" s="6">
        <f t="shared" si="878"/>
        <v>12500</v>
      </c>
      <c r="DB292" s="5">
        <v>0</v>
      </c>
      <c r="DC292" s="5">
        <f t="shared" si="885"/>
        <v>0.72499999999999998</v>
      </c>
      <c r="DD292" s="6">
        <f t="shared" si="879"/>
        <v>0.72499999999999998</v>
      </c>
      <c r="DE292" s="6">
        <v>1</v>
      </c>
      <c r="DF292" s="5">
        <v>0</v>
      </c>
      <c r="DG292" s="6">
        <v>2.5</v>
      </c>
      <c r="DH292" s="5"/>
      <c r="DI292" s="8"/>
      <c r="DJ292" s="5">
        <v>0</v>
      </c>
      <c r="DK292" s="8">
        <v>0</v>
      </c>
      <c r="DL292" s="5">
        <f t="shared" si="880"/>
        <v>0</v>
      </c>
      <c r="DM292" s="5" t="str">
        <f t="shared" si="920"/>
        <v>10级海盗王</v>
      </c>
      <c r="DN292" s="5">
        <v>6</v>
      </c>
      <c r="DO292" s="5">
        <v>0</v>
      </c>
      <c r="DP292" s="5">
        <v>1</v>
      </c>
      <c r="DQ292" s="5">
        <v>1</v>
      </c>
      <c r="DR292" s="5">
        <v>2.5</v>
      </c>
      <c r="DS292" s="6">
        <v>3.5</v>
      </c>
      <c r="DT292" s="5">
        <v>-0.6</v>
      </c>
      <c r="DU292" s="5">
        <v>0.5</v>
      </c>
      <c r="DV292" s="6">
        <v>0.5</v>
      </c>
      <c r="DW292" s="5">
        <f t="shared" si="945"/>
        <v>0.33333333333333331</v>
      </c>
      <c r="DX292" s="5">
        <v>4</v>
      </c>
      <c r="DY292" s="5">
        <f t="shared" si="946"/>
        <v>0</v>
      </c>
      <c r="DZ292" s="5">
        <v>0</v>
      </c>
    </row>
    <row r="293" spans="1:130" x14ac:dyDescent="0.15">
      <c r="A293" s="5">
        <v>201291</v>
      </c>
      <c r="B293" s="5" t="s">
        <v>534</v>
      </c>
      <c r="C293" s="5"/>
      <c r="D293" s="5"/>
      <c r="E293" s="5"/>
      <c r="F293" s="5">
        <v>1</v>
      </c>
      <c r="G293" s="45"/>
      <c r="H293" s="5"/>
      <c r="I293" s="5"/>
      <c r="J293" s="5"/>
      <c r="K293" s="5"/>
      <c r="L293" s="10"/>
      <c r="M293" s="5"/>
      <c r="N293" s="10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20"/>
      <c r="AF293" s="5"/>
      <c r="AG293" s="5"/>
      <c r="AH293" s="5"/>
      <c r="AI293" s="5"/>
      <c r="AJ293" s="5"/>
      <c r="AK293" s="5"/>
      <c r="AL293" s="5"/>
      <c r="AM293" s="5"/>
      <c r="AN293" s="8"/>
      <c r="AO293" s="5">
        <v>0</v>
      </c>
      <c r="AP293" s="5" t="s">
        <v>534</v>
      </c>
      <c r="AQ293" s="5">
        <v>0</v>
      </c>
      <c r="AR293" s="8">
        <v>10</v>
      </c>
      <c r="AS293" s="6">
        <f t="shared" si="881"/>
        <v>30</v>
      </c>
      <c r="AT293" s="6">
        <f t="shared" si="882"/>
        <v>33</v>
      </c>
      <c r="AU293" s="5">
        <v>0</v>
      </c>
      <c r="AV293" s="5">
        <v>0</v>
      </c>
      <c r="AW293" s="5">
        <v>0</v>
      </c>
      <c r="AX293" s="5">
        <v>1</v>
      </c>
      <c r="AY293" s="5">
        <v>0</v>
      </c>
      <c r="AZ293" s="23">
        <v>201291</v>
      </c>
      <c r="BA293" s="5">
        <f t="shared" si="940"/>
        <v>203030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f t="shared" si="917"/>
        <v>2</v>
      </c>
      <c r="BM293" s="5">
        <v>0</v>
      </c>
      <c r="BN293" s="5">
        <v>0</v>
      </c>
      <c r="BO293" s="5">
        <v>0</v>
      </c>
      <c r="BP293" s="5">
        <v>0</v>
      </c>
      <c r="BQ293" s="5"/>
      <c r="BR293" s="5"/>
      <c r="BS293" s="4">
        <v>0</v>
      </c>
      <c r="BT293" s="4">
        <f t="shared" si="941"/>
        <v>1</v>
      </c>
      <c r="BU293" s="17">
        <v>0</v>
      </c>
      <c r="BV293" s="4">
        <f t="shared" ref="BV293:BY293" si="955">BV283</f>
        <v>1</v>
      </c>
      <c r="BW293" s="4">
        <f t="shared" si="955"/>
        <v>1</v>
      </c>
      <c r="BX293" s="4">
        <f t="shared" si="955"/>
        <v>0.85</v>
      </c>
      <c r="BY293" s="4">
        <f t="shared" si="955"/>
        <v>0.55000000000000004</v>
      </c>
      <c r="BZ293" s="5" t="s">
        <v>535</v>
      </c>
      <c r="CA293" s="4" t="str">
        <f t="shared" si="943"/>
        <v>monster30</v>
      </c>
      <c r="CB293" s="4" t="str">
        <f t="shared" si="943"/>
        <v>monster30</v>
      </c>
      <c r="CC293" s="5">
        <v>1</v>
      </c>
      <c r="CD293" s="8">
        <v>1</v>
      </c>
      <c r="CE293" s="5">
        <f t="shared" ref="CE293:CF293" si="956">CE283</f>
        <v>1</v>
      </c>
      <c r="CF293" s="5">
        <f t="shared" si="956"/>
        <v>1</v>
      </c>
      <c r="CG293" s="5" t="s">
        <v>534</v>
      </c>
      <c r="CH293" s="5">
        <v>0</v>
      </c>
      <c r="CI293" s="5">
        <v>0</v>
      </c>
      <c r="CJ293" s="4">
        <v>0</v>
      </c>
      <c r="CK293" s="20">
        <v>0</v>
      </c>
      <c r="CL293" s="5">
        <v>0</v>
      </c>
      <c r="CM293" s="20">
        <v>111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20">
        <v>2.5</v>
      </c>
      <c r="CW293" s="20">
        <v>3</v>
      </c>
      <c r="CX293" s="20">
        <v>2.5</v>
      </c>
      <c r="CY293" s="20">
        <v>3.5</v>
      </c>
      <c r="CZ293" s="8">
        <v>50</v>
      </c>
      <c r="DA293" s="6">
        <f t="shared" si="878"/>
        <v>1250</v>
      </c>
      <c r="DB293" s="5">
        <v>0</v>
      </c>
      <c r="DC293" s="5">
        <f t="shared" si="885"/>
        <v>0.5</v>
      </c>
      <c r="DD293" s="6">
        <f t="shared" si="879"/>
        <v>0.5</v>
      </c>
      <c r="DE293" s="6">
        <v>1</v>
      </c>
      <c r="DF293" s="5">
        <v>0</v>
      </c>
      <c r="DG293" s="6">
        <v>2.5</v>
      </c>
      <c r="DH293" s="5"/>
      <c r="DI293" s="8"/>
      <c r="DJ293" s="5">
        <v>0</v>
      </c>
      <c r="DK293" s="8">
        <v>0</v>
      </c>
      <c r="DL293" s="5">
        <f t="shared" si="880"/>
        <v>0</v>
      </c>
      <c r="DM293" s="5" t="str">
        <f t="shared" si="920"/>
        <v>1级海盗头目</v>
      </c>
      <c r="DN293" s="5">
        <v>6</v>
      </c>
      <c r="DO293" s="5">
        <v>0</v>
      </c>
      <c r="DP293" s="5">
        <v>1</v>
      </c>
      <c r="DQ293" s="5">
        <v>1</v>
      </c>
      <c r="DR293" s="5">
        <v>2.5</v>
      </c>
      <c r="DS293" s="6">
        <v>3.5</v>
      </c>
      <c r="DT293" s="5">
        <v>-0.5</v>
      </c>
      <c r="DU293" s="5">
        <v>0.5</v>
      </c>
      <c r="DV293" s="6">
        <v>0.5</v>
      </c>
      <c r="DW293" s="5">
        <f t="shared" si="945"/>
        <v>0.33333333333333331</v>
      </c>
      <c r="DX293" s="5">
        <v>4</v>
      </c>
      <c r="DY293" s="5">
        <f t="shared" si="946"/>
        <v>0</v>
      </c>
      <c r="DZ293" s="5">
        <v>0</v>
      </c>
    </row>
    <row r="294" spans="1:130" x14ac:dyDescent="0.15">
      <c r="A294" s="5">
        <v>201292</v>
      </c>
      <c r="B294" s="5" t="s">
        <v>536</v>
      </c>
      <c r="C294" s="5"/>
      <c r="D294" s="5"/>
      <c r="E294" s="5"/>
      <c r="F294" s="5">
        <v>1</v>
      </c>
      <c r="G294" s="45"/>
      <c r="H294" s="5"/>
      <c r="I294" s="5"/>
      <c r="J294" s="5"/>
      <c r="K294" s="5"/>
      <c r="L294" s="10"/>
      <c r="M294" s="5"/>
      <c r="N294" s="10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20"/>
      <c r="AF294" s="5"/>
      <c r="AG294" s="5"/>
      <c r="AH294" s="5"/>
      <c r="AI294" s="5"/>
      <c r="AJ294" s="5"/>
      <c r="AK294" s="5"/>
      <c r="AL294" s="5"/>
      <c r="AM294" s="5"/>
      <c r="AN294" s="8"/>
      <c r="AO294" s="5">
        <v>0</v>
      </c>
      <c r="AP294" s="5" t="s">
        <v>536</v>
      </c>
      <c r="AQ294" s="5">
        <v>0</v>
      </c>
      <c r="AR294" s="8">
        <v>10</v>
      </c>
      <c r="AS294" s="6">
        <f t="shared" si="881"/>
        <v>60</v>
      </c>
      <c r="AT294" s="6">
        <f t="shared" si="882"/>
        <v>66</v>
      </c>
      <c r="AU294" s="5">
        <v>0</v>
      </c>
      <c r="AV294" s="5">
        <v>0</v>
      </c>
      <c r="AW294" s="5">
        <v>0</v>
      </c>
      <c r="AX294" s="5">
        <v>1</v>
      </c>
      <c r="AY294" s="5">
        <v>0</v>
      </c>
      <c r="AZ294" s="23">
        <v>201292</v>
      </c>
      <c r="BA294" s="5">
        <f t="shared" si="940"/>
        <v>203030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f t="shared" si="917"/>
        <v>0</v>
      </c>
      <c r="BM294" s="5">
        <v>0</v>
      </c>
      <c r="BN294" s="5">
        <v>0</v>
      </c>
      <c r="BO294" s="5">
        <v>0</v>
      </c>
      <c r="BP294" s="5">
        <v>0</v>
      </c>
      <c r="BQ294" s="5"/>
      <c r="BR294" s="5"/>
      <c r="BS294" s="4">
        <v>0</v>
      </c>
      <c r="BT294" s="4">
        <f t="shared" si="941"/>
        <v>2</v>
      </c>
      <c r="BU294" s="17">
        <v>0</v>
      </c>
      <c r="BV294" s="4">
        <f t="shared" ref="BV294:BY294" si="957">BV284</f>
        <v>2</v>
      </c>
      <c r="BW294" s="4">
        <f t="shared" si="957"/>
        <v>2</v>
      </c>
      <c r="BX294" s="4">
        <f t="shared" si="957"/>
        <v>0.78</v>
      </c>
      <c r="BY294" s="4">
        <f t="shared" si="957"/>
        <v>0.5</v>
      </c>
      <c r="BZ294" s="5" t="s">
        <v>537</v>
      </c>
      <c r="CA294" s="4" t="str">
        <f t="shared" si="943"/>
        <v>monster30_1</v>
      </c>
      <c r="CB294" s="4" t="str">
        <f t="shared" si="943"/>
        <v>monster30_1</v>
      </c>
      <c r="CC294" s="5">
        <v>1</v>
      </c>
      <c r="CD294" s="8">
        <v>1</v>
      </c>
      <c r="CE294" s="5">
        <f t="shared" ref="CE294:CF294" si="958">CE284</f>
        <v>2</v>
      </c>
      <c r="CF294" s="5">
        <f t="shared" si="958"/>
        <v>1</v>
      </c>
      <c r="CG294" s="5" t="s">
        <v>536</v>
      </c>
      <c r="CH294" s="5">
        <v>0</v>
      </c>
      <c r="CI294" s="5">
        <v>0</v>
      </c>
      <c r="CJ294" s="4">
        <v>1</v>
      </c>
      <c r="CK294" s="20">
        <v>0</v>
      </c>
      <c r="CL294" s="5">
        <v>0</v>
      </c>
      <c r="CM294" s="20">
        <v>111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20">
        <v>2.5</v>
      </c>
      <c r="CW294" s="20">
        <v>3</v>
      </c>
      <c r="CX294" s="20">
        <v>2.5</v>
      </c>
      <c r="CY294" s="20">
        <v>3.5</v>
      </c>
      <c r="CZ294" s="8">
        <v>50</v>
      </c>
      <c r="DA294" s="6">
        <f t="shared" si="878"/>
        <v>2500</v>
      </c>
      <c r="DB294" s="5">
        <v>0</v>
      </c>
      <c r="DC294" s="5">
        <f t="shared" si="885"/>
        <v>0.52500000000000002</v>
      </c>
      <c r="DD294" s="6">
        <f t="shared" si="879"/>
        <v>0.52500000000000002</v>
      </c>
      <c r="DE294" s="6">
        <v>1</v>
      </c>
      <c r="DF294" s="5">
        <v>0</v>
      </c>
      <c r="DG294" s="6">
        <v>2.5</v>
      </c>
      <c r="DH294" s="5"/>
      <c r="DI294" s="8"/>
      <c r="DJ294" s="5">
        <v>0</v>
      </c>
      <c r="DK294" s="8">
        <v>0</v>
      </c>
      <c r="DL294" s="5">
        <f t="shared" si="880"/>
        <v>0</v>
      </c>
      <c r="DM294" s="5" t="str">
        <f t="shared" si="920"/>
        <v>2级海盗头目</v>
      </c>
      <c r="DN294" s="5">
        <v>6</v>
      </c>
      <c r="DO294" s="5">
        <v>0</v>
      </c>
      <c r="DP294" s="5">
        <v>1</v>
      </c>
      <c r="DQ294" s="5">
        <v>1</v>
      </c>
      <c r="DR294" s="5">
        <v>2.5</v>
      </c>
      <c r="DS294" s="6">
        <v>3.5</v>
      </c>
      <c r="DT294" s="5">
        <v>-0.5</v>
      </c>
      <c r="DU294" s="5">
        <v>0.5</v>
      </c>
      <c r="DV294" s="6">
        <v>0.5</v>
      </c>
      <c r="DW294" s="5">
        <f t="shared" si="945"/>
        <v>0.33333333333333331</v>
      </c>
      <c r="DX294" s="5">
        <v>4</v>
      </c>
      <c r="DY294" s="5">
        <f t="shared" si="946"/>
        <v>0</v>
      </c>
      <c r="DZ294" s="5">
        <v>0</v>
      </c>
    </row>
    <row r="295" spans="1:130" x14ac:dyDescent="0.15">
      <c r="A295" s="5">
        <v>201293</v>
      </c>
      <c r="B295" s="5" t="s">
        <v>538</v>
      </c>
      <c r="C295" s="5"/>
      <c r="D295" s="5"/>
      <c r="E295" s="5"/>
      <c r="F295" s="5">
        <v>1</v>
      </c>
      <c r="G295" s="45"/>
      <c r="H295" s="5"/>
      <c r="I295" s="5"/>
      <c r="J295" s="5"/>
      <c r="K295" s="5"/>
      <c r="L295" s="10"/>
      <c r="M295" s="5"/>
      <c r="N295" s="10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20"/>
      <c r="AF295" s="5"/>
      <c r="AG295" s="5"/>
      <c r="AH295" s="5"/>
      <c r="AI295" s="5"/>
      <c r="AJ295" s="5"/>
      <c r="AK295" s="5"/>
      <c r="AL295" s="5"/>
      <c r="AM295" s="5"/>
      <c r="AN295" s="8"/>
      <c r="AO295" s="5">
        <v>0</v>
      </c>
      <c r="AP295" s="5" t="s">
        <v>538</v>
      </c>
      <c r="AQ295" s="5">
        <v>0</v>
      </c>
      <c r="AR295" s="8">
        <v>10</v>
      </c>
      <c r="AS295" s="6">
        <f t="shared" si="881"/>
        <v>90</v>
      </c>
      <c r="AT295" s="6">
        <f t="shared" si="882"/>
        <v>99</v>
      </c>
      <c r="AU295" s="5">
        <v>0</v>
      </c>
      <c r="AV295" s="5">
        <v>0</v>
      </c>
      <c r="AW295" s="5">
        <v>0</v>
      </c>
      <c r="AX295" s="5">
        <v>1</v>
      </c>
      <c r="AY295" s="5">
        <v>0</v>
      </c>
      <c r="AZ295" s="23">
        <v>201293</v>
      </c>
      <c r="BA295" s="5">
        <f t="shared" si="940"/>
        <v>203030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f t="shared" si="917"/>
        <v>0</v>
      </c>
      <c r="BM295" s="5">
        <v>0</v>
      </c>
      <c r="BN295" s="5">
        <v>0</v>
      </c>
      <c r="BO295" s="5">
        <v>0</v>
      </c>
      <c r="BP295" s="5">
        <v>0</v>
      </c>
      <c r="BQ295" s="5"/>
      <c r="BR295" s="5"/>
      <c r="BS295" s="4">
        <v>0</v>
      </c>
      <c r="BT295" s="4">
        <f t="shared" si="941"/>
        <v>3</v>
      </c>
      <c r="BU295" s="17">
        <v>0</v>
      </c>
      <c r="BV295" s="4">
        <f t="shared" ref="BV295:BY295" si="959">BV285</f>
        <v>3</v>
      </c>
      <c r="BW295" s="4">
        <f t="shared" si="959"/>
        <v>3</v>
      </c>
      <c r="BX295" s="4">
        <f t="shared" si="959"/>
        <v>0.71</v>
      </c>
      <c r="BY295" s="4">
        <f t="shared" si="959"/>
        <v>0.45000000000000007</v>
      </c>
      <c r="BZ295" s="5" t="s">
        <v>535</v>
      </c>
      <c r="CA295" s="4" t="str">
        <f t="shared" si="943"/>
        <v>monster30</v>
      </c>
      <c r="CB295" s="4" t="str">
        <f t="shared" si="943"/>
        <v>monster30</v>
      </c>
      <c r="CC295" s="5">
        <v>1</v>
      </c>
      <c r="CD295" s="8">
        <v>1</v>
      </c>
      <c r="CE295" s="5">
        <f t="shared" ref="CE295:CF295" si="960">CE285</f>
        <v>3</v>
      </c>
      <c r="CF295" s="5">
        <f t="shared" si="960"/>
        <v>1</v>
      </c>
      <c r="CG295" s="5" t="s">
        <v>538</v>
      </c>
      <c r="CH295" s="5">
        <v>0</v>
      </c>
      <c r="CI295" s="5">
        <v>0</v>
      </c>
      <c r="CJ295" s="4">
        <v>0</v>
      </c>
      <c r="CK295" s="20">
        <v>0</v>
      </c>
      <c r="CL295" s="5">
        <v>0</v>
      </c>
      <c r="CM295" s="20">
        <v>111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20">
        <v>2.5</v>
      </c>
      <c r="CW295" s="20">
        <v>3</v>
      </c>
      <c r="CX295" s="20">
        <v>2.5</v>
      </c>
      <c r="CY295" s="20">
        <v>3.5</v>
      </c>
      <c r="CZ295" s="8">
        <v>50</v>
      </c>
      <c r="DA295" s="6">
        <f t="shared" si="878"/>
        <v>3750</v>
      </c>
      <c r="DB295" s="5">
        <v>0</v>
      </c>
      <c r="DC295" s="5">
        <f t="shared" si="885"/>
        <v>0.55000000000000004</v>
      </c>
      <c r="DD295" s="6">
        <f t="shared" si="879"/>
        <v>0.55000000000000004</v>
      </c>
      <c r="DE295" s="6">
        <v>1</v>
      </c>
      <c r="DF295" s="5">
        <v>0</v>
      </c>
      <c r="DG295" s="6">
        <v>2.5</v>
      </c>
      <c r="DH295" s="5"/>
      <c r="DI295" s="8"/>
      <c r="DJ295" s="5">
        <v>0</v>
      </c>
      <c r="DK295" s="8">
        <v>0</v>
      </c>
      <c r="DL295" s="5">
        <f t="shared" si="880"/>
        <v>0</v>
      </c>
      <c r="DM295" s="5" t="str">
        <f t="shared" si="920"/>
        <v>3级海盗头目</v>
      </c>
      <c r="DN295" s="5">
        <v>6</v>
      </c>
      <c r="DO295" s="5">
        <v>0</v>
      </c>
      <c r="DP295" s="5">
        <v>1</v>
      </c>
      <c r="DQ295" s="5">
        <v>1</v>
      </c>
      <c r="DR295" s="5">
        <v>2.5</v>
      </c>
      <c r="DS295" s="6">
        <v>3.5</v>
      </c>
      <c r="DT295" s="5">
        <v>-0.5</v>
      </c>
      <c r="DU295" s="5">
        <v>0.5</v>
      </c>
      <c r="DV295" s="6">
        <v>0.5</v>
      </c>
      <c r="DW295" s="5">
        <f t="shared" si="945"/>
        <v>0.33333333333333331</v>
      </c>
      <c r="DX295" s="5">
        <v>4</v>
      </c>
      <c r="DY295" s="5">
        <f t="shared" si="946"/>
        <v>0</v>
      </c>
      <c r="DZ295" s="5">
        <v>0</v>
      </c>
    </row>
    <row r="296" spans="1:130" x14ac:dyDescent="0.15">
      <c r="A296" s="5">
        <v>201294</v>
      </c>
      <c r="B296" s="5" t="s">
        <v>539</v>
      </c>
      <c r="C296" s="5"/>
      <c r="D296" s="5"/>
      <c r="E296" s="5"/>
      <c r="F296" s="5">
        <v>1</v>
      </c>
      <c r="G296" s="45"/>
      <c r="H296" s="5"/>
      <c r="I296" s="5"/>
      <c r="J296" s="5"/>
      <c r="K296" s="5"/>
      <c r="L296" s="10"/>
      <c r="M296" s="5"/>
      <c r="N296" s="10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20"/>
      <c r="AF296" s="5"/>
      <c r="AG296" s="5"/>
      <c r="AH296" s="5"/>
      <c r="AI296" s="5"/>
      <c r="AJ296" s="5"/>
      <c r="AK296" s="5"/>
      <c r="AL296" s="5"/>
      <c r="AM296" s="5"/>
      <c r="AN296" s="8"/>
      <c r="AO296" s="5">
        <v>0</v>
      </c>
      <c r="AP296" s="5" t="s">
        <v>539</v>
      </c>
      <c r="AQ296" s="5">
        <v>0</v>
      </c>
      <c r="AR296" s="8">
        <v>10</v>
      </c>
      <c r="AS296" s="6">
        <f t="shared" si="881"/>
        <v>120</v>
      </c>
      <c r="AT296" s="6">
        <f t="shared" si="882"/>
        <v>132</v>
      </c>
      <c r="AU296" s="5">
        <v>0</v>
      </c>
      <c r="AV296" s="5">
        <v>0</v>
      </c>
      <c r="AW296" s="5">
        <v>0</v>
      </c>
      <c r="AX296" s="5">
        <v>1</v>
      </c>
      <c r="AY296" s="5">
        <v>0</v>
      </c>
      <c r="AZ296" s="23">
        <v>201294</v>
      </c>
      <c r="BA296" s="5">
        <f t="shared" si="940"/>
        <v>203030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f t="shared" si="917"/>
        <v>0</v>
      </c>
      <c r="BM296" s="5">
        <v>0</v>
      </c>
      <c r="BN296" s="5">
        <v>0</v>
      </c>
      <c r="BO296" s="5">
        <v>0</v>
      </c>
      <c r="BP296" s="5">
        <v>0</v>
      </c>
      <c r="BQ296" s="5"/>
      <c r="BR296" s="5"/>
      <c r="BS296" s="4">
        <v>0</v>
      </c>
      <c r="BT296" s="4">
        <f t="shared" si="941"/>
        <v>4</v>
      </c>
      <c r="BU296" s="17">
        <v>0</v>
      </c>
      <c r="BV296" s="4">
        <f t="shared" ref="BV296:BY296" si="961">BV286</f>
        <v>4</v>
      </c>
      <c r="BW296" s="4">
        <f t="shared" si="961"/>
        <v>4</v>
      </c>
      <c r="BX296" s="4">
        <f t="shared" si="961"/>
        <v>0.6399999999999999</v>
      </c>
      <c r="BY296" s="4">
        <f t="shared" si="961"/>
        <v>0.4</v>
      </c>
      <c r="BZ296" s="5" t="s">
        <v>537</v>
      </c>
      <c r="CA296" s="4" t="str">
        <f t="shared" si="943"/>
        <v>monster30_1</v>
      </c>
      <c r="CB296" s="4" t="str">
        <f t="shared" si="943"/>
        <v>monster30_1</v>
      </c>
      <c r="CC296" s="5">
        <v>1</v>
      </c>
      <c r="CD296" s="8">
        <v>1</v>
      </c>
      <c r="CE296" s="5">
        <f t="shared" ref="CE296:CF296" si="962">CE286</f>
        <v>4</v>
      </c>
      <c r="CF296" s="5">
        <f t="shared" si="962"/>
        <v>1</v>
      </c>
      <c r="CG296" s="5" t="s">
        <v>539</v>
      </c>
      <c r="CH296" s="5">
        <v>0</v>
      </c>
      <c r="CI296" s="5">
        <v>0</v>
      </c>
      <c r="CJ296" s="4">
        <v>1</v>
      </c>
      <c r="CK296" s="20">
        <v>0</v>
      </c>
      <c r="CL296" s="5">
        <v>0</v>
      </c>
      <c r="CM296" s="20">
        <v>111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20">
        <v>2.5</v>
      </c>
      <c r="CW296" s="20">
        <v>3</v>
      </c>
      <c r="CX296" s="20">
        <v>2.5</v>
      </c>
      <c r="CY296" s="20">
        <v>3.5</v>
      </c>
      <c r="CZ296" s="8">
        <v>50</v>
      </c>
      <c r="DA296" s="6">
        <f t="shared" si="878"/>
        <v>5000</v>
      </c>
      <c r="DB296" s="5">
        <v>0</v>
      </c>
      <c r="DC296" s="5">
        <f t="shared" si="885"/>
        <v>0.57499999999999996</v>
      </c>
      <c r="DD296" s="6">
        <f t="shared" si="879"/>
        <v>0.57499999999999996</v>
      </c>
      <c r="DE296" s="6">
        <v>1</v>
      </c>
      <c r="DF296" s="5">
        <v>0</v>
      </c>
      <c r="DG296" s="6">
        <v>2.5</v>
      </c>
      <c r="DH296" s="5"/>
      <c r="DI296" s="8"/>
      <c r="DJ296" s="5">
        <v>0</v>
      </c>
      <c r="DK296" s="8">
        <v>0</v>
      </c>
      <c r="DL296" s="5">
        <f t="shared" si="880"/>
        <v>0</v>
      </c>
      <c r="DM296" s="5" t="str">
        <f t="shared" si="920"/>
        <v>4级海盗头目</v>
      </c>
      <c r="DN296" s="5">
        <v>6</v>
      </c>
      <c r="DO296" s="5">
        <v>0</v>
      </c>
      <c r="DP296" s="5">
        <v>1</v>
      </c>
      <c r="DQ296" s="5">
        <v>1</v>
      </c>
      <c r="DR296" s="5">
        <v>2.5</v>
      </c>
      <c r="DS296" s="6">
        <v>3.5</v>
      </c>
      <c r="DT296" s="5">
        <v>-0.5</v>
      </c>
      <c r="DU296" s="5">
        <v>0.5</v>
      </c>
      <c r="DV296" s="6">
        <v>0.5</v>
      </c>
      <c r="DW296" s="5">
        <f t="shared" si="945"/>
        <v>0.33333333333333331</v>
      </c>
      <c r="DX296" s="5">
        <v>4</v>
      </c>
      <c r="DY296" s="5">
        <f t="shared" si="946"/>
        <v>0</v>
      </c>
      <c r="DZ296" s="5">
        <v>0</v>
      </c>
    </row>
    <row r="297" spans="1:130" x14ac:dyDescent="0.15">
      <c r="A297" s="5">
        <v>201295</v>
      </c>
      <c r="B297" s="5" t="s">
        <v>540</v>
      </c>
      <c r="C297" s="5"/>
      <c r="D297" s="5"/>
      <c r="E297" s="5"/>
      <c r="F297" s="5">
        <v>1</v>
      </c>
      <c r="G297" s="45"/>
      <c r="H297" s="5"/>
      <c r="I297" s="5"/>
      <c r="J297" s="5"/>
      <c r="K297" s="5"/>
      <c r="L297" s="10"/>
      <c r="M297" s="5"/>
      <c r="N297" s="10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20"/>
      <c r="AF297" s="5"/>
      <c r="AG297" s="5"/>
      <c r="AH297" s="5"/>
      <c r="AI297" s="5"/>
      <c r="AJ297" s="5"/>
      <c r="AK297" s="5"/>
      <c r="AL297" s="5"/>
      <c r="AM297" s="5"/>
      <c r="AN297" s="8"/>
      <c r="AO297" s="5">
        <v>0</v>
      </c>
      <c r="AP297" s="5" t="s">
        <v>540</v>
      </c>
      <c r="AQ297" s="5">
        <v>0</v>
      </c>
      <c r="AR297" s="8">
        <v>10</v>
      </c>
      <c r="AS297" s="6">
        <f t="shared" si="881"/>
        <v>150</v>
      </c>
      <c r="AT297" s="6">
        <f t="shared" si="882"/>
        <v>165</v>
      </c>
      <c r="AU297" s="5">
        <v>0</v>
      </c>
      <c r="AV297" s="5">
        <v>0</v>
      </c>
      <c r="AW297" s="5">
        <v>0</v>
      </c>
      <c r="AX297" s="5">
        <v>1</v>
      </c>
      <c r="AY297" s="5">
        <v>0</v>
      </c>
      <c r="AZ297" s="23">
        <v>201295</v>
      </c>
      <c r="BA297" s="5">
        <f t="shared" si="940"/>
        <v>203030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f t="shared" si="917"/>
        <v>0</v>
      </c>
      <c r="BM297" s="5">
        <v>0</v>
      </c>
      <c r="BN297" s="5">
        <v>0</v>
      </c>
      <c r="BO297" s="5">
        <v>0</v>
      </c>
      <c r="BP297" s="5">
        <v>0</v>
      </c>
      <c r="BQ297" s="5"/>
      <c r="BR297" s="5"/>
      <c r="BS297" s="4">
        <v>0</v>
      </c>
      <c r="BT297" s="4">
        <f t="shared" si="941"/>
        <v>5</v>
      </c>
      <c r="BU297" s="17">
        <v>0</v>
      </c>
      <c r="BV297" s="4">
        <f t="shared" ref="BV297:BY297" si="963">BV287</f>
        <v>5</v>
      </c>
      <c r="BW297" s="4">
        <f t="shared" si="963"/>
        <v>5</v>
      </c>
      <c r="BX297" s="4">
        <f t="shared" si="963"/>
        <v>0.56999999999999995</v>
      </c>
      <c r="BY297" s="4">
        <f t="shared" si="963"/>
        <v>0.35000000000000003</v>
      </c>
      <c r="BZ297" s="5" t="s">
        <v>535</v>
      </c>
      <c r="CA297" s="4" t="str">
        <f t="shared" si="943"/>
        <v>monster30</v>
      </c>
      <c r="CB297" s="4" t="str">
        <f t="shared" si="943"/>
        <v>monster30</v>
      </c>
      <c r="CC297" s="5">
        <v>1</v>
      </c>
      <c r="CD297" s="8">
        <v>1</v>
      </c>
      <c r="CE297" s="5">
        <f t="shared" ref="CE297:CF297" si="964">CE287</f>
        <v>5</v>
      </c>
      <c r="CF297" s="5">
        <f t="shared" si="964"/>
        <v>1</v>
      </c>
      <c r="CG297" s="5" t="s">
        <v>540</v>
      </c>
      <c r="CH297" s="5">
        <v>0</v>
      </c>
      <c r="CI297" s="5">
        <v>0</v>
      </c>
      <c r="CJ297" s="4">
        <v>0</v>
      </c>
      <c r="CK297" s="20">
        <v>0</v>
      </c>
      <c r="CL297" s="5">
        <v>0</v>
      </c>
      <c r="CM297" s="20">
        <v>111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20">
        <v>2.5</v>
      </c>
      <c r="CW297" s="20">
        <v>3</v>
      </c>
      <c r="CX297" s="20">
        <v>2.5</v>
      </c>
      <c r="CY297" s="20">
        <v>3.5</v>
      </c>
      <c r="CZ297" s="8">
        <v>50</v>
      </c>
      <c r="DA297" s="6">
        <f t="shared" si="878"/>
        <v>6250</v>
      </c>
      <c r="DB297" s="5">
        <v>0</v>
      </c>
      <c r="DC297" s="5">
        <f t="shared" si="885"/>
        <v>0.6</v>
      </c>
      <c r="DD297" s="6">
        <f t="shared" si="879"/>
        <v>0.6</v>
      </c>
      <c r="DE297" s="6">
        <v>1</v>
      </c>
      <c r="DF297" s="5">
        <v>0</v>
      </c>
      <c r="DG297" s="6">
        <v>2.5</v>
      </c>
      <c r="DH297" s="5"/>
      <c r="DI297" s="8"/>
      <c r="DJ297" s="5">
        <v>0</v>
      </c>
      <c r="DK297" s="8">
        <v>0</v>
      </c>
      <c r="DL297" s="5">
        <f t="shared" si="880"/>
        <v>0</v>
      </c>
      <c r="DM297" s="5" t="str">
        <f t="shared" si="920"/>
        <v>5级海盗头目</v>
      </c>
      <c r="DN297" s="5">
        <v>6</v>
      </c>
      <c r="DO297" s="5">
        <v>0</v>
      </c>
      <c r="DP297" s="5">
        <v>1</v>
      </c>
      <c r="DQ297" s="5">
        <v>1</v>
      </c>
      <c r="DR297" s="5">
        <v>2.5</v>
      </c>
      <c r="DS297" s="6">
        <v>3.5</v>
      </c>
      <c r="DT297" s="5">
        <v>-0.5</v>
      </c>
      <c r="DU297" s="5">
        <v>0.5</v>
      </c>
      <c r="DV297" s="6">
        <v>0.5</v>
      </c>
      <c r="DW297" s="5">
        <f t="shared" si="945"/>
        <v>0.33333333333333331</v>
      </c>
      <c r="DX297" s="5">
        <v>4</v>
      </c>
      <c r="DY297" s="5">
        <f t="shared" si="946"/>
        <v>0</v>
      </c>
      <c r="DZ297" s="5">
        <v>0</v>
      </c>
    </row>
    <row r="298" spans="1:130" x14ac:dyDescent="0.15">
      <c r="A298" s="5">
        <v>201296</v>
      </c>
      <c r="B298" s="5" t="s">
        <v>541</v>
      </c>
      <c r="C298" s="5"/>
      <c r="D298" s="5"/>
      <c r="E298" s="5"/>
      <c r="F298" s="5">
        <v>1</v>
      </c>
      <c r="G298" s="45"/>
      <c r="H298" s="5"/>
      <c r="I298" s="5"/>
      <c r="J298" s="5"/>
      <c r="K298" s="5"/>
      <c r="L298" s="10"/>
      <c r="M298" s="5"/>
      <c r="N298" s="10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20"/>
      <c r="AF298" s="5"/>
      <c r="AG298" s="5"/>
      <c r="AH298" s="5"/>
      <c r="AI298" s="5"/>
      <c r="AJ298" s="5"/>
      <c r="AK298" s="5"/>
      <c r="AL298" s="5"/>
      <c r="AM298" s="5"/>
      <c r="AN298" s="8"/>
      <c r="AO298" s="5">
        <v>0</v>
      </c>
      <c r="AP298" s="5" t="s">
        <v>541</v>
      </c>
      <c r="AQ298" s="5">
        <v>0</v>
      </c>
      <c r="AR298" s="8">
        <v>10</v>
      </c>
      <c r="AS298" s="6">
        <f t="shared" si="881"/>
        <v>180</v>
      </c>
      <c r="AT298" s="6">
        <f t="shared" si="882"/>
        <v>198</v>
      </c>
      <c r="AU298" s="5">
        <v>0</v>
      </c>
      <c r="AV298" s="5">
        <v>0</v>
      </c>
      <c r="AW298" s="5">
        <v>0</v>
      </c>
      <c r="AX298" s="5">
        <v>1</v>
      </c>
      <c r="AY298" s="5">
        <v>0</v>
      </c>
      <c r="AZ298" s="23">
        <v>201296</v>
      </c>
      <c r="BA298" s="5">
        <f t="shared" si="940"/>
        <v>203030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f t="shared" si="917"/>
        <v>0</v>
      </c>
      <c r="BM298" s="5">
        <v>0</v>
      </c>
      <c r="BN298" s="5">
        <v>0</v>
      </c>
      <c r="BO298" s="5">
        <v>0</v>
      </c>
      <c r="BP298" s="5">
        <v>0</v>
      </c>
      <c r="BQ298" s="5"/>
      <c r="BR298" s="5"/>
      <c r="BS298" s="4">
        <v>0</v>
      </c>
      <c r="BT298" s="4">
        <f t="shared" si="941"/>
        <v>6</v>
      </c>
      <c r="BU298" s="17">
        <v>0</v>
      </c>
      <c r="BV298" s="4">
        <f t="shared" ref="BV298:BY298" si="965">BV288</f>
        <v>6</v>
      </c>
      <c r="BW298" s="4">
        <f t="shared" si="965"/>
        <v>6</v>
      </c>
      <c r="BX298" s="4">
        <f t="shared" si="965"/>
        <v>0.49999999999999994</v>
      </c>
      <c r="BY298" s="4">
        <f t="shared" si="965"/>
        <v>0.30000000000000004</v>
      </c>
      <c r="BZ298" s="5" t="s">
        <v>537</v>
      </c>
      <c r="CA298" s="4" t="str">
        <f t="shared" si="943"/>
        <v>monster30_1</v>
      </c>
      <c r="CB298" s="4" t="str">
        <f t="shared" si="943"/>
        <v>monster30_1</v>
      </c>
      <c r="CC298" s="5">
        <v>1</v>
      </c>
      <c r="CD298" s="8">
        <v>1</v>
      </c>
      <c r="CE298" s="5">
        <f t="shared" ref="CE298:CF298" si="966">CE288</f>
        <v>6</v>
      </c>
      <c r="CF298" s="5">
        <f t="shared" si="966"/>
        <v>1</v>
      </c>
      <c r="CG298" s="5" t="s">
        <v>541</v>
      </c>
      <c r="CH298" s="5">
        <v>0</v>
      </c>
      <c r="CI298" s="5">
        <v>0</v>
      </c>
      <c r="CJ298" s="4">
        <v>1</v>
      </c>
      <c r="CK298" s="20">
        <v>0</v>
      </c>
      <c r="CL298" s="5">
        <v>0</v>
      </c>
      <c r="CM298" s="20">
        <v>111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20">
        <v>2.5</v>
      </c>
      <c r="CW298" s="20">
        <v>3</v>
      </c>
      <c r="CX298" s="20">
        <v>2.5</v>
      </c>
      <c r="CY298" s="20">
        <v>3.5</v>
      </c>
      <c r="CZ298" s="8">
        <v>50</v>
      </c>
      <c r="DA298" s="6">
        <f t="shared" si="878"/>
        <v>7500</v>
      </c>
      <c r="DB298" s="5">
        <v>0</v>
      </c>
      <c r="DC298" s="5">
        <f t="shared" si="885"/>
        <v>0.625</v>
      </c>
      <c r="DD298" s="6">
        <f t="shared" si="879"/>
        <v>0.625</v>
      </c>
      <c r="DE298" s="6">
        <v>1</v>
      </c>
      <c r="DF298" s="5">
        <v>0</v>
      </c>
      <c r="DG298" s="6">
        <v>2.5</v>
      </c>
      <c r="DH298" s="5"/>
      <c r="DI298" s="8"/>
      <c r="DJ298" s="5">
        <v>0</v>
      </c>
      <c r="DK298" s="8">
        <v>0</v>
      </c>
      <c r="DL298" s="5">
        <f t="shared" si="880"/>
        <v>0</v>
      </c>
      <c r="DM298" s="5" t="str">
        <f t="shared" si="920"/>
        <v>6级海盗头目</v>
      </c>
      <c r="DN298" s="5">
        <v>6</v>
      </c>
      <c r="DO298" s="5">
        <v>0</v>
      </c>
      <c r="DP298" s="5">
        <v>1</v>
      </c>
      <c r="DQ298" s="5">
        <v>1</v>
      </c>
      <c r="DR298" s="5">
        <v>2.5</v>
      </c>
      <c r="DS298" s="6">
        <v>3.5</v>
      </c>
      <c r="DT298" s="5">
        <v>-0.5</v>
      </c>
      <c r="DU298" s="5">
        <v>0.5</v>
      </c>
      <c r="DV298" s="6">
        <v>0.5</v>
      </c>
      <c r="DW298" s="5">
        <f t="shared" si="945"/>
        <v>0.33333333333333331</v>
      </c>
      <c r="DX298" s="5">
        <v>4</v>
      </c>
      <c r="DY298" s="5">
        <f t="shared" si="946"/>
        <v>0</v>
      </c>
      <c r="DZ298" s="5">
        <v>0</v>
      </c>
    </row>
    <row r="299" spans="1:130" x14ac:dyDescent="0.15">
      <c r="A299" s="5">
        <v>201297</v>
      </c>
      <c r="B299" s="5" t="s">
        <v>542</v>
      </c>
      <c r="C299" s="5"/>
      <c r="D299" s="5"/>
      <c r="E299" s="5"/>
      <c r="F299" s="5">
        <v>1</v>
      </c>
      <c r="G299" s="45"/>
      <c r="H299" s="5"/>
      <c r="I299" s="5"/>
      <c r="J299" s="5"/>
      <c r="K299" s="5"/>
      <c r="L299" s="10"/>
      <c r="M299" s="5"/>
      <c r="N299" s="10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20"/>
      <c r="AF299" s="5"/>
      <c r="AG299" s="5"/>
      <c r="AH299" s="5"/>
      <c r="AI299" s="5"/>
      <c r="AJ299" s="5"/>
      <c r="AK299" s="5"/>
      <c r="AL299" s="5"/>
      <c r="AM299" s="5"/>
      <c r="AN299" s="8"/>
      <c r="AO299" s="5">
        <v>0</v>
      </c>
      <c r="AP299" s="5" t="s">
        <v>542</v>
      </c>
      <c r="AQ299" s="5">
        <v>0</v>
      </c>
      <c r="AR299" s="8">
        <v>10</v>
      </c>
      <c r="AS299" s="6">
        <f t="shared" si="881"/>
        <v>210</v>
      </c>
      <c r="AT299" s="6">
        <f t="shared" si="882"/>
        <v>231</v>
      </c>
      <c r="AU299" s="5">
        <v>0</v>
      </c>
      <c r="AV299" s="5">
        <v>0</v>
      </c>
      <c r="AW299" s="5">
        <v>0</v>
      </c>
      <c r="AX299" s="5">
        <v>1</v>
      </c>
      <c r="AY299" s="5">
        <v>0</v>
      </c>
      <c r="AZ299" s="23">
        <v>201297</v>
      </c>
      <c r="BA299" s="5">
        <f t="shared" si="940"/>
        <v>203030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f t="shared" si="917"/>
        <v>0</v>
      </c>
      <c r="BM299" s="5">
        <v>0</v>
      </c>
      <c r="BN299" s="5">
        <v>0</v>
      </c>
      <c r="BO299" s="5">
        <v>0</v>
      </c>
      <c r="BP299" s="5">
        <v>0</v>
      </c>
      <c r="BQ299" s="5"/>
      <c r="BR299" s="5"/>
      <c r="BS299" s="4">
        <v>0</v>
      </c>
      <c r="BT299" s="4">
        <f t="shared" si="941"/>
        <v>7</v>
      </c>
      <c r="BU299" s="17">
        <v>0</v>
      </c>
      <c r="BV299" s="4">
        <f t="shared" ref="BV299:BY299" si="967">BV289</f>
        <v>7</v>
      </c>
      <c r="BW299" s="4">
        <f t="shared" si="967"/>
        <v>7</v>
      </c>
      <c r="BX299" s="4">
        <f t="shared" si="967"/>
        <v>0.42999999999999994</v>
      </c>
      <c r="BY299" s="4">
        <f t="shared" si="967"/>
        <v>0.25</v>
      </c>
      <c r="BZ299" s="5" t="s">
        <v>535</v>
      </c>
      <c r="CA299" s="4" t="str">
        <f t="shared" si="943"/>
        <v>monster30</v>
      </c>
      <c r="CB299" s="4" t="str">
        <f t="shared" si="943"/>
        <v>monster30</v>
      </c>
      <c r="CC299" s="5">
        <v>1</v>
      </c>
      <c r="CD299" s="8">
        <v>1</v>
      </c>
      <c r="CE299" s="5">
        <f t="shared" ref="CE299:CF299" si="968">CE289</f>
        <v>7</v>
      </c>
      <c r="CF299" s="5">
        <f t="shared" si="968"/>
        <v>1</v>
      </c>
      <c r="CG299" s="5" t="s">
        <v>542</v>
      </c>
      <c r="CH299" s="5">
        <v>0</v>
      </c>
      <c r="CI299" s="5">
        <v>0</v>
      </c>
      <c r="CJ299" s="4">
        <v>0</v>
      </c>
      <c r="CK299" s="20">
        <v>0</v>
      </c>
      <c r="CL299" s="5">
        <v>0</v>
      </c>
      <c r="CM299" s="20">
        <v>111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20">
        <v>2.5</v>
      </c>
      <c r="CW299" s="20">
        <v>3</v>
      </c>
      <c r="CX299" s="20">
        <v>2.5</v>
      </c>
      <c r="CY299" s="20">
        <v>3.5</v>
      </c>
      <c r="CZ299" s="8">
        <v>50</v>
      </c>
      <c r="DA299" s="6">
        <f t="shared" si="878"/>
        <v>8750</v>
      </c>
      <c r="DB299" s="5">
        <v>0</v>
      </c>
      <c r="DC299" s="5">
        <f t="shared" si="885"/>
        <v>0.65</v>
      </c>
      <c r="DD299" s="6">
        <f t="shared" si="879"/>
        <v>0.65</v>
      </c>
      <c r="DE299" s="6">
        <v>1</v>
      </c>
      <c r="DF299" s="5">
        <v>0</v>
      </c>
      <c r="DG299" s="6">
        <v>2.5</v>
      </c>
      <c r="DH299" s="5"/>
      <c r="DI299" s="8"/>
      <c r="DJ299" s="5">
        <v>0</v>
      </c>
      <c r="DK299" s="8">
        <v>0</v>
      </c>
      <c r="DL299" s="5">
        <f t="shared" si="880"/>
        <v>0</v>
      </c>
      <c r="DM299" s="5" t="str">
        <f t="shared" si="920"/>
        <v>7级海盗头目</v>
      </c>
      <c r="DN299" s="5">
        <v>6</v>
      </c>
      <c r="DO299" s="5">
        <v>0</v>
      </c>
      <c r="DP299" s="5">
        <v>1</v>
      </c>
      <c r="DQ299" s="5">
        <v>1</v>
      </c>
      <c r="DR299" s="5">
        <v>2.5</v>
      </c>
      <c r="DS299" s="6">
        <v>3.5</v>
      </c>
      <c r="DT299" s="5">
        <v>-0.5</v>
      </c>
      <c r="DU299" s="5">
        <v>0.5</v>
      </c>
      <c r="DV299" s="6">
        <v>0.5</v>
      </c>
      <c r="DW299" s="5">
        <f t="shared" si="945"/>
        <v>0.33333333333333331</v>
      </c>
      <c r="DX299" s="5">
        <v>4</v>
      </c>
      <c r="DY299" s="5">
        <f t="shared" si="946"/>
        <v>0</v>
      </c>
      <c r="DZ299" s="5">
        <v>0</v>
      </c>
    </row>
    <row r="300" spans="1:130" x14ac:dyDescent="0.15">
      <c r="A300" s="5">
        <v>201298</v>
      </c>
      <c r="B300" s="5" t="s">
        <v>543</v>
      </c>
      <c r="C300" s="5"/>
      <c r="D300" s="5"/>
      <c r="E300" s="5"/>
      <c r="F300" s="5">
        <v>1</v>
      </c>
      <c r="G300" s="45"/>
      <c r="H300" s="5"/>
      <c r="I300" s="5"/>
      <c r="J300" s="5"/>
      <c r="K300" s="5"/>
      <c r="L300" s="10"/>
      <c r="M300" s="5"/>
      <c r="N300" s="10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20"/>
      <c r="AF300" s="5"/>
      <c r="AG300" s="5"/>
      <c r="AH300" s="5"/>
      <c r="AI300" s="5"/>
      <c r="AJ300" s="5"/>
      <c r="AK300" s="5"/>
      <c r="AL300" s="5"/>
      <c r="AM300" s="5"/>
      <c r="AN300" s="8"/>
      <c r="AO300" s="5">
        <v>0</v>
      </c>
      <c r="AP300" s="5" t="s">
        <v>543</v>
      </c>
      <c r="AQ300" s="5">
        <v>0</v>
      </c>
      <c r="AR300" s="8">
        <v>10</v>
      </c>
      <c r="AS300" s="6">
        <f t="shared" si="881"/>
        <v>240</v>
      </c>
      <c r="AT300" s="6">
        <f t="shared" si="882"/>
        <v>264</v>
      </c>
      <c r="AU300" s="5">
        <v>0</v>
      </c>
      <c r="AV300" s="5">
        <v>0</v>
      </c>
      <c r="AW300" s="5">
        <v>0</v>
      </c>
      <c r="AX300" s="5">
        <v>1</v>
      </c>
      <c r="AY300" s="5">
        <v>0</v>
      </c>
      <c r="AZ300" s="23">
        <v>201298</v>
      </c>
      <c r="BA300" s="5">
        <f t="shared" si="940"/>
        <v>203030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f t="shared" si="917"/>
        <v>0</v>
      </c>
      <c r="BM300" s="5">
        <v>0</v>
      </c>
      <c r="BN300" s="5">
        <v>0</v>
      </c>
      <c r="BO300" s="5">
        <v>0</v>
      </c>
      <c r="BP300" s="5">
        <v>0</v>
      </c>
      <c r="BQ300" s="5"/>
      <c r="BR300" s="5"/>
      <c r="BS300" s="4">
        <v>0</v>
      </c>
      <c r="BT300" s="4">
        <f t="shared" si="941"/>
        <v>8</v>
      </c>
      <c r="BU300" s="17">
        <v>0</v>
      </c>
      <c r="BV300" s="4">
        <f t="shared" ref="BV300:BY300" si="969">BV290</f>
        <v>8</v>
      </c>
      <c r="BW300" s="4">
        <f t="shared" si="969"/>
        <v>8</v>
      </c>
      <c r="BX300" s="4">
        <f t="shared" si="969"/>
        <v>0.35999999999999993</v>
      </c>
      <c r="BY300" s="4">
        <f t="shared" si="969"/>
        <v>0.2</v>
      </c>
      <c r="BZ300" s="5" t="s">
        <v>537</v>
      </c>
      <c r="CA300" s="4" t="str">
        <f t="shared" si="943"/>
        <v>monster30_1</v>
      </c>
      <c r="CB300" s="4" t="str">
        <f t="shared" si="943"/>
        <v>monster30_1</v>
      </c>
      <c r="CC300" s="5">
        <v>1</v>
      </c>
      <c r="CD300" s="8">
        <v>1</v>
      </c>
      <c r="CE300" s="5">
        <f t="shared" ref="CE300:CF300" si="970">CE290</f>
        <v>8</v>
      </c>
      <c r="CF300" s="5">
        <f t="shared" si="970"/>
        <v>1</v>
      </c>
      <c r="CG300" s="5" t="s">
        <v>543</v>
      </c>
      <c r="CH300" s="5">
        <v>0</v>
      </c>
      <c r="CI300" s="5">
        <v>0</v>
      </c>
      <c r="CJ300" s="4">
        <v>1</v>
      </c>
      <c r="CK300" s="20">
        <v>0</v>
      </c>
      <c r="CL300" s="5">
        <v>0</v>
      </c>
      <c r="CM300" s="20">
        <v>111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20">
        <v>2.5</v>
      </c>
      <c r="CW300" s="20">
        <v>3</v>
      </c>
      <c r="CX300" s="20">
        <v>2.5</v>
      </c>
      <c r="CY300" s="20">
        <v>3.5</v>
      </c>
      <c r="CZ300" s="8">
        <v>50</v>
      </c>
      <c r="DA300" s="6">
        <f t="shared" si="878"/>
        <v>10000</v>
      </c>
      <c r="DB300" s="5">
        <v>0</v>
      </c>
      <c r="DC300" s="5">
        <f t="shared" si="885"/>
        <v>0.67500000000000004</v>
      </c>
      <c r="DD300" s="6">
        <f t="shared" si="879"/>
        <v>0.67500000000000004</v>
      </c>
      <c r="DE300" s="6">
        <v>1</v>
      </c>
      <c r="DF300" s="5">
        <v>0</v>
      </c>
      <c r="DG300" s="6">
        <v>2.5</v>
      </c>
      <c r="DH300" s="5"/>
      <c r="DI300" s="8"/>
      <c r="DJ300" s="5">
        <v>0</v>
      </c>
      <c r="DK300" s="8">
        <v>0</v>
      </c>
      <c r="DL300" s="5">
        <f t="shared" si="880"/>
        <v>0</v>
      </c>
      <c r="DM300" s="5" t="str">
        <f t="shared" si="920"/>
        <v>8级海盗头目</v>
      </c>
      <c r="DN300" s="5">
        <v>6</v>
      </c>
      <c r="DO300" s="5">
        <v>0</v>
      </c>
      <c r="DP300" s="5">
        <v>1</v>
      </c>
      <c r="DQ300" s="5">
        <v>1</v>
      </c>
      <c r="DR300" s="5">
        <v>2.5</v>
      </c>
      <c r="DS300" s="6">
        <v>3.5</v>
      </c>
      <c r="DT300" s="5">
        <v>-0.5</v>
      </c>
      <c r="DU300" s="5">
        <v>0.5</v>
      </c>
      <c r="DV300" s="6">
        <v>0.5</v>
      </c>
      <c r="DW300" s="5">
        <f t="shared" si="945"/>
        <v>0.33333333333333331</v>
      </c>
      <c r="DX300" s="5">
        <v>4</v>
      </c>
      <c r="DY300" s="5">
        <f t="shared" si="946"/>
        <v>0</v>
      </c>
      <c r="DZ300" s="5">
        <v>0</v>
      </c>
    </row>
    <row r="301" spans="1:130" x14ac:dyDescent="0.15">
      <c r="A301" s="5">
        <v>201299</v>
      </c>
      <c r="B301" s="5" t="s">
        <v>544</v>
      </c>
      <c r="C301" s="5"/>
      <c r="D301" s="5"/>
      <c r="E301" s="5"/>
      <c r="F301" s="5">
        <v>1</v>
      </c>
      <c r="G301" s="45"/>
      <c r="H301" s="5"/>
      <c r="I301" s="5"/>
      <c r="J301" s="5"/>
      <c r="K301" s="5"/>
      <c r="L301" s="10"/>
      <c r="M301" s="5"/>
      <c r="N301" s="10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20"/>
      <c r="AF301" s="5"/>
      <c r="AG301" s="5"/>
      <c r="AH301" s="5"/>
      <c r="AI301" s="5"/>
      <c r="AJ301" s="5"/>
      <c r="AK301" s="5"/>
      <c r="AL301" s="5"/>
      <c r="AM301" s="5"/>
      <c r="AN301" s="8"/>
      <c r="AO301" s="5">
        <v>0</v>
      </c>
      <c r="AP301" s="5" t="s">
        <v>544</v>
      </c>
      <c r="AQ301" s="5">
        <v>0</v>
      </c>
      <c r="AR301" s="8">
        <v>10</v>
      </c>
      <c r="AS301" s="6">
        <f t="shared" si="881"/>
        <v>270</v>
      </c>
      <c r="AT301" s="6">
        <f t="shared" si="882"/>
        <v>297</v>
      </c>
      <c r="AU301" s="5">
        <v>0</v>
      </c>
      <c r="AV301" s="5">
        <v>0</v>
      </c>
      <c r="AW301" s="5">
        <v>0</v>
      </c>
      <c r="AX301" s="5">
        <v>1</v>
      </c>
      <c r="AY301" s="5">
        <v>0</v>
      </c>
      <c r="AZ301" s="23">
        <v>201299</v>
      </c>
      <c r="BA301" s="5">
        <f t="shared" si="940"/>
        <v>203030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f t="shared" si="917"/>
        <v>0</v>
      </c>
      <c r="BM301" s="5">
        <v>0</v>
      </c>
      <c r="BN301" s="5">
        <v>0</v>
      </c>
      <c r="BO301" s="5">
        <v>0</v>
      </c>
      <c r="BP301" s="5">
        <v>0</v>
      </c>
      <c r="BQ301" s="5"/>
      <c r="BR301" s="5"/>
      <c r="BS301" s="4">
        <v>0</v>
      </c>
      <c r="BT301" s="4">
        <f t="shared" si="941"/>
        <v>9</v>
      </c>
      <c r="BU301" s="17">
        <v>0</v>
      </c>
      <c r="BV301" s="4">
        <f t="shared" ref="BV301:BY301" si="971">BV291</f>
        <v>9</v>
      </c>
      <c r="BW301" s="4">
        <f t="shared" si="971"/>
        <v>9</v>
      </c>
      <c r="BX301" s="4">
        <f t="shared" si="971"/>
        <v>0.28999999999999992</v>
      </c>
      <c r="BY301" s="4">
        <f t="shared" si="971"/>
        <v>0.15000000000000002</v>
      </c>
      <c r="BZ301" s="5" t="s">
        <v>535</v>
      </c>
      <c r="CA301" s="4" t="str">
        <f t="shared" si="943"/>
        <v>monster30</v>
      </c>
      <c r="CB301" s="4" t="str">
        <f t="shared" si="943"/>
        <v>monster30</v>
      </c>
      <c r="CC301" s="5">
        <v>1</v>
      </c>
      <c r="CD301" s="8">
        <v>1</v>
      </c>
      <c r="CE301" s="5">
        <f t="shared" ref="CE301:CF301" si="972">CE291</f>
        <v>9</v>
      </c>
      <c r="CF301" s="5">
        <f t="shared" si="972"/>
        <v>1</v>
      </c>
      <c r="CG301" s="5" t="s">
        <v>544</v>
      </c>
      <c r="CH301" s="5">
        <v>0</v>
      </c>
      <c r="CI301" s="5">
        <v>0</v>
      </c>
      <c r="CJ301" s="4">
        <v>0</v>
      </c>
      <c r="CK301" s="20">
        <v>0</v>
      </c>
      <c r="CL301" s="5">
        <v>0</v>
      </c>
      <c r="CM301" s="20">
        <v>111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20">
        <v>2.5</v>
      </c>
      <c r="CW301" s="20">
        <v>3</v>
      </c>
      <c r="CX301" s="20">
        <v>2.5</v>
      </c>
      <c r="CY301" s="20">
        <v>3.5</v>
      </c>
      <c r="CZ301" s="8">
        <v>50</v>
      </c>
      <c r="DA301" s="6">
        <f t="shared" si="878"/>
        <v>11250</v>
      </c>
      <c r="DB301" s="5">
        <v>0</v>
      </c>
      <c r="DC301" s="5">
        <f t="shared" si="885"/>
        <v>0.7</v>
      </c>
      <c r="DD301" s="6">
        <f t="shared" si="879"/>
        <v>0.7</v>
      </c>
      <c r="DE301" s="6">
        <v>1</v>
      </c>
      <c r="DF301" s="5">
        <v>0</v>
      </c>
      <c r="DG301" s="6">
        <v>2.5</v>
      </c>
      <c r="DH301" s="5"/>
      <c r="DI301" s="8"/>
      <c r="DJ301" s="5">
        <v>0</v>
      </c>
      <c r="DK301" s="8">
        <v>0</v>
      </c>
      <c r="DL301" s="5">
        <f t="shared" si="880"/>
        <v>0</v>
      </c>
      <c r="DM301" s="5" t="str">
        <f t="shared" si="920"/>
        <v>9级海盗头目</v>
      </c>
      <c r="DN301" s="5">
        <v>6</v>
      </c>
      <c r="DO301" s="5">
        <v>0</v>
      </c>
      <c r="DP301" s="5">
        <v>1</v>
      </c>
      <c r="DQ301" s="5">
        <v>1</v>
      </c>
      <c r="DR301" s="5">
        <v>2.5</v>
      </c>
      <c r="DS301" s="6">
        <v>3.5</v>
      </c>
      <c r="DT301" s="5">
        <v>-0.5</v>
      </c>
      <c r="DU301" s="5">
        <v>0.5</v>
      </c>
      <c r="DV301" s="6">
        <v>0.5</v>
      </c>
      <c r="DW301" s="5">
        <f t="shared" si="945"/>
        <v>0.33333333333333331</v>
      </c>
      <c r="DX301" s="5">
        <v>4</v>
      </c>
      <c r="DY301" s="5">
        <f t="shared" si="946"/>
        <v>0</v>
      </c>
      <c r="DZ301" s="5">
        <v>0</v>
      </c>
    </row>
    <row r="302" spans="1:130" x14ac:dyDescent="0.15">
      <c r="A302" s="5">
        <v>201300</v>
      </c>
      <c r="B302" s="5" t="s">
        <v>545</v>
      </c>
      <c r="C302" s="5"/>
      <c r="D302" s="5"/>
      <c r="E302" s="5"/>
      <c r="F302" s="5">
        <v>1</v>
      </c>
      <c r="G302" s="45"/>
      <c r="H302" s="5"/>
      <c r="I302" s="5"/>
      <c r="J302" s="5"/>
      <c r="K302" s="5"/>
      <c r="L302" s="10"/>
      <c r="M302" s="5"/>
      <c r="N302" s="10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20"/>
      <c r="AF302" s="5"/>
      <c r="AG302" s="5"/>
      <c r="AH302" s="5"/>
      <c r="AI302" s="5"/>
      <c r="AJ302" s="5"/>
      <c r="AK302" s="5"/>
      <c r="AL302" s="5"/>
      <c r="AM302" s="5"/>
      <c r="AN302" s="8"/>
      <c r="AO302" s="5">
        <v>0</v>
      </c>
      <c r="AP302" s="5" t="s">
        <v>545</v>
      </c>
      <c r="AQ302" s="5">
        <v>0</v>
      </c>
      <c r="AR302" s="8">
        <v>10</v>
      </c>
      <c r="AS302" s="6">
        <f t="shared" si="881"/>
        <v>300</v>
      </c>
      <c r="AT302" s="6">
        <f t="shared" si="882"/>
        <v>330</v>
      </c>
      <c r="AU302" s="5">
        <v>0</v>
      </c>
      <c r="AV302" s="5">
        <v>0</v>
      </c>
      <c r="AW302" s="5">
        <v>0</v>
      </c>
      <c r="AX302" s="5">
        <v>1</v>
      </c>
      <c r="AY302" s="5">
        <v>0</v>
      </c>
      <c r="AZ302" s="5">
        <v>201300</v>
      </c>
      <c r="BA302" s="5">
        <f t="shared" si="940"/>
        <v>203030</v>
      </c>
      <c r="BB302" s="5">
        <v>0</v>
      </c>
      <c r="BC302" s="5">
        <v>0</v>
      </c>
      <c r="BD302" s="5">
        <v>0</v>
      </c>
      <c r="BE302" s="5">
        <v>0</v>
      </c>
      <c r="BF302" s="23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f t="shared" si="917"/>
        <v>1</v>
      </c>
      <c r="BM302" s="5">
        <v>0</v>
      </c>
      <c r="BN302" s="5">
        <v>0</v>
      </c>
      <c r="BO302" s="5">
        <v>0</v>
      </c>
      <c r="BP302" s="5">
        <v>0</v>
      </c>
      <c r="BQ302" s="5"/>
      <c r="BR302" s="5"/>
      <c r="BS302" s="4">
        <v>0</v>
      </c>
      <c r="BT302" s="4">
        <f t="shared" si="941"/>
        <v>10</v>
      </c>
      <c r="BU302" s="17">
        <v>0</v>
      </c>
      <c r="BV302" s="4">
        <f t="shared" ref="BV302:BY302" si="973">BV292</f>
        <v>10</v>
      </c>
      <c r="BW302" s="4">
        <f t="shared" si="973"/>
        <v>10</v>
      </c>
      <c r="BX302" s="4">
        <f t="shared" si="973"/>
        <v>0.21999999999999986</v>
      </c>
      <c r="BY302" s="4">
        <f t="shared" si="973"/>
        <v>0.10000000000000003</v>
      </c>
      <c r="BZ302" s="5" t="s">
        <v>537</v>
      </c>
      <c r="CA302" s="4" t="str">
        <f t="shared" si="943"/>
        <v>monster30_1</v>
      </c>
      <c r="CB302" s="4" t="str">
        <f t="shared" si="943"/>
        <v>monster30_1</v>
      </c>
      <c r="CC302" s="5">
        <v>1</v>
      </c>
      <c r="CD302" s="8">
        <v>1</v>
      </c>
      <c r="CE302" s="5">
        <v>0</v>
      </c>
      <c r="CF302" s="5">
        <v>0</v>
      </c>
      <c r="CG302" s="5" t="s">
        <v>545</v>
      </c>
      <c r="CH302" s="5">
        <v>0</v>
      </c>
      <c r="CI302" s="5">
        <v>0</v>
      </c>
      <c r="CJ302" s="4">
        <v>1</v>
      </c>
      <c r="CK302" s="20">
        <v>0</v>
      </c>
      <c r="CL302" s="5">
        <v>0</v>
      </c>
      <c r="CM302" s="20">
        <v>111</v>
      </c>
      <c r="CN302" s="5">
        <v>0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20">
        <v>2.5</v>
      </c>
      <c r="CW302" s="20">
        <v>3</v>
      </c>
      <c r="CX302" s="20">
        <v>2.5</v>
      </c>
      <c r="CY302" s="20">
        <v>3.5</v>
      </c>
      <c r="CZ302" s="8">
        <v>50</v>
      </c>
      <c r="DA302" s="6">
        <f t="shared" si="878"/>
        <v>12500</v>
      </c>
      <c r="DB302" s="5">
        <v>0</v>
      </c>
      <c r="DC302" s="5">
        <f t="shared" si="885"/>
        <v>0.72499999999999998</v>
      </c>
      <c r="DD302" s="6">
        <f t="shared" si="879"/>
        <v>0.72499999999999998</v>
      </c>
      <c r="DE302" s="6">
        <v>1</v>
      </c>
      <c r="DF302" s="5">
        <v>0</v>
      </c>
      <c r="DG302" s="6">
        <v>2.5</v>
      </c>
      <c r="DH302" s="5"/>
      <c r="DI302" s="8"/>
      <c r="DJ302" s="5">
        <v>0</v>
      </c>
      <c r="DK302" s="8">
        <v>0</v>
      </c>
      <c r="DL302" s="5">
        <f t="shared" si="880"/>
        <v>0</v>
      </c>
      <c r="DM302" s="5" t="str">
        <f t="shared" si="920"/>
        <v>10级海盗头目</v>
      </c>
      <c r="DN302" s="5">
        <v>6</v>
      </c>
      <c r="DO302" s="5">
        <v>0</v>
      </c>
      <c r="DP302" s="5">
        <v>1</v>
      </c>
      <c r="DQ302" s="5">
        <v>1</v>
      </c>
      <c r="DR302" s="5">
        <v>2.5</v>
      </c>
      <c r="DS302" s="6">
        <v>3.5</v>
      </c>
      <c r="DT302" s="5">
        <v>-0.5</v>
      </c>
      <c r="DU302" s="5">
        <v>0.5</v>
      </c>
      <c r="DV302" s="6">
        <v>0.5</v>
      </c>
      <c r="DW302" s="5">
        <f t="shared" si="945"/>
        <v>0.33333333333333331</v>
      </c>
      <c r="DX302" s="5">
        <v>4</v>
      </c>
      <c r="DY302" s="5">
        <f t="shared" si="946"/>
        <v>0</v>
      </c>
      <c r="DZ302" s="5">
        <v>0</v>
      </c>
    </row>
    <row r="303" spans="1:130" x14ac:dyDescent="0.15">
      <c r="A303" s="5">
        <v>201301</v>
      </c>
      <c r="B303" s="5" t="s">
        <v>546</v>
      </c>
      <c r="C303" s="5"/>
      <c r="D303" s="5"/>
      <c r="E303" s="5"/>
      <c r="F303" s="5">
        <v>1</v>
      </c>
      <c r="G303" s="45"/>
      <c r="H303" s="5"/>
      <c r="I303" s="5"/>
      <c r="J303" s="5"/>
      <c r="K303" s="5"/>
      <c r="L303" s="10"/>
      <c r="M303" s="5"/>
      <c r="N303" s="10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20"/>
      <c r="AF303" s="5"/>
      <c r="AG303" s="5"/>
      <c r="AH303" s="5"/>
      <c r="AI303" s="5"/>
      <c r="AJ303" s="5"/>
      <c r="AK303" s="5"/>
      <c r="AL303" s="5"/>
      <c r="AM303" s="5"/>
      <c r="AN303" s="8"/>
      <c r="AO303" s="5">
        <v>0</v>
      </c>
      <c r="AP303" s="5" t="s">
        <v>546</v>
      </c>
      <c r="AQ303" s="5">
        <v>0</v>
      </c>
      <c r="AR303" s="8">
        <v>10</v>
      </c>
      <c r="AS303" s="6">
        <f t="shared" si="881"/>
        <v>30</v>
      </c>
      <c r="AT303" s="6">
        <f t="shared" si="882"/>
        <v>33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201301</v>
      </c>
      <c r="BA303" s="5">
        <f t="shared" si="940"/>
        <v>203031</v>
      </c>
      <c r="BB303" s="5">
        <v>0</v>
      </c>
      <c r="BC303" s="5">
        <v>0</v>
      </c>
      <c r="BD303" s="5">
        <v>1</v>
      </c>
      <c r="BE303" s="5">
        <v>0</v>
      </c>
      <c r="BF303" s="23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f t="shared" si="917"/>
        <v>0</v>
      </c>
      <c r="BM303" s="5">
        <v>0</v>
      </c>
      <c r="BN303" s="5">
        <v>0</v>
      </c>
      <c r="BO303" s="5">
        <v>0</v>
      </c>
      <c r="BP303" s="5">
        <v>0</v>
      </c>
      <c r="BQ303" s="5"/>
      <c r="BR303" s="5"/>
      <c r="BS303" s="4">
        <v>0</v>
      </c>
      <c r="BT303" s="4">
        <f t="shared" si="941"/>
        <v>1</v>
      </c>
      <c r="BU303" s="17">
        <v>0</v>
      </c>
      <c r="BV303" s="4">
        <f t="shared" ref="BV303:BY303" si="974">BV293</f>
        <v>1</v>
      </c>
      <c r="BW303" s="4">
        <f t="shared" si="974"/>
        <v>1</v>
      </c>
      <c r="BX303" s="4">
        <f t="shared" si="974"/>
        <v>0.85</v>
      </c>
      <c r="BY303" s="4">
        <f t="shared" si="974"/>
        <v>0.55000000000000004</v>
      </c>
      <c r="BZ303" s="5" t="s">
        <v>547</v>
      </c>
      <c r="CA303" s="4" t="str">
        <f t="shared" si="943"/>
        <v>monster31</v>
      </c>
      <c r="CB303" s="4" t="str">
        <f t="shared" si="943"/>
        <v>monster31</v>
      </c>
      <c r="CC303" s="5">
        <v>1</v>
      </c>
      <c r="CD303" s="8">
        <v>1</v>
      </c>
      <c r="CE303" s="5">
        <v>0</v>
      </c>
      <c r="CF303" s="5">
        <v>0</v>
      </c>
      <c r="CG303" s="5" t="s">
        <v>546</v>
      </c>
      <c r="CH303" s="5">
        <v>0</v>
      </c>
      <c r="CI303" s="5">
        <v>0</v>
      </c>
      <c r="CJ303" s="4">
        <v>0</v>
      </c>
      <c r="CK303" s="20">
        <v>0</v>
      </c>
      <c r="CL303" s="5">
        <v>0</v>
      </c>
      <c r="CM303" s="20">
        <v>111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20">
        <v>2.5</v>
      </c>
      <c r="CW303" s="20">
        <v>3</v>
      </c>
      <c r="CX303" s="20">
        <v>2.5</v>
      </c>
      <c r="CY303" s="20">
        <v>3.5</v>
      </c>
      <c r="CZ303" s="8">
        <v>50</v>
      </c>
      <c r="DA303" s="6">
        <f t="shared" si="878"/>
        <v>1250</v>
      </c>
      <c r="DB303" s="5">
        <v>1</v>
      </c>
      <c r="DC303" s="5">
        <f t="shared" si="885"/>
        <v>0.5</v>
      </c>
      <c r="DD303" s="6">
        <f t="shared" si="879"/>
        <v>0.5</v>
      </c>
      <c r="DE303" s="6">
        <v>1</v>
      </c>
      <c r="DF303" s="5">
        <v>0</v>
      </c>
      <c r="DG303" s="6">
        <v>2.5</v>
      </c>
      <c r="DH303" s="5"/>
      <c r="DI303" s="8"/>
      <c r="DJ303" s="5">
        <v>0</v>
      </c>
      <c r="DK303" s="8">
        <v>0</v>
      </c>
      <c r="DL303" s="5">
        <f t="shared" si="880"/>
        <v>0</v>
      </c>
      <c r="DM303" s="5" t="str">
        <f t="shared" si="920"/>
        <v>1级暗夜收割者</v>
      </c>
      <c r="DN303" s="5">
        <v>6</v>
      </c>
      <c r="DO303" s="5">
        <v>0</v>
      </c>
      <c r="DP303" s="5">
        <v>1</v>
      </c>
      <c r="DQ303" s="5">
        <v>1</v>
      </c>
      <c r="DR303" s="5">
        <v>2.5</v>
      </c>
      <c r="DS303" s="6">
        <v>3.5</v>
      </c>
      <c r="DT303" s="5">
        <v>-0.5</v>
      </c>
      <c r="DU303" s="5">
        <v>0.5</v>
      </c>
      <c r="DV303" s="6">
        <v>0.5</v>
      </c>
      <c r="DW303" s="5">
        <f t="shared" si="945"/>
        <v>0.41666666666666669</v>
      </c>
      <c r="DX303" s="5">
        <v>5</v>
      </c>
      <c r="DY303" s="5">
        <f t="shared" si="946"/>
        <v>0</v>
      </c>
      <c r="DZ303" s="5">
        <v>0</v>
      </c>
    </row>
    <row r="304" spans="1:130" x14ac:dyDescent="0.15">
      <c r="A304" s="5">
        <v>201302</v>
      </c>
      <c r="B304" s="5" t="s">
        <v>548</v>
      </c>
      <c r="C304" s="5"/>
      <c r="D304" s="5"/>
      <c r="E304" s="5"/>
      <c r="F304" s="5">
        <v>1</v>
      </c>
      <c r="G304" s="45"/>
      <c r="H304" s="5"/>
      <c r="I304" s="5"/>
      <c r="J304" s="5"/>
      <c r="K304" s="5"/>
      <c r="L304" s="10"/>
      <c r="M304" s="5"/>
      <c r="N304" s="10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20"/>
      <c r="AF304" s="5"/>
      <c r="AG304" s="5"/>
      <c r="AH304" s="5"/>
      <c r="AI304" s="5"/>
      <c r="AJ304" s="5"/>
      <c r="AK304" s="5"/>
      <c r="AL304" s="5"/>
      <c r="AM304" s="5"/>
      <c r="AN304" s="8"/>
      <c r="AO304" s="5">
        <v>0</v>
      </c>
      <c r="AP304" s="5" t="s">
        <v>548</v>
      </c>
      <c r="AQ304" s="5">
        <v>0</v>
      </c>
      <c r="AR304" s="8">
        <v>10</v>
      </c>
      <c r="AS304" s="6">
        <f t="shared" si="881"/>
        <v>60</v>
      </c>
      <c r="AT304" s="6">
        <f t="shared" si="882"/>
        <v>66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201302</v>
      </c>
      <c r="BA304" s="5">
        <f t="shared" si="940"/>
        <v>203031</v>
      </c>
      <c r="BB304" s="5">
        <v>0</v>
      </c>
      <c r="BC304" s="5">
        <v>0</v>
      </c>
      <c r="BD304" s="5">
        <v>1</v>
      </c>
      <c r="BE304" s="5">
        <v>0</v>
      </c>
      <c r="BF304" s="23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f t="shared" si="917"/>
        <v>0</v>
      </c>
      <c r="BM304" s="5">
        <v>0</v>
      </c>
      <c r="BN304" s="5">
        <v>0</v>
      </c>
      <c r="BO304" s="5">
        <v>0</v>
      </c>
      <c r="BP304" s="5">
        <v>0</v>
      </c>
      <c r="BQ304" s="5"/>
      <c r="BR304" s="5"/>
      <c r="BS304" s="4">
        <v>0</v>
      </c>
      <c r="BT304" s="4">
        <f t="shared" si="941"/>
        <v>2</v>
      </c>
      <c r="BU304" s="17">
        <v>0</v>
      </c>
      <c r="BV304" s="4">
        <f t="shared" ref="BV304:BY304" si="975">BV294</f>
        <v>2</v>
      </c>
      <c r="BW304" s="4">
        <f t="shared" si="975"/>
        <v>2</v>
      </c>
      <c r="BX304" s="4">
        <f t="shared" si="975"/>
        <v>0.78</v>
      </c>
      <c r="BY304" s="4">
        <f t="shared" si="975"/>
        <v>0.5</v>
      </c>
      <c r="BZ304" s="5" t="s">
        <v>549</v>
      </c>
      <c r="CA304" s="4" t="str">
        <f t="shared" si="943"/>
        <v>monster31_1</v>
      </c>
      <c r="CB304" s="4" t="str">
        <f t="shared" si="943"/>
        <v>monster31_1</v>
      </c>
      <c r="CC304" s="5">
        <v>1</v>
      </c>
      <c r="CD304" s="8">
        <v>1</v>
      </c>
      <c r="CE304" s="5">
        <v>0</v>
      </c>
      <c r="CF304" s="5">
        <v>0</v>
      </c>
      <c r="CG304" s="5" t="s">
        <v>548</v>
      </c>
      <c r="CH304" s="5">
        <v>0</v>
      </c>
      <c r="CI304" s="5">
        <v>0</v>
      </c>
      <c r="CJ304" s="4">
        <v>1</v>
      </c>
      <c r="CK304" s="20">
        <v>0</v>
      </c>
      <c r="CL304" s="5">
        <v>0</v>
      </c>
      <c r="CM304" s="20">
        <v>111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20">
        <v>2.5</v>
      </c>
      <c r="CW304" s="20">
        <v>3</v>
      </c>
      <c r="CX304" s="20">
        <v>2.5</v>
      </c>
      <c r="CY304" s="20">
        <v>3.5</v>
      </c>
      <c r="CZ304" s="8">
        <v>50</v>
      </c>
      <c r="DA304" s="6">
        <f t="shared" si="878"/>
        <v>2500</v>
      </c>
      <c r="DB304" s="5">
        <v>1</v>
      </c>
      <c r="DC304" s="5">
        <f t="shared" si="885"/>
        <v>0.52500000000000002</v>
      </c>
      <c r="DD304" s="6">
        <f t="shared" si="879"/>
        <v>0.52500000000000002</v>
      </c>
      <c r="DE304" s="6">
        <v>1</v>
      </c>
      <c r="DF304" s="5">
        <v>0</v>
      </c>
      <c r="DG304" s="6">
        <v>2.5</v>
      </c>
      <c r="DH304" s="5"/>
      <c r="DI304" s="8"/>
      <c r="DJ304" s="5">
        <v>0</v>
      </c>
      <c r="DK304" s="8">
        <v>0</v>
      </c>
      <c r="DL304" s="5">
        <f t="shared" si="880"/>
        <v>0</v>
      </c>
      <c r="DM304" s="5" t="str">
        <f t="shared" si="920"/>
        <v>2级暗夜收割者</v>
      </c>
      <c r="DN304" s="5">
        <v>6</v>
      </c>
      <c r="DO304" s="5">
        <v>0</v>
      </c>
      <c r="DP304" s="5">
        <v>1</v>
      </c>
      <c r="DQ304" s="5">
        <v>1</v>
      </c>
      <c r="DR304" s="5">
        <v>2.5</v>
      </c>
      <c r="DS304" s="6">
        <v>3.5</v>
      </c>
      <c r="DT304" s="5">
        <v>-0.5</v>
      </c>
      <c r="DU304" s="5">
        <v>0.5</v>
      </c>
      <c r="DV304" s="6">
        <v>0.5</v>
      </c>
      <c r="DW304" s="5">
        <f t="shared" si="945"/>
        <v>0.41666666666666669</v>
      </c>
      <c r="DX304" s="5">
        <v>5</v>
      </c>
      <c r="DY304" s="5">
        <f t="shared" si="946"/>
        <v>0</v>
      </c>
      <c r="DZ304" s="5">
        <v>0</v>
      </c>
    </row>
    <row r="305" spans="1:130" x14ac:dyDescent="0.15">
      <c r="A305" s="5">
        <v>201303</v>
      </c>
      <c r="B305" s="5" t="s">
        <v>550</v>
      </c>
      <c r="C305" s="5"/>
      <c r="D305" s="5"/>
      <c r="E305" s="5"/>
      <c r="F305" s="5">
        <v>1</v>
      </c>
      <c r="G305" s="45"/>
      <c r="H305" s="5"/>
      <c r="I305" s="5"/>
      <c r="J305" s="5"/>
      <c r="K305" s="5"/>
      <c r="L305" s="10"/>
      <c r="M305" s="5"/>
      <c r="N305" s="10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20"/>
      <c r="AF305" s="5"/>
      <c r="AG305" s="5"/>
      <c r="AH305" s="5"/>
      <c r="AI305" s="5"/>
      <c r="AJ305" s="5"/>
      <c r="AK305" s="5"/>
      <c r="AL305" s="5"/>
      <c r="AM305" s="5"/>
      <c r="AN305" s="8"/>
      <c r="AO305" s="5">
        <v>0</v>
      </c>
      <c r="AP305" s="5" t="s">
        <v>550</v>
      </c>
      <c r="AQ305" s="5">
        <v>0</v>
      </c>
      <c r="AR305" s="8">
        <v>10</v>
      </c>
      <c r="AS305" s="6">
        <f t="shared" si="881"/>
        <v>90</v>
      </c>
      <c r="AT305" s="6">
        <f t="shared" si="882"/>
        <v>99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201303</v>
      </c>
      <c r="BA305" s="5">
        <f t="shared" si="940"/>
        <v>203031</v>
      </c>
      <c r="BB305" s="5">
        <v>0</v>
      </c>
      <c r="BC305" s="5">
        <v>0</v>
      </c>
      <c r="BD305" s="5">
        <v>1</v>
      </c>
      <c r="BE305" s="5">
        <v>0</v>
      </c>
      <c r="BF305" s="23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f t="shared" si="917"/>
        <v>0</v>
      </c>
      <c r="BM305" s="5">
        <v>0</v>
      </c>
      <c r="BN305" s="5">
        <v>0</v>
      </c>
      <c r="BO305" s="5">
        <v>0</v>
      </c>
      <c r="BP305" s="5">
        <v>0</v>
      </c>
      <c r="BQ305" s="5"/>
      <c r="BR305" s="5"/>
      <c r="BS305" s="4">
        <v>0</v>
      </c>
      <c r="BT305" s="4">
        <f t="shared" si="941"/>
        <v>3</v>
      </c>
      <c r="BU305" s="17">
        <v>0</v>
      </c>
      <c r="BV305" s="4">
        <f t="shared" ref="BV305:BY305" si="976">BV295</f>
        <v>3</v>
      </c>
      <c r="BW305" s="4">
        <f t="shared" si="976"/>
        <v>3</v>
      </c>
      <c r="BX305" s="4">
        <f t="shared" si="976"/>
        <v>0.71</v>
      </c>
      <c r="BY305" s="4">
        <f t="shared" si="976"/>
        <v>0.45000000000000007</v>
      </c>
      <c r="BZ305" s="5" t="s">
        <v>547</v>
      </c>
      <c r="CA305" s="4" t="str">
        <f t="shared" si="943"/>
        <v>monster31</v>
      </c>
      <c r="CB305" s="4" t="str">
        <f t="shared" si="943"/>
        <v>monster31</v>
      </c>
      <c r="CC305" s="5">
        <v>1</v>
      </c>
      <c r="CD305" s="8">
        <v>1</v>
      </c>
      <c r="CE305" s="5">
        <v>0</v>
      </c>
      <c r="CF305" s="5">
        <v>0</v>
      </c>
      <c r="CG305" s="5" t="s">
        <v>550</v>
      </c>
      <c r="CH305" s="5">
        <v>0</v>
      </c>
      <c r="CI305" s="5">
        <v>0</v>
      </c>
      <c r="CJ305" s="4">
        <v>0</v>
      </c>
      <c r="CK305" s="20">
        <v>0</v>
      </c>
      <c r="CL305" s="5">
        <v>0</v>
      </c>
      <c r="CM305" s="20">
        <v>111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20">
        <v>2.5</v>
      </c>
      <c r="CW305" s="20">
        <v>3</v>
      </c>
      <c r="CX305" s="20">
        <v>2.5</v>
      </c>
      <c r="CY305" s="20">
        <v>3.5</v>
      </c>
      <c r="CZ305" s="8">
        <v>50</v>
      </c>
      <c r="DA305" s="6">
        <f t="shared" si="878"/>
        <v>3750</v>
      </c>
      <c r="DB305" s="5">
        <v>1</v>
      </c>
      <c r="DC305" s="5">
        <f t="shared" si="885"/>
        <v>0.55000000000000004</v>
      </c>
      <c r="DD305" s="6">
        <f t="shared" si="879"/>
        <v>0.55000000000000004</v>
      </c>
      <c r="DE305" s="6">
        <v>1</v>
      </c>
      <c r="DF305" s="5">
        <v>0</v>
      </c>
      <c r="DG305" s="6">
        <v>2.5</v>
      </c>
      <c r="DH305" s="5"/>
      <c r="DI305" s="8"/>
      <c r="DJ305" s="5">
        <v>0</v>
      </c>
      <c r="DK305" s="8">
        <v>0</v>
      </c>
      <c r="DL305" s="5">
        <f t="shared" si="880"/>
        <v>0</v>
      </c>
      <c r="DM305" s="5" t="str">
        <f t="shared" si="920"/>
        <v>3级暗夜收割者</v>
      </c>
      <c r="DN305" s="5">
        <v>6</v>
      </c>
      <c r="DO305" s="5">
        <v>0</v>
      </c>
      <c r="DP305" s="5">
        <v>1</v>
      </c>
      <c r="DQ305" s="5">
        <v>1</v>
      </c>
      <c r="DR305" s="5">
        <v>2.5</v>
      </c>
      <c r="DS305" s="6">
        <v>3.5</v>
      </c>
      <c r="DT305" s="5">
        <v>-0.5</v>
      </c>
      <c r="DU305" s="5">
        <v>0.5</v>
      </c>
      <c r="DV305" s="6">
        <v>0.5</v>
      </c>
      <c r="DW305" s="5">
        <f t="shared" si="945"/>
        <v>0.41666666666666669</v>
      </c>
      <c r="DX305" s="5">
        <v>5</v>
      </c>
      <c r="DY305" s="5">
        <f t="shared" si="946"/>
        <v>0</v>
      </c>
      <c r="DZ305" s="5">
        <v>0</v>
      </c>
    </row>
    <row r="306" spans="1:130" x14ac:dyDescent="0.15">
      <c r="A306" s="5">
        <v>201304</v>
      </c>
      <c r="B306" s="5" t="s">
        <v>551</v>
      </c>
      <c r="C306" s="5"/>
      <c r="D306" s="5"/>
      <c r="E306" s="5"/>
      <c r="F306" s="5">
        <v>1</v>
      </c>
      <c r="G306" s="45"/>
      <c r="H306" s="5"/>
      <c r="I306" s="5"/>
      <c r="J306" s="5"/>
      <c r="K306" s="5"/>
      <c r="L306" s="10"/>
      <c r="M306" s="5"/>
      <c r="N306" s="10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20"/>
      <c r="AF306" s="5"/>
      <c r="AG306" s="5"/>
      <c r="AH306" s="5"/>
      <c r="AI306" s="5"/>
      <c r="AJ306" s="5"/>
      <c r="AK306" s="5"/>
      <c r="AL306" s="5"/>
      <c r="AM306" s="5"/>
      <c r="AN306" s="8"/>
      <c r="AO306" s="5">
        <v>0</v>
      </c>
      <c r="AP306" s="5" t="s">
        <v>551</v>
      </c>
      <c r="AQ306" s="5">
        <v>0</v>
      </c>
      <c r="AR306" s="8">
        <v>10</v>
      </c>
      <c r="AS306" s="6">
        <f t="shared" si="881"/>
        <v>120</v>
      </c>
      <c r="AT306" s="6">
        <f t="shared" si="882"/>
        <v>132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201304</v>
      </c>
      <c r="BA306" s="5">
        <f t="shared" si="940"/>
        <v>203031</v>
      </c>
      <c r="BB306" s="5">
        <v>0</v>
      </c>
      <c r="BC306" s="5">
        <v>0</v>
      </c>
      <c r="BD306" s="5">
        <v>1</v>
      </c>
      <c r="BE306" s="5">
        <v>0</v>
      </c>
      <c r="BF306" s="23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f t="shared" si="917"/>
        <v>1</v>
      </c>
      <c r="BM306" s="5">
        <v>0</v>
      </c>
      <c r="BN306" s="5">
        <v>0</v>
      </c>
      <c r="BO306" s="5">
        <v>0</v>
      </c>
      <c r="BP306" s="5">
        <v>0</v>
      </c>
      <c r="BQ306" s="5"/>
      <c r="BR306" s="5"/>
      <c r="BS306" s="4">
        <v>0</v>
      </c>
      <c r="BT306" s="4">
        <f t="shared" si="941"/>
        <v>4</v>
      </c>
      <c r="BU306" s="4">
        <v>0</v>
      </c>
      <c r="BV306" s="4">
        <f t="shared" ref="BV306:BY306" si="977">BV296</f>
        <v>4</v>
      </c>
      <c r="BW306" s="4">
        <f t="shared" si="977"/>
        <v>4</v>
      </c>
      <c r="BX306" s="4">
        <f t="shared" si="977"/>
        <v>0.6399999999999999</v>
      </c>
      <c r="BY306" s="4">
        <f t="shared" si="977"/>
        <v>0.4</v>
      </c>
      <c r="BZ306" s="5" t="s">
        <v>549</v>
      </c>
      <c r="CA306" s="4" t="str">
        <f t="shared" si="943"/>
        <v>monster31_1</v>
      </c>
      <c r="CB306" s="4" t="str">
        <f t="shared" si="943"/>
        <v>monster31_1</v>
      </c>
      <c r="CC306" s="5">
        <v>1</v>
      </c>
      <c r="CD306" s="8">
        <v>1</v>
      </c>
      <c r="CE306" s="5">
        <v>0</v>
      </c>
      <c r="CF306" s="5">
        <v>0</v>
      </c>
      <c r="CG306" s="5" t="s">
        <v>551</v>
      </c>
      <c r="CH306" s="5">
        <v>0</v>
      </c>
      <c r="CI306" s="5">
        <v>0</v>
      </c>
      <c r="CJ306" s="4">
        <v>1</v>
      </c>
      <c r="CK306" s="20">
        <v>0</v>
      </c>
      <c r="CL306" s="5">
        <v>0</v>
      </c>
      <c r="CM306" s="20">
        <v>111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20">
        <v>2.5</v>
      </c>
      <c r="CW306" s="20">
        <v>3</v>
      </c>
      <c r="CX306" s="20">
        <v>2.5</v>
      </c>
      <c r="CY306" s="20">
        <v>3.5</v>
      </c>
      <c r="CZ306" s="8">
        <v>50</v>
      </c>
      <c r="DA306" s="6">
        <f t="shared" si="878"/>
        <v>5000</v>
      </c>
      <c r="DB306" s="5">
        <v>1</v>
      </c>
      <c r="DC306" s="5">
        <f t="shared" si="885"/>
        <v>0.57499999999999996</v>
      </c>
      <c r="DD306" s="6">
        <f t="shared" si="879"/>
        <v>0.57499999999999996</v>
      </c>
      <c r="DE306" s="6">
        <v>1</v>
      </c>
      <c r="DF306" s="5">
        <v>0</v>
      </c>
      <c r="DG306" s="6">
        <v>2.5</v>
      </c>
      <c r="DH306" s="5"/>
      <c r="DI306" s="8"/>
      <c r="DJ306" s="5">
        <v>0</v>
      </c>
      <c r="DK306" s="8">
        <v>0</v>
      </c>
      <c r="DL306" s="5">
        <f t="shared" si="880"/>
        <v>0</v>
      </c>
      <c r="DM306" s="5" t="str">
        <f t="shared" si="920"/>
        <v>4级暗夜收割者</v>
      </c>
      <c r="DN306" s="5">
        <v>6</v>
      </c>
      <c r="DO306" s="5">
        <v>0</v>
      </c>
      <c r="DP306" s="5">
        <v>1</v>
      </c>
      <c r="DQ306" s="5">
        <v>1</v>
      </c>
      <c r="DR306" s="5">
        <v>2.5</v>
      </c>
      <c r="DS306" s="6">
        <v>3.5</v>
      </c>
      <c r="DT306" s="5">
        <v>-0.5</v>
      </c>
      <c r="DU306" s="5">
        <v>0.5</v>
      </c>
      <c r="DV306" s="6">
        <v>0.5</v>
      </c>
      <c r="DW306" s="5">
        <f t="shared" si="945"/>
        <v>0.41666666666666669</v>
      </c>
      <c r="DX306" s="5">
        <v>5</v>
      </c>
      <c r="DY306" s="5">
        <f t="shared" si="946"/>
        <v>0</v>
      </c>
      <c r="DZ306" s="5">
        <v>0</v>
      </c>
    </row>
    <row r="307" spans="1:130" x14ac:dyDescent="0.15">
      <c r="A307" s="5">
        <v>201305</v>
      </c>
      <c r="B307" s="5" t="s">
        <v>552</v>
      </c>
      <c r="C307" s="5"/>
      <c r="D307" s="5"/>
      <c r="E307" s="5"/>
      <c r="F307" s="5">
        <v>1</v>
      </c>
      <c r="G307" s="45"/>
      <c r="H307" s="5"/>
      <c r="I307" s="5"/>
      <c r="J307" s="5"/>
      <c r="K307" s="5"/>
      <c r="L307" s="10"/>
      <c r="M307" s="5"/>
      <c r="N307" s="10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20"/>
      <c r="AF307" s="5"/>
      <c r="AG307" s="5"/>
      <c r="AH307" s="5"/>
      <c r="AI307" s="5"/>
      <c r="AJ307" s="5"/>
      <c r="AK307" s="5"/>
      <c r="AL307" s="5"/>
      <c r="AM307" s="5"/>
      <c r="AN307" s="8"/>
      <c r="AO307" s="5">
        <v>0</v>
      </c>
      <c r="AP307" s="5" t="s">
        <v>552</v>
      </c>
      <c r="AQ307" s="5">
        <v>0</v>
      </c>
      <c r="AR307" s="8">
        <v>10</v>
      </c>
      <c r="AS307" s="6">
        <f t="shared" si="881"/>
        <v>150</v>
      </c>
      <c r="AT307" s="6">
        <f t="shared" si="882"/>
        <v>165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201305</v>
      </c>
      <c r="BA307" s="5">
        <f t="shared" si="940"/>
        <v>203031</v>
      </c>
      <c r="BB307" s="5">
        <v>0</v>
      </c>
      <c r="BC307" s="5">
        <v>0</v>
      </c>
      <c r="BD307" s="5">
        <v>1</v>
      </c>
      <c r="BE307" s="5">
        <v>0</v>
      </c>
      <c r="BF307" s="23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f t="shared" si="917"/>
        <v>1</v>
      </c>
      <c r="BM307" s="5">
        <v>0</v>
      </c>
      <c r="BN307" s="5">
        <v>0</v>
      </c>
      <c r="BO307" s="5">
        <v>0</v>
      </c>
      <c r="BP307" s="5">
        <v>0</v>
      </c>
      <c r="BQ307" s="5"/>
      <c r="BR307" s="5"/>
      <c r="BS307" s="4">
        <v>0</v>
      </c>
      <c r="BT307" s="4">
        <f t="shared" si="941"/>
        <v>5</v>
      </c>
      <c r="BU307" s="4">
        <v>0</v>
      </c>
      <c r="BV307" s="4">
        <f t="shared" ref="BV307:BY307" si="978">BV297</f>
        <v>5</v>
      </c>
      <c r="BW307" s="4">
        <f t="shared" si="978"/>
        <v>5</v>
      </c>
      <c r="BX307" s="4">
        <f t="shared" si="978"/>
        <v>0.56999999999999995</v>
      </c>
      <c r="BY307" s="4">
        <f t="shared" si="978"/>
        <v>0.35000000000000003</v>
      </c>
      <c r="BZ307" s="5" t="s">
        <v>547</v>
      </c>
      <c r="CA307" s="4" t="str">
        <f t="shared" si="943"/>
        <v>monster31</v>
      </c>
      <c r="CB307" s="4" t="str">
        <f t="shared" si="943"/>
        <v>monster31</v>
      </c>
      <c r="CC307" s="5">
        <v>1</v>
      </c>
      <c r="CD307" s="8">
        <v>1</v>
      </c>
      <c r="CE307" s="5">
        <v>0</v>
      </c>
      <c r="CF307" s="5">
        <v>0</v>
      </c>
      <c r="CG307" s="5" t="s">
        <v>552</v>
      </c>
      <c r="CH307" s="5">
        <v>0</v>
      </c>
      <c r="CI307" s="5">
        <v>0</v>
      </c>
      <c r="CJ307" s="4">
        <v>0</v>
      </c>
      <c r="CK307" s="20">
        <v>0</v>
      </c>
      <c r="CL307" s="5">
        <v>0</v>
      </c>
      <c r="CM307" s="20">
        <v>111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20">
        <v>2.5</v>
      </c>
      <c r="CW307" s="20">
        <v>3</v>
      </c>
      <c r="CX307" s="20">
        <v>2.5</v>
      </c>
      <c r="CY307" s="20">
        <v>3.5</v>
      </c>
      <c r="CZ307" s="8">
        <v>50</v>
      </c>
      <c r="DA307" s="6">
        <f t="shared" si="878"/>
        <v>6250</v>
      </c>
      <c r="DB307" s="5">
        <v>1</v>
      </c>
      <c r="DC307" s="5">
        <f t="shared" si="885"/>
        <v>0.6</v>
      </c>
      <c r="DD307" s="6">
        <f t="shared" si="879"/>
        <v>0.6</v>
      </c>
      <c r="DE307" s="6">
        <v>1</v>
      </c>
      <c r="DF307" s="5">
        <v>0</v>
      </c>
      <c r="DG307" s="6">
        <v>2.5</v>
      </c>
      <c r="DH307" s="5"/>
      <c r="DI307" s="8"/>
      <c r="DJ307" s="5">
        <v>0</v>
      </c>
      <c r="DK307" s="8">
        <v>0</v>
      </c>
      <c r="DL307" s="5">
        <f t="shared" si="880"/>
        <v>0</v>
      </c>
      <c r="DM307" s="5" t="str">
        <f t="shared" si="920"/>
        <v>5级暗夜收割者</v>
      </c>
      <c r="DN307" s="5">
        <v>6</v>
      </c>
      <c r="DO307" s="5">
        <v>0</v>
      </c>
      <c r="DP307" s="5">
        <v>1</v>
      </c>
      <c r="DQ307" s="5">
        <v>1</v>
      </c>
      <c r="DR307" s="5">
        <v>2.5</v>
      </c>
      <c r="DS307" s="6">
        <v>3.5</v>
      </c>
      <c r="DT307" s="5">
        <v>-0.5</v>
      </c>
      <c r="DU307" s="5">
        <v>0.5</v>
      </c>
      <c r="DV307" s="6">
        <v>0.5</v>
      </c>
      <c r="DW307" s="5">
        <f t="shared" si="945"/>
        <v>0.41666666666666669</v>
      </c>
      <c r="DX307" s="5">
        <v>5</v>
      </c>
      <c r="DY307" s="5">
        <f t="shared" si="946"/>
        <v>0</v>
      </c>
      <c r="DZ307" s="5">
        <v>0</v>
      </c>
    </row>
    <row r="308" spans="1:130" x14ac:dyDescent="0.15">
      <c r="A308" s="5">
        <v>201306</v>
      </c>
      <c r="B308" s="5" t="s">
        <v>553</v>
      </c>
      <c r="C308" s="5"/>
      <c r="D308" s="5"/>
      <c r="E308" s="5"/>
      <c r="F308" s="5">
        <v>1</v>
      </c>
      <c r="G308" s="45"/>
      <c r="H308" s="5"/>
      <c r="I308" s="5"/>
      <c r="J308" s="5"/>
      <c r="K308" s="5"/>
      <c r="L308" s="10"/>
      <c r="M308" s="5"/>
      <c r="N308" s="10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20"/>
      <c r="AF308" s="5"/>
      <c r="AG308" s="5"/>
      <c r="AH308" s="5"/>
      <c r="AI308" s="5"/>
      <c r="AJ308" s="5"/>
      <c r="AK308" s="5"/>
      <c r="AL308" s="5"/>
      <c r="AM308" s="5"/>
      <c r="AN308" s="8"/>
      <c r="AO308" s="5">
        <v>0</v>
      </c>
      <c r="AP308" s="5" t="s">
        <v>553</v>
      </c>
      <c r="AQ308" s="5">
        <v>0</v>
      </c>
      <c r="AR308" s="8">
        <v>10</v>
      </c>
      <c r="AS308" s="6">
        <f t="shared" si="881"/>
        <v>180</v>
      </c>
      <c r="AT308" s="6">
        <f t="shared" si="882"/>
        <v>198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201306</v>
      </c>
      <c r="BA308" s="5">
        <f t="shared" si="940"/>
        <v>203031</v>
      </c>
      <c r="BB308" s="5">
        <v>0</v>
      </c>
      <c r="BC308" s="5">
        <v>0</v>
      </c>
      <c r="BD308" s="5">
        <v>1</v>
      </c>
      <c r="BE308" s="5">
        <v>0</v>
      </c>
      <c r="BF308" s="23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f t="shared" si="917"/>
        <v>0</v>
      </c>
      <c r="BM308" s="5">
        <v>0</v>
      </c>
      <c r="BN308" s="5">
        <v>0</v>
      </c>
      <c r="BO308" s="5">
        <v>0</v>
      </c>
      <c r="BP308" s="5">
        <v>0</v>
      </c>
      <c r="BQ308" s="5"/>
      <c r="BR308" s="5"/>
      <c r="BS308" s="4">
        <v>0</v>
      </c>
      <c r="BT308" s="4">
        <f t="shared" si="941"/>
        <v>6</v>
      </c>
      <c r="BU308" s="4">
        <v>0</v>
      </c>
      <c r="BV308" s="4">
        <f t="shared" ref="BV308:BY308" si="979">BV298</f>
        <v>6</v>
      </c>
      <c r="BW308" s="4">
        <f t="shared" si="979"/>
        <v>6</v>
      </c>
      <c r="BX308" s="4">
        <f t="shared" si="979"/>
        <v>0.49999999999999994</v>
      </c>
      <c r="BY308" s="4">
        <f t="shared" si="979"/>
        <v>0.30000000000000004</v>
      </c>
      <c r="BZ308" s="5" t="s">
        <v>549</v>
      </c>
      <c r="CA308" s="4" t="str">
        <f t="shared" si="943"/>
        <v>monster31_1</v>
      </c>
      <c r="CB308" s="4" t="str">
        <f t="shared" si="943"/>
        <v>monster31_1</v>
      </c>
      <c r="CC308" s="5">
        <v>1</v>
      </c>
      <c r="CD308" s="8">
        <v>1</v>
      </c>
      <c r="CE308" s="5">
        <v>0</v>
      </c>
      <c r="CF308" s="5">
        <v>0</v>
      </c>
      <c r="CG308" s="5" t="s">
        <v>553</v>
      </c>
      <c r="CH308" s="5">
        <v>0</v>
      </c>
      <c r="CI308" s="5">
        <v>0</v>
      </c>
      <c r="CJ308" s="4">
        <v>1</v>
      </c>
      <c r="CK308" s="20">
        <v>0</v>
      </c>
      <c r="CL308" s="5">
        <v>0</v>
      </c>
      <c r="CM308" s="20">
        <v>111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20">
        <v>2.5</v>
      </c>
      <c r="CW308" s="26">
        <v>3</v>
      </c>
      <c r="CX308" s="26">
        <v>2.5</v>
      </c>
      <c r="CY308" s="26">
        <v>3.5</v>
      </c>
      <c r="CZ308" s="8">
        <v>50</v>
      </c>
      <c r="DA308" s="6">
        <f t="shared" si="878"/>
        <v>7500</v>
      </c>
      <c r="DB308" s="5">
        <v>1</v>
      </c>
      <c r="DC308" s="5">
        <f t="shared" si="885"/>
        <v>0.625</v>
      </c>
      <c r="DD308" s="6">
        <f t="shared" si="879"/>
        <v>0.625</v>
      </c>
      <c r="DE308" s="6">
        <v>1</v>
      </c>
      <c r="DF308" s="23">
        <v>0</v>
      </c>
      <c r="DG308" s="6">
        <v>2.5</v>
      </c>
      <c r="DH308" s="5"/>
      <c r="DI308" s="8"/>
      <c r="DJ308" s="5">
        <v>0</v>
      </c>
      <c r="DK308" s="8">
        <v>0</v>
      </c>
      <c r="DL308" s="5">
        <f t="shared" si="880"/>
        <v>0</v>
      </c>
      <c r="DM308" s="5" t="str">
        <f t="shared" si="920"/>
        <v>6级暗夜收割者</v>
      </c>
      <c r="DN308" s="5">
        <v>6</v>
      </c>
      <c r="DO308" s="5">
        <v>0</v>
      </c>
      <c r="DP308" s="5">
        <v>1</v>
      </c>
      <c r="DQ308" s="5">
        <v>1</v>
      </c>
      <c r="DR308" s="5">
        <v>2.5</v>
      </c>
      <c r="DS308" s="6">
        <v>3.5</v>
      </c>
      <c r="DT308" s="5">
        <v>-0.5</v>
      </c>
      <c r="DU308" s="5">
        <v>0.5</v>
      </c>
      <c r="DV308" s="6">
        <v>0.5</v>
      </c>
      <c r="DW308" s="5">
        <f t="shared" si="945"/>
        <v>0.41666666666666669</v>
      </c>
      <c r="DX308" s="5">
        <v>5</v>
      </c>
      <c r="DY308" s="5">
        <f t="shared" si="946"/>
        <v>0</v>
      </c>
      <c r="DZ308" s="5">
        <v>0</v>
      </c>
    </row>
    <row r="309" spans="1:130" x14ac:dyDescent="0.15">
      <c r="A309" s="5">
        <v>201307</v>
      </c>
      <c r="B309" s="5" t="s">
        <v>554</v>
      </c>
      <c r="C309" s="5"/>
      <c r="D309" s="5"/>
      <c r="E309" s="5"/>
      <c r="F309" s="5">
        <v>1</v>
      </c>
      <c r="G309" s="45"/>
      <c r="H309" s="5"/>
      <c r="I309" s="5"/>
      <c r="J309" s="5"/>
      <c r="K309" s="5"/>
      <c r="L309" s="10"/>
      <c r="M309" s="5"/>
      <c r="N309" s="10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20"/>
      <c r="AF309" s="5"/>
      <c r="AG309" s="5"/>
      <c r="AH309" s="5"/>
      <c r="AI309" s="5"/>
      <c r="AJ309" s="5"/>
      <c r="AK309" s="5"/>
      <c r="AL309" s="5"/>
      <c r="AM309" s="5"/>
      <c r="AN309" s="8"/>
      <c r="AO309" s="5">
        <v>0</v>
      </c>
      <c r="AP309" s="5" t="s">
        <v>554</v>
      </c>
      <c r="AQ309" s="5">
        <v>0</v>
      </c>
      <c r="AR309" s="8">
        <v>10</v>
      </c>
      <c r="AS309" s="6">
        <f t="shared" si="881"/>
        <v>210</v>
      </c>
      <c r="AT309" s="6">
        <f t="shared" si="882"/>
        <v>231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201307</v>
      </c>
      <c r="BA309" s="5">
        <f t="shared" si="940"/>
        <v>203031</v>
      </c>
      <c r="BB309" s="5">
        <v>0</v>
      </c>
      <c r="BC309" s="5">
        <v>0</v>
      </c>
      <c r="BD309" s="5">
        <v>1</v>
      </c>
      <c r="BE309" s="5">
        <v>0</v>
      </c>
      <c r="BF309" s="23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f t="shared" si="917"/>
        <v>0</v>
      </c>
      <c r="BM309" s="5">
        <v>0</v>
      </c>
      <c r="BN309" s="5">
        <v>0</v>
      </c>
      <c r="BO309" s="5">
        <v>0</v>
      </c>
      <c r="BP309" s="5">
        <v>0</v>
      </c>
      <c r="BQ309" s="5"/>
      <c r="BR309" s="5"/>
      <c r="BS309" s="4">
        <v>0</v>
      </c>
      <c r="BT309" s="4">
        <f t="shared" si="941"/>
        <v>7</v>
      </c>
      <c r="BU309" s="4">
        <v>0</v>
      </c>
      <c r="BV309" s="4">
        <f t="shared" ref="BV309:BY309" si="980">BV299</f>
        <v>7</v>
      </c>
      <c r="BW309" s="4">
        <f t="shared" si="980"/>
        <v>7</v>
      </c>
      <c r="BX309" s="4">
        <f t="shared" si="980"/>
        <v>0.42999999999999994</v>
      </c>
      <c r="BY309" s="4">
        <f t="shared" si="980"/>
        <v>0.25</v>
      </c>
      <c r="BZ309" s="5" t="s">
        <v>547</v>
      </c>
      <c r="CA309" s="4" t="str">
        <f t="shared" si="943"/>
        <v>monster31</v>
      </c>
      <c r="CB309" s="4" t="str">
        <f t="shared" si="943"/>
        <v>monster31</v>
      </c>
      <c r="CC309" s="5">
        <v>1</v>
      </c>
      <c r="CD309" s="8">
        <v>1</v>
      </c>
      <c r="CE309" s="5">
        <v>0</v>
      </c>
      <c r="CF309" s="5">
        <v>0</v>
      </c>
      <c r="CG309" s="5" t="s">
        <v>554</v>
      </c>
      <c r="CH309" s="5">
        <v>0</v>
      </c>
      <c r="CI309" s="5">
        <v>0</v>
      </c>
      <c r="CJ309" s="4">
        <v>0</v>
      </c>
      <c r="CK309" s="20">
        <v>0</v>
      </c>
      <c r="CL309" s="5">
        <v>0</v>
      </c>
      <c r="CM309" s="20">
        <v>111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20">
        <v>2.5</v>
      </c>
      <c r="CW309" s="20">
        <v>3</v>
      </c>
      <c r="CX309" s="20">
        <v>2.5</v>
      </c>
      <c r="CY309" s="20">
        <v>3.5</v>
      </c>
      <c r="CZ309" s="8">
        <v>50</v>
      </c>
      <c r="DA309" s="6">
        <f t="shared" si="878"/>
        <v>8750</v>
      </c>
      <c r="DB309" s="5">
        <v>1</v>
      </c>
      <c r="DC309" s="5">
        <f t="shared" si="885"/>
        <v>0.65</v>
      </c>
      <c r="DD309" s="6">
        <f t="shared" si="879"/>
        <v>0.65</v>
      </c>
      <c r="DE309" s="6">
        <v>1</v>
      </c>
      <c r="DF309" s="23">
        <v>0</v>
      </c>
      <c r="DG309" s="6">
        <v>2.5</v>
      </c>
      <c r="DH309" s="5"/>
      <c r="DI309" s="8"/>
      <c r="DJ309" s="5">
        <v>0</v>
      </c>
      <c r="DK309" s="8">
        <v>0</v>
      </c>
      <c r="DL309" s="5">
        <f t="shared" si="880"/>
        <v>0</v>
      </c>
      <c r="DM309" s="5" t="str">
        <f t="shared" si="920"/>
        <v>7级暗夜收割者</v>
      </c>
      <c r="DN309" s="5">
        <v>6</v>
      </c>
      <c r="DO309" s="5">
        <v>0</v>
      </c>
      <c r="DP309" s="5">
        <v>1</v>
      </c>
      <c r="DQ309" s="5">
        <v>1</v>
      </c>
      <c r="DR309" s="5">
        <v>2.5</v>
      </c>
      <c r="DS309" s="6">
        <v>3.5</v>
      </c>
      <c r="DT309" s="5">
        <v>-0.5</v>
      </c>
      <c r="DU309" s="5">
        <v>0.5</v>
      </c>
      <c r="DV309" s="6">
        <v>0.5</v>
      </c>
      <c r="DW309" s="5">
        <f t="shared" si="945"/>
        <v>0.41666666666666669</v>
      </c>
      <c r="DX309" s="5">
        <v>5</v>
      </c>
      <c r="DY309" s="5">
        <f t="shared" si="946"/>
        <v>0</v>
      </c>
      <c r="DZ309" s="5">
        <v>0</v>
      </c>
    </row>
    <row r="310" spans="1:130" x14ac:dyDescent="0.15">
      <c r="A310" s="5">
        <v>201308</v>
      </c>
      <c r="B310" s="5" t="s">
        <v>555</v>
      </c>
      <c r="C310" s="5"/>
      <c r="D310" s="5"/>
      <c r="E310" s="5"/>
      <c r="F310" s="5">
        <v>1</v>
      </c>
      <c r="G310" s="45"/>
      <c r="H310" s="5"/>
      <c r="I310" s="5"/>
      <c r="J310" s="5"/>
      <c r="K310" s="5"/>
      <c r="L310" s="10"/>
      <c r="M310" s="5"/>
      <c r="N310" s="10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20"/>
      <c r="AF310" s="5"/>
      <c r="AG310" s="5"/>
      <c r="AH310" s="5"/>
      <c r="AI310" s="5"/>
      <c r="AJ310" s="5"/>
      <c r="AK310" s="5"/>
      <c r="AL310" s="5"/>
      <c r="AM310" s="5"/>
      <c r="AN310" s="8"/>
      <c r="AO310" s="5">
        <v>0</v>
      </c>
      <c r="AP310" s="5" t="s">
        <v>555</v>
      </c>
      <c r="AQ310" s="5">
        <v>0</v>
      </c>
      <c r="AR310" s="8">
        <v>10</v>
      </c>
      <c r="AS310" s="6">
        <f t="shared" si="881"/>
        <v>240</v>
      </c>
      <c r="AT310" s="6">
        <f t="shared" si="882"/>
        <v>264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201308</v>
      </c>
      <c r="BA310" s="5">
        <f t="shared" si="940"/>
        <v>203031</v>
      </c>
      <c r="BB310" s="5">
        <v>0</v>
      </c>
      <c r="BC310" s="5">
        <v>0</v>
      </c>
      <c r="BD310" s="5">
        <v>1</v>
      </c>
      <c r="BE310" s="5">
        <v>0</v>
      </c>
      <c r="BF310" s="23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f t="shared" si="917"/>
        <v>0</v>
      </c>
      <c r="BM310" s="5">
        <v>0</v>
      </c>
      <c r="BN310" s="5">
        <v>0</v>
      </c>
      <c r="BO310" s="5">
        <v>0</v>
      </c>
      <c r="BP310" s="5">
        <v>0</v>
      </c>
      <c r="BQ310" s="5"/>
      <c r="BR310" s="5"/>
      <c r="BS310" s="4">
        <v>0</v>
      </c>
      <c r="BT310" s="4">
        <f t="shared" si="941"/>
        <v>8</v>
      </c>
      <c r="BU310" s="4">
        <v>0</v>
      </c>
      <c r="BV310" s="4">
        <f t="shared" ref="BV310:BY310" si="981">BV300</f>
        <v>8</v>
      </c>
      <c r="BW310" s="4">
        <f t="shared" si="981"/>
        <v>8</v>
      </c>
      <c r="BX310" s="4">
        <f t="shared" si="981"/>
        <v>0.35999999999999993</v>
      </c>
      <c r="BY310" s="4">
        <f t="shared" si="981"/>
        <v>0.2</v>
      </c>
      <c r="BZ310" s="5" t="s">
        <v>549</v>
      </c>
      <c r="CA310" s="4" t="str">
        <f t="shared" si="943"/>
        <v>monster31_1</v>
      </c>
      <c r="CB310" s="4" t="str">
        <f t="shared" si="943"/>
        <v>monster31_1</v>
      </c>
      <c r="CC310" s="5">
        <v>1</v>
      </c>
      <c r="CD310" s="8">
        <v>1</v>
      </c>
      <c r="CE310" s="5">
        <v>0</v>
      </c>
      <c r="CF310" s="5">
        <v>0</v>
      </c>
      <c r="CG310" s="5" t="s">
        <v>555</v>
      </c>
      <c r="CH310" s="5">
        <v>0</v>
      </c>
      <c r="CI310" s="5">
        <v>0</v>
      </c>
      <c r="CJ310" s="4">
        <v>1</v>
      </c>
      <c r="CK310" s="20">
        <v>0</v>
      </c>
      <c r="CL310" s="5">
        <v>0</v>
      </c>
      <c r="CM310" s="20">
        <v>111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20">
        <v>2.5</v>
      </c>
      <c r="CW310" s="20">
        <v>3</v>
      </c>
      <c r="CX310" s="20">
        <v>2.5</v>
      </c>
      <c r="CY310" s="20">
        <v>3.5</v>
      </c>
      <c r="CZ310" s="8">
        <v>50</v>
      </c>
      <c r="DA310" s="6">
        <f t="shared" si="878"/>
        <v>10000</v>
      </c>
      <c r="DB310" s="5">
        <v>1</v>
      </c>
      <c r="DC310" s="5">
        <f t="shared" si="885"/>
        <v>0.67500000000000004</v>
      </c>
      <c r="DD310" s="6">
        <f t="shared" si="879"/>
        <v>0.67500000000000004</v>
      </c>
      <c r="DE310" s="6">
        <v>1</v>
      </c>
      <c r="DF310" s="23">
        <v>0</v>
      </c>
      <c r="DG310" s="6">
        <v>2.5</v>
      </c>
      <c r="DH310" s="5"/>
      <c r="DI310" s="8"/>
      <c r="DJ310" s="5">
        <v>0</v>
      </c>
      <c r="DK310" s="8">
        <v>0</v>
      </c>
      <c r="DL310" s="5">
        <f t="shared" si="880"/>
        <v>0</v>
      </c>
      <c r="DM310" s="5" t="str">
        <f t="shared" si="920"/>
        <v>8级暗夜收割者</v>
      </c>
      <c r="DN310" s="5">
        <v>6</v>
      </c>
      <c r="DO310" s="5">
        <v>0</v>
      </c>
      <c r="DP310" s="5">
        <v>1</v>
      </c>
      <c r="DQ310" s="5">
        <v>1</v>
      </c>
      <c r="DR310" s="5">
        <v>2.5</v>
      </c>
      <c r="DS310" s="6">
        <v>3.5</v>
      </c>
      <c r="DT310" s="5">
        <v>-0.5</v>
      </c>
      <c r="DU310" s="5">
        <v>0.5</v>
      </c>
      <c r="DV310" s="6">
        <v>0.5</v>
      </c>
      <c r="DW310" s="5">
        <f t="shared" si="945"/>
        <v>0.41666666666666669</v>
      </c>
      <c r="DX310" s="5">
        <v>5</v>
      </c>
      <c r="DY310" s="5">
        <f t="shared" si="946"/>
        <v>0</v>
      </c>
      <c r="DZ310" s="5">
        <v>0</v>
      </c>
    </row>
    <row r="311" spans="1:130" x14ac:dyDescent="0.15">
      <c r="A311" s="5">
        <v>201309</v>
      </c>
      <c r="B311" s="5" t="s">
        <v>556</v>
      </c>
      <c r="C311" s="5"/>
      <c r="D311" s="5"/>
      <c r="E311" s="5"/>
      <c r="F311" s="5">
        <v>1</v>
      </c>
      <c r="G311" s="45"/>
      <c r="H311" s="5"/>
      <c r="I311" s="5"/>
      <c r="J311" s="5"/>
      <c r="K311" s="5"/>
      <c r="L311" s="10"/>
      <c r="M311" s="5"/>
      <c r="N311" s="10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20"/>
      <c r="AF311" s="5"/>
      <c r="AG311" s="5"/>
      <c r="AH311" s="5"/>
      <c r="AI311" s="5"/>
      <c r="AJ311" s="5"/>
      <c r="AK311" s="5"/>
      <c r="AL311" s="5"/>
      <c r="AM311" s="5"/>
      <c r="AN311" s="8"/>
      <c r="AO311" s="5">
        <v>0</v>
      </c>
      <c r="AP311" s="5" t="s">
        <v>556</v>
      </c>
      <c r="AQ311" s="5">
        <v>0</v>
      </c>
      <c r="AR311" s="8">
        <v>10</v>
      </c>
      <c r="AS311" s="6">
        <f t="shared" si="881"/>
        <v>270</v>
      </c>
      <c r="AT311" s="6">
        <f t="shared" si="882"/>
        <v>297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201309</v>
      </c>
      <c r="BA311" s="5">
        <f t="shared" si="940"/>
        <v>203031</v>
      </c>
      <c r="BB311" s="5">
        <v>0</v>
      </c>
      <c r="BC311" s="5">
        <v>0</v>
      </c>
      <c r="BD311" s="5">
        <v>1</v>
      </c>
      <c r="BE311" s="5">
        <v>0</v>
      </c>
      <c r="BF311" s="23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f t="shared" si="917"/>
        <v>0</v>
      </c>
      <c r="BM311" s="5">
        <v>0</v>
      </c>
      <c r="BN311" s="5">
        <v>0</v>
      </c>
      <c r="BO311" s="5">
        <v>0</v>
      </c>
      <c r="BP311" s="5">
        <v>0</v>
      </c>
      <c r="BQ311" s="5"/>
      <c r="BR311" s="5"/>
      <c r="BS311" s="4">
        <v>0</v>
      </c>
      <c r="BT311" s="4">
        <f t="shared" si="941"/>
        <v>9</v>
      </c>
      <c r="BU311" s="4">
        <v>0</v>
      </c>
      <c r="BV311" s="4">
        <f t="shared" ref="BV311:BY311" si="982">BV301</f>
        <v>9</v>
      </c>
      <c r="BW311" s="4">
        <f t="shared" si="982"/>
        <v>9</v>
      </c>
      <c r="BX311" s="4">
        <f t="shared" si="982"/>
        <v>0.28999999999999992</v>
      </c>
      <c r="BY311" s="4">
        <f t="shared" si="982"/>
        <v>0.15000000000000002</v>
      </c>
      <c r="BZ311" s="5" t="s">
        <v>547</v>
      </c>
      <c r="CA311" s="4" t="str">
        <f t="shared" si="943"/>
        <v>monster31</v>
      </c>
      <c r="CB311" s="4" t="str">
        <f t="shared" si="943"/>
        <v>monster31</v>
      </c>
      <c r="CC311" s="5">
        <v>1</v>
      </c>
      <c r="CD311" s="8">
        <v>1</v>
      </c>
      <c r="CE311" s="5">
        <v>0</v>
      </c>
      <c r="CF311" s="5">
        <v>0</v>
      </c>
      <c r="CG311" s="5" t="s">
        <v>556</v>
      </c>
      <c r="CH311" s="5">
        <v>0</v>
      </c>
      <c r="CI311" s="5">
        <v>0</v>
      </c>
      <c r="CJ311" s="4">
        <v>0</v>
      </c>
      <c r="CK311" s="20">
        <v>0</v>
      </c>
      <c r="CL311" s="5">
        <v>0</v>
      </c>
      <c r="CM311" s="20">
        <v>111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20">
        <v>2.5</v>
      </c>
      <c r="CW311" s="20">
        <v>3</v>
      </c>
      <c r="CX311" s="20">
        <v>2.5</v>
      </c>
      <c r="CY311" s="20">
        <v>3.5</v>
      </c>
      <c r="CZ311" s="8">
        <v>50</v>
      </c>
      <c r="DA311" s="6">
        <f t="shared" si="878"/>
        <v>11250</v>
      </c>
      <c r="DB311" s="5">
        <v>1</v>
      </c>
      <c r="DC311" s="5">
        <f t="shared" si="885"/>
        <v>0.7</v>
      </c>
      <c r="DD311" s="6">
        <f t="shared" si="879"/>
        <v>0.7</v>
      </c>
      <c r="DE311" s="6">
        <v>1</v>
      </c>
      <c r="DF311" s="23">
        <v>0</v>
      </c>
      <c r="DG311" s="6">
        <v>2.5</v>
      </c>
      <c r="DH311" s="5"/>
      <c r="DI311" s="8"/>
      <c r="DJ311" s="5">
        <v>0</v>
      </c>
      <c r="DK311" s="8">
        <v>0</v>
      </c>
      <c r="DL311" s="5">
        <f t="shared" si="880"/>
        <v>0</v>
      </c>
      <c r="DM311" s="5" t="str">
        <f t="shared" si="920"/>
        <v>9级暗夜收割者</v>
      </c>
      <c r="DN311" s="5">
        <v>6</v>
      </c>
      <c r="DO311" s="5">
        <v>0</v>
      </c>
      <c r="DP311" s="5">
        <v>1</v>
      </c>
      <c r="DQ311" s="5">
        <v>1</v>
      </c>
      <c r="DR311" s="5">
        <v>2.5</v>
      </c>
      <c r="DS311" s="6">
        <v>3.5</v>
      </c>
      <c r="DT311" s="5">
        <v>-0.5</v>
      </c>
      <c r="DU311" s="5">
        <v>0.5</v>
      </c>
      <c r="DV311" s="6">
        <v>0.5</v>
      </c>
      <c r="DW311" s="5">
        <f t="shared" si="945"/>
        <v>0.41666666666666669</v>
      </c>
      <c r="DX311" s="5">
        <v>5</v>
      </c>
      <c r="DY311" s="5">
        <f t="shared" si="946"/>
        <v>0</v>
      </c>
      <c r="DZ311" s="5">
        <v>0</v>
      </c>
    </row>
    <row r="312" spans="1:130" x14ac:dyDescent="0.15">
      <c r="A312" s="5">
        <v>201310</v>
      </c>
      <c r="B312" s="5" t="s">
        <v>557</v>
      </c>
      <c r="C312" s="5"/>
      <c r="D312" s="5"/>
      <c r="E312" s="5"/>
      <c r="F312" s="5">
        <v>1</v>
      </c>
      <c r="G312" s="45"/>
      <c r="H312" s="5"/>
      <c r="I312" s="5"/>
      <c r="J312" s="5"/>
      <c r="K312" s="5"/>
      <c r="L312" s="10"/>
      <c r="M312" s="5"/>
      <c r="N312" s="10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20"/>
      <c r="AF312" s="5"/>
      <c r="AG312" s="5"/>
      <c r="AH312" s="5"/>
      <c r="AI312" s="5"/>
      <c r="AJ312" s="5"/>
      <c r="AK312" s="5"/>
      <c r="AL312" s="5"/>
      <c r="AM312" s="5"/>
      <c r="AN312" s="8"/>
      <c r="AO312" s="5">
        <v>0</v>
      </c>
      <c r="AP312" s="5" t="s">
        <v>557</v>
      </c>
      <c r="AQ312" s="5">
        <v>0</v>
      </c>
      <c r="AR312" s="8">
        <v>10</v>
      </c>
      <c r="AS312" s="6">
        <f t="shared" si="881"/>
        <v>300</v>
      </c>
      <c r="AT312" s="6">
        <f t="shared" si="882"/>
        <v>330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201310</v>
      </c>
      <c r="BA312" s="5">
        <f t="shared" si="940"/>
        <v>203031</v>
      </c>
      <c r="BB312" s="5">
        <v>0</v>
      </c>
      <c r="BC312" s="5">
        <v>0</v>
      </c>
      <c r="BD312" s="5">
        <v>1</v>
      </c>
      <c r="BE312" s="5">
        <v>0</v>
      </c>
      <c r="BF312" s="23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f t="shared" si="917"/>
        <v>1</v>
      </c>
      <c r="BM312" s="5">
        <v>0</v>
      </c>
      <c r="BN312" s="5">
        <v>0</v>
      </c>
      <c r="BO312" s="5">
        <v>0</v>
      </c>
      <c r="BP312" s="5">
        <v>0</v>
      </c>
      <c r="BQ312" s="5"/>
      <c r="BR312" s="5"/>
      <c r="BS312" s="4">
        <v>0</v>
      </c>
      <c r="BT312" s="4">
        <f t="shared" si="941"/>
        <v>10</v>
      </c>
      <c r="BU312" s="4">
        <v>0</v>
      </c>
      <c r="BV312" s="4">
        <f t="shared" ref="BV312:BY312" si="983">BV302</f>
        <v>10</v>
      </c>
      <c r="BW312" s="4">
        <f t="shared" si="983"/>
        <v>10</v>
      </c>
      <c r="BX312" s="4">
        <f t="shared" si="983"/>
        <v>0.21999999999999986</v>
      </c>
      <c r="BY312" s="4">
        <f t="shared" si="983"/>
        <v>0.10000000000000003</v>
      </c>
      <c r="BZ312" s="5" t="s">
        <v>549</v>
      </c>
      <c r="CA312" s="4" t="str">
        <f t="shared" si="943"/>
        <v>monster31_1</v>
      </c>
      <c r="CB312" s="4" t="str">
        <f t="shared" si="943"/>
        <v>monster31_1</v>
      </c>
      <c r="CC312" s="5">
        <v>1</v>
      </c>
      <c r="CD312" s="8">
        <v>1</v>
      </c>
      <c r="CE312" s="5">
        <v>0</v>
      </c>
      <c r="CF312" s="5">
        <v>0</v>
      </c>
      <c r="CG312" s="5" t="s">
        <v>557</v>
      </c>
      <c r="CH312" s="5">
        <v>0</v>
      </c>
      <c r="CI312" s="5">
        <v>0</v>
      </c>
      <c r="CJ312" s="4">
        <v>1</v>
      </c>
      <c r="CK312" s="20">
        <v>0</v>
      </c>
      <c r="CL312" s="5">
        <v>0</v>
      </c>
      <c r="CM312" s="20">
        <v>111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20">
        <v>2.5</v>
      </c>
      <c r="CW312" s="20">
        <v>3</v>
      </c>
      <c r="CX312" s="20">
        <v>2.5</v>
      </c>
      <c r="CY312" s="20">
        <v>3.5</v>
      </c>
      <c r="CZ312" s="8">
        <v>50</v>
      </c>
      <c r="DA312" s="6">
        <f t="shared" si="878"/>
        <v>12500</v>
      </c>
      <c r="DB312" s="5">
        <v>1</v>
      </c>
      <c r="DC312" s="5">
        <f t="shared" si="885"/>
        <v>0.72499999999999998</v>
      </c>
      <c r="DD312" s="6">
        <f t="shared" si="879"/>
        <v>0.72499999999999998</v>
      </c>
      <c r="DE312" s="6">
        <v>1</v>
      </c>
      <c r="DF312" s="23">
        <v>0</v>
      </c>
      <c r="DG312" s="6">
        <v>2.5</v>
      </c>
      <c r="DH312" s="5"/>
      <c r="DI312" s="8"/>
      <c r="DJ312" s="5">
        <v>0</v>
      </c>
      <c r="DK312" s="8">
        <v>0</v>
      </c>
      <c r="DL312" s="5">
        <f t="shared" si="880"/>
        <v>0</v>
      </c>
      <c r="DM312" s="5" t="str">
        <f t="shared" si="920"/>
        <v>10级暗夜收割者</v>
      </c>
      <c r="DN312" s="5">
        <v>6</v>
      </c>
      <c r="DO312" s="5">
        <v>0</v>
      </c>
      <c r="DP312" s="5">
        <v>1</v>
      </c>
      <c r="DQ312" s="5">
        <v>1</v>
      </c>
      <c r="DR312" s="5">
        <v>2.5</v>
      </c>
      <c r="DS312" s="6">
        <v>3.5</v>
      </c>
      <c r="DT312" s="5">
        <v>-0.5</v>
      </c>
      <c r="DU312" s="5">
        <v>0.5</v>
      </c>
      <c r="DV312" s="6">
        <v>0.5</v>
      </c>
      <c r="DW312" s="5">
        <f t="shared" si="945"/>
        <v>0.41666666666666669</v>
      </c>
      <c r="DX312" s="5">
        <v>5</v>
      </c>
      <c r="DY312" s="5">
        <f t="shared" si="946"/>
        <v>0</v>
      </c>
      <c r="DZ312" s="5">
        <v>0</v>
      </c>
    </row>
    <row r="313" spans="1:130" x14ac:dyDescent="0.15">
      <c r="A313" s="5">
        <v>201311</v>
      </c>
      <c r="B313" s="5" t="s">
        <v>558</v>
      </c>
      <c r="C313" s="5"/>
      <c r="D313" s="5"/>
      <c r="E313" s="5"/>
      <c r="F313" s="5">
        <v>0</v>
      </c>
      <c r="G313" s="45"/>
      <c r="H313" s="5"/>
      <c r="I313" s="5"/>
      <c r="J313" s="5"/>
      <c r="K313" s="5"/>
      <c r="L313" s="10"/>
      <c r="M313" s="5"/>
      <c r="N313" s="10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20"/>
      <c r="AF313" s="5"/>
      <c r="AG313" s="5"/>
      <c r="AH313" s="5"/>
      <c r="AI313" s="5"/>
      <c r="AJ313" s="5"/>
      <c r="AK313" s="5"/>
      <c r="AL313" s="5"/>
      <c r="AM313" s="5"/>
      <c r="AN313" s="8"/>
      <c r="AO313" s="5">
        <v>0</v>
      </c>
      <c r="AP313" s="5" t="s">
        <v>558</v>
      </c>
      <c r="AQ313" s="5">
        <v>0</v>
      </c>
      <c r="AR313" s="8">
        <v>0</v>
      </c>
      <c r="AS313" s="6">
        <f t="shared" si="881"/>
        <v>0</v>
      </c>
      <c r="AT313" s="6">
        <f t="shared" si="882"/>
        <v>3</v>
      </c>
      <c r="AU313" s="5">
        <v>0</v>
      </c>
      <c r="AV313" s="5">
        <v>0</v>
      </c>
      <c r="AW313" s="5">
        <v>0</v>
      </c>
      <c r="AX313" s="5">
        <v>1</v>
      </c>
      <c r="AY313" s="5">
        <v>0</v>
      </c>
      <c r="AZ313" s="5">
        <v>201311</v>
      </c>
      <c r="BA313" s="5">
        <v>203032</v>
      </c>
      <c r="BB313" s="5">
        <v>0</v>
      </c>
      <c r="BC313" s="5">
        <v>0</v>
      </c>
      <c r="BD313" s="5">
        <v>0</v>
      </c>
      <c r="BE313" s="5">
        <v>0</v>
      </c>
      <c r="BF313" s="23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f t="shared" si="917"/>
        <v>0</v>
      </c>
      <c r="BM313" s="5">
        <v>0</v>
      </c>
      <c r="BN313" s="5">
        <v>0</v>
      </c>
      <c r="BO313" s="5">
        <v>0</v>
      </c>
      <c r="BP313" s="5">
        <v>0</v>
      </c>
      <c r="BQ313" s="5"/>
      <c r="BR313" s="5"/>
      <c r="BS313" s="4">
        <v>0</v>
      </c>
      <c r="BT313" s="4">
        <f t="shared" si="941"/>
        <v>1</v>
      </c>
      <c r="BU313" s="4">
        <v>0</v>
      </c>
      <c r="BV313" s="4">
        <f>BV303</f>
        <v>1</v>
      </c>
      <c r="BW313" s="4">
        <f>BW303</f>
        <v>1</v>
      </c>
      <c r="BX313" s="4">
        <f>BX303</f>
        <v>0.85</v>
      </c>
      <c r="BY313" s="4">
        <f>BY303</f>
        <v>0.55000000000000004</v>
      </c>
      <c r="BZ313" s="5" t="s">
        <v>559</v>
      </c>
      <c r="CA313" s="5" t="s">
        <v>559</v>
      </c>
      <c r="CB313" s="5" t="s">
        <v>559</v>
      </c>
      <c r="CC313" s="5">
        <v>0</v>
      </c>
      <c r="CD313" s="5">
        <v>2</v>
      </c>
      <c r="CE313" s="5">
        <v>0</v>
      </c>
      <c r="CF313" s="5">
        <v>0</v>
      </c>
      <c r="CG313" s="5" t="s">
        <v>558</v>
      </c>
      <c r="CH313" s="5">
        <v>3</v>
      </c>
      <c r="CI313" s="5">
        <v>425001</v>
      </c>
      <c r="CJ313" s="4">
        <v>0</v>
      </c>
      <c r="CK313" s="20">
        <v>0</v>
      </c>
      <c r="CL313" s="5">
        <v>0</v>
      </c>
      <c r="CM313" s="20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20">
        <v>0.9</v>
      </c>
      <c r="CW313" s="20">
        <v>1</v>
      </c>
      <c r="CX313" s="20">
        <v>1</v>
      </c>
      <c r="CY313" s="20">
        <v>1</v>
      </c>
      <c r="CZ313" s="8">
        <v>2</v>
      </c>
      <c r="DA313" s="6">
        <f t="shared" si="878"/>
        <v>50</v>
      </c>
      <c r="DB313" s="5">
        <v>0</v>
      </c>
      <c r="DC313" s="5">
        <f t="shared" si="885"/>
        <v>0</v>
      </c>
      <c r="DD313" s="6">
        <f t="shared" si="879"/>
        <v>0</v>
      </c>
      <c r="DE313" s="6">
        <v>0</v>
      </c>
      <c r="DF313" s="5">
        <v>0</v>
      </c>
      <c r="DG313" s="6">
        <v>13</v>
      </c>
      <c r="DH313" s="5"/>
      <c r="DI313" s="5">
        <v>5</v>
      </c>
      <c r="DJ313" s="5">
        <f t="shared" ref="DJ313:DJ343" si="984">DI313*5*(1+BV313/2)</f>
        <v>37.5</v>
      </c>
      <c r="DK313" s="8">
        <v>0</v>
      </c>
      <c r="DL313" s="5">
        <f t="shared" si="880"/>
        <v>0</v>
      </c>
      <c r="DM313" s="5" t="str">
        <f t="shared" si="920"/>
        <v>1级炸弹果</v>
      </c>
      <c r="DN313" s="5">
        <v>20</v>
      </c>
      <c r="DO313" s="5">
        <v>0</v>
      </c>
      <c r="DP313" s="5">
        <v>0</v>
      </c>
      <c r="DQ313" s="5">
        <v>0</v>
      </c>
      <c r="DR313" s="5">
        <f>DS313*0.9</f>
        <v>18</v>
      </c>
      <c r="DS313" s="6">
        <v>20</v>
      </c>
      <c r="DT313" s="5">
        <v>-20</v>
      </c>
      <c r="DU313" s="5">
        <v>20</v>
      </c>
      <c r="DV313" s="6">
        <v>0.35</v>
      </c>
      <c r="DW313" s="5">
        <f t="shared" si="945"/>
        <v>0.41666666666666669</v>
      </c>
      <c r="DX313" s="5">
        <v>5</v>
      </c>
      <c r="DY313" s="5">
        <v>0</v>
      </c>
      <c r="DZ313" s="5">
        <v>0</v>
      </c>
    </row>
    <row r="314" spans="1:130" x14ac:dyDescent="0.15">
      <c r="A314" s="5">
        <v>201312</v>
      </c>
      <c r="B314" s="5" t="s">
        <v>560</v>
      </c>
      <c r="C314" s="5"/>
      <c r="D314" s="5"/>
      <c r="E314" s="5"/>
      <c r="F314" s="5">
        <v>0</v>
      </c>
      <c r="G314" s="45"/>
      <c r="H314" s="5"/>
      <c r="I314" s="5"/>
      <c r="J314" s="5"/>
      <c r="K314" s="5"/>
      <c r="L314" s="10"/>
      <c r="M314" s="5"/>
      <c r="N314" s="10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20"/>
      <c r="AF314" s="5"/>
      <c r="AG314" s="5"/>
      <c r="AH314" s="5"/>
      <c r="AI314" s="5"/>
      <c r="AJ314" s="5"/>
      <c r="AK314" s="5"/>
      <c r="AL314" s="5"/>
      <c r="AM314" s="5"/>
      <c r="AN314" s="8"/>
      <c r="AO314" s="5">
        <v>0</v>
      </c>
      <c r="AP314" s="5" t="s">
        <v>560</v>
      </c>
      <c r="AQ314" s="5">
        <v>0</v>
      </c>
      <c r="AR314" s="8">
        <v>0</v>
      </c>
      <c r="AS314" s="6">
        <f t="shared" si="881"/>
        <v>0</v>
      </c>
      <c r="AT314" s="6">
        <f t="shared" si="882"/>
        <v>6</v>
      </c>
      <c r="AU314" s="5">
        <v>0</v>
      </c>
      <c r="AV314" s="5">
        <v>0</v>
      </c>
      <c r="AW314" s="5">
        <v>0</v>
      </c>
      <c r="AX314" s="5">
        <v>1</v>
      </c>
      <c r="AY314" s="5">
        <v>0</v>
      </c>
      <c r="AZ314" s="5">
        <v>201312</v>
      </c>
      <c r="BA314" s="5">
        <v>203032</v>
      </c>
      <c r="BB314" s="5">
        <v>0</v>
      </c>
      <c r="BC314" s="5">
        <v>0</v>
      </c>
      <c r="BD314" s="5">
        <v>0</v>
      </c>
      <c r="BE314" s="5">
        <v>0</v>
      </c>
      <c r="BF314" s="23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f t="shared" si="917"/>
        <v>2</v>
      </c>
      <c r="BM314" s="5">
        <v>0</v>
      </c>
      <c r="BN314" s="5">
        <v>0</v>
      </c>
      <c r="BO314" s="5">
        <v>0</v>
      </c>
      <c r="BP314" s="5">
        <v>0</v>
      </c>
      <c r="BQ314" s="5"/>
      <c r="BR314" s="5"/>
      <c r="BS314" s="4">
        <v>0</v>
      </c>
      <c r="BT314" s="4">
        <f t="shared" ref="BT314:BT342" si="985">BT304</f>
        <v>2</v>
      </c>
      <c r="BU314" s="4">
        <v>0</v>
      </c>
      <c r="BV314" s="4">
        <f t="shared" ref="BV314:BV342" si="986">BV304</f>
        <v>2</v>
      </c>
      <c r="BW314" s="4">
        <f t="shared" ref="BW314:BW342" si="987">BW304</f>
        <v>2</v>
      </c>
      <c r="BX314" s="4">
        <f t="shared" ref="BX314:BX342" si="988">BX304</f>
        <v>0.78</v>
      </c>
      <c r="BY314" s="4">
        <f t="shared" ref="BY314:BY342" si="989">BY304</f>
        <v>0.5</v>
      </c>
      <c r="BZ314" s="5" t="s">
        <v>561</v>
      </c>
      <c r="CA314" s="5" t="s">
        <v>561</v>
      </c>
      <c r="CB314" s="5" t="s">
        <v>561</v>
      </c>
      <c r="CC314" s="5">
        <v>0</v>
      </c>
      <c r="CD314" s="5">
        <v>2</v>
      </c>
      <c r="CE314" s="5">
        <v>0</v>
      </c>
      <c r="CF314" s="5">
        <v>0</v>
      </c>
      <c r="CG314" s="5" t="s">
        <v>560</v>
      </c>
      <c r="CH314" s="5">
        <v>3</v>
      </c>
      <c r="CI314" s="5">
        <v>425002</v>
      </c>
      <c r="CJ314" s="4">
        <v>1</v>
      </c>
      <c r="CK314" s="20">
        <v>0</v>
      </c>
      <c r="CL314" s="5">
        <v>0</v>
      </c>
      <c r="CM314" s="20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20">
        <v>0.9</v>
      </c>
      <c r="CW314" s="20">
        <v>1</v>
      </c>
      <c r="CX314" s="20">
        <v>1</v>
      </c>
      <c r="CY314" s="20">
        <v>1</v>
      </c>
      <c r="CZ314" s="8">
        <v>2</v>
      </c>
      <c r="DA314" s="6">
        <f t="shared" si="878"/>
        <v>100</v>
      </c>
      <c r="DB314" s="5">
        <v>0</v>
      </c>
      <c r="DC314" s="5">
        <f t="shared" si="885"/>
        <v>0</v>
      </c>
      <c r="DD314" s="6">
        <f t="shared" si="879"/>
        <v>0</v>
      </c>
      <c r="DE314" s="6">
        <v>0</v>
      </c>
      <c r="DF314" s="5">
        <v>0</v>
      </c>
      <c r="DG314" s="6">
        <v>13</v>
      </c>
      <c r="DH314" s="5"/>
      <c r="DI314" s="5">
        <v>5</v>
      </c>
      <c r="DJ314" s="5">
        <f t="shared" si="984"/>
        <v>50</v>
      </c>
      <c r="DK314" s="8">
        <v>0</v>
      </c>
      <c r="DL314" s="5">
        <f t="shared" si="880"/>
        <v>0</v>
      </c>
      <c r="DM314" s="5" t="str">
        <f t="shared" si="920"/>
        <v>2级炸弹果</v>
      </c>
      <c r="DN314" s="5">
        <v>20</v>
      </c>
      <c r="DO314" s="5">
        <v>0</v>
      </c>
      <c r="DP314" s="5">
        <v>0</v>
      </c>
      <c r="DQ314" s="5">
        <v>0</v>
      </c>
      <c r="DR314" s="5">
        <f t="shared" ref="DR314:DR343" si="990">DS314*0.9</f>
        <v>18</v>
      </c>
      <c r="DS314" s="6">
        <v>20</v>
      </c>
      <c r="DT314" s="5">
        <v>-20</v>
      </c>
      <c r="DU314" s="5">
        <v>20</v>
      </c>
      <c r="DV314" s="6">
        <v>0.35</v>
      </c>
      <c r="DW314" s="5">
        <f t="shared" ref="DW314:DW343" si="991">DX314/12</f>
        <v>0.41666666666666669</v>
      </c>
      <c r="DX314" s="5">
        <v>5</v>
      </c>
      <c r="DY314" s="5">
        <v>0</v>
      </c>
      <c r="DZ314" s="5">
        <v>0</v>
      </c>
    </row>
    <row r="315" spans="1:130" x14ac:dyDescent="0.15">
      <c r="A315" s="5">
        <v>201313</v>
      </c>
      <c r="B315" s="5" t="s">
        <v>562</v>
      </c>
      <c r="C315" s="5"/>
      <c r="D315" s="5"/>
      <c r="E315" s="5"/>
      <c r="F315" s="5">
        <v>0</v>
      </c>
      <c r="G315" s="45"/>
      <c r="H315" s="5"/>
      <c r="I315" s="5"/>
      <c r="J315" s="5"/>
      <c r="K315" s="5"/>
      <c r="L315" s="10"/>
      <c r="M315" s="5"/>
      <c r="N315" s="10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20"/>
      <c r="AF315" s="5"/>
      <c r="AG315" s="5"/>
      <c r="AH315" s="5"/>
      <c r="AI315" s="5"/>
      <c r="AJ315" s="5"/>
      <c r="AK315" s="5"/>
      <c r="AL315" s="5"/>
      <c r="AM315" s="5"/>
      <c r="AN315" s="8"/>
      <c r="AO315" s="5">
        <v>0</v>
      </c>
      <c r="AP315" s="5" t="s">
        <v>562</v>
      </c>
      <c r="AQ315" s="5">
        <v>0</v>
      </c>
      <c r="AR315" s="8">
        <v>0</v>
      </c>
      <c r="AS315" s="6">
        <f t="shared" si="881"/>
        <v>0</v>
      </c>
      <c r="AT315" s="6">
        <f t="shared" si="882"/>
        <v>9</v>
      </c>
      <c r="AU315" s="5">
        <v>0</v>
      </c>
      <c r="AV315" s="5">
        <v>0</v>
      </c>
      <c r="AW315" s="5">
        <v>0</v>
      </c>
      <c r="AX315" s="5">
        <v>1</v>
      </c>
      <c r="AY315" s="5">
        <v>0</v>
      </c>
      <c r="AZ315" s="5">
        <v>201313</v>
      </c>
      <c r="BA315" s="5">
        <v>203032</v>
      </c>
      <c r="BB315" s="5">
        <v>0</v>
      </c>
      <c r="BC315" s="5">
        <v>0</v>
      </c>
      <c r="BD315" s="5">
        <v>0</v>
      </c>
      <c r="BE315" s="5">
        <v>0</v>
      </c>
      <c r="BF315" s="23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f t="shared" si="917"/>
        <v>0</v>
      </c>
      <c r="BM315" s="5">
        <v>0</v>
      </c>
      <c r="BN315" s="5">
        <v>0</v>
      </c>
      <c r="BO315" s="5">
        <v>0</v>
      </c>
      <c r="BP315" s="5">
        <v>0</v>
      </c>
      <c r="BQ315" s="5"/>
      <c r="BR315" s="5"/>
      <c r="BS315" s="4">
        <v>0</v>
      </c>
      <c r="BT315" s="4">
        <f t="shared" si="985"/>
        <v>3</v>
      </c>
      <c r="BU315" s="4">
        <v>0</v>
      </c>
      <c r="BV315" s="4">
        <f t="shared" si="986"/>
        <v>3</v>
      </c>
      <c r="BW315" s="4">
        <f t="shared" si="987"/>
        <v>3</v>
      </c>
      <c r="BX315" s="4">
        <f t="shared" si="988"/>
        <v>0.71</v>
      </c>
      <c r="BY315" s="4">
        <f t="shared" si="989"/>
        <v>0.45000000000000007</v>
      </c>
      <c r="BZ315" s="5" t="s">
        <v>559</v>
      </c>
      <c r="CA315" s="5" t="s">
        <v>559</v>
      </c>
      <c r="CB315" s="5" t="s">
        <v>559</v>
      </c>
      <c r="CC315" s="5">
        <v>0</v>
      </c>
      <c r="CD315" s="5">
        <v>2</v>
      </c>
      <c r="CE315" s="5">
        <v>0</v>
      </c>
      <c r="CF315" s="5">
        <v>0</v>
      </c>
      <c r="CG315" s="5" t="s">
        <v>562</v>
      </c>
      <c r="CH315" s="5">
        <v>3</v>
      </c>
      <c r="CI315" s="5">
        <f>CI313</f>
        <v>425001</v>
      </c>
      <c r="CJ315" s="4">
        <f>CJ313</f>
        <v>0</v>
      </c>
      <c r="CK315" s="20">
        <v>0</v>
      </c>
      <c r="CL315" s="5">
        <v>0</v>
      </c>
      <c r="CM315" s="20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20">
        <v>0.9</v>
      </c>
      <c r="CW315" s="20">
        <v>1</v>
      </c>
      <c r="CX315" s="20">
        <v>1</v>
      </c>
      <c r="CY315" s="20">
        <v>1</v>
      </c>
      <c r="CZ315" s="8">
        <v>2</v>
      </c>
      <c r="DA315" s="6">
        <f t="shared" si="878"/>
        <v>150</v>
      </c>
      <c r="DB315" s="5">
        <v>0</v>
      </c>
      <c r="DC315" s="5">
        <f t="shared" si="885"/>
        <v>0</v>
      </c>
      <c r="DD315" s="6">
        <f t="shared" si="879"/>
        <v>0</v>
      </c>
      <c r="DE315" s="6">
        <v>0</v>
      </c>
      <c r="DF315" s="5">
        <v>0</v>
      </c>
      <c r="DG315" s="6">
        <v>12</v>
      </c>
      <c r="DH315" s="5"/>
      <c r="DI315" s="5">
        <v>5</v>
      </c>
      <c r="DJ315" s="5">
        <f t="shared" si="984"/>
        <v>62.5</v>
      </c>
      <c r="DK315" s="8">
        <v>0</v>
      </c>
      <c r="DL315" s="5">
        <f t="shared" si="880"/>
        <v>0</v>
      </c>
      <c r="DM315" s="5" t="str">
        <f t="shared" si="920"/>
        <v>3级炸弹果</v>
      </c>
      <c r="DN315" s="5">
        <v>20</v>
      </c>
      <c r="DO315" s="5">
        <v>0</v>
      </c>
      <c r="DP315" s="5">
        <v>0</v>
      </c>
      <c r="DQ315" s="5">
        <v>0</v>
      </c>
      <c r="DR315" s="5">
        <f t="shared" si="990"/>
        <v>18</v>
      </c>
      <c r="DS315" s="6">
        <v>20</v>
      </c>
      <c r="DT315" s="5">
        <v>-20</v>
      </c>
      <c r="DU315" s="5">
        <v>20</v>
      </c>
      <c r="DV315" s="6">
        <v>0.35</v>
      </c>
      <c r="DW315" s="5">
        <f t="shared" si="991"/>
        <v>0.41666666666666669</v>
      </c>
      <c r="DX315" s="5">
        <v>5</v>
      </c>
      <c r="DY315" s="5">
        <v>0</v>
      </c>
      <c r="DZ315" s="5">
        <v>0</v>
      </c>
    </row>
    <row r="316" spans="1:130" x14ac:dyDescent="0.15">
      <c r="A316" s="5">
        <v>201314</v>
      </c>
      <c r="B316" s="5" t="s">
        <v>563</v>
      </c>
      <c r="C316" s="5"/>
      <c r="D316" s="5"/>
      <c r="E316" s="5"/>
      <c r="F316" s="5">
        <v>0</v>
      </c>
      <c r="G316" s="45"/>
      <c r="H316" s="5"/>
      <c r="I316" s="5"/>
      <c r="J316" s="5"/>
      <c r="K316" s="5"/>
      <c r="L316" s="10"/>
      <c r="M316" s="5"/>
      <c r="N316" s="10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20"/>
      <c r="AF316" s="5"/>
      <c r="AG316" s="5"/>
      <c r="AH316" s="5"/>
      <c r="AI316" s="5"/>
      <c r="AJ316" s="5"/>
      <c r="AK316" s="5"/>
      <c r="AL316" s="5"/>
      <c r="AM316" s="5"/>
      <c r="AN316" s="8"/>
      <c r="AO316" s="5">
        <v>0</v>
      </c>
      <c r="AP316" s="5" t="s">
        <v>563</v>
      </c>
      <c r="AQ316" s="5">
        <v>0</v>
      </c>
      <c r="AR316" s="8">
        <v>0</v>
      </c>
      <c r="AS316" s="6">
        <f t="shared" si="881"/>
        <v>0</v>
      </c>
      <c r="AT316" s="6">
        <f t="shared" si="882"/>
        <v>12</v>
      </c>
      <c r="AU316" s="5">
        <v>0</v>
      </c>
      <c r="AV316" s="5">
        <v>0</v>
      </c>
      <c r="AW316" s="5">
        <v>0</v>
      </c>
      <c r="AX316" s="5">
        <v>1</v>
      </c>
      <c r="AY316" s="5">
        <v>0</v>
      </c>
      <c r="AZ316" s="5">
        <v>201314</v>
      </c>
      <c r="BA316" s="5">
        <v>203032</v>
      </c>
      <c r="BB316" s="5">
        <v>0</v>
      </c>
      <c r="BC316" s="5">
        <v>0</v>
      </c>
      <c r="BD316" s="5">
        <v>0</v>
      </c>
      <c r="BE316" s="5">
        <v>0</v>
      </c>
      <c r="BF316" s="23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f t="shared" si="917"/>
        <v>0</v>
      </c>
      <c r="BM316" s="5">
        <v>0</v>
      </c>
      <c r="BN316" s="5">
        <v>0</v>
      </c>
      <c r="BO316" s="5">
        <v>0</v>
      </c>
      <c r="BP316" s="5">
        <v>0</v>
      </c>
      <c r="BQ316" s="5"/>
      <c r="BR316" s="5"/>
      <c r="BS316" s="4">
        <v>0</v>
      </c>
      <c r="BT316" s="4">
        <f t="shared" si="985"/>
        <v>4</v>
      </c>
      <c r="BU316" s="4">
        <v>0</v>
      </c>
      <c r="BV316" s="4">
        <f t="shared" si="986"/>
        <v>4</v>
      </c>
      <c r="BW316" s="4">
        <f t="shared" si="987"/>
        <v>4</v>
      </c>
      <c r="BX316" s="4">
        <f t="shared" si="988"/>
        <v>0.6399999999999999</v>
      </c>
      <c r="BY316" s="4">
        <f t="shared" si="989"/>
        <v>0.4</v>
      </c>
      <c r="BZ316" s="5" t="s">
        <v>561</v>
      </c>
      <c r="CA316" s="5" t="s">
        <v>561</v>
      </c>
      <c r="CB316" s="5" t="s">
        <v>561</v>
      </c>
      <c r="CC316" s="5">
        <v>0</v>
      </c>
      <c r="CD316" s="5">
        <v>2</v>
      </c>
      <c r="CE316" s="5">
        <v>0</v>
      </c>
      <c r="CF316" s="5">
        <v>0</v>
      </c>
      <c r="CG316" s="5" t="s">
        <v>563</v>
      </c>
      <c r="CH316" s="5">
        <v>3</v>
      </c>
      <c r="CI316" s="5">
        <f t="shared" ref="CI316:CI322" si="992">CI314</f>
        <v>425002</v>
      </c>
      <c r="CJ316" s="4">
        <f t="shared" ref="CJ316:CJ342" si="993">CJ314</f>
        <v>1</v>
      </c>
      <c r="CK316" s="20">
        <v>0</v>
      </c>
      <c r="CL316" s="5">
        <v>0</v>
      </c>
      <c r="CM316" s="20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20">
        <v>0.9</v>
      </c>
      <c r="CW316" s="20">
        <v>1</v>
      </c>
      <c r="CX316" s="20">
        <v>1</v>
      </c>
      <c r="CY316" s="20">
        <v>1</v>
      </c>
      <c r="CZ316" s="8">
        <v>2</v>
      </c>
      <c r="DA316" s="6">
        <f t="shared" si="878"/>
        <v>200</v>
      </c>
      <c r="DB316" s="5">
        <v>0</v>
      </c>
      <c r="DC316" s="5">
        <f t="shared" si="885"/>
        <v>0</v>
      </c>
      <c r="DD316" s="6">
        <f t="shared" si="879"/>
        <v>0</v>
      </c>
      <c r="DE316" s="6">
        <v>0</v>
      </c>
      <c r="DF316" s="5">
        <v>0</v>
      </c>
      <c r="DG316" s="6">
        <v>12</v>
      </c>
      <c r="DH316" s="5"/>
      <c r="DI316" s="5">
        <v>5</v>
      </c>
      <c r="DJ316" s="5">
        <f t="shared" si="984"/>
        <v>75</v>
      </c>
      <c r="DK316" s="8">
        <v>0</v>
      </c>
      <c r="DL316" s="5">
        <f t="shared" si="880"/>
        <v>0</v>
      </c>
      <c r="DM316" s="5" t="str">
        <f t="shared" si="920"/>
        <v>4级炸弹果</v>
      </c>
      <c r="DN316" s="5">
        <v>20</v>
      </c>
      <c r="DO316" s="5">
        <v>0</v>
      </c>
      <c r="DP316" s="5">
        <v>0</v>
      </c>
      <c r="DQ316" s="5">
        <v>0</v>
      </c>
      <c r="DR316" s="5">
        <f t="shared" si="990"/>
        <v>18</v>
      </c>
      <c r="DS316" s="6">
        <v>20</v>
      </c>
      <c r="DT316" s="5">
        <v>-20</v>
      </c>
      <c r="DU316" s="5">
        <v>20</v>
      </c>
      <c r="DV316" s="6">
        <v>0.35</v>
      </c>
      <c r="DW316" s="5">
        <f t="shared" si="991"/>
        <v>0.41666666666666669</v>
      </c>
      <c r="DX316" s="5">
        <v>5</v>
      </c>
      <c r="DY316" s="5">
        <v>0</v>
      </c>
      <c r="DZ316" s="5">
        <v>0</v>
      </c>
    </row>
    <row r="317" spans="1:130" x14ac:dyDescent="0.15">
      <c r="A317" s="5">
        <v>201315</v>
      </c>
      <c r="B317" s="5" t="s">
        <v>564</v>
      </c>
      <c r="C317" s="5"/>
      <c r="D317" s="5"/>
      <c r="E317" s="5"/>
      <c r="F317" s="5">
        <v>0</v>
      </c>
      <c r="G317" s="45"/>
      <c r="H317" s="5"/>
      <c r="I317" s="5"/>
      <c r="J317" s="5"/>
      <c r="K317" s="5"/>
      <c r="L317" s="10"/>
      <c r="M317" s="5"/>
      <c r="N317" s="10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20"/>
      <c r="AF317" s="5"/>
      <c r="AG317" s="5"/>
      <c r="AH317" s="5"/>
      <c r="AI317" s="5"/>
      <c r="AJ317" s="5"/>
      <c r="AK317" s="5"/>
      <c r="AL317" s="5"/>
      <c r="AM317" s="5"/>
      <c r="AN317" s="8"/>
      <c r="AO317" s="5">
        <v>0</v>
      </c>
      <c r="AP317" s="5" t="s">
        <v>564</v>
      </c>
      <c r="AQ317" s="5">
        <v>0</v>
      </c>
      <c r="AR317" s="8">
        <v>0</v>
      </c>
      <c r="AS317" s="6">
        <f t="shared" si="881"/>
        <v>0</v>
      </c>
      <c r="AT317" s="6">
        <f t="shared" si="882"/>
        <v>15</v>
      </c>
      <c r="AU317" s="5">
        <v>0</v>
      </c>
      <c r="AV317" s="5">
        <v>0</v>
      </c>
      <c r="AW317" s="5">
        <v>0</v>
      </c>
      <c r="AX317" s="5">
        <v>1</v>
      </c>
      <c r="AY317" s="5">
        <v>0</v>
      </c>
      <c r="AZ317" s="5">
        <v>201315</v>
      </c>
      <c r="BA317" s="5">
        <v>203032</v>
      </c>
      <c r="BB317" s="5">
        <v>0</v>
      </c>
      <c r="BC317" s="5">
        <v>0</v>
      </c>
      <c r="BD317" s="5">
        <v>0</v>
      </c>
      <c r="BE317" s="5">
        <v>0</v>
      </c>
      <c r="BF317" s="23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f t="shared" si="917"/>
        <v>0</v>
      </c>
      <c r="BM317" s="5">
        <v>0</v>
      </c>
      <c r="BN317" s="5">
        <v>0</v>
      </c>
      <c r="BO317" s="5">
        <v>0</v>
      </c>
      <c r="BP317" s="5">
        <v>0</v>
      </c>
      <c r="BQ317" s="5"/>
      <c r="BR317" s="5"/>
      <c r="BS317" s="4">
        <v>0</v>
      </c>
      <c r="BT317" s="4">
        <f t="shared" si="985"/>
        <v>5</v>
      </c>
      <c r="BU317" s="4">
        <v>0</v>
      </c>
      <c r="BV317" s="4">
        <f t="shared" si="986"/>
        <v>5</v>
      </c>
      <c r="BW317" s="4">
        <f t="shared" si="987"/>
        <v>5</v>
      </c>
      <c r="BX317" s="4">
        <f t="shared" si="988"/>
        <v>0.56999999999999995</v>
      </c>
      <c r="BY317" s="4">
        <f t="shared" si="989"/>
        <v>0.35000000000000003</v>
      </c>
      <c r="BZ317" s="5" t="s">
        <v>559</v>
      </c>
      <c r="CA317" s="5" t="s">
        <v>559</v>
      </c>
      <c r="CB317" s="5" t="s">
        <v>559</v>
      </c>
      <c r="CC317" s="5">
        <v>0</v>
      </c>
      <c r="CD317" s="5">
        <v>2</v>
      </c>
      <c r="CE317" s="5">
        <v>0</v>
      </c>
      <c r="CF317" s="5">
        <v>0</v>
      </c>
      <c r="CG317" s="5" t="s">
        <v>564</v>
      </c>
      <c r="CH317" s="5">
        <v>3</v>
      </c>
      <c r="CI317" s="5">
        <f t="shared" si="992"/>
        <v>425001</v>
      </c>
      <c r="CJ317" s="4">
        <f t="shared" si="993"/>
        <v>0</v>
      </c>
      <c r="CK317" s="20">
        <v>0</v>
      </c>
      <c r="CL317" s="5">
        <v>0</v>
      </c>
      <c r="CM317" s="20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20">
        <v>0.9</v>
      </c>
      <c r="CW317" s="20">
        <v>1</v>
      </c>
      <c r="CX317" s="20">
        <v>1</v>
      </c>
      <c r="CY317" s="20">
        <v>1</v>
      </c>
      <c r="CZ317" s="8">
        <v>2</v>
      </c>
      <c r="DA317" s="6">
        <f t="shared" si="878"/>
        <v>250</v>
      </c>
      <c r="DB317" s="5">
        <v>0</v>
      </c>
      <c r="DC317" s="5">
        <f t="shared" si="885"/>
        <v>0</v>
      </c>
      <c r="DD317" s="6">
        <f t="shared" si="879"/>
        <v>0</v>
      </c>
      <c r="DE317" s="6">
        <v>0</v>
      </c>
      <c r="DF317" s="5">
        <v>0</v>
      </c>
      <c r="DG317" s="6">
        <v>11</v>
      </c>
      <c r="DH317" s="5"/>
      <c r="DI317" s="5">
        <v>5</v>
      </c>
      <c r="DJ317" s="5">
        <f t="shared" si="984"/>
        <v>87.5</v>
      </c>
      <c r="DK317" s="8">
        <v>0</v>
      </c>
      <c r="DL317" s="5">
        <f t="shared" si="880"/>
        <v>0</v>
      </c>
      <c r="DM317" s="5" t="str">
        <f t="shared" si="920"/>
        <v>5级炸弹果</v>
      </c>
      <c r="DN317" s="5">
        <v>20</v>
      </c>
      <c r="DO317" s="5">
        <v>0</v>
      </c>
      <c r="DP317" s="5">
        <v>0</v>
      </c>
      <c r="DQ317" s="5">
        <v>0</v>
      </c>
      <c r="DR317" s="5">
        <f t="shared" si="990"/>
        <v>18</v>
      </c>
      <c r="DS317" s="6">
        <v>20</v>
      </c>
      <c r="DT317" s="5">
        <v>-20</v>
      </c>
      <c r="DU317" s="5">
        <v>20</v>
      </c>
      <c r="DV317" s="6">
        <v>0.35</v>
      </c>
      <c r="DW317" s="5">
        <f t="shared" si="991"/>
        <v>0.41666666666666669</v>
      </c>
      <c r="DX317" s="5">
        <v>5</v>
      </c>
      <c r="DY317" s="5">
        <v>0</v>
      </c>
      <c r="DZ317" s="5">
        <v>0</v>
      </c>
    </row>
    <row r="318" spans="1:130" x14ac:dyDescent="0.15">
      <c r="A318" s="5">
        <v>201316</v>
      </c>
      <c r="B318" s="5" t="s">
        <v>565</v>
      </c>
      <c r="C318" s="5"/>
      <c r="D318" s="5"/>
      <c r="E318" s="5"/>
      <c r="F318" s="5">
        <v>0</v>
      </c>
      <c r="G318" s="45"/>
      <c r="H318" s="5"/>
      <c r="I318" s="5"/>
      <c r="J318" s="5"/>
      <c r="K318" s="5"/>
      <c r="L318" s="10"/>
      <c r="M318" s="5"/>
      <c r="N318" s="10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20"/>
      <c r="AF318" s="5"/>
      <c r="AG318" s="5"/>
      <c r="AH318" s="5"/>
      <c r="AI318" s="5"/>
      <c r="AJ318" s="5"/>
      <c r="AK318" s="5"/>
      <c r="AL318" s="5"/>
      <c r="AM318" s="5"/>
      <c r="AN318" s="8"/>
      <c r="AO318" s="5">
        <v>0</v>
      </c>
      <c r="AP318" s="5" t="s">
        <v>565</v>
      </c>
      <c r="AQ318" s="5">
        <v>0</v>
      </c>
      <c r="AR318" s="8">
        <v>0</v>
      </c>
      <c r="AS318" s="6">
        <f t="shared" si="881"/>
        <v>0</v>
      </c>
      <c r="AT318" s="6">
        <f t="shared" si="882"/>
        <v>18</v>
      </c>
      <c r="AU318" s="5">
        <v>0</v>
      </c>
      <c r="AV318" s="5">
        <v>0</v>
      </c>
      <c r="AW318" s="5">
        <v>0</v>
      </c>
      <c r="AX318" s="5">
        <v>1</v>
      </c>
      <c r="AY318" s="5">
        <v>0</v>
      </c>
      <c r="AZ318" s="5">
        <v>201316</v>
      </c>
      <c r="BA318" s="5">
        <v>203032</v>
      </c>
      <c r="BB318" s="5">
        <v>0</v>
      </c>
      <c r="BC318" s="5">
        <v>0</v>
      </c>
      <c r="BD318" s="5">
        <v>0</v>
      </c>
      <c r="BE318" s="5">
        <v>0</v>
      </c>
      <c r="BF318" s="23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f t="shared" si="917"/>
        <v>0</v>
      </c>
      <c r="BM318" s="5">
        <v>0</v>
      </c>
      <c r="BN318" s="5">
        <v>0</v>
      </c>
      <c r="BO318" s="5">
        <v>0</v>
      </c>
      <c r="BP318" s="5">
        <v>0</v>
      </c>
      <c r="BQ318" s="5"/>
      <c r="BR318" s="5"/>
      <c r="BS318" s="4">
        <v>0</v>
      </c>
      <c r="BT318" s="4">
        <f t="shared" si="985"/>
        <v>6</v>
      </c>
      <c r="BU318" s="4">
        <v>0</v>
      </c>
      <c r="BV318" s="4">
        <f t="shared" si="986"/>
        <v>6</v>
      </c>
      <c r="BW318" s="4">
        <f t="shared" si="987"/>
        <v>6</v>
      </c>
      <c r="BX318" s="4">
        <f t="shared" si="988"/>
        <v>0.49999999999999994</v>
      </c>
      <c r="BY318" s="4">
        <f t="shared" si="989"/>
        <v>0.30000000000000004</v>
      </c>
      <c r="BZ318" s="5" t="s">
        <v>561</v>
      </c>
      <c r="CA318" s="5" t="s">
        <v>561</v>
      </c>
      <c r="CB318" s="5" t="s">
        <v>561</v>
      </c>
      <c r="CC318" s="5">
        <v>0</v>
      </c>
      <c r="CD318" s="5">
        <v>2</v>
      </c>
      <c r="CE318" s="5">
        <v>0</v>
      </c>
      <c r="CF318" s="5">
        <v>0</v>
      </c>
      <c r="CG318" s="5" t="s">
        <v>565</v>
      </c>
      <c r="CH318" s="5">
        <v>3</v>
      </c>
      <c r="CI318" s="5">
        <f t="shared" si="992"/>
        <v>425002</v>
      </c>
      <c r="CJ318" s="4">
        <f t="shared" si="993"/>
        <v>1</v>
      </c>
      <c r="CK318" s="20">
        <v>0</v>
      </c>
      <c r="CL318" s="5">
        <v>0</v>
      </c>
      <c r="CM318" s="20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20">
        <v>0.9</v>
      </c>
      <c r="CW318" s="20">
        <v>1</v>
      </c>
      <c r="CX318" s="20">
        <v>1</v>
      </c>
      <c r="CY318" s="20">
        <v>1</v>
      </c>
      <c r="CZ318" s="8">
        <v>2</v>
      </c>
      <c r="DA318" s="6">
        <f t="shared" si="878"/>
        <v>300</v>
      </c>
      <c r="DB318" s="5">
        <v>0</v>
      </c>
      <c r="DC318" s="5">
        <f t="shared" si="885"/>
        <v>0</v>
      </c>
      <c r="DD318" s="6">
        <f t="shared" si="879"/>
        <v>0</v>
      </c>
      <c r="DE318" s="6">
        <v>0</v>
      </c>
      <c r="DF318" s="5">
        <v>0</v>
      </c>
      <c r="DG318" s="6">
        <v>11</v>
      </c>
      <c r="DH318" s="5"/>
      <c r="DI318" s="5">
        <v>5</v>
      </c>
      <c r="DJ318" s="5">
        <f t="shared" si="984"/>
        <v>100</v>
      </c>
      <c r="DK318" s="8">
        <v>0</v>
      </c>
      <c r="DL318" s="5">
        <f t="shared" si="880"/>
        <v>0</v>
      </c>
      <c r="DM318" s="5" t="str">
        <f t="shared" si="920"/>
        <v>6级炸弹果</v>
      </c>
      <c r="DN318" s="5">
        <v>20</v>
      </c>
      <c r="DO318" s="5">
        <v>0</v>
      </c>
      <c r="DP318" s="5">
        <v>0</v>
      </c>
      <c r="DQ318" s="5">
        <v>0</v>
      </c>
      <c r="DR318" s="5">
        <f t="shared" si="990"/>
        <v>18</v>
      </c>
      <c r="DS318" s="6">
        <v>20</v>
      </c>
      <c r="DT318" s="5">
        <v>-20</v>
      </c>
      <c r="DU318" s="5">
        <v>20</v>
      </c>
      <c r="DV318" s="6">
        <v>0.35</v>
      </c>
      <c r="DW318" s="5">
        <f t="shared" si="991"/>
        <v>0.41666666666666669</v>
      </c>
      <c r="DX318" s="5">
        <v>5</v>
      </c>
      <c r="DY318" s="5">
        <v>0</v>
      </c>
      <c r="DZ318" s="5">
        <v>0</v>
      </c>
    </row>
    <row r="319" spans="1:130" x14ac:dyDescent="0.15">
      <c r="A319" s="5">
        <v>201317</v>
      </c>
      <c r="B319" s="5" t="s">
        <v>566</v>
      </c>
      <c r="C319" s="5"/>
      <c r="D319" s="5"/>
      <c r="E319" s="5"/>
      <c r="F319" s="5">
        <v>0</v>
      </c>
      <c r="G319" s="45"/>
      <c r="H319" s="5"/>
      <c r="I319" s="5"/>
      <c r="J319" s="5"/>
      <c r="K319" s="5"/>
      <c r="L319" s="10"/>
      <c r="M319" s="5"/>
      <c r="N319" s="10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20"/>
      <c r="AF319" s="5"/>
      <c r="AG319" s="5"/>
      <c r="AH319" s="5"/>
      <c r="AI319" s="5"/>
      <c r="AJ319" s="5"/>
      <c r="AK319" s="5"/>
      <c r="AL319" s="5"/>
      <c r="AM319" s="5"/>
      <c r="AN319" s="8"/>
      <c r="AO319" s="5">
        <v>0</v>
      </c>
      <c r="AP319" s="5" t="s">
        <v>566</v>
      </c>
      <c r="AQ319" s="5">
        <v>0</v>
      </c>
      <c r="AR319" s="8">
        <v>0</v>
      </c>
      <c r="AS319" s="6">
        <f t="shared" si="881"/>
        <v>0</v>
      </c>
      <c r="AT319" s="6">
        <f t="shared" si="882"/>
        <v>21</v>
      </c>
      <c r="AU319" s="5">
        <v>0</v>
      </c>
      <c r="AV319" s="5">
        <v>0</v>
      </c>
      <c r="AW319" s="5">
        <v>0</v>
      </c>
      <c r="AX319" s="5">
        <v>1</v>
      </c>
      <c r="AY319" s="5">
        <v>0</v>
      </c>
      <c r="AZ319" s="5">
        <v>201317</v>
      </c>
      <c r="BA319" s="5">
        <v>203032</v>
      </c>
      <c r="BB319" s="5">
        <v>0</v>
      </c>
      <c r="BC319" s="5">
        <v>0</v>
      </c>
      <c r="BD319" s="5">
        <v>0</v>
      </c>
      <c r="BE319" s="5">
        <v>0</v>
      </c>
      <c r="BF319" s="23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f t="shared" si="917"/>
        <v>0</v>
      </c>
      <c r="BM319" s="5">
        <v>0</v>
      </c>
      <c r="BN319" s="5">
        <v>0</v>
      </c>
      <c r="BO319" s="5">
        <v>0</v>
      </c>
      <c r="BP319" s="5">
        <v>0</v>
      </c>
      <c r="BQ319" s="5"/>
      <c r="BR319" s="5"/>
      <c r="BS319" s="4">
        <v>0</v>
      </c>
      <c r="BT319" s="4">
        <f t="shared" si="985"/>
        <v>7</v>
      </c>
      <c r="BU319" s="4">
        <v>0</v>
      </c>
      <c r="BV319" s="4">
        <f t="shared" si="986"/>
        <v>7</v>
      </c>
      <c r="BW319" s="4">
        <f t="shared" si="987"/>
        <v>7</v>
      </c>
      <c r="BX319" s="4">
        <f t="shared" si="988"/>
        <v>0.42999999999999994</v>
      </c>
      <c r="BY319" s="4">
        <f t="shared" si="989"/>
        <v>0.25</v>
      </c>
      <c r="BZ319" s="5" t="s">
        <v>559</v>
      </c>
      <c r="CA319" s="5" t="s">
        <v>559</v>
      </c>
      <c r="CB319" s="5" t="s">
        <v>559</v>
      </c>
      <c r="CC319" s="5">
        <v>0</v>
      </c>
      <c r="CD319" s="5">
        <v>2</v>
      </c>
      <c r="CE319" s="5">
        <v>0</v>
      </c>
      <c r="CF319" s="5">
        <v>0</v>
      </c>
      <c r="CG319" s="5" t="s">
        <v>566</v>
      </c>
      <c r="CH319" s="5">
        <v>3</v>
      </c>
      <c r="CI319" s="5">
        <f t="shared" si="992"/>
        <v>425001</v>
      </c>
      <c r="CJ319" s="1">
        <f t="shared" si="993"/>
        <v>0</v>
      </c>
      <c r="CK319" s="24">
        <v>0</v>
      </c>
      <c r="CL319" s="25">
        <v>0</v>
      </c>
      <c r="CM319" s="20">
        <v>0</v>
      </c>
      <c r="CN319" s="5">
        <v>0</v>
      </c>
      <c r="CO319" s="25">
        <v>0</v>
      </c>
      <c r="CP319" s="25">
        <v>0</v>
      </c>
      <c r="CQ319" s="25">
        <v>0</v>
      </c>
      <c r="CR319" s="25">
        <v>0</v>
      </c>
      <c r="CS319" s="25">
        <v>0</v>
      </c>
      <c r="CT319" s="25">
        <v>0</v>
      </c>
      <c r="CU319" s="25">
        <v>0</v>
      </c>
      <c r="CV319" s="20">
        <v>0.9</v>
      </c>
      <c r="CW319" s="20">
        <v>1</v>
      </c>
      <c r="CX319" s="20">
        <v>1</v>
      </c>
      <c r="CY319" s="20">
        <v>1</v>
      </c>
      <c r="CZ319" s="8">
        <v>2</v>
      </c>
      <c r="DA319" s="6">
        <f t="shared" si="878"/>
        <v>350</v>
      </c>
      <c r="DB319" s="5">
        <v>0</v>
      </c>
      <c r="DC319" s="5">
        <f t="shared" si="885"/>
        <v>0</v>
      </c>
      <c r="DD319" s="6">
        <f t="shared" si="879"/>
        <v>0</v>
      </c>
      <c r="DE319" s="6">
        <v>0</v>
      </c>
      <c r="DF319" s="5">
        <v>0</v>
      </c>
      <c r="DG319" s="6">
        <v>10</v>
      </c>
      <c r="DH319" s="5"/>
      <c r="DI319" s="5">
        <v>5</v>
      </c>
      <c r="DJ319" s="5">
        <f t="shared" si="984"/>
        <v>112.5</v>
      </c>
      <c r="DK319" s="8">
        <v>0</v>
      </c>
      <c r="DL319" s="5">
        <f t="shared" si="880"/>
        <v>0</v>
      </c>
      <c r="DM319" s="5" t="str">
        <f t="shared" si="920"/>
        <v>7级炸弹果</v>
      </c>
      <c r="DN319" s="5">
        <v>20</v>
      </c>
      <c r="DO319" s="5">
        <v>0</v>
      </c>
      <c r="DP319" s="5">
        <v>0</v>
      </c>
      <c r="DQ319" s="5">
        <v>0</v>
      </c>
      <c r="DR319" s="5">
        <f t="shared" si="990"/>
        <v>18</v>
      </c>
      <c r="DS319" s="6">
        <v>20</v>
      </c>
      <c r="DT319" s="5">
        <v>-20</v>
      </c>
      <c r="DU319" s="5">
        <v>20</v>
      </c>
      <c r="DV319" s="6">
        <v>0.35</v>
      </c>
      <c r="DW319" s="5">
        <f t="shared" si="991"/>
        <v>0.41666666666666669</v>
      </c>
      <c r="DX319" s="5">
        <v>5</v>
      </c>
      <c r="DY319" s="5">
        <v>0</v>
      </c>
      <c r="DZ319" s="5">
        <v>0</v>
      </c>
    </row>
    <row r="320" spans="1:130" x14ac:dyDescent="0.15">
      <c r="A320" s="5">
        <v>201318</v>
      </c>
      <c r="B320" s="5" t="s">
        <v>567</v>
      </c>
      <c r="C320" s="5"/>
      <c r="D320" s="5"/>
      <c r="E320" s="5"/>
      <c r="F320" s="5">
        <v>0</v>
      </c>
      <c r="G320" s="45"/>
      <c r="H320" s="5"/>
      <c r="I320" s="5"/>
      <c r="J320" s="5"/>
      <c r="K320" s="5"/>
      <c r="L320" s="10"/>
      <c r="M320" s="5"/>
      <c r="N320" s="10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20"/>
      <c r="AF320" s="5"/>
      <c r="AG320" s="5"/>
      <c r="AH320" s="5"/>
      <c r="AI320" s="5"/>
      <c r="AJ320" s="5"/>
      <c r="AK320" s="5"/>
      <c r="AL320" s="5"/>
      <c r="AM320" s="5"/>
      <c r="AN320" s="8"/>
      <c r="AO320" s="5">
        <v>0</v>
      </c>
      <c r="AP320" s="5" t="s">
        <v>567</v>
      </c>
      <c r="AQ320" s="5">
        <v>0</v>
      </c>
      <c r="AR320" s="8">
        <v>0</v>
      </c>
      <c r="AS320" s="6">
        <f t="shared" si="881"/>
        <v>0</v>
      </c>
      <c r="AT320" s="6">
        <f t="shared" si="882"/>
        <v>24</v>
      </c>
      <c r="AU320" s="5">
        <v>0</v>
      </c>
      <c r="AV320" s="5">
        <v>0</v>
      </c>
      <c r="AW320" s="5">
        <v>0</v>
      </c>
      <c r="AX320" s="5">
        <v>1</v>
      </c>
      <c r="AY320" s="5">
        <v>0</v>
      </c>
      <c r="AZ320" s="5">
        <v>201318</v>
      </c>
      <c r="BA320" s="5">
        <v>203032</v>
      </c>
      <c r="BB320" s="5">
        <v>0</v>
      </c>
      <c r="BC320" s="5">
        <v>0</v>
      </c>
      <c r="BD320" s="5">
        <v>0</v>
      </c>
      <c r="BE320" s="5">
        <v>0</v>
      </c>
      <c r="BF320" s="23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f t="shared" si="917"/>
        <v>0</v>
      </c>
      <c r="BM320" s="5">
        <v>0</v>
      </c>
      <c r="BN320" s="5">
        <v>0</v>
      </c>
      <c r="BO320" s="5">
        <v>0</v>
      </c>
      <c r="BP320" s="5">
        <v>0</v>
      </c>
      <c r="BQ320" s="5"/>
      <c r="BR320" s="5"/>
      <c r="BS320" s="4">
        <v>0</v>
      </c>
      <c r="BT320" s="4">
        <f t="shared" si="985"/>
        <v>8</v>
      </c>
      <c r="BU320" s="4">
        <v>0</v>
      </c>
      <c r="BV320" s="4">
        <f t="shared" si="986"/>
        <v>8</v>
      </c>
      <c r="BW320" s="4">
        <f t="shared" si="987"/>
        <v>8</v>
      </c>
      <c r="BX320" s="4">
        <f t="shared" si="988"/>
        <v>0.35999999999999993</v>
      </c>
      <c r="BY320" s="4">
        <f t="shared" si="989"/>
        <v>0.2</v>
      </c>
      <c r="BZ320" s="5" t="s">
        <v>561</v>
      </c>
      <c r="CA320" s="5" t="s">
        <v>561</v>
      </c>
      <c r="CB320" s="5" t="s">
        <v>561</v>
      </c>
      <c r="CC320" s="5">
        <v>0</v>
      </c>
      <c r="CD320" s="5">
        <v>2</v>
      </c>
      <c r="CE320" s="5">
        <v>0</v>
      </c>
      <c r="CF320" s="5">
        <v>0</v>
      </c>
      <c r="CG320" s="5" t="s">
        <v>567</v>
      </c>
      <c r="CH320" s="5">
        <v>3</v>
      </c>
      <c r="CI320" s="5">
        <f t="shared" si="992"/>
        <v>425002</v>
      </c>
      <c r="CJ320" s="1">
        <f t="shared" si="993"/>
        <v>1</v>
      </c>
      <c r="CK320" s="20">
        <v>0</v>
      </c>
      <c r="CL320" s="5">
        <v>0</v>
      </c>
      <c r="CM320" s="20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20">
        <v>0.9</v>
      </c>
      <c r="CW320" s="20">
        <v>1</v>
      </c>
      <c r="CX320" s="20">
        <v>1</v>
      </c>
      <c r="CY320" s="20">
        <v>1</v>
      </c>
      <c r="CZ320" s="8">
        <v>2</v>
      </c>
      <c r="DA320" s="6">
        <f t="shared" si="878"/>
        <v>400</v>
      </c>
      <c r="DB320" s="5">
        <v>0</v>
      </c>
      <c r="DC320" s="5">
        <f t="shared" si="885"/>
        <v>0</v>
      </c>
      <c r="DD320" s="6">
        <f t="shared" si="879"/>
        <v>0</v>
      </c>
      <c r="DE320" s="6">
        <v>0</v>
      </c>
      <c r="DF320" s="5">
        <v>0</v>
      </c>
      <c r="DG320" s="6">
        <v>10</v>
      </c>
      <c r="DH320" s="5"/>
      <c r="DI320" s="5">
        <v>5</v>
      </c>
      <c r="DJ320" s="5">
        <f t="shared" si="984"/>
        <v>125</v>
      </c>
      <c r="DK320" s="8">
        <v>0</v>
      </c>
      <c r="DL320" s="5">
        <f t="shared" si="880"/>
        <v>0</v>
      </c>
      <c r="DM320" s="5" t="str">
        <f t="shared" si="920"/>
        <v>8级炸弹果</v>
      </c>
      <c r="DN320" s="5">
        <v>20</v>
      </c>
      <c r="DO320" s="5">
        <v>0</v>
      </c>
      <c r="DP320" s="5">
        <v>0</v>
      </c>
      <c r="DQ320" s="5">
        <v>0</v>
      </c>
      <c r="DR320" s="5">
        <f t="shared" si="990"/>
        <v>18</v>
      </c>
      <c r="DS320" s="6">
        <v>20</v>
      </c>
      <c r="DT320" s="5">
        <v>-20</v>
      </c>
      <c r="DU320" s="5">
        <v>20</v>
      </c>
      <c r="DV320" s="6">
        <v>0.35</v>
      </c>
      <c r="DW320" s="5">
        <f t="shared" si="991"/>
        <v>0.41666666666666669</v>
      </c>
      <c r="DX320" s="5">
        <v>5</v>
      </c>
      <c r="DY320" s="5">
        <v>0</v>
      </c>
      <c r="DZ320" s="5">
        <v>0</v>
      </c>
    </row>
    <row r="321" spans="1:130" x14ac:dyDescent="0.15">
      <c r="A321" s="5">
        <v>201319</v>
      </c>
      <c r="B321" s="5" t="s">
        <v>568</v>
      </c>
      <c r="C321" s="5"/>
      <c r="D321" s="5"/>
      <c r="E321" s="5"/>
      <c r="F321" s="5">
        <v>0</v>
      </c>
      <c r="G321" s="45"/>
      <c r="H321" s="5"/>
      <c r="I321" s="5"/>
      <c r="J321" s="5"/>
      <c r="K321" s="5"/>
      <c r="L321" s="10"/>
      <c r="M321" s="5"/>
      <c r="N321" s="10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20"/>
      <c r="AF321" s="5"/>
      <c r="AG321" s="5"/>
      <c r="AH321" s="5"/>
      <c r="AI321" s="5"/>
      <c r="AJ321" s="5"/>
      <c r="AK321" s="5"/>
      <c r="AL321" s="5"/>
      <c r="AM321" s="5"/>
      <c r="AN321" s="8"/>
      <c r="AO321" s="5">
        <v>0</v>
      </c>
      <c r="AP321" s="5" t="s">
        <v>568</v>
      </c>
      <c r="AQ321" s="5">
        <v>0</v>
      </c>
      <c r="AR321" s="8">
        <v>0</v>
      </c>
      <c r="AS321" s="6">
        <f t="shared" si="881"/>
        <v>0</v>
      </c>
      <c r="AT321" s="6">
        <f t="shared" si="882"/>
        <v>27</v>
      </c>
      <c r="AU321" s="5">
        <v>0</v>
      </c>
      <c r="AV321" s="5">
        <v>0</v>
      </c>
      <c r="AW321" s="5">
        <v>0</v>
      </c>
      <c r="AX321" s="5">
        <v>1</v>
      </c>
      <c r="AY321" s="5">
        <v>0</v>
      </c>
      <c r="AZ321" s="5">
        <v>201319</v>
      </c>
      <c r="BA321" s="5">
        <v>203032</v>
      </c>
      <c r="BB321" s="5">
        <v>0</v>
      </c>
      <c r="BC321" s="5">
        <v>0</v>
      </c>
      <c r="BD321" s="5">
        <v>0</v>
      </c>
      <c r="BE321" s="5">
        <v>0</v>
      </c>
      <c r="BF321" s="23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f t="shared" si="917"/>
        <v>0</v>
      </c>
      <c r="BM321" s="5">
        <v>0</v>
      </c>
      <c r="BN321" s="5">
        <v>0</v>
      </c>
      <c r="BO321" s="5">
        <v>0</v>
      </c>
      <c r="BP321" s="5">
        <v>0</v>
      </c>
      <c r="BQ321" s="5"/>
      <c r="BR321" s="5"/>
      <c r="BS321" s="4">
        <v>0</v>
      </c>
      <c r="BT321" s="4">
        <f t="shared" si="985"/>
        <v>9</v>
      </c>
      <c r="BU321" s="4">
        <v>0</v>
      </c>
      <c r="BV321" s="4">
        <f t="shared" si="986"/>
        <v>9</v>
      </c>
      <c r="BW321" s="4">
        <f t="shared" si="987"/>
        <v>9</v>
      </c>
      <c r="BX321" s="4">
        <f t="shared" si="988"/>
        <v>0.28999999999999992</v>
      </c>
      <c r="BY321" s="4">
        <f t="shared" si="989"/>
        <v>0.15000000000000002</v>
      </c>
      <c r="BZ321" s="5" t="s">
        <v>559</v>
      </c>
      <c r="CA321" s="5" t="s">
        <v>559</v>
      </c>
      <c r="CB321" s="5" t="s">
        <v>559</v>
      </c>
      <c r="CC321" s="5">
        <v>0</v>
      </c>
      <c r="CD321" s="5">
        <v>2</v>
      </c>
      <c r="CE321" s="5">
        <v>0</v>
      </c>
      <c r="CF321" s="5">
        <v>0</v>
      </c>
      <c r="CG321" s="5" t="s">
        <v>568</v>
      </c>
      <c r="CH321" s="5">
        <v>3</v>
      </c>
      <c r="CI321" s="5">
        <f t="shared" si="992"/>
        <v>425001</v>
      </c>
      <c r="CJ321" s="1">
        <f t="shared" si="993"/>
        <v>0</v>
      </c>
      <c r="CK321" s="20">
        <v>0</v>
      </c>
      <c r="CL321" s="5">
        <v>0</v>
      </c>
      <c r="CM321" s="20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20">
        <v>0.9</v>
      </c>
      <c r="CW321" s="20">
        <v>1</v>
      </c>
      <c r="CX321" s="20">
        <v>1</v>
      </c>
      <c r="CY321" s="20">
        <v>1</v>
      </c>
      <c r="CZ321" s="8">
        <v>2</v>
      </c>
      <c r="DA321" s="6">
        <f t="shared" si="878"/>
        <v>450</v>
      </c>
      <c r="DB321" s="5">
        <v>0</v>
      </c>
      <c r="DC321" s="5">
        <f t="shared" si="885"/>
        <v>0</v>
      </c>
      <c r="DD321" s="6">
        <f t="shared" si="879"/>
        <v>0</v>
      </c>
      <c r="DE321" s="6">
        <v>0</v>
      </c>
      <c r="DF321" s="5">
        <v>0</v>
      </c>
      <c r="DG321" s="6">
        <v>9</v>
      </c>
      <c r="DH321" s="5"/>
      <c r="DI321" s="5">
        <v>5</v>
      </c>
      <c r="DJ321" s="5">
        <f t="shared" si="984"/>
        <v>137.5</v>
      </c>
      <c r="DK321" s="8">
        <v>0</v>
      </c>
      <c r="DL321" s="5">
        <f t="shared" si="880"/>
        <v>0</v>
      </c>
      <c r="DM321" s="5" t="str">
        <f t="shared" si="920"/>
        <v>9级炸弹果</v>
      </c>
      <c r="DN321" s="5">
        <v>20</v>
      </c>
      <c r="DO321" s="5">
        <v>0</v>
      </c>
      <c r="DP321" s="5">
        <v>0</v>
      </c>
      <c r="DQ321" s="5">
        <v>0</v>
      </c>
      <c r="DR321" s="5">
        <f t="shared" si="990"/>
        <v>18</v>
      </c>
      <c r="DS321" s="6">
        <v>20</v>
      </c>
      <c r="DT321" s="5">
        <v>-20</v>
      </c>
      <c r="DU321" s="5">
        <v>20</v>
      </c>
      <c r="DV321" s="6">
        <v>0.35</v>
      </c>
      <c r="DW321" s="5">
        <f t="shared" si="991"/>
        <v>0.41666666666666669</v>
      </c>
      <c r="DX321" s="5">
        <v>5</v>
      </c>
      <c r="DY321" s="5">
        <v>0</v>
      </c>
      <c r="DZ321" s="5">
        <v>0</v>
      </c>
    </row>
    <row r="322" spans="1:130" x14ac:dyDescent="0.15">
      <c r="A322" s="5">
        <v>201320</v>
      </c>
      <c r="B322" s="5" t="s">
        <v>569</v>
      </c>
      <c r="C322" s="5"/>
      <c r="D322" s="5"/>
      <c r="E322" s="5"/>
      <c r="F322" s="5">
        <v>0</v>
      </c>
      <c r="G322" s="45"/>
      <c r="H322" s="5"/>
      <c r="I322" s="5"/>
      <c r="J322" s="5"/>
      <c r="K322" s="5"/>
      <c r="L322" s="10"/>
      <c r="M322" s="5"/>
      <c r="N322" s="10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20"/>
      <c r="AF322" s="5"/>
      <c r="AG322" s="5"/>
      <c r="AH322" s="5"/>
      <c r="AI322" s="5"/>
      <c r="AJ322" s="5"/>
      <c r="AK322" s="5"/>
      <c r="AL322" s="5"/>
      <c r="AM322" s="5"/>
      <c r="AN322" s="8"/>
      <c r="AO322" s="5">
        <v>0</v>
      </c>
      <c r="AP322" s="5" t="s">
        <v>569</v>
      </c>
      <c r="AQ322" s="5">
        <v>0</v>
      </c>
      <c r="AR322" s="8">
        <v>0</v>
      </c>
      <c r="AS322" s="6">
        <f t="shared" si="881"/>
        <v>0</v>
      </c>
      <c r="AT322" s="6">
        <f t="shared" si="882"/>
        <v>30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201320</v>
      </c>
      <c r="BA322" s="5">
        <v>203032</v>
      </c>
      <c r="BB322" s="5">
        <v>0</v>
      </c>
      <c r="BC322" s="5">
        <v>0</v>
      </c>
      <c r="BD322" s="5">
        <v>0</v>
      </c>
      <c r="BE322" s="5">
        <v>0</v>
      </c>
      <c r="BF322" s="23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f t="shared" si="917"/>
        <v>0</v>
      </c>
      <c r="BM322" s="5">
        <v>0</v>
      </c>
      <c r="BN322" s="5">
        <v>0</v>
      </c>
      <c r="BO322" s="5">
        <v>0</v>
      </c>
      <c r="BP322" s="5">
        <v>0</v>
      </c>
      <c r="BQ322" s="5"/>
      <c r="BR322" s="5"/>
      <c r="BS322" s="4">
        <v>0</v>
      </c>
      <c r="BT322" s="4">
        <f t="shared" si="985"/>
        <v>10</v>
      </c>
      <c r="BU322" s="4">
        <v>0</v>
      </c>
      <c r="BV322" s="4">
        <f t="shared" si="986"/>
        <v>10</v>
      </c>
      <c r="BW322" s="4">
        <f t="shared" si="987"/>
        <v>10</v>
      </c>
      <c r="BX322" s="4">
        <f t="shared" si="988"/>
        <v>0.21999999999999986</v>
      </c>
      <c r="BY322" s="4">
        <f t="shared" si="989"/>
        <v>0.10000000000000003</v>
      </c>
      <c r="BZ322" s="5" t="s">
        <v>561</v>
      </c>
      <c r="CA322" s="5" t="s">
        <v>561</v>
      </c>
      <c r="CB322" s="5" t="s">
        <v>561</v>
      </c>
      <c r="CC322" s="5">
        <v>0</v>
      </c>
      <c r="CD322" s="5">
        <v>2</v>
      </c>
      <c r="CE322" s="5">
        <v>0</v>
      </c>
      <c r="CF322" s="5">
        <v>0</v>
      </c>
      <c r="CG322" s="5" t="s">
        <v>569</v>
      </c>
      <c r="CH322" s="5">
        <v>3</v>
      </c>
      <c r="CI322" s="5">
        <f t="shared" si="992"/>
        <v>425002</v>
      </c>
      <c r="CJ322" s="1">
        <f t="shared" si="993"/>
        <v>1</v>
      </c>
      <c r="CK322" s="20">
        <v>0</v>
      </c>
      <c r="CL322" s="5">
        <v>0</v>
      </c>
      <c r="CM322" s="20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20">
        <v>0.9</v>
      </c>
      <c r="CW322" s="20">
        <v>1</v>
      </c>
      <c r="CX322" s="20">
        <v>1</v>
      </c>
      <c r="CY322" s="20">
        <v>1</v>
      </c>
      <c r="CZ322" s="8">
        <v>2</v>
      </c>
      <c r="DA322" s="6">
        <f t="shared" si="878"/>
        <v>500</v>
      </c>
      <c r="DB322" s="5">
        <v>0</v>
      </c>
      <c r="DC322" s="5">
        <f t="shared" si="885"/>
        <v>0</v>
      </c>
      <c r="DD322" s="6">
        <f t="shared" si="879"/>
        <v>0</v>
      </c>
      <c r="DE322" s="6">
        <v>0</v>
      </c>
      <c r="DF322" s="5">
        <v>0</v>
      </c>
      <c r="DG322" s="6">
        <v>9</v>
      </c>
      <c r="DH322" s="5"/>
      <c r="DI322" s="5">
        <v>5</v>
      </c>
      <c r="DJ322" s="5">
        <f t="shared" si="984"/>
        <v>150</v>
      </c>
      <c r="DK322" s="8">
        <v>0</v>
      </c>
      <c r="DL322" s="5">
        <f t="shared" si="880"/>
        <v>0</v>
      </c>
      <c r="DM322" s="5" t="str">
        <f t="shared" si="920"/>
        <v>10级炸弹果</v>
      </c>
      <c r="DN322" s="5">
        <v>20</v>
      </c>
      <c r="DO322" s="5">
        <v>0</v>
      </c>
      <c r="DP322" s="5">
        <v>0</v>
      </c>
      <c r="DQ322" s="5">
        <v>0</v>
      </c>
      <c r="DR322" s="5">
        <f t="shared" si="990"/>
        <v>18</v>
      </c>
      <c r="DS322" s="6">
        <v>20</v>
      </c>
      <c r="DT322" s="5">
        <v>-20</v>
      </c>
      <c r="DU322" s="5">
        <v>20</v>
      </c>
      <c r="DV322" s="6">
        <v>0.35</v>
      </c>
      <c r="DW322" s="5">
        <f t="shared" si="991"/>
        <v>0.41666666666666669</v>
      </c>
      <c r="DX322" s="5">
        <v>5</v>
      </c>
      <c r="DY322" s="5">
        <v>0</v>
      </c>
      <c r="DZ322" s="5">
        <v>0</v>
      </c>
    </row>
    <row r="323" spans="1:130" x14ac:dyDescent="0.15">
      <c r="A323" s="5">
        <v>201321</v>
      </c>
      <c r="B323" s="5" t="s">
        <v>570</v>
      </c>
      <c r="C323" s="5"/>
      <c r="D323" s="5"/>
      <c r="E323" s="5"/>
      <c r="F323" s="5">
        <v>0</v>
      </c>
      <c r="G323" s="45"/>
      <c r="H323" s="5"/>
      <c r="I323" s="5"/>
      <c r="J323" s="5"/>
      <c r="K323" s="5"/>
      <c r="L323" s="10"/>
      <c r="M323" s="5"/>
      <c r="N323" s="10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20"/>
      <c r="AF323" s="5"/>
      <c r="AG323" s="5"/>
      <c r="AH323" s="5"/>
      <c r="AI323" s="5"/>
      <c r="AJ323" s="5"/>
      <c r="AK323" s="5"/>
      <c r="AL323" s="5"/>
      <c r="AM323" s="5"/>
      <c r="AN323" s="8"/>
      <c r="AO323" s="5">
        <v>0</v>
      </c>
      <c r="AP323" s="5" t="s">
        <v>570</v>
      </c>
      <c r="AQ323" s="5">
        <v>0</v>
      </c>
      <c r="AR323" s="8">
        <v>0</v>
      </c>
      <c r="AS323" s="6">
        <f t="shared" si="881"/>
        <v>0</v>
      </c>
      <c r="AT323" s="6">
        <f t="shared" si="882"/>
        <v>3</v>
      </c>
      <c r="AU323" s="5">
        <v>0.2</v>
      </c>
      <c r="AV323" s="5">
        <v>1</v>
      </c>
      <c r="AW323" s="5">
        <v>1</v>
      </c>
      <c r="AX323" s="5">
        <v>1</v>
      </c>
      <c r="AY323" s="5">
        <v>0</v>
      </c>
      <c r="AZ323" s="5">
        <v>12</v>
      </c>
      <c r="BA323" s="5">
        <v>203034</v>
      </c>
      <c r="BB323" s="5">
        <v>0</v>
      </c>
      <c r="BC323" s="5">
        <v>0</v>
      </c>
      <c r="BD323" s="5">
        <v>0</v>
      </c>
      <c r="BE323" s="5">
        <v>0</v>
      </c>
      <c r="BF323" s="23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f t="shared" si="917"/>
        <v>1</v>
      </c>
      <c r="BM323" s="5">
        <v>0</v>
      </c>
      <c r="BN323" s="5">
        <v>0</v>
      </c>
      <c r="BO323" s="5">
        <v>0</v>
      </c>
      <c r="BP323" s="5">
        <v>0</v>
      </c>
      <c r="BQ323" s="5"/>
      <c r="BR323" s="5"/>
      <c r="BS323" s="4">
        <v>0</v>
      </c>
      <c r="BT323" s="4">
        <f t="shared" si="985"/>
        <v>1</v>
      </c>
      <c r="BU323" s="4">
        <v>0</v>
      </c>
      <c r="BV323" s="4">
        <f t="shared" si="986"/>
        <v>1</v>
      </c>
      <c r="BW323" s="4">
        <f t="shared" si="987"/>
        <v>1</v>
      </c>
      <c r="BX323" s="4">
        <f t="shared" si="988"/>
        <v>0.85</v>
      </c>
      <c r="BY323" s="4">
        <f t="shared" si="989"/>
        <v>0.55000000000000004</v>
      </c>
      <c r="BZ323" s="5" t="s">
        <v>571</v>
      </c>
      <c r="CA323" s="5" t="s">
        <v>571</v>
      </c>
      <c r="CB323" s="5" t="s">
        <v>571</v>
      </c>
      <c r="CC323" s="5">
        <v>0</v>
      </c>
      <c r="CD323" s="5">
        <v>2</v>
      </c>
      <c r="CE323" s="5">
        <v>0</v>
      </c>
      <c r="CF323" s="5">
        <v>0</v>
      </c>
      <c r="CG323" s="5" t="s">
        <v>570</v>
      </c>
      <c r="CH323" s="5">
        <v>0</v>
      </c>
      <c r="CI323" s="5">
        <v>121</v>
      </c>
      <c r="CJ323" s="1">
        <f t="shared" si="993"/>
        <v>0</v>
      </c>
      <c r="CK323" s="20">
        <v>0</v>
      </c>
      <c r="CL323" s="5">
        <v>0</v>
      </c>
      <c r="CM323" s="20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20">
        <v>0.5</v>
      </c>
      <c r="CW323" s="20">
        <v>1</v>
      </c>
      <c r="CX323" s="20">
        <v>1</v>
      </c>
      <c r="CY323" s="20">
        <v>1</v>
      </c>
      <c r="CZ323" s="8">
        <v>1</v>
      </c>
      <c r="DA323" s="6">
        <f t="shared" ref="DA323:DA343" si="994">CZ323*25*BV323</f>
        <v>25</v>
      </c>
      <c r="DB323" s="5">
        <v>0</v>
      </c>
      <c r="DC323" s="5">
        <f t="shared" si="885"/>
        <v>0.125</v>
      </c>
      <c r="DD323" s="6">
        <f t="shared" ref="DD323:DD343" si="995">(1+(BT323-1)*0.05)*DE323*0.5</f>
        <v>0.125</v>
      </c>
      <c r="DE323" s="6">
        <v>0.25</v>
      </c>
      <c r="DF323" s="5">
        <v>1</v>
      </c>
      <c r="DG323" s="6">
        <v>2.5</v>
      </c>
      <c r="DH323" s="5"/>
      <c r="DI323" s="5">
        <v>3</v>
      </c>
      <c r="DJ323" s="5">
        <f t="shared" si="984"/>
        <v>22.5</v>
      </c>
      <c r="DK323" s="8">
        <v>0</v>
      </c>
      <c r="DL323" s="5">
        <f t="shared" ref="DL323:DL386" si="996">DK323*5*(1+BV323/2)</f>
        <v>0</v>
      </c>
      <c r="DM323" s="5" t="str">
        <f t="shared" si="920"/>
        <v>1级钻地虫</v>
      </c>
      <c r="DN323" s="5">
        <v>6</v>
      </c>
      <c r="DO323" s="5">
        <v>0</v>
      </c>
      <c r="DP323" s="5">
        <v>0</v>
      </c>
      <c r="DQ323" s="5">
        <v>0</v>
      </c>
      <c r="DR323" s="5">
        <f t="shared" si="990"/>
        <v>3.6</v>
      </c>
      <c r="DS323" s="6">
        <v>4</v>
      </c>
      <c r="DT323" s="5">
        <v>-1</v>
      </c>
      <c r="DU323" s="5">
        <v>1</v>
      </c>
      <c r="DV323" s="6">
        <v>0.35</v>
      </c>
      <c r="DW323" s="5">
        <f t="shared" si="991"/>
        <v>0.33333333333333331</v>
      </c>
      <c r="DX323" s="5">
        <v>4</v>
      </c>
      <c r="DY323" s="5">
        <v>0</v>
      </c>
      <c r="DZ323" s="5">
        <v>0</v>
      </c>
    </row>
    <row r="324" spans="1:130" x14ac:dyDescent="0.15">
      <c r="A324" s="5">
        <v>201322</v>
      </c>
      <c r="B324" s="5" t="s">
        <v>572</v>
      </c>
      <c r="C324" s="5"/>
      <c r="D324" s="5"/>
      <c r="E324" s="5"/>
      <c r="F324" s="5">
        <v>0</v>
      </c>
      <c r="G324" s="45"/>
      <c r="H324" s="5"/>
      <c r="I324" s="5"/>
      <c r="J324" s="5"/>
      <c r="K324" s="5"/>
      <c r="L324" s="10"/>
      <c r="M324" s="5"/>
      <c r="N324" s="10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20"/>
      <c r="AF324" s="5"/>
      <c r="AG324" s="5"/>
      <c r="AH324" s="5"/>
      <c r="AI324" s="5"/>
      <c r="AJ324" s="5"/>
      <c r="AK324" s="5"/>
      <c r="AL324" s="5"/>
      <c r="AM324" s="5"/>
      <c r="AN324" s="8"/>
      <c r="AO324" s="5">
        <v>0</v>
      </c>
      <c r="AP324" s="5" t="s">
        <v>572</v>
      </c>
      <c r="AQ324" s="5">
        <v>0</v>
      </c>
      <c r="AR324" s="8">
        <v>0</v>
      </c>
      <c r="AS324" s="6">
        <f t="shared" ref="AS324:AS387" si="997">AR324*3*BV324</f>
        <v>0</v>
      </c>
      <c r="AT324" s="6">
        <f t="shared" ref="AT324:AT387" si="998">(AR324+1)*3*BV324</f>
        <v>6</v>
      </c>
      <c r="AU324" s="5">
        <v>0.2</v>
      </c>
      <c r="AV324" s="5">
        <v>1</v>
      </c>
      <c r="AW324" s="5">
        <v>1</v>
      </c>
      <c r="AX324" s="5">
        <v>1</v>
      </c>
      <c r="AY324" s="5">
        <v>0</v>
      </c>
      <c r="AZ324" s="5">
        <v>22</v>
      </c>
      <c r="BA324" s="5">
        <v>203034</v>
      </c>
      <c r="BB324" s="5">
        <v>0</v>
      </c>
      <c r="BC324" s="5">
        <v>0</v>
      </c>
      <c r="BD324" s="5">
        <v>0</v>
      </c>
      <c r="BE324" s="5">
        <v>0</v>
      </c>
      <c r="BF324" s="23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f t="shared" si="917"/>
        <v>0</v>
      </c>
      <c r="BM324" s="5">
        <v>0</v>
      </c>
      <c r="BN324" s="5">
        <v>0</v>
      </c>
      <c r="BO324" s="5">
        <v>0</v>
      </c>
      <c r="BP324" s="5">
        <v>0</v>
      </c>
      <c r="BQ324" s="5"/>
      <c r="BR324" s="5"/>
      <c r="BS324" s="4">
        <v>0</v>
      </c>
      <c r="BT324" s="4">
        <f t="shared" si="985"/>
        <v>2</v>
      </c>
      <c r="BU324" s="4">
        <v>0</v>
      </c>
      <c r="BV324" s="4">
        <f t="shared" si="986"/>
        <v>2</v>
      </c>
      <c r="BW324" s="4">
        <f t="shared" si="987"/>
        <v>2</v>
      </c>
      <c r="BX324" s="4">
        <f t="shared" si="988"/>
        <v>0.78</v>
      </c>
      <c r="BY324" s="4">
        <f t="shared" si="989"/>
        <v>0.5</v>
      </c>
      <c r="BZ324" s="5" t="s">
        <v>573</v>
      </c>
      <c r="CA324" s="5" t="s">
        <v>573</v>
      </c>
      <c r="CB324" s="5" t="s">
        <v>573</v>
      </c>
      <c r="CC324" s="5">
        <v>0</v>
      </c>
      <c r="CD324" s="5">
        <v>2</v>
      </c>
      <c r="CE324" s="5">
        <v>0</v>
      </c>
      <c r="CF324" s="5">
        <v>0</v>
      </c>
      <c r="CG324" s="5" t="s">
        <v>572</v>
      </c>
      <c r="CH324" s="5">
        <v>0</v>
      </c>
      <c r="CI324" s="5">
        <v>121</v>
      </c>
      <c r="CJ324" s="1">
        <f t="shared" si="993"/>
        <v>1</v>
      </c>
      <c r="CK324" s="20">
        <v>0</v>
      </c>
      <c r="CL324" s="5">
        <v>0</v>
      </c>
      <c r="CM324" s="20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20">
        <v>0.5</v>
      </c>
      <c r="CW324" s="20">
        <v>1</v>
      </c>
      <c r="CX324" s="20">
        <v>1</v>
      </c>
      <c r="CY324" s="20">
        <v>1</v>
      </c>
      <c r="CZ324" s="8">
        <v>1</v>
      </c>
      <c r="DA324" s="6">
        <f t="shared" si="994"/>
        <v>50</v>
      </c>
      <c r="DB324" s="5">
        <v>0</v>
      </c>
      <c r="DC324" s="5">
        <f t="shared" ref="DC324:DC387" si="999">DD324</f>
        <v>0.13125000000000001</v>
      </c>
      <c r="DD324" s="6">
        <f t="shared" si="995"/>
        <v>0.13125000000000001</v>
      </c>
      <c r="DE324" s="6">
        <v>0.25</v>
      </c>
      <c r="DF324" s="5">
        <v>1</v>
      </c>
      <c r="DG324" s="6">
        <v>2.5</v>
      </c>
      <c r="DH324" s="5"/>
      <c r="DI324" s="5">
        <v>3</v>
      </c>
      <c r="DJ324" s="5">
        <f t="shared" si="984"/>
        <v>30</v>
      </c>
      <c r="DK324" s="8">
        <v>0</v>
      </c>
      <c r="DL324" s="5">
        <f t="shared" si="996"/>
        <v>0</v>
      </c>
      <c r="DM324" s="5" t="str">
        <f t="shared" si="920"/>
        <v>2级钻地虫</v>
      </c>
      <c r="DN324" s="5">
        <v>6</v>
      </c>
      <c r="DO324" s="5">
        <v>0</v>
      </c>
      <c r="DP324" s="5">
        <v>0</v>
      </c>
      <c r="DQ324" s="5">
        <v>0</v>
      </c>
      <c r="DR324" s="5">
        <f t="shared" si="990"/>
        <v>3.6</v>
      </c>
      <c r="DS324" s="6">
        <v>4</v>
      </c>
      <c r="DT324" s="5">
        <v>-1</v>
      </c>
      <c r="DU324" s="5">
        <v>1</v>
      </c>
      <c r="DV324" s="6">
        <v>0.35</v>
      </c>
      <c r="DW324" s="5">
        <f t="shared" si="991"/>
        <v>0.33333333333333331</v>
      </c>
      <c r="DX324" s="5">
        <v>4</v>
      </c>
      <c r="DY324" s="5">
        <v>0</v>
      </c>
      <c r="DZ324" s="5">
        <v>0</v>
      </c>
    </row>
    <row r="325" spans="1:130" x14ac:dyDescent="0.15">
      <c r="A325" s="5">
        <v>201323</v>
      </c>
      <c r="B325" s="5" t="s">
        <v>574</v>
      </c>
      <c r="C325" s="5"/>
      <c r="D325" s="5"/>
      <c r="E325" s="5"/>
      <c r="F325" s="5">
        <v>0</v>
      </c>
      <c r="G325" s="45"/>
      <c r="H325" s="5"/>
      <c r="I325" s="5"/>
      <c r="J325" s="5"/>
      <c r="K325" s="5"/>
      <c r="L325" s="10"/>
      <c r="M325" s="5"/>
      <c r="N325" s="10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20"/>
      <c r="AF325" s="5"/>
      <c r="AG325" s="5"/>
      <c r="AH325" s="5"/>
      <c r="AI325" s="5"/>
      <c r="AJ325" s="5"/>
      <c r="AK325" s="5"/>
      <c r="AL325" s="5"/>
      <c r="AM325" s="5"/>
      <c r="AN325" s="8"/>
      <c r="AO325" s="5">
        <v>0</v>
      </c>
      <c r="AP325" s="5" t="s">
        <v>574</v>
      </c>
      <c r="AQ325" s="5">
        <v>0</v>
      </c>
      <c r="AR325" s="8">
        <v>0</v>
      </c>
      <c r="AS325" s="6">
        <f t="shared" si="997"/>
        <v>0</v>
      </c>
      <c r="AT325" s="6">
        <f t="shared" si="998"/>
        <v>9</v>
      </c>
      <c r="AU325" s="5">
        <v>0.2</v>
      </c>
      <c r="AV325" s="5">
        <v>1</v>
      </c>
      <c r="AW325" s="5">
        <v>1</v>
      </c>
      <c r="AX325" s="5">
        <v>1</v>
      </c>
      <c r="AY325" s="5">
        <v>0</v>
      </c>
      <c r="AZ325" s="5">
        <v>32</v>
      </c>
      <c r="BA325" s="5">
        <v>203034</v>
      </c>
      <c r="BB325" s="5">
        <v>0</v>
      </c>
      <c r="BC325" s="5">
        <v>0</v>
      </c>
      <c r="BD325" s="5">
        <v>0</v>
      </c>
      <c r="BE325" s="5">
        <v>0</v>
      </c>
      <c r="BF325" s="23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f t="shared" si="917"/>
        <v>0</v>
      </c>
      <c r="BM325" s="5">
        <v>0</v>
      </c>
      <c r="BN325" s="5">
        <v>0</v>
      </c>
      <c r="BO325" s="5">
        <v>0</v>
      </c>
      <c r="BP325" s="5">
        <v>0</v>
      </c>
      <c r="BQ325" s="5"/>
      <c r="BR325" s="5"/>
      <c r="BS325" s="4">
        <v>0</v>
      </c>
      <c r="BT325" s="4">
        <f t="shared" si="985"/>
        <v>3</v>
      </c>
      <c r="BU325" s="4">
        <v>0</v>
      </c>
      <c r="BV325" s="4">
        <f t="shared" si="986"/>
        <v>3</v>
      </c>
      <c r="BW325" s="4">
        <f t="shared" si="987"/>
        <v>3</v>
      </c>
      <c r="BX325" s="4">
        <f t="shared" si="988"/>
        <v>0.71</v>
      </c>
      <c r="BY325" s="4">
        <f t="shared" si="989"/>
        <v>0.45000000000000007</v>
      </c>
      <c r="BZ325" s="5" t="s">
        <v>571</v>
      </c>
      <c r="CA325" s="5" t="s">
        <v>571</v>
      </c>
      <c r="CB325" s="5" t="s">
        <v>571</v>
      </c>
      <c r="CC325" s="5">
        <v>0</v>
      </c>
      <c r="CD325" s="5">
        <v>2</v>
      </c>
      <c r="CE325" s="5">
        <v>0</v>
      </c>
      <c r="CF325" s="5">
        <v>0</v>
      </c>
      <c r="CG325" s="5" t="s">
        <v>574</v>
      </c>
      <c r="CH325" s="5">
        <v>0</v>
      </c>
      <c r="CI325" s="5">
        <v>121</v>
      </c>
      <c r="CJ325" s="1">
        <f t="shared" si="993"/>
        <v>0</v>
      </c>
      <c r="CK325" s="20">
        <v>0</v>
      </c>
      <c r="CL325" s="5">
        <v>0</v>
      </c>
      <c r="CM325" s="20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20">
        <v>0.5</v>
      </c>
      <c r="CW325" s="20">
        <v>1</v>
      </c>
      <c r="CX325" s="20">
        <v>1</v>
      </c>
      <c r="CY325" s="20">
        <v>1</v>
      </c>
      <c r="CZ325" s="8">
        <v>1</v>
      </c>
      <c r="DA325" s="6">
        <f t="shared" si="994"/>
        <v>75</v>
      </c>
      <c r="DB325" s="5">
        <v>0</v>
      </c>
      <c r="DC325" s="5">
        <f t="shared" si="999"/>
        <v>0.13750000000000001</v>
      </c>
      <c r="DD325" s="6">
        <f t="shared" si="995"/>
        <v>0.13750000000000001</v>
      </c>
      <c r="DE325" s="6">
        <v>0.25</v>
      </c>
      <c r="DF325" s="5">
        <v>1</v>
      </c>
      <c r="DG325" s="6">
        <v>2.5</v>
      </c>
      <c r="DH325" s="5"/>
      <c r="DI325" s="5">
        <v>3</v>
      </c>
      <c r="DJ325" s="5">
        <f t="shared" si="984"/>
        <v>37.5</v>
      </c>
      <c r="DK325" s="8">
        <v>0</v>
      </c>
      <c r="DL325" s="5">
        <f t="shared" si="996"/>
        <v>0</v>
      </c>
      <c r="DM325" s="5" t="str">
        <f t="shared" si="920"/>
        <v>3级钻地虫</v>
      </c>
      <c r="DN325" s="5">
        <v>6</v>
      </c>
      <c r="DO325" s="5">
        <v>0</v>
      </c>
      <c r="DP325" s="5">
        <v>0</v>
      </c>
      <c r="DQ325" s="5">
        <v>0</v>
      </c>
      <c r="DR325" s="5">
        <f t="shared" si="990"/>
        <v>3.6</v>
      </c>
      <c r="DS325" s="6">
        <v>4</v>
      </c>
      <c r="DT325" s="5">
        <v>-1</v>
      </c>
      <c r="DU325" s="5">
        <v>1</v>
      </c>
      <c r="DV325" s="6">
        <v>0.35</v>
      </c>
      <c r="DW325" s="5">
        <f t="shared" si="991"/>
        <v>0.33333333333333331</v>
      </c>
      <c r="DX325" s="5">
        <v>4</v>
      </c>
      <c r="DY325" s="5">
        <v>0</v>
      </c>
      <c r="DZ325" s="5">
        <v>0</v>
      </c>
    </row>
    <row r="326" spans="1:130" x14ac:dyDescent="0.15">
      <c r="A326" s="5">
        <v>201324</v>
      </c>
      <c r="B326" s="5" t="s">
        <v>575</v>
      </c>
      <c r="C326" s="5"/>
      <c r="D326" s="5"/>
      <c r="E326" s="5"/>
      <c r="F326" s="5">
        <v>0</v>
      </c>
      <c r="G326" s="45"/>
      <c r="H326" s="5"/>
      <c r="I326" s="5"/>
      <c r="J326" s="5"/>
      <c r="K326" s="5"/>
      <c r="L326" s="10"/>
      <c r="M326" s="5"/>
      <c r="N326" s="10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20"/>
      <c r="AF326" s="5"/>
      <c r="AG326" s="5"/>
      <c r="AH326" s="5"/>
      <c r="AI326" s="5"/>
      <c r="AJ326" s="5"/>
      <c r="AK326" s="5"/>
      <c r="AL326" s="5"/>
      <c r="AM326" s="5"/>
      <c r="AN326" s="8"/>
      <c r="AO326" s="5">
        <v>0</v>
      </c>
      <c r="AP326" s="5" t="s">
        <v>575</v>
      </c>
      <c r="AQ326" s="5">
        <v>0</v>
      </c>
      <c r="AR326" s="8">
        <v>0</v>
      </c>
      <c r="AS326" s="6">
        <f t="shared" si="997"/>
        <v>0</v>
      </c>
      <c r="AT326" s="6">
        <f t="shared" si="998"/>
        <v>12</v>
      </c>
      <c r="AU326" s="5">
        <v>0.2</v>
      </c>
      <c r="AV326" s="5">
        <v>1</v>
      </c>
      <c r="AW326" s="5">
        <v>1</v>
      </c>
      <c r="AX326" s="5">
        <v>1</v>
      </c>
      <c r="AY326" s="5">
        <v>0</v>
      </c>
      <c r="AZ326" s="5">
        <v>42</v>
      </c>
      <c r="BA326" s="5">
        <v>203034</v>
      </c>
      <c r="BB326" s="5">
        <v>0</v>
      </c>
      <c r="BC326" s="5">
        <v>0</v>
      </c>
      <c r="BD326" s="5">
        <v>0</v>
      </c>
      <c r="BE326" s="5">
        <v>0</v>
      </c>
      <c r="BF326" s="23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f t="shared" si="917"/>
        <v>0</v>
      </c>
      <c r="BM326" s="5">
        <v>0</v>
      </c>
      <c r="BN326" s="5">
        <v>0</v>
      </c>
      <c r="BO326" s="5">
        <v>0</v>
      </c>
      <c r="BP326" s="5">
        <v>0</v>
      </c>
      <c r="BQ326" s="5"/>
      <c r="BR326" s="5"/>
      <c r="BS326" s="4">
        <v>0</v>
      </c>
      <c r="BT326" s="4">
        <f t="shared" si="985"/>
        <v>4</v>
      </c>
      <c r="BU326" s="4">
        <v>0</v>
      </c>
      <c r="BV326" s="4">
        <f t="shared" si="986"/>
        <v>4</v>
      </c>
      <c r="BW326" s="4">
        <f t="shared" si="987"/>
        <v>4</v>
      </c>
      <c r="BX326" s="4">
        <f t="shared" si="988"/>
        <v>0.6399999999999999</v>
      </c>
      <c r="BY326" s="4">
        <f t="shared" si="989"/>
        <v>0.4</v>
      </c>
      <c r="BZ326" s="5" t="s">
        <v>573</v>
      </c>
      <c r="CA326" s="5" t="s">
        <v>573</v>
      </c>
      <c r="CB326" s="5" t="s">
        <v>573</v>
      </c>
      <c r="CC326" s="5">
        <v>0</v>
      </c>
      <c r="CD326" s="5">
        <v>2</v>
      </c>
      <c r="CE326" s="5">
        <v>0</v>
      </c>
      <c r="CF326" s="5">
        <v>0</v>
      </c>
      <c r="CG326" s="5" t="s">
        <v>575</v>
      </c>
      <c r="CH326" s="5">
        <v>0</v>
      </c>
      <c r="CI326" s="5">
        <v>121</v>
      </c>
      <c r="CJ326" s="1">
        <f t="shared" si="993"/>
        <v>1</v>
      </c>
      <c r="CK326" s="20">
        <v>0</v>
      </c>
      <c r="CL326" s="5">
        <v>0</v>
      </c>
      <c r="CM326" s="20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20">
        <v>0.5</v>
      </c>
      <c r="CW326" s="20">
        <v>1</v>
      </c>
      <c r="CX326" s="20">
        <v>1</v>
      </c>
      <c r="CY326" s="20">
        <v>1</v>
      </c>
      <c r="CZ326" s="8">
        <v>1</v>
      </c>
      <c r="DA326" s="6">
        <f t="shared" si="994"/>
        <v>100</v>
      </c>
      <c r="DB326" s="5">
        <v>0</v>
      </c>
      <c r="DC326" s="5">
        <f t="shared" si="999"/>
        <v>0.14374999999999999</v>
      </c>
      <c r="DD326" s="6">
        <f t="shared" si="995"/>
        <v>0.14374999999999999</v>
      </c>
      <c r="DE326" s="6">
        <v>0.25</v>
      </c>
      <c r="DF326" s="5">
        <v>1</v>
      </c>
      <c r="DG326" s="6">
        <v>2.5</v>
      </c>
      <c r="DH326" s="5"/>
      <c r="DI326" s="5">
        <v>3</v>
      </c>
      <c r="DJ326" s="5">
        <f t="shared" si="984"/>
        <v>45</v>
      </c>
      <c r="DK326" s="8">
        <v>0</v>
      </c>
      <c r="DL326" s="5">
        <f t="shared" si="996"/>
        <v>0</v>
      </c>
      <c r="DM326" s="5" t="str">
        <f t="shared" si="920"/>
        <v>4级钻地虫</v>
      </c>
      <c r="DN326" s="5">
        <v>6</v>
      </c>
      <c r="DO326" s="5">
        <v>0</v>
      </c>
      <c r="DP326" s="5">
        <v>0</v>
      </c>
      <c r="DQ326" s="5">
        <v>0</v>
      </c>
      <c r="DR326" s="5">
        <f t="shared" si="990"/>
        <v>3.6</v>
      </c>
      <c r="DS326" s="6">
        <v>4</v>
      </c>
      <c r="DT326" s="5">
        <v>-1</v>
      </c>
      <c r="DU326" s="5">
        <v>1</v>
      </c>
      <c r="DV326" s="6">
        <v>0.35</v>
      </c>
      <c r="DW326" s="5">
        <f t="shared" si="991"/>
        <v>0.33333333333333331</v>
      </c>
      <c r="DX326" s="5">
        <v>4</v>
      </c>
      <c r="DY326" s="5">
        <v>0</v>
      </c>
      <c r="DZ326" s="5">
        <v>0</v>
      </c>
    </row>
    <row r="327" spans="1:130" x14ac:dyDescent="0.15">
      <c r="A327" s="5">
        <v>201325</v>
      </c>
      <c r="B327" s="5" t="s">
        <v>576</v>
      </c>
      <c r="C327" s="5"/>
      <c r="D327" s="5"/>
      <c r="E327" s="5"/>
      <c r="F327" s="5">
        <v>0</v>
      </c>
      <c r="G327" s="45"/>
      <c r="H327" s="5"/>
      <c r="I327" s="5"/>
      <c r="J327" s="5"/>
      <c r="K327" s="5"/>
      <c r="L327" s="10"/>
      <c r="M327" s="5"/>
      <c r="N327" s="10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20"/>
      <c r="AF327" s="5"/>
      <c r="AG327" s="5"/>
      <c r="AH327" s="5"/>
      <c r="AI327" s="5"/>
      <c r="AJ327" s="5"/>
      <c r="AK327" s="5"/>
      <c r="AL327" s="5"/>
      <c r="AM327" s="5"/>
      <c r="AN327" s="8"/>
      <c r="AO327" s="5">
        <v>0</v>
      </c>
      <c r="AP327" s="5" t="s">
        <v>576</v>
      </c>
      <c r="AQ327" s="5">
        <v>0</v>
      </c>
      <c r="AR327" s="8">
        <v>0</v>
      </c>
      <c r="AS327" s="6">
        <f t="shared" si="997"/>
        <v>0</v>
      </c>
      <c r="AT327" s="6">
        <f t="shared" si="998"/>
        <v>15</v>
      </c>
      <c r="AU327" s="5">
        <v>0.2</v>
      </c>
      <c r="AV327" s="5">
        <v>1</v>
      </c>
      <c r="AW327" s="5">
        <v>1</v>
      </c>
      <c r="AX327" s="5">
        <v>1</v>
      </c>
      <c r="AY327" s="5">
        <v>0</v>
      </c>
      <c r="AZ327" s="5">
        <v>52</v>
      </c>
      <c r="BA327" s="5">
        <v>203034</v>
      </c>
      <c r="BB327" s="5">
        <v>0</v>
      </c>
      <c r="BC327" s="5">
        <v>0</v>
      </c>
      <c r="BD327" s="5">
        <v>0</v>
      </c>
      <c r="BE327" s="5">
        <v>0</v>
      </c>
      <c r="BF327" s="23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f t="shared" si="917"/>
        <v>1</v>
      </c>
      <c r="BM327" s="5">
        <v>0</v>
      </c>
      <c r="BN327" s="5">
        <v>0</v>
      </c>
      <c r="BO327" s="5">
        <v>0</v>
      </c>
      <c r="BP327" s="5">
        <v>0</v>
      </c>
      <c r="BQ327" s="5"/>
      <c r="BR327" s="5"/>
      <c r="BS327" s="4">
        <v>0</v>
      </c>
      <c r="BT327" s="4">
        <f t="shared" si="985"/>
        <v>5</v>
      </c>
      <c r="BU327" s="4">
        <v>0</v>
      </c>
      <c r="BV327" s="4">
        <f t="shared" si="986"/>
        <v>5</v>
      </c>
      <c r="BW327" s="4">
        <f t="shared" si="987"/>
        <v>5</v>
      </c>
      <c r="BX327" s="4">
        <f t="shared" si="988"/>
        <v>0.56999999999999995</v>
      </c>
      <c r="BY327" s="4">
        <f t="shared" si="989"/>
        <v>0.35000000000000003</v>
      </c>
      <c r="BZ327" s="5" t="s">
        <v>571</v>
      </c>
      <c r="CA327" s="5" t="s">
        <v>571</v>
      </c>
      <c r="CB327" s="5" t="s">
        <v>571</v>
      </c>
      <c r="CC327" s="5">
        <v>0</v>
      </c>
      <c r="CD327" s="5">
        <v>2</v>
      </c>
      <c r="CE327" s="5">
        <v>0</v>
      </c>
      <c r="CF327" s="5">
        <v>0</v>
      </c>
      <c r="CG327" s="5" t="s">
        <v>576</v>
      </c>
      <c r="CH327" s="5">
        <v>0</v>
      </c>
      <c r="CI327" s="5">
        <v>121</v>
      </c>
      <c r="CJ327" s="1">
        <f t="shared" si="993"/>
        <v>0</v>
      </c>
      <c r="CK327" s="20">
        <v>0</v>
      </c>
      <c r="CL327" s="5">
        <v>0</v>
      </c>
      <c r="CM327" s="20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20">
        <v>0.5</v>
      </c>
      <c r="CW327" s="20">
        <v>1</v>
      </c>
      <c r="CX327" s="20">
        <v>1</v>
      </c>
      <c r="CY327" s="20">
        <v>1</v>
      </c>
      <c r="CZ327" s="8">
        <v>1</v>
      </c>
      <c r="DA327" s="6">
        <f t="shared" si="994"/>
        <v>125</v>
      </c>
      <c r="DB327" s="5">
        <v>0</v>
      </c>
      <c r="DC327" s="5">
        <f t="shared" si="999"/>
        <v>0.15</v>
      </c>
      <c r="DD327" s="6">
        <f t="shared" si="995"/>
        <v>0.15</v>
      </c>
      <c r="DE327" s="6">
        <v>0.25</v>
      </c>
      <c r="DF327" s="5">
        <v>1</v>
      </c>
      <c r="DG327" s="6">
        <v>2.5</v>
      </c>
      <c r="DH327" s="5"/>
      <c r="DI327" s="5">
        <v>3</v>
      </c>
      <c r="DJ327" s="5">
        <f t="shared" si="984"/>
        <v>52.5</v>
      </c>
      <c r="DK327" s="8">
        <v>0</v>
      </c>
      <c r="DL327" s="5">
        <f t="shared" si="996"/>
        <v>0</v>
      </c>
      <c r="DM327" s="5" t="str">
        <f t="shared" si="920"/>
        <v>5级钻地虫</v>
      </c>
      <c r="DN327" s="5">
        <v>6</v>
      </c>
      <c r="DO327" s="5">
        <v>0</v>
      </c>
      <c r="DP327" s="5">
        <v>0</v>
      </c>
      <c r="DQ327" s="5">
        <v>0</v>
      </c>
      <c r="DR327" s="5">
        <f t="shared" si="990"/>
        <v>3.6</v>
      </c>
      <c r="DS327" s="6">
        <v>4</v>
      </c>
      <c r="DT327" s="5">
        <v>-1</v>
      </c>
      <c r="DU327" s="5">
        <v>1</v>
      </c>
      <c r="DV327" s="6">
        <v>0.35</v>
      </c>
      <c r="DW327" s="5">
        <f t="shared" si="991"/>
        <v>0.33333333333333331</v>
      </c>
      <c r="DX327" s="5">
        <v>4</v>
      </c>
      <c r="DY327" s="5">
        <v>0</v>
      </c>
      <c r="DZ327" s="5">
        <v>0</v>
      </c>
    </row>
    <row r="328" spans="1:130" x14ac:dyDescent="0.15">
      <c r="A328" s="5">
        <v>201326</v>
      </c>
      <c r="B328" s="5" t="s">
        <v>577</v>
      </c>
      <c r="C328" s="5"/>
      <c r="D328" s="5"/>
      <c r="E328" s="5"/>
      <c r="F328" s="5">
        <v>0</v>
      </c>
      <c r="G328" s="45"/>
      <c r="H328" s="5"/>
      <c r="I328" s="5"/>
      <c r="J328" s="5"/>
      <c r="K328" s="5"/>
      <c r="L328" s="10"/>
      <c r="M328" s="5"/>
      <c r="N328" s="10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20"/>
      <c r="AF328" s="5"/>
      <c r="AG328" s="5"/>
      <c r="AH328" s="5"/>
      <c r="AI328" s="5"/>
      <c r="AJ328" s="5"/>
      <c r="AK328" s="5"/>
      <c r="AL328" s="5"/>
      <c r="AM328" s="5"/>
      <c r="AN328" s="8"/>
      <c r="AO328" s="5">
        <v>0</v>
      </c>
      <c r="AP328" s="5" t="s">
        <v>577</v>
      </c>
      <c r="AQ328" s="5">
        <v>0</v>
      </c>
      <c r="AR328" s="8">
        <v>0</v>
      </c>
      <c r="AS328" s="6">
        <f t="shared" si="997"/>
        <v>0</v>
      </c>
      <c r="AT328" s="6">
        <f t="shared" si="998"/>
        <v>18</v>
      </c>
      <c r="AU328" s="5">
        <v>0.2</v>
      </c>
      <c r="AV328" s="5">
        <v>1</v>
      </c>
      <c r="AW328" s="5">
        <v>1</v>
      </c>
      <c r="AX328" s="5">
        <v>1</v>
      </c>
      <c r="AY328" s="5">
        <v>0</v>
      </c>
      <c r="AZ328" s="5">
        <v>62</v>
      </c>
      <c r="BA328" s="5">
        <v>203034</v>
      </c>
      <c r="BB328" s="5">
        <v>0</v>
      </c>
      <c r="BC328" s="5">
        <v>0</v>
      </c>
      <c r="BD328" s="5">
        <v>0</v>
      </c>
      <c r="BE328" s="5">
        <v>0</v>
      </c>
      <c r="BF328" s="23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f t="shared" si="917"/>
        <v>1</v>
      </c>
      <c r="BM328" s="5">
        <v>0</v>
      </c>
      <c r="BN328" s="5">
        <v>0</v>
      </c>
      <c r="BO328" s="5">
        <v>0</v>
      </c>
      <c r="BP328" s="5">
        <v>0</v>
      </c>
      <c r="BQ328" s="5"/>
      <c r="BR328" s="5"/>
      <c r="BS328" s="4">
        <v>0</v>
      </c>
      <c r="BT328" s="4">
        <f t="shared" si="985"/>
        <v>6</v>
      </c>
      <c r="BU328" s="4">
        <v>0</v>
      </c>
      <c r="BV328" s="4">
        <f t="shared" si="986"/>
        <v>6</v>
      </c>
      <c r="BW328" s="4">
        <f t="shared" si="987"/>
        <v>6</v>
      </c>
      <c r="BX328" s="4">
        <f t="shared" si="988"/>
        <v>0.49999999999999994</v>
      </c>
      <c r="BY328" s="4">
        <f t="shared" si="989"/>
        <v>0.30000000000000004</v>
      </c>
      <c r="BZ328" s="5" t="s">
        <v>573</v>
      </c>
      <c r="CA328" s="5" t="s">
        <v>573</v>
      </c>
      <c r="CB328" s="5" t="s">
        <v>573</v>
      </c>
      <c r="CC328" s="5">
        <v>0</v>
      </c>
      <c r="CD328" s="5">
        <v>2</v>
      </c>
      <c r="CE328" s="5">
        <v>0</v>
      </c>
      <c r="CF328" s="5">
        <v>0</v>
      </c>
      <c r="CG328" s="5" t="s">
        <v>577</v>
      </c>
      <c r="CH328" s="5">
        <v>0</v>
      </c>
      <c r="CI328" s="5">
        <v>121</v>
      </c>
      <c r="CJ328" s="1">
        <f t="shared" si="993"/>
        <v>1</v>
      </c>
      <c r="CK328" s="20">
        <v>0</v>
      </c>
      <c r="CL328" s="5">
        <v>0</v>
      </c>
      <c r="CM328" s="20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20">
        <v>0.5</v>
      </c>
      <c r="CW328" s="20">
        <v>1</v>
      </c>
      <c r="CX328" s="20">
        <v>1</v>
      </c>
      <c r="CY328" s="20">
        <v>1</v>
      </c>
      <c r="CZ328" s="8">
        <v>1</v>
      </c>
      <c r="DA328" s="6">
        <f t="shared" si="994"/>
        <v>150</v>
      </c>
      <c r="DB328" s="5">
        <v>0</v>
      </c>
      <c r="DC328" s="5">
        <f t="shared" si="999"/>
        <v>0.15625</v>
      </c>
      <c r="DD328" s="6">
        <f t="shared" si="995"/>
        <v>0.15625</v>
      </c>
      <c r="DE328" s="6">
        <v>0.25</v>
      </c>
      <c r="DF328" s="5">
        <v>1</v>
      </c>
      <c r="DG328" s="6">
        <v>2.5</v>
      </c>
      <c r="DH328" s="5"/>
      <c r="DI328" s="5">
        <v>3</v>
      </c>
      <c r="DJ328" s="5">
        <f t="shared" si="984"/>
        <v>60</v>
      </c>
      <c r="DK328" s="8">
        <v>0</v>
      </c>
      <c r="DL328" s="5">
        <f t="shared" si="996"/>
        <v>0</v>
      </c>
      <c r="DM328" s="5" t="str">
        <f t="shared" si="920"/>
        <v>6级钻地虫</v>
      </c>
      <c r="DN328" s="5">
        <v>6</v>
      </c>
      <c r="DO328" s="5">
        <v>0</v>
      </c>
      <c r="DP328" s="5">
        <v>0</v>
      </c>
      <c r="DQ328" s="5">
        <v>0</v>
      </c>
      <c r="DR328" s="5">
        <f t="shared" si="990"/>
        <v>3.6</v>
      </c>
      <c r="DS328" s="6">
        <v>4</v>
      </c>
      <c r="DT328" s="5">
        <v>-1</v>
      </c>
      <c r="DU328" s="5">
        <v>1</v>
      </c>
      <c r="DV328" s="6">
        <v>0.35</v>
      </c>
      <c r="DW328" s="5">
        <f t="shared" si="991"/>
        <v>0.33333333333333331</v>
      </c>
      <c r="DX328" s="5">
        <v>4</v>
      </c>
      <c r="DY328" s="5">
        <v>0</v>
      </c>
      <c r="DZ328" s="5">
        <v>0</v>
      </c>
    </row>
    <row r="329" spans="1:130" x14ac:dyDescent="0.15">
      <c r="A329" s="5">
        <v>201327</v>
      </c>
      <c r="B329" s="5" t="s">
        <v>578</v>
      </c>
      <c r="C329" s="5"/>
      <c r="D329" s="5"/>
      <c r="E329" s="5"/>
      <c r="F329" s="5">
        <v>0</v>
      </c>
      <c r="G329" s="45"/>
      <c r="H329" s="5"/>
      <c r="I329" s="5"/>
      <c r="J329" s="5"/>
      <c r="K329" s="5"/>
      <c r="L329" s="10"/>
      <c r="M329" s="5"/>
      <c r="N329" s="10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20"/>
      <c r="AF329" s="5"/>
      <c r="AG329" s="5"/>
      <c r="AH329" s="5"/>
      <c r="AI329" s="5"/>
      <c r="AJ329" s="5"/>
      <c r="AK329" s="5"/>
      <c r="AL329" s="5"/>
      <c r="AM329" s="5"/>
      <c r="AN329" s="8"/>
      <c r="AO329" s="5">
        <v>0</v>
      </c>
      <c r="AP329" s="5" t="s">
        <v>578</v>
      </c>
      <c r="AQ329" s="5">
        <v>0</v>
      </c>
      <c r="AR329" s="8">
        <v>0</v>
      </c>
      <c r="AS329" s="6">
        <f t="shared" si="997"/>
        <v>0</v>
      </c>
      <c r="AT329" s="6">
        <f t="shared" si="998"/>
        <v>21</v>
      </c>
      <c r="AU329" s="5">
        <v>0.2</v>
      </c>
      <c r="AV329" s="5">
        <v>1</v>
      </c>
      <c r="AW329" s="5">
        <v>1</v>
      </c>
      <c r="AX329" s="5">
        <v>1</v>
      </c>
      <c r="AY329" s="5">
        <v>0</v>
      </c>
      <c r="AZ329" s="5">
        <v>72</v>
      </c>
      <c r="BA329" s="5">
        <v>203034</v>
      </c>
      <c r="BB329" s="5">
        <v>0</v>
      </c>
      <c r="BC329" s="5">
        <v>0</v>
      </c>
      <c r="BD329" s="5">
        <v>0</v>
      </c>
      <c r="BE329" s="5">
        <v>0</v>
      </c>
      <c r="BF329" s="23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f t="shared" si="917"/>
        <v>0</v>
      </c>
      <c r="BM329" s="5">
        <v>0</v>
      </c>
      <c r="BN329" s="5">
        <v>0</v>
      </c>
      <c r="BO329" s="5">
        <v>0</v>
      </c>
      <c r="BP329" s="5">
        <v>0</v>
      </c>
      <c r="BQ329" s="5"/>
      <c r="BR329" s="5"/>
      <c r="BS329" s="4">
        <v>0</v>
      </c>
      <c r="BT329" s="4">
        <f t="shared" si="985"/>
        <v>7</v>
      </c>
      <c r="BU329" s="4">
        <v>0</v>
      </c>
      <c r="BV329" s="4">
        <f t="shared" si="986"/>
        <v>7</v>
      </c>
      <c r="BW329" s="4">
        <f t="shared" si="987"/>
        <v>7</v>
      </c>
      <c r="BX329" s="4">
        <f t="shared" si="988"/>
        <v>0.42999999999999994</v>
      </c>
      <c r="BY329" s="4">
        <f t="shared" si="989"/>
        <v>0.25</v>
      </c>
      <c r="BZ329" s="5" t="s">
        <v>571</v>
      </c>
      <c r="CA329" s="5" t="s">
        <v>571</v>
      </c>
      <c r="CB329" s="5" t="s">
        <v>571</v>
      </c>
      <c r="CC329" s="5">
        <v>0</v>
      </c>
      <c r="CD329" s="5">
        <v>2</v>
      </c>
      <c r="CE329" s="5">
        <v>0</v>
      </c>
      <c r="CF329" s="5">
        <v>0</v>
      </c>
      <c r="CG329" s="5" t="s">
        <v>578</v>
      </c>
      <c r="CH329" s="5">
        <v>0</v>
      </c>
      <c r="CI329" s="5">
        <v>121</v>
      </c>
      <c r="CJ329" s="1">
        <f t="shared" si="993"/>
        <v>0</v>
      </c>
      <c r="CK329" s="20">
        <v>0</v>
      </c>
      <c r="CL329" s="5">
        <v>0</v>
      </c>
      <c r="CM329" s="20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20">
        <v>0.5</v>
      </c>
      <c r="CW329" s="20">
        <v>1</v>
      </c>
      <c r="CX329" s="20">
        <v>1</v>
      </c>
      <c r="CY329" s="20">
        <v>1</v>
      </c>
      <c r="CZ329" s="8">
        <v>1</v>
      </c>
      <c r="DA329" s="6">
        <f t="shared" si="994"/>
        <v>175</v>
      </c>
      <c r="DB329" s="5">
        <v>0</v>
      </c>
      <c r="DC329" s="5">
        <f t="shared" si="999"/>
        <v>0.16250000000000001</v>
      </c>
      <c r="DD329" s="6">
        <f t="shared" si="995"/>
        <v>0.16250000000000001</v>
      </c>
      <c r="DE329" s="6">
        <v>0.25</v>
      </c>
      <c r="DF329" s="5">
        <v>1</v>
      </c>
      <c r="DG329" s="6">
        <v>2.5</v>
      </c>
      <c r="DH329" s="5"/>
      <c r="DI329" s="5">
        <v>3</v>
      </c>
      <c r="DJ329" s="5">
        <f t="shared" si="984"/>
        <v>67.5</v>
      </c>
      <c r="DK329" s="8">
        <v>0</v>
      </c>
      <c r="DL329" s="5">
        <f t="shared" si="996"/>
        <v>0</v>
      </c>
      <c r="DM329" s="5" t="str">
        <f t="shared" si="920"/>
        <v>7级钻地虫</v>
      </c>
      <c r="DN329" s="5">
        <v>6</v>
      </c>
      <c r="DO329" s="5">
        <v>0</v>
      </c>
      <c r="DP329" s="5">
        <v>0</v>
      </c>
      <c r="DQ329" s="5">
        <v>0</v>
      </c>
      <c r="DR329" s="5">
        <f t="shared" si="990"/>
        <v>3.6</v>
      </c>
      <c r="DS329" s="6">
        <v>4</v>
      </c>
      <c r="DT329" s="5">
        <v>-1</v>
      </c>
      <c r="DU329" s="5">
        <v>1</v>
      </c>
      <c r="DV329" s="6">
        <v>0.35</v>
      </c>
      <c r="DW329" s="5">
        <f t="shared" si="991"/>
        <v>0.33333333333333331</v>
      </c>
      <c r="DX329" s="5">
        <v>4</v>
      </c>
      <c r="DY329" s="5">
        <v>0</v>
      </c>
      <c r="DZ329" s="5">
        <v>0</v>
      </c>
    </row>
    <row r="330" spans="1:130" x14ac:dyDescent="0.15">
      <c r="A330" s="5">
        <v>201328</v>
      </c>
      <c r="B330" s="5" t="s">
        <v>579</v>
      </c>
      <c r="C330" s="5"/>
      <c r="D330" s="5"/>
      <c r="E330" s="5"/>
      <c r="F330" s="5">
        <v>0</v>
      </c>
      <c r="G330" s="45"/>
      <c r="H330" s="5"/>
      <c r="I330" s="5"/>
      <c r="J330" s="5"/>
      <c r="K330" s="5"/>
      <c r="L330" s="10"/>
      <c r="M330" s="5"/>
      <c r="N330" s="10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20"/>
      <c r="AF330" s="5"/>
      <c r="AG330" s="5"/>
      <c r="AH330" s="5"/>
      <c r="AI330" s="5"/>
      <c r="AJ330" s="5"/>
      <c r="AK330" s="5"/>
      <c r="AL330" s="5"/>
      <c r="AM330" s="5"/>
      <c r="AN330" s="8"/>
      <c r="AO330" s="5">
        <v>0</v>
      </c>
      <c r="AP330" s="5" t="s">
        <v>579</v>
      </c>
      <c r="AQ330" s="5">
        <v>0</v>
      </c>
      <c r="AR330" s="8">
        <v>0</v>
      </c>
      <c r="AS330" s="6">
        <f t="shared" si="997"/>
        <v>0</v>
      </c>
      <c r="AT330" s="6">
        <f t="shared" si="998"/>
        <v>24</v>
      </c>
      <c r="AU330" s="5">
        <v>0.2</v>
      </c>
      <c r="AV330" s="5">
        <v>1</v>
      </c>
      <c r="AW330" s="5">
        <v>1</v>
      </c>
      <c r="AX330" s="5">
        <v>1</v>
      </c>
      <c r="AY330" s="5">
        <v>0</v>
      </c>
      <c r="AZ330" s="5">
        <v>82</v>
      </c>
      <c r="BA330" s="5">
        <v>203034</v>
      </c>
      <c r="BB330" s="5">
        <v>0</v>
      </c>
      <c r="BC330" s="5">
        <v>0</v>
      </c>
      <c r="BD330" s="5">
        <v>0</v>
      </c>
      <c r="BE330" s="5">
        <v>0</v>
      </c>
      <c r="BF330" s="23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f t="shared" si="917"/>
        <v>0</v>
      </c>
      <c r="BM330" s="5">
        <v>0</v>
      </c>
      <c r="BN330" s="5">
        <v>0</v>
      </c>
      <c r="BO330" s="5">
        <v>0</v>
      </c>
      <c r="BP330" s="5">
        <v>0</v>
      </c>
      <c r="BQ330" s="5"/>
      <c r="BR330" s="5"/>
      <c r="BS330" s="4">
        <v>0</v>
      </c>
      <c r="BT330" s="4">
        <f t="shared" si="985"/>
        <v>8</v>
      </c>
      <c r="BU330" s="4">
        <v>0</v>
      </c>
      <c r="BV330" s="4">
        <f t="shared" si="986"/>
        <v>8</v>
      </c>
      <c r="BW330" s="4">
        <f t="shared" si="987"/>
        <v>8</v>
      </c>
      <c r="BX330" s="4">
        <f t="shared" si="988"/>
        <v>0.35999999999999993</v>
      </c>
      <c r="BY330" s="4">
        <f t="shared" si="989"/>
        <v>0.2</v>
      </c>
      <c r="BZ330" s="5" t="s">
        <v>573</v>
      </c>
      <c r="CA330" s="5" t="s">
        <v>573</v>
      </c>
      <c r="CB330" s="5" t="s">
        <v>573</v>
      </c>
      <c r="CC330" s="5">
        <v>0</v>
      </c>
      <c r="CD330" s="5">
        <v>2</v>
      </c>
      <c r="CE330" s="5">
        <v>0</v>
      </c>
      <c r="CF330" s="5">
        <v>0</v>
      </c>
      <c r="CG330" s="5" t="s">
        <v>579</v>
      </c>
      <c r="CH330" s="5">
        <v>0</v>
      </c>
      <c r="CI330" s="5">
        <v>121</v>
      </c>
      <c r="CJ330" s="1">
        <f t="shared" si="993"/>
        <v>1</v>
      </c>
      <c r="CK330" s="20">
        <v>0</v>
      </c>
      <c r="CL330" s="5">
        <v>0</v>
      </c>
      <c r="CM330" s="20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20">
        <v>0.5</v>
      </c>
      <c r="CW330" s="20">
        <v>1</v>
      </c>
      <c r="CX330" s="20">
        <v>1</v>
      </c>
      <c r="CY330" s="20">
        <v>1</v>
      </c>
      <c r="CZ330" s="8">
        <v>1</v>
      </c>
      <c r="DA330" s="6">
        <f t="shared" si="994"/>
        <v>200</v>
      </c>
      <c r="DB330" s="5">
        <v>0</v>
      </c>
      <c r="DC330" s="5">
        <f t="shared" si="999"/>
        <v>0.16875000000000001</v>
      </c>
      <c r="DD330" s="6">
        <f t="shared" si="995"/>
        <v>0.16875000000000001</v>
      </c>
      <c r="DE330" s="6">
        <v>0.25</v>
      </c>
      <c r="DF330" s="5">
        <v>1</v>
      </c>
      <c r="DG330" s="6">
        <v>2.5</v>
      </c>
      <c r="DH330" s="5"/>
      <c r="DI330" s="5">
        <v>3</v>
      </c>
      <c r="DJ330" s="5">
        <f t="shared" si="984"/>
        <v>75</v>
      </c>
      <c r="DK330" s="8">
        <v>0</v>
      </c>
      <c r="DL330" s="5">
        <f t="shared" si="996"/>
        <v>0</v>
      </c>
      <c r="DM330" s="5" t="str">
        <f t="shared" si="920"/>
        <v>8级钻地虫</v>
      </c>
      <c r="DN330" s="5">
        <v>6</v>
      </c>
      <c r="DO330" s="5">
        <v>0</v>
      </c>
      <c r="DP330" s="5">
        <v>0</v>
      </c>
      <c r="DQ330" s="5">
        <v>0</v>
      </c>
      <c r="DR330" s="5">
        <f t="shared" si="990"/>
        <v>3.6</v>
      </c>
      <c r="DS330" s="6">
        <v>4</v>
      </c>
      <c r="DT330" s="5">
        <v>-1</v>
      </c>
      <c r="DU330" s="5">
        <v>1</v>
      </c>
      <c r="DV330" s="6">
        <v>0.35</v>
      </c>
      <c r="DW330" s="5">
        <f t="shared" si="991"/>
        <v>0.33333333333333331</v>
      </c>
      <c r="DX330" s="5">
        <v>4</v>
      </c>
      <c r="DY330" s="5">
        <v>0</v>
      </c>
      <c r="DZ330" s="5">
        <v>0</v>
      </c>
    </row>
    <row r="331" spans="1:130" x14ac:dyDescent="0.15">
      <c r="A331" s="5">
        <v>201329</v>
      </c>
      <c r="B331" s="5" t="s">
        <v>580</v>
      </c>
      <c r="C331" s="5"/>
      <c r="D331" s="5"/>
      <c r="E331" s="5"/>
      <c r="F331" s="5">
        <v>0</v>
      </c>
      <c r="G331" s="45"/>
      <c r="H331" s="5"/>
      <c r="I331" s="5"/>
      <c r="J331" s="5"/>
      <c r="K331" s="5"/>
      <c r="L331" s="10"/>
      <c r="M331" s="5"/>
      <c r="N331" s="10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20"/>
      <c r="AF331" s="5"/>
      <c r="AG331" s="5"/>
      <c r="AH331" s="5"/>
      <c r="AI331" s="5"/>
      <c r="AJ331" s="5"/>
      <c r="AK331" s="5"/>
      <c r="AL331" s="5"/>
      <c r="AM331" s="5"/>
      <c r="AN331" s="8"/>
      <c r="AO331" s="5">
        <v>0</v>
      </c>
      <c r="AP331" s="5" t="s">
        <v>580</v>
      </c>
      <c r="AQ331" s="5">
        <v>0</v>
      </c>
      <c r="AR331" s="8">
        <v>0</v>
      </c>
      <c r="AS331" s="6">
        <f t="shared" si="997"/>
        <v>0</v>
      </c>
      <c r="AT331" s="6">
        <f t="shared" si="998"/>
        <v>27</v>
      </c>
      <c r="AU331" s="5">
        <v>0.2</v>
      </c>
      <c r="AV331" s="5">
        <v>1</v>
      </c>
      <c r="AW331" s="5">
        <v>1</v>
      </c>
      <c r="AX331" s="5">
        <v>1</v>
      </c>
      <c r="AY331" s="5">
        <v>0</v>
      </c>
      <c r="AZ331" s="5">
        <v>92</v>
      </c>
      <c r="BA331" s="5">
        <v>203034</v>
      </c>
      <c r="BB331" s="5">
        <v>0</v>
      </c>
      <c r="BC331" s="5">
        <v>0</v>
      </c>
      <c r="BD331" s="5">
        <v>0</v>
      </c>
      <c r="BE331" s="5">
        <v>0</v>
      </c>
      <c r="BF331" s="23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f t="shared" si="917"/>
        <v>0</v>
      </c>
      <c r="BM331" s="5">
        <v>0</v>
      </c>
      <c r="BN331" s="5">
        <v>0</v>
      </c>
      <c r="BO331" s="5">
        <v>0</v>
      </c>
      <c r="BP331" s="5">
        <v>0</v>
      </c>
      <c r="BQ331" s="5"/>
      <c r="BR331" s="5"/>
      <c r="BS331" s="4">
        <v>0</v>
      </c>
      <c r="BT331" s="4">
        <f t="shared" si="985"/>
        <v>9</v>
      </c>
      <c r="BU331" s="4">
        <v>0</v>
      </c>
      <c r="BV331" s="4">
        <f t="shared" si="986"/>
        <v>9</v>
      </c>
      <c r="BW331" s="4">
        <f t="shared" si="987"/>
        <v>9</v>
      </c>
      <c r="BX331" s="4">
        <f t="shared" si="988"/>
        <v>0.28999999999999992</v>
      </c>
      <c r="BY331" s="4">
        <f t="shared" si="989"/>
        <v>0.15000000000000002</v>
      </c>
      <c r="BZ331" s="5" t="s">
        <v>571</v>
      </c>
      <c r="CA331" s="5" t="s">
        <v>571</v>
      </c>
      <c r="CB331" s="5" t="s">
        <v>571</v>
      </c>
      <c r="CC331" s="5">
        <v>0</v>
      </c>
      <c r="CD331" s="5">
        <v>2</v>
      </c>
      <c r="CE331" s="5">
        <v>0</v>
      </c>
      <c r="CF331" s="5">
        <v>0</v>
      </c>
      <c r="CG331" s="5" t="s">
        <v>580</v>
      </c>
      <c r="CH331" s="5">
        <v>0</v>
      </c>
      <c r="CI331" s="5">
        <v>121</v>
      </c>
      <c r="CJ331" s="1">
        <f t="shared" si="993"/>
        <v>0</v>
      </c>
      <c r="CK331" s="20">
        <v>0</v>
      </c>
      <c r="CL331" s="5">
        <v>0</v>
      </c>
      <c r="CM331" s="20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20">
        <v>0.5</v>
      </c>
      <c r="CW331" s="20">
        <v>1</v>
      </c>
      <c r="CX331" s="20">
        <v>1</v>
      </c>
      <c r="CY331" s="20">
        <v>1</v>
      </c>
      <c r="CZ331" s="8">
        <v>1</v>
      </c>
      <c r="DA331" s="6">
        <f t="shared" si="994"/>
        <v>225</v>
      </c>
      <c r="DB331" s="5">
        <v>0</v>
      </c>
      <c r="DC331" s="5">
        <f t="shared" si="999"/>
        <v>0.17499999999999999</v>
      </c>
      <c r="DD331" s="6">
        <f t="shared" si="995"/>
        <v>0.17499999999999999</v>
      </c>
      <c r="DE331" s="6">
        <v>0.25</v>
      </c>
      <c r="DF331" s="5">
        <v>1</v>
      </c>
      <c r="DG331" s="6">
        <v>2.5</v>
      </c>
      <c r="DH331" s="5"/>
      <c r="DI331" s="5">
        <v>3</v>
      </c>
      <c r="DJ331" s="5">
        <f t="shared" si="984"/>
        <v>82.5</v>
      </c>
      <c r="DK331" s="8">
        <v>0</v>
      </c>
      <c r="DL331" s="5">
        <f t="shared" si="996"/>
        <v>0</v>
      </c>
      <c r="DM331" s="5" t="str">
        <f t="shared" si="920"/>
        <v>9级钻地虫</v>
      </c>
      <c r="DN331" s="5">
        <v>6</v>
      </c>
      <c r="DO331" s="5">
        <v>0</v>
      </c>
      <c r="DP331" s="5">
        <v>0</v>
      </c>
      <c r="DQ331" s="5">
        <v>0</v>
      </c>
      <c r="DR331" s="5">
        <f t="shared" si="990"/>
        <v>3.6</v>
      </c>
      <c r="DS331" s="6">
        <v>4</v>
      </c>
      <c r="DT331" s="5">
        <v>-1</v>
      </c>
      <c r="DU331" s="5">
        <v>1</v>
      </c>
      <c r="DV331" s="6">
        <v>0.35</v>
      </c>
      <c r="DW331" s="5">
        <f t="shared" si="991"/>
        <v>0.33333333333333331</v>
      </c>
      <c r="DX331" s="5">
        <v>4</v>
      </c>
      <c r="DY331" s="5">
        <v>0</v>
      </c>
      <c r="DZ331" s="5">
        <v>0</v>
      </c>
    </row>
    <row r="332" spans="1:130" x14ac:dyDescent="0.15">
      <c r="A332" s="5">
        <v>201330</v>
      </c>
      <c r="B332" s="5" t="s">
        <v>581</v>
      </c>
      <c r="C332" s="5"/>
      <c r="D332" s="5"/>
      <c r="E332" s="5"/>
      <c r="F332" s="5">
        <v>0</v>
      </c>
      <c r="G332" s="45"/>
      <c r="H332" s="5"/>
      <c r="I332" s="5"/>
      <c r="J332" s="5"/>
      <c r="K332" s="5"/>
      <c r="L332" s="10"/>
      <c r="M332" s="5"/>
      <c r="N332" s="10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20"/>
      <c r="AF332" s="5"/>
      <c r="AG332" s="5"/>
      <c r="AH332" s="5"/>
      <c r="AI332" s="5"/>
      <c r="AJ332" s="5"/>
      <c r="AK332" s="5"/>
      <c r="AL332" s="5"/>
      <c r="AM332" s="5"/>
      <c r="AN332" s="8"/>
      <c r="AO332" s="5">
        <v>0</v>
      </c>
      <c r="AP332" s="5" t="s">
        <v>581</v>
      </c>
      <c r="AQ332" s="5">
        <v>0</v>
      </c>
      <c r="AR332" s="8">
        <v>0</v>
      </c>
      <c r="AS332" s="6">
        <f t="shared" si="997"/>
        <v>0</v>
      </c>
      <c r="AT332" s="6">
        <f t="shared" si="998"/>
        <v>30</v>
      </c>
      <c r="AU332" s="5">
        <v>0.2</v>
      </c>
      <c r="AV332" s="5">
        <v>1</v>
      </c>
      <c r="AW332" s="5">
        <v>1</v>
      </c>
      <c r="AX332" s="5">
        <v>1</v>
      </c>
      <c r="AY332" s="5">
        <v>0</v>
      </c>
      <c r="AZ332" s="5">
        <v>102</v>
      </c>
      <c r="BA332" s="5">
        <v>203034</v>
      </c>
      <c r="BB332" s="5">
        <v>0</v>
      </c>
      <c r="BC332" s="5">
        <v>0</v>
      </c>
      <c r="BD332" s="5">
        <v>0</v>
      </c>
      <c r="BE332" s="5">
        <v>0</v>
      </c>
      <c r="BF332" s="23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f t="shared" si="917"/>
        <v>0</v>
      </c>
      <c r="BM332" s="5">
        <v>0</v>
      </c>
      <c r="BN332" s="5">
        <v>0</v>
      </c>
      <c r="BO332" s="5">
        <v>0</v>
      </c>
      <c r="BP332" s="5">
        <v>0</v>
      </c>
      <c r="BQ332" s="5"/>
      <c r="BR332" s="5"/>
      <c r="BS332" s="4">
        <v>0</v>
      </c>
      <c r="BT332" s="4">
        <f t="shared" si="985"/>
        <v>10</v>
      </c>
      <c r="BU332" s="4">
        <v>0</v>
      </c>
      <c r="BV332" s="4">
        <f t="shared" si="986"/>
        <v>10</v>
      </c>
      <c r="BW332" s="4">
        <f t="shared" si="987"/>
        <v>10</v>
      </c>
      <c r="BX332" s="4">
        <f t="shared" si="988"/>
        <v>0.21999999999999986</v>
      </c>
      <c r="BY332" s="4">
        <f t="shared" si="989"/>
        <v>0.10000000000000003</v>
      </c>
      <c r="BZ332" s="5" t="s">
        <v>573</v>
      </c>
      <c r="CA332" s="5" t="s">
        <v>573</v>
      </c>
      <c r="CB332" s="5" t="s">
        <v>573</v>
      </c>
      <c r="CC332" s="5">
        <v>0</v>
      </c>
      <c r="CD332" s="5">
        <v>2</v>
      </c>
      <c r="CE332" s="5">
        <v>0</v>
      </c>
      <c r="CF332" s="5">
        <v>0</v>
      </c>
      <c r="CG332" s="5" t="s">
        <v>581</v>
      </c>
      <c r="CH332" s="5">
        <v>0</v>
      </c>
      <c r="CI332" s="5">
        <v>121</v>
      </c>
      <c r="CJ332" s="1">
        <f t="shared" si="993"/>
        <v>1</v>
      </c>
      <c r="CK332" s="20">
        <v>0</v>
      </c>
      <c r="CL332" s="5">
        <v>0</v>
      </c>
      <c r="CM332" s="20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20">
        <v>0.5</v>
      </c>
      <c r="CW332" s="20">
        <v>1</v>
      </c>
      <c r="CX332" s="20">
        <v>1</v>
      </c>
      <c r="CY332" s="20">
        <v>1</v>
      </c>
      <c r="CZ332" s="8">
        <v>1</v>
      </c>
      <c r="DA332" s="6">
        <f t="shared" si="994"/>
        <v>250</v>
      </c>
      <c r="DB332" s="5">
        <v>0</v>
      </c>
      <c r="DC332" s="5">
        <f t="shared" si="999"/>
        <v>0.18124999999999999</v>
      </c>
      <c r="DD332" s="6">
        <f t="shared" si="995"/>
        <v>0.18124999999999999</v>
      </c>
      <c r="DE332" s="6">
        <v>0.25</v>
      </c>
      <c r="DF332" s="5">
        <v>1</v>
      </c>
      <c r="DG332" s="6">
        <v>2.5</v>
      </c>
      <c r="DH332" s="5"/>
      <c r="DI332" s="5">
        <v>3</v>
      </c>
      <c r="DJ332" s="5">
        <f t="shared" si="984"/>
        <v>90</v>
      </c>
      <c r="DK332" s="8">
        <v>0</v>
      </c>
      <c r="DL332" s="5">
        <f t="shared" si="996"/>
        <v>0</v>
      </c>
      <c r="DM332" s="5" t="str">
        <f t="shared" si="920"/>
        <v>10级钻地虫</v>
      </c>
      <c r="DN332" s="5">
        <v>6</v>
      </c>
      <c r="DO332" s="5">
        <v>0</v>
      </c>
      <c r="DP332" s="5">
        <v>0</v>
      </c>
      <c r="DQ332" s="5">
        <v>0</v>
      </c>
      <c r="DR332" s="5">
        <f t="shared" si="990"/>
        <v>3.6</v>
      </c>
      <c r="DS332" s="6">
        <v>4</v>
      </c>
      <c r="DT332" s="5">
        <v>-1</v>
      </c>
      <c r="DU332" s="5">
        <v>1</v>
      </c>
      <c r="DV332" s="6">
        <v>0.35</v>
      </c>
      <c r="DW332" s="5">
        <f t="shared" si="991"/>
        <v>0.33333333333333331</v>
      </c>
      <c r="DX332" s="5">
        <v>4</v>
      </c>
      <c r="DY332" s="5">
        <v>0</v>
      </c>
      <c r="DZ332" s="5">
        <v>0</v>
      </c>
    </row>
    <row r="333" spans="1:130" x14ac:dyDescent="0.15">
      <c r="A333" s="5">
        <v>201331</v>
      </c>
      <c r="B333" s="5" t="s">
        <v>582</v>
      </c>
      <c r="C333" s="5"/>
      <c r="D333" s="5"/>
      <c r="E333" s="5"/>
      <c r="F333" s="5">
        <v>0</v>
      </c>
      <c r="G333" s="45"/>
      <c r="H333" s="5"/>
      <c r="I333" s="5"/>
      <c r="J333" s="5"/>
      <c r="K333" s="5"/>
      <c r="L333" s="10"/>
      <c r="M333" s="5"/>
      <c r="N333" s="10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20"/>
      <c r="AF333" s="5"/>
      <c r="AG333" s="5"/>
      <c r="AH333" s="5"/>
      <c r="AI333" s="5"/>
      <c r="AJ333" s="5"/>
      <c r="AK333" s="5"/>
      <c r="AL333" s="5"/>
      <c r="AM333" s="5"/>
      <c r="AN333" s="8"/>
      <c r="AO333" s="5">
        <v>0</v>
      </c>
      <c r="AP333" s="5" t="s">
        <v>582</v>
      </c>
      <c r="AQ333" s="5">
        <v>0</v>
      </c>
      <c r="AR333" s="8">
        <v>0</v>
      </c>
      <c r="AS333" s="6">
        <f t="shared" si="997"/>
        <v>0</v>
      </c>
      <c r="AT333" s="6">
        <f t="shared" si="998"/>
        <v>3</v>
      </c>
      <c r="AU333" s="5">
        <v>0</v>
      </c>
      <c r="AV333" s="5">
        <v>1</v>
      </c>
      <c r="AW333" s="5">
        <v>1</v>
      </c>
      <c r="AX333" s="5">
        <v>1</v>
      </c>
      <c r="AY333" s="5">
        <v>1</v>
      </c>
      <c r="AZ333" s="5">
        <v>11</v>
      </c>
      <c r="BA333" s="5">
        <v>203035</v>
      </c>
      <c r="BB333" s="5">
        <v>0</v>
      </c>
      <c r="BC333" s="5">
        <v>0</v>
      </c>
      <c r="BD333" s="5">
        <v>0</v>
      </c>
      <c r="BE333" s="5">
        <v>0</v>
      </c>
      <c r="BF333" s="23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f t="shared" si="917"/>
        <v>1</v>
      </c>
      <c r="BM333" s="5">
        <v>0</v>
      </c>
      <c r="BN333" s="5">
        <v>0</v>
      </c>
      <c r="BO333" s="5">
        <v>0</v>
      </c>
      <c r="BP333" s="5">
        <v>0</v>
      </c>
      <c r="BQ333" s="5"/>
      <c r="BR333" s="5"/>
      <c r="BS333" s="4">
        <v>0</v>
      </c>
      <c r="BT333" s="4">
        <f t="shared" si="985"/>
        <v>1</v>
      </c>
      <c r="BU333" s="4">
        <v>0</v>
      </c>
      <c r="BV333" s="4">
        <f t="shared" si="986"/>
        <v>1</v>
      </c>
      <c r="BW333" s="4">
        <f t="shared" si="987"/>
        <v>1</v>
      </c>
      <c r="BX333" s="4">
        <f t="shared" si="988"/>
        <v>0.85</v>
      </c>
      <c r="BY333" s="4">
        <f t="shared" si="989"/>
        <v>0.55000000000000004</v>
      </c>
      <c r="BZ333" s="5" t="s">
        <v>583</v>
      </c>
      <c r="CA333" s="5" t="s">
        <v>583</v>
      </c>
      <c r="CB333" s="5" t="s">
        <v>583</v>
      </c>
      <c r="CC333" s="5">
        <v>0</v>
      </c>
      <c r="CD333" s="5">
        <v>2</v>
      </c>
      <c r="CE333" s="5">
        <v>0</v>
      </c>
      <c r="CF333" s="5">
        <v>0</v>
      </c>
      <c r="CG333" s="5" t="s">
        <v>582</v>
      </c>
      <c r="CH333" s="5">
        <v>0</v>
      </c>
      <c r="CI333" s="5">
        <v>119</v>
      </c>
      <c r="CJ333" s="1">
        <f t="shared" si="993"/>
        <v>0</v>
      </c>
      <c r="CK333" s="20">
        <v>0</v>
      </c>
      <c r="CL333" s="5">
        <v>0</v>
      </c>
      <c r="CM333" s="20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20">
        <v>1.3</v>
      </c>
      <c r="CW333" s="20">
        <v>0.5</v>
      </c>
      <c r="CX333" s="20">
        <v>1.5</v>
      </c>
      <c r="CY333" s="20">
        <v>0.8</v>
      </c>
      <c r="CZ333" s="8">
        <v>1</v>
      </c>
      <c r="DA333" s="6">
        <f t="shared" si="994"/>
        <v>25</v>
      </c>
      <c r="DB333" s="5">
        <v>0</v>
      </c>
      <c r="DC333" s="5">
        <f t="shared" si="999"/>
        <v>0.125</v>
      </c>
      <c r="DD333" s="6">
        <f t="shared" si="995"/>
        <v>0.125</v>
      </c>
      <c r="DE333" s="6">
        <v>0.25</v>
      </c>
      <c r="DF333" s="5">
        <v>0</v>
      </c>
      <c r="DG333" s="6">
        <v>3</v>
      </c>
      <c r="DH333" s="5"/>
      <c r="DI333" s="5">
        <v>2</v>
      </c>
      <c r="DJ333" s="5">
        <f t="shared" si="984"/>
        <v>15</v>
      </c>
      <c r="DK333" s="8">
        <v>0</v>
      </c>
      <c r="DL333" s="5">
        <f t="shared" si="996"/>
        <v>0</v>
      </c>
      <c r="DM333" s="5" t="str">
        <f t="shared" si="920"/>
        <v>1级刺毛虫</v>
      </c>
      <c r="DN333" s="5">
        <v>6</v>
      </c>
      <c r="DO333" s="5">
        <v>0</v>
      </c>
      <c r="DP333" s="5">
        <v>0</v>
      </c>
      <c r="DQ333" s="5">
        <v>0</v>
      </c>
      <c r="DR333" s="5">
        <f t="shared" si="990"/>
        <v>2.7</v>
      </c>
      <c r="DS333" s="6">
        <v>3</v>
      </c>
      <c r="DT333" s="5">
        <v>-3</v>
      </c>
      <c r="DU333" s="5">
        <v>-0.5</v>
      </c>
      <c r="DV333" s="6">
        <v>0.35</v>
      </c>
      <c r="DW333" s="5">
        <f t="shared" si="991"/>
        <v>0.16666666666666666</v>
      </c>
      <c r="DX333" s="5">
        <v>2</v>
      </c>
      <c r="DY333" s="5">
        <v>0</v>
      </c>
      <c r="DZ333" s="5">
        <v>0</v>
      </c>
    </row>
    <row r="334" spans="1:130" x14ac:dyDescent="0.15">
      <c r="A334" s="5">
        <v>201332</v>
      </c>
      <c r="B334" s="5" t="s">
        <v>584</v>
      </c>
      <c r="C334" s="5"/>
      <c r="D334" s="5"/>
      <c r="E334" s="5"/>
      <c r="F334" s="5">
        <v>0</v>
      </c>
      <c r="G334" s="45"/>
      <c r="H334" s="5"/>
      <c r="I334" s="5"/>
      <c r="J334" s="5"/>
      <c r="K334" s="5"/>
      <c r="L334" s="10"/>
      <c r="M334" s="5"/>
      <c r="N334" s="10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20"/>
      <c r="AF334" s="5"/>
      <c r="AG334" s="5"/>
      <c r="AH334" s="5"/>
      <c r="AI334" s="5"/>
      <c r="AJ334" s="5"/>
      <c r="AK334" s="5"/>
      <c r="AL334" s="5"/>
      <c r="AM334" s="5"/>
      <c r="AN334" s="8"/>
      <c r="AO334" s="5">
        <v>0</v>
      </c>
      <c r="AP334" s="5" t="s">
        <v>584</v>
      </c>
      <c r="AQ334" s="5">
        <v>0</v>
      </c>
      <c r="AR334" s="8">
        <v>0</v>
      </c>
      <c r="AS334" s="6">
        <f t="shared" si="997"/>
        <v>0</v>
      </c>
      <c r="AT334" s="6">
        <f t="shared" si="998"/>
        <v>6</v>
      </c>
      <c r="AU334" s="5">
        <v>0</v>
      </c>
      <c r="AV334" s="5">
        <v>1</v>
      </c>
      <c r="AW334" s="5">
        <v>1</v>
      </c>
      <c r="AX334" s="5">
        <v>1</v>
      </c>
      <c r="AY334" s="5">
        <v>1</v>
      </c>
      <c r="AZ334" s="5">
        <v>21</v>
      </c>
      <c r="BA334" s="5">
        <v>203035</v>
      </c>
      <c r="BB334" s="5">
        <v>0</v>
      </c>
      <c r="BC334" s="5">
        <v>0</v>
      </c>
      <c r="BD334" s="5">
        <v>0</v>
      </c>
      <c r="BE334" s="5">
        <v>0</v>
      </c>
      <c r="BF334" s="23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f t="shared" si="917"/>
        <v>0</v>
      </c>
      <c r="BM334" s="5">
        <v>0</v>
      </c>
      <c r="BN334" s="5">
        <v>0</v>
      </c>
      <c r="BO334" s="5">
        <v>0</v>
      </c>
      <c r="BP334" s="5">
        <v>0</v>
      </c>
      <c r="BQ334" s="5"/>
      <c r="BR334" s="5"/>
      <c r="BS334" s="4">
        <v>0</v>
      </c>
      <c r="BT334" s="4">
        <f t="shared" si="985"/>
        <v>2</v>
      </c>
      <c r="BU334" s="4">
        <v>0</v>
      </c>
      <c r="BV334" s="4">
        <f t="shared" si="986"/>
        <v>2</v>
      </c>
      <c r="BW334" s="4">
        <f t="shared" si="987"/>
        <v>2</v>
      </c>
      <c r="BX334" s="4">
        <f t="shared" si="988"/>
        <v>0.78</v>
      </c>
      <c r="BY334" s="4">
        <f t="shared" si="989"/>
        <v>0.5</v>
      </c>
      <c r="BZ334" s="5" t="s">
        <v>585</v>
      </c>
      <c r="CA334" s="5" t="s">
        <v>585</v>
      </c>
      <c r="CB334" s="5" t="s">
        <v>585</v>
      </c>
      <c r="CC334" s="5">
        <v>0</v>
      </c>
      <c r="CD334" s="5">
        <v>2</v>
      </c>
      <c r="CE334" s="5">
        <v>0</v>
      </c>
      <c r="CF334" s="5">
        <v>0</v>
      </c>
      <c r="CG334" s="5" t="s">
        <v>584</v>
      </c>
      <c r="CH334" s="5">
        <v>0</v>
      </c>
      <c r="CI334" s="5">
        <v>120</v>
      </c>
      <c r="CJ334" s="1">
        <f t="shared" si="993"/>
        <v>1</v>
      </c>
      <c r="CK334" s="20">
        <v>0</v>
      </c>
      <c r="CL334" s="5">
        <v>0</v>
      </c>
      <c r="CM334" s="20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20">
        <v>1.3</v>
      </c>
      <c r="CW334" s="20">
        <v>0.5</v>
      </c>
      <c r="CX334" s="20">
        <v>1.5</v>
      </c>
      <c r="CY334" s="20">
        <v>0.8</v>
      </c>
      <c r="CZ334" s="8">
        <v>1</v>
      </c>
      <c r="DA334" s="6">
        <f t="shared" si="994"/>
        <v>50</v>
      </c>
      <c r="DB334" s="5">
        <v>0</v>
      </c>
      <c r="DC334" s="5">
        <f t="shared" si="999"/>
        <v>0.13125000000000001</v>
      </c>
      <c r="DD334" s="6">
        <f t="shared" si="995"/>
        <v>0.13125000000000001</v>
      </c>
      <c r="DE334" s="6">
        <v>0.25</v>
      </c>
      <c r="DF334" s="5">
        <v>0</v>
      </c>
      <c r="DG334" s="6">
        <v>3</v>
      </c>
      <c r="DH334" s="5"/>
      <c r="DI334" s="5">
        <v>2</v>
      </c>
      <c r="DJ334" s="5">
        <f t="shared" si="984"/>
        <v>20</v>
      </c>
      <c r="DK334" s="8">
        <v>0</v>
      </c>
      <c r="DL334" s="5">
        <f t="shared" si="996"/>
        <v>0</v>
      </c>
      <c r="DM334" s="5" t="str">
        <f t="shared" si="920"/>
        <v>2级刺毛虫</v>
      </c>
      <c r="DN334" s="5">
        <v>6</v>
      </c>
      <c r="DO334" s="5">
        <v>0</v>
      </c>
      <c r="DP334" s="5">
        <v>0</v>
      </c>
      <c r="DQ334" s="5">
        <v>0</v>
      </c>
      <c r="DR334" s="5">
        <f t="shared" si="990"/>
        <v>2.7</v>
      </c>
      <c r="DS334" s="6">
        <v>3</v>
      </c>
      <c r="DT334" s="5">
        <v>-3</v>
      </c>
      <c r="DU334" s="5">
        <v>-0.5</v>
      </c>
      <c r="DV334" s="6">
        <v>0.35</v>
      </c>
      <c r="DW334" s="5">
        <f t="shared" si="991"/>
        <v>0.16666666666666666</v>
      </c>
      <c r="DX334" s="5">
        <v>2</v>
      </c>
      <c r="DY334" s="5">
        <v>0</v>
      </c>
      <c r="DZ334" s="5">
        <v>0</v>
      </c>
    </row>
    <row r="335" spans="1:130" x14ac:dyDescent="0.15">
      <c r="A335" s="5">
        <v>201333</v>
      </c>
      <c r="B335" s="5" t="s">
        <v>586</v>
      </c>
      <c r="C335" s="5"/>
      <c r="D335" s="5"/>
      <c r="E335" s="5"/>
      <c r="F335" s="5">
        <v>0</v>
      </c>
      <c r="G335" s="45"/>
      <c r="H335" s="5"/>
      <c r="I335" s="5"/>
      <c r="J335" s="5"/>
      <c r="K335" s="5"/>
      <c r="L335" s="10"/>
      <c r="M335" s="5"/>
      <c r="N335" s="10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20"/>
      <c r="AF335" s="5"/>
      <c r="AG335" s="5"/>
      <c r="AH335" s="5"/>
      <c r="AI335" s="5"/>
      <c r="AJ335" s="5"/>
      <c r="AK335" s="5"/>
      <c r="AL335" s="5"/>
      <c r="AM335" s="5"/>
      <c r="AN335" s="8"/>
      <c r="AO335" s="5">
        <v>0</v>
      </c>
      <c r="AP335" s="5" t="s">
        <v>586</v>
      </c>
      <c r="AQ335" s="5">
        <v>0</v>
      </c>
      <c r="AR335" s="8">
        <v>0</v>
      </c>
      <c r="AS335" s="6">
        <f t="shared" si="997"/>
        <v>0</v>
      </c>
      <c r="AT335" s="6">
        <f t="shared" si="998"/>
        <v>9</v>
      </c>
      <c r="AU335" s="5">
        <v>0</v>
      </c>
      <c r="AV335" s="5">
        <v>1</v>
      </c>
      <c r="AW335" s="5">
        <v>1</v>
      </c>
      <c r="AX335" s="5">
        <v>1</v>
      </c>
      <c r="AY335" s="5">
        <v>1</v>
      </c>
      <c r="AZ335" s="5">
        <v>31</v>
      </c>
      <c r="BA335" s="5">
        <v>203035</v>
      </c>
      <c r="BB335" s="5">
        <v>0</v>
      </c>
      <c r="BC335" s="5">
        <v>0</v>
      </c>
      <c r="BD335" s="5">
        <v>0</v>
      </c>
      <c r="BE335" s="5">
        <v>0</v>
      </c>
      <c r="BF335" s="23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f t="shared" si="917"/>
        <v>2</v>
      </c>
      <c r="BM335" s="5">
        <v>0</v>
      </c>
      <c r="BN335" s="5">
        <v>0</v>
      </c>
      <c r="BO335" s="5">
        <v>0</v>
      </c>
      <c r="BP335" s="5">
        <v>0</v>
      </c>
      <c r="BQ335" s="5"/>
      <c r="BR335" s="5"/>
      <c r="BS335" s="4">
        <v>0</v>
      </c>
      <c r="BT335" s="4">
        <f t="shared" si="985"/>
        <v>3</v>
      </c>
      <c r="BU335" s="4">
        <v>0</v>
      </c>
      <c r="BV335" s="4">
        <f t="shared" si="986"/>
        <v>3</v>
      </c>
      <c r="BW335" s="4">
        <f t="shared" si="987"/>
        <v>3</v>
      </c>
      <c r="BX335" s="4">
        <f t="shared" si="988"/>
        <v>0.71</v>
      </c>
      <c r="BY335" s="4">
        <f t="shared" si="989"/>
        <v>0.45000000000000007</v>
      </c>
      <c r="BZ335" s="5" t="s">
        <v>583</v>
      </c>
      <c r="CA335" s="5" t="s">
        <v>583</v>
      </c>
      <c r="CB335" s="5" t="s">
        <v>583</v>
      </c>
      <c r="CC335" s="5">
        <v>0</v>
      </c>
      <c r="CD335" s="5">
        <v>2</v>
      </c>
      <c r="CE335" s="5">
        <v>0</v>
      </c>
      <c r="CF335" s="5">
        <v>0</v>
      </c>
      <c r="CG335" s="5" t="s">
        <v>586</v>
      </c>
      <c r="CH335" s="5">
        <v>0</v>
      </c>
      <c r="CI335" s="5">
        <f>CI333</f>
        <v>119</v>
      </c>
      <c r="CJ335" s="1">
        <f t="shared" si="993"/>
        <v>0</v>
      </c>
      <c r="CK335" s="20">
        <v>0</v>
      </c>
      <c r="CL335" s="5">
        <v>0</v>
      </c>
      <c r="CM335" s="20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20">
        <v>1.3</v>
      </c>
      <c r="CW335" s="20">
        <v>0.5</v>
      </c>
      <c r="CX335" s="20">
        <v>1.5</v>
      </c>
      <c r="CY335" s="20">
        <v>0.8</v>
      </c>
      <c r="CZ335" s="8">
        <v>1</v>
      </c>
      <c r="DA335" s="6">
        <f t="shared" si="994"/>
        <v>75</v>
      </c>
      <c r="DB335" s="5">
        <v>0</v>
      </c>
      <c r="DC335" s="5">
        <f t="shared" si="999"/>
        <v>0.13750000000000001</v>
      </c>
      <c r="DD335" s="6">
        <f t="shared" si="995"/>
        <v>0.13750000000000001</v>
      </c>
      <c r="DE335" s="6">
        <v>0.25</v>
      </c>
      <c r="DF335" s="5">
        <v>0</v>
      </c>
      <c r="DG335" s="6">
        <v>3</v>
      </c>
      <c r="DH335" s="5"/>
      <c r="DI335" s="5">
        <v>2</v>
      </c>
      <c r="DJ335" s="5">
        <f t="shared" si="984"/>
        <v>25</v>
      </c>
      <c r="DK335" s="8">
        <v>0</v>
      </c>
      <c r="DL335" s="5">
        <f t="shared" si="996"/>
        <v>0</v>
      </c>
      <c r="DM335" s="5" t="str">
        <f t="shared" si="920"/>
        <v>3级刺毛虫</v>
      </c>
      <c r="DN335" s="5">
        <v>6</v>
      </c>
      <c r="DO335" s="5">
        <v>0</v>
      </c>
      <c r="DP335" s="5">
        <v>0</v>
      </c>
      <c r="DQ335" s="5">
        <v>0</v>
      </c>
      <c r="DR335" s="5">
        <f t="shared" si="990"/>
        <v>2.7</v>
      </c>
      <c r="DS335" s="6">
        <v>3</v>
      </c>
      <c r="DT335" s="5">
        <v>-3</v>
      </c>
      <c r="DU335" s="5">
        <v>-0.5</v>
      </c>
      <c r="DV335" s="6">
        <v>0.35</v>
      </c>
      <c r="DW335" s="5">
        <f t="shared" si="991"/>
        <v>0.16666666666666666</v>
      </c>
      <c r="DX335" s="5">
        <v>2</v>
      </c>
      <c r="DY335" s="5">
        <v>0</v>
      </c>
      <c r="DZ335" s="5">
        <v>0</v>
      </c>
    </row>
    <row r="336" spans="1:130" x14ac:dyDescent="0.15">
      <c r="A336" s="5">
        <v>201334</v>
      </c>
      <c r="B336" s="5" t="s">
        <v>587</v>
      </c>
      <c r="C336" s="5"/>
      <c r="D336" s="5"/>
      <c r="E336" s="5"/>
      <c r="F336" s="5">
        <v>0</v>
      </c>
      <c r="G336" s="45"/>
      <c r="H336" s="5"/>
      <c r="I336" s="5"/>
      <c r="J336" s="5"/>
      <c r="K336" s="5"/>
      <c r="L336" s="10"/>
      <c r="M336" s="5"/>
      <c r="N336" s="10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20"/>
      <c r="AF336" s="5"/>
      <c r="AG336" s="5"/>
      <c r="AH336" s="5"/>
      <c r="AI336" s="5"/>
      <c r="AJ336" s="5"/>
      <c r="AK336" s="5"/>
      <c r="AL336" s="5"/>
      <c r="AM336" s="5"/>
      <c r="AN336" s="8"/>
      <c r="AO336" s="5">
        <v>0</v>
      </c>
      <c r="AP336" s="5" t="s">
        <v>587</v>
      </c>
      <c r="AQ336" s="5">
        <v>0</v>
      </c>
      <c r="AR336" s="8">
        <v>0</v>
      </c>
      <c r="AS336" s="6">
        <f t="shared" si="997"/>
        <v>0</v>
      </c>
      <c r="AT336" s="6">
        <f t="shared" si="998"/>
        <v>12</v>
      </c>
      <c r="AU336" s="5">
        <v>0</v>
      </c>
      <c r="AV336" s="5">
        <v>1</v>
      </c>
      <c r="AW336" s="5">
        <v>1</v>
      </c>
      <c r="AX336" s="5">
        <v>1</v>
      </c>
      <c r="AY336" s="5">
        <v>1</v>
      </c>
      <c r="AZ336" s="5">
        <v>41</v>
      </c>
      <c r="BA336" s="5">
        <v>203035</v>
      </c>
      <c r="BB336" s="5">
        <v>0</v>
      </c>
      <c r="BC336" s="5">
        <v>0</v>
      </c>
      <c r="BD336" s="5">
        <v>0</v>
      </c>
      <c r="BE336" s="5">
        <v>0</v>
      </c>
      <c r="BF336" s="23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f t="shared" si="917"/>
        <v>0</v>
      </c>
      <c r="BM336" s="5">
        <v>0</v>
      </c>
      <c r="BN336" s="5">
        <v>0</v>
      </c>
      <c r="BO336" s="5">
        <v>0</v>
      </c>
      <c r="BP336" s="5">
        <v>0</v>
      </c>
      <c r="BQ336" s="5"/>
      <c r="BR336" s="5"/>
      <c r="BS336" s="4">
        <v>0</v>
      </c>
      <c r="BT336" s="4">
        <f t="shared" si="985"/>
        <v>4</v>
      </c>
      <c r="BU336" s="4">
        <v>0</v>
      </c>
      <c r="BV336" s="4">
        <f t="shared" si="986"/>
        <v>4</v>
      </c>
      <c r="BW336" s="4">
        <f t="shared" si="987"/>
        <v>4</v>
      </c>
      <c r="BX336" s="4">
        <f t="shared" si="988"/>
        <v>0.6399999999999999</v>
      </c>
      <c r="BY336" s="4">
        <f t="shared" si="989"/>
        <v>0.4</v>
      </c>
      <c r="BZ336" s="5" t="s">
        <v>585</v>
      </c>
      <c r="CA336" s="5" t="s">
        <v>585</v>
      </c>
      <c r="CB336" s="5" t="s">
        <v>585</v>
      </c>
      <c r="CC336" s="5">
        <v>0</v>
      </c>
      <c r="CD336" s="5">
        <v>2</v>
      </c>
      <c r="CE336" s="5">
        <v>0</v>
      </c>
      <c r="CF336" s="5">
        <v>0</v>
      </c>
      <c r="CG336" s="5" t="s">
        <v>587</v>
      </c>
      <c r="CH336" s="5">
        <v>0</v>
      </c>
      <c r="CI336" s="5">
        <f t="shared" ref="CI336:CI342" si="1000">CI334</f>
        <v>120</v>
      </c>
      <c r="CJ336" s="1">
        <f t="shared" si="993"/>
        <v>1</v>
      </c>
      <c r="CK336" s="20">
        <v>0</v>
      </c>
      <c r="CL336" s="5">
        <v>0</v>
      </c>
      <c r="CM336" s="20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20">
        <v>1.3</v>
      </c>
      <c r="CW336" s="20">
        <v>0.5</v>
      </c>
      <c r="CX336" s="20">
        <v>1.5</v>
      </c>
      <c r="CY336" s="20">
        <v>0.8</v>
      </c>
      <c r="CZ336" s="8">
        <v>1</v>
      </c>
      <c r="DA336" s="6">
        <f t="shared" si="994"/>
        <v>100</v>
      </c>
      <c r="DB336" s="5">
        <v>0</v>
      </c>
      <c r="DC336" s="5">
        <f t="shared" si="999"/>
        <v>0.14374999999999999</v>
      </c>
      <c r="DD336" s="6">
        <f t="shared" si="995"/>
        <v>0.14374999999999999</v>
      </c>
      <c r="DE336" s="6">
        <v>0.25</v>
      </c>
      <c r="DF336" s="5">
        <v>0</v>
      </c>
      <c r="DG336" s="6">
        <v>3</v>
      </c>
      <c r="DH336" s="5"/>
      <c r="DI336" s="5">
        <v>2</v>
      </c>
      <c r="DJ336" s="5">
        <f t="shared" si="984"/>
        <v>30</v>
      </c>
      <c r="DK336" s="8">
        <v>0</v>
      </c>
      <c r="DL336" s="5">
        <f t="shared" si="996"/>
        <v>0</v>
      </c>
      <c r="DM336" s="5" t="str">
        <f t="shared" si="920"/>
        <v>4级刺毛虫</v>
      </c>
      <c r="DN336" s="5">
        <v>6</v>
      </c>
      <c r="DO336" s="5">
        <v>0</v>
      </c>
      <c r="DP336" s="5">
        <v>0</v>
      </c>
      <c r="DQ336" s="5">
        <v>0</v>
      </c>
      <c r="DR336" s="5">
        <f t="shared" si="990"/>
        <v>2.7</v>
      </c>
      <c r="DS336" s="6">
        <v>3</v>
      </c>
      <c r="DT336" s="5">
        <v>-3</v>
      </c>
      <c r="DU336" s="5">
        <v>-0.5</v>
      </c>
      <c r="DV336" s="6">
        <v>0.35</v>
      </c>
      <c r="DW336" s="5">
        <f t="shared" si="991"/>
        <v>0.16666666666666666</v>
      </c>
      <c r="DX336" s="5">
        <v>2</v>
      </c>
      <c r="DY336" s="5">
        <v>0</v>
      </c>
      <c r="DZ336" s="5">
        <v>0</v>
      </c>
    </row>
    <row r="337" spans="1:131" x14ac:dyDescent="0.15">
      <c r="A337" s="5">
        <v>201335</v>
      </c>
      <c r="B337" s="5" t="s">
        <v>588</v>
      </c>
      <c r="C337" s="5"/>
      <c r="D337" s="5"/>
      <c r="E337" s="5"/>
      <c r="F337" s="5">
        <v>0</v>
      </c>
      <c r="G337" s="45"/>
      <c r="H337" s="5"/>
      <c r="I337" s="5"/>
      <c r="J337" s="5"/>
      <c r="K337" s="5"/>
      <c r="L337" s="10"/>
      <c r="M337" s="5"/>
      <c r="N337" s="10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20"/>
      <c r="AF337" s="5"/>
      <c r="AG337" s="5"/>
      <c r="AH337" s="5"/>
      <c r="AI337" s="5"/>
      <c r="AJ337" s="5"/>
      <c r="AK337" s="5"/>
      <c r="AL337" s="5"/>
      <c r="AM337" s="5"/>
      <c r="AN337" s="8"/>
      <c r="AO337" s="5">
        <v>0</v>
      </c>
      <c r="AP337" s="5" t="s">
        <v>588</v>
      </c>
      <c r="AQ337" s="5">
        <v>0</v>
      </c>
      <c r="AR337" s="8">
        <v>0</v>
      </c>
      <c r="AS337" s="6">
        <f t="shared" si="997"/>
        <v>0</v>
      </c>
      <c r="AT337" s="6">
        <f t="shared" si="998"/>
        <v>15</v>
      </c>
      <c r="AU337" s="5">
        <v>0</v>
      </c>
      <c r="AV337" s="5">
        <v>1</v>
      </c>
      <c r="AW337" s="5">
        <v>1</v>
      </c>
      <c r="AX337" s="5">
        <v>1</v>
      </c>
      <c r="AY337" s="5">
        <v>1</v>
      </c>
      <c r="AZ337" s="5">
        <v>51</v>
      </c>
      <c r="BA337" s="5">
        <v>203035</v>
      </c>
      <c r="BB337" s="5">
        <v>0</v>
      </c>
      <c r="BC337" s="5">
        <v>0</v>
      </c>
      <c r="BD337" s="5">
        <v>0</v>
      </c>
      <c r="BE337" s="5">
        <v>0</v>
      </c>
      <c r="BF337" s="23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f t="shared" si="917"/>
        <v>0</v>
      </c>
      <c r="BM337" s="5">
        <v>0</v>
      </c>
      <c r="BN337" s="5">
        <v>0</v>
      </c>
      <c r="BO337" s="5">
        <v>0</v>
      </c>
      <c r="BP337" s="5">
        <v>0</v>
      </c>
      <c r="BQ337" s="5"/>
      <c r="BR337" s="5"/>
      <c r="BS337" s="4">
        <v>0</v>
      </c>
      <c r="BT337" s="4">
        <f t="shared" si="985"/>
        <v>5</v>
      </c>
      <c r="BU337" s="4">
        <v>0</v>
      </c>
      <c r="BV337" s="4">
        <f t="shared" si="986"/>
        <v>5</v>
      </c>
      <c r="BW337" s="4">
        <f t="shared" si="987"/>
        <v>5</v>
      </c>
      <c r="BX337" s="4">
        <f t="shared" si="988"/>
        <v>0.56999999999999995</v>
      </c>
      <c r="BY337" s="4">
        <f t="shared" si="989"/>
        <v>0.35000000000000003</v>
      </c>
      <c r="BZ337" s="5" t="s">
        <v>583</v>
      </c>
      <c r="CA337" s="5" t="s">
        <v>583</v>
      </c>
      <c r="CB337" s="5" t="s">
        <v>583</v>
      </c>
      <c r="CC337" s="5">
        <v>0</v>
      </c>
      <c r="CD337" s="5">
        <v>2</v>
      </c>
      <c r="CE337" s="5">
        <v>0</v>
      </c>
      <c r="CF337" s="5">
        <v>0</v>
      </c>
      <c r="CG337" s="5" t="s">
        <v>588</v>
      </c>
      <c r="CH337" s="5">
        <v>0</v>
      </c>
      <c r="CI337" s="5">
        <f t="shared" si="1000"/>
        <v>119</v>
      </c>
      <c r="CJ337" s="1">
        <f t="shared" si="993"/>
        <v>0</v>
      </c>
      <c r="CK337" s="20">
        <v>0</v>
      </c>
      <c r="CL337" s="5">
        <v>0</v>
      </c>
      <c r="CM337" s="20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20">
        <v>1.3</v>
      </c>
      <c r="CW337" s="20">
        <v>0.5</v>
      </c>
      <c r="CX337" s="20">
        <v>1.5</v>
      </c>
      <c r="CY337" s="20">
        <v>0.8</v>
      </c>
      <c r="CZ337" s="8">
        <v>1</v>
      </c>
      <c r="DA337" s="6">
        <f t="shared" si="994"/>
        <v>125</v>
      </c>
      <c r="DB337" s="5">
        <v>0</v>
      </c>
      <c r="DC337" s="5">
        <f t="shared" si="999"/>
        <v>0.15</v>
      </c>
      <c r="DD337" s="6">
        <f t="shared" si="995"/>
        <v>0.15</v>
      </c>
      <c r="DE337" s="6">
        <v>0.25</v>
      </c>
      <c r="DF337" s="5">
        <v>0</v>
      </c>
      <c r="DG337" s="6">
        <v>3</v>
      </c>
      <c r="DH337" s="5"/>
      <c r="DI337" s="5">
        <v>2</v>
      </c>
      <c r="DJ337" s="5">
        <f t="shared" si="984"/>
        <v>35</v>
      </c>
      <c r="DK337" s="8">
        <v>0</v>
      </c>
      <c r="DL337" s="5">
        <f t="shared" si="996"/>
        <v>0</v>
      </c>
      <c r="DM337" s="5" t="str">
        <f t="shared" si="920"/>
        <v>5级刺毛虫</v>
      </c>
      <c r="DN337" s="5">
        <v>6</v>
      </c>
      <c r="DO337" s="5">
        <v>0</v>
      </c>
      <c r="DP337" s="5">
        <v>0</v>
      </c>
      <c r="DQ337" s="5">
        <v>0</v>
      </c>
      <c r="DR337" s="5">
        <f t="shared" si="990"/>
        <v>2.7</v>
      </c>
      <c r="DS337" s="6">
        <v>3</v>
      </c>
      <c r="DT337" s="5">
        <v>-3</v>
      </c>
      <c r="DU337" s="5">
        <v>-0.5</v>
      </c>
      <c r="DV337" s="6">
        <v>0.35</v>
      </c>
      <c r="DW337" s="5">
        <f t="shared" si="991"/>
        <v>0.16666666666666666</v>
      </c>
      <c r="DX337" s="5">
        <v>2</v>
      </c>
      <c r="DY337" s="5">
        <v>0</v>
      </c>
      <c r="DZ337" s="5">
        <v>0</v>
      </c>
    </row>
    <row r="338" spans="1:131" x14ac:dyDescent="0.15">
      <c r="A338" s="5">
        <v>201336</v>
      </c>
      <c r="B338" s="5" t="s">
        <v>589</v>
      </c>
      <c r="C338" s="5"/>
      <c r="D338" s="5"/>
      <c r="E338" s="5"/>
      <c r="F338" s="5">
        <v>0</v>
      </c>
      <c r="G338" s="45"/>
      <c r="H338" s="5"/>
      <c r="I338" s="5"/>
      <c r="J338" s="5"/>
      <c r="K338" s="5"/>
      <c r="L338" s="10"/>
      <c r="M338" s="5"/>
      <c r="N338" s="10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20"/>
      <c r="AF338" s="5"/>
      <c r="AG338" s="5"/>
      <c r="AH338" s="5"/>
      <c r="AI338" s="5"/>
      <c r="AJ338" s="5"/>
      <c r="AK338" s="5"/>
      <c r="AL338" s="5"/>
      <c r="AM338" s="5"/>
      <c r="AN338" s="8"/>
      <c r="AO338" s="5">
        <v>0</v>
      </c>
      <c r="AP338" s="5" t="s">
        <v>589</v>
      </c>
      <c r="AQ338" s="5">
        <v>0</v>
      </c>
      <c r="AR338" s="8">
        <v>0</v>
      </c>
      <c r="AS338" s="6">
        <f t="shared" si="997"/>
        <v>0</v>
      </c>
      <c r="AT338" s="6">
        <f t="shared" si="998"/>
        <v>18</v>
      </c>
      <c r="AU338" s="5">
        <v>0</v>
      </c>
      <c r="AV338" s="5">
        <v>1</v>
      </c>
      <c r="AW338" s="5">
        <v>1</v>
      </c>
      <c r="AX338" s="5">
        <v>1</v>
      </c>
      <c r="AY338" s="5">
        <v>1</v>
      </c>
      <c r="AZ338" s="5">
        <v>61</v>
      </c>
      <c r="BA338" s="5">
        <v>203035</v>
      </c>
      <c r="BB338" s="5">
        <v>0</v>
      </c>
      <c r="BC338" s="5">
        <v>0</v>
      </c>
      <c r="BD338" s="5">
        <v>0</v>
      </c>
      <c r="BE338" s="5">
        <v>0</v>
      </c>
      <c r="BF338" s="23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f t="shared" si="917"/>
        <v>0</v>
      </c>
      <c r="BM338" s="5">
        <v>0</v>
      </c>
      <c r="BN338" s="5">
        <v>0</v>
      </c>
      <c r="BO338" s="5">
        <v>0</v>
      </c>
      <c r="BP338" s="5">
        <v>0</v>
      </c>
      <c r="BQ338" s="5"/>
      <c r="BR338" s="5"/>
      <c r="BS338" s="4">
        <v>0</v>
      </c>
      <c r="BT338" s="4">
        <f t="shared" si="985"/>
        <v>6</v>
      </c>
      <c r="BU338" s="4">
        <v>0</v>
      </c>
      <c r="BV338" s="4">
        <f t="shared" si="986"/>
        <v>6</v>
      </c>
      <c r="BW338" s="4">
        <f t="shared" si="987"/>
        <v>6</v>
      </c>
      <c r="BX338" s="4">
        <f t="shared" si="988"/>
        <v>0.49999999999999994</v>
      </c>
      <c r="BY338" s="4">
        <f t="shared" si="989"/>
        <v>0.30000000000000004</v>
      </c>
      <c r="BZ338" s="5" t="s">
        <v>585</v>
      </c>
      <c r="CA338" s="5" t="s">
        <v>585</v>
      </c>
      <c r="CB338" s="5" t="s">
        <v>585</v>
      </c>
      <c r="CC338" s="5">
        <v>0</v>
      </c>
      <c r="CD338" s="5">
        <v>2</v>
      </c>
      <c r="CE338" s="5">
        <v>0</v>
      </c>
      <c r="CF338" s="5">
        <v>0</v>
      </c>
      <c r="CG338" s="5" t="s">
        <v>589</v>
      </c>
      <c r="CH338" s="5">
        <v>0</v>
      </c>
      <c r="CI338" s="5">
        <f t="shared" si="1000"/>
        <v>120</v>
      </c>
      <c r="CJ338" s="1">
        <f t="shared" si="993"/>
        <v>1</v>
      </c>
      <c r="CK338" s="20">
        <v>0</v>
      </c>
      <c r="CL338" s="5">
        <v>0</v>
      </c>
      <c r="CM338" s="20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20">
        <v>1.3</v>
      </c>
      <c r="CW338" s="20">
        <v>0.5</v>
      </c>
      <c r="CX338" s="20">
        <v>1.5</v>
      </c>
      <c r="CY338" s="20">
        <v>0.8</v>
      </c>
      <c r="CZ338" s="8">
        <v>1</v>
      </c>
      <c r="DA338" s="6">
        <f t="shared" si="994"/>
        <v>150</v>
      </c>
      <c r="DB338" s="5">
        <v>0</v>
      </c>
      <c r="DC338" s="5">
        <f t="shared" si="999"/>
        <v>0.15625</v>
      </c>
      <c r="DD338" s="6">
        <f t="shared" si="995"/>
        <v>0.15625</v>
      </c>
      <c r="DE338" s="6">
        <v>0.25</v>
      </c>
      <c r="DF338" s="5">
        <v>0</v>
      </c>
      <c r="DG338" s="6">
        <v>3</v>
      </c>
      <c r="DH338" s="5"/>
      <c r="DI338" s="5">
        <v>2</v>
      </c>
      <c r="DJ338" s="5">
        <f t="shared" si="984"/>
        <v>40</v>
      </c>
      <c r="DK338" s="8">
        <v>0</v>
      </c>
      <c r="DL338" s="5">
        <f t="shared" si="996"/>
        <v>0</v>
      </c>
      <c r="DM338" s="5" t="str">
        <f t="shared" si="920"/>
        <v>6级刺毛虫</v>
      </c>
      <c r="DN338" s="5">
        <v>6</v>
      </c>
      <c r="DO338" s="5">
        <v>0</v>
      </c>
      <c r="DP338" s="5">
        <v>0</v>
      </c>
      <c r="DQ338" s="5">
        <v>0</v>
      </c>
      <c r="DR338" s="5">
        <f t="shared" si="990"/>
        <v>2.7</v>
      </c>
      <c r="DS338" s="6">
        <v>3</v>
      </c>
      <c r="DT338" s="5">
        <v>-3</v>
      </c>
      <c r="DU338" s="5">
        <v>-0.5</v>
      </c>
      <c r="DV338" s="6">
        <v>0.35</v>
      </c>
      <c r="DW338" s="5">
        <f t="shared" si="991"/>
        <v>0.16666666666666666</v>
      </c>
      <c r="DX338" s="5">
        <v>2</v>
      </c>
      <c r="DY338" s="5">
        <v>0</v>
      </c>
      <c r="DZ338" s="5">
        <v>0</v>
      </c>
    </row>
    <row r="339" spans="1:131" x14ac:dyDescent="0.15">
      <c r="A339" s="5">
        <v>201337</v>
      </c>
      <c r="B339" s="5" t="s">
        <v>590</v>
      </c>
      <c r="C339" s="5"/>
      <c r="D339" s="5"/>
      <c r="E339" s="5"/>
      <c r="F339" s="5">
        <v>0</v>
      </c>
      <c r="G339" s="45"/>
      <c r="H339" s="5"/>
      <c r="I339" s="5"/>
      <c r="J339" s="5"/>
      <c r="K339" s="5"/>
      <c r="L339" s="10"/>
      <c r="M339" s="5"/>
      <c r="N339" s="10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20"/>
      <c r="AF339" s="5"/>
      <c r="AG339" s="5"/>
      <c r="AH339" s="5"/>
      <c r="AI339" s="5"/>
      <c r="AJ339" s="5"/>
      <c r="AK339" s="5"/>
      <c r="AL339" s="5"/>
      <c r="AM339" s="5"/>
      <c r="AN339" s="8"/>
      <c r="AO339" s="5">
        <v>0</v>
      </c>
      <c r="AP339" s="5" t="s">
        <v>590</v>
      </c>
      <c r="AQ339" s="5">
        <v>0</v>
      </c>
      <c r="AR339" s="8">
        <v>0</v>
      </c>
      <c r="AS339" s="6">
        <f t="shared" si="997"/>
        <v>0</v>
      </c>
      <c r="AT339" s="6">
        <f t="shared" si="998"/>
        <v>21</v>
      </c>
      <c r="AU339" s="5">
        <v>0</v>
      </c>
      <c r="AV339" s="5">
        <v>1</v>
      </c>
      <c r="AW339" s="5">
        <v>1</v>
      </c>
      <c r="AX339" s="5">
        <v>1</v>
      </c>
      <c r="AY339" s="5">
        <v>1</v>
      </c>
      <c r="AZ339" s="5">
        <v>71</v>
      </c>
      <c r="BA339" s="5">
        <v>203035</v>
      </c>
      <c r="BB339" s="5">
        <v>0</v>
      </c>
      <c r="BC339" s="5">
        <v>0</v>
      </c>
      <c r="BD339" s="5">
        <v>0</v>
      </c>
      <c r="BE339" s="5">
        <v>0</v>
      </c>
      <c r="BF339" s="23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f t="shared" si="917"/>
        <v>0</v>
      </c>
      <c r="BM339" s="5">
        <v>0</v>
      </c>
      <c r="BN339" s="5">
        <v>0</v>
      </c>
      <c r="BO339" s="5">
        <v>0</v>
      </c>
      <c r="BP339" s="5">
        <v>0</v>
      </c>
      <c r="BQ339" s="5"/>
      <c r="BR339" s="5"/>
      <c r="BS339" s="4">
        <v>0</v>
      </c>
      <c r="BT339" s="4">
        <f t="shared" si="985"/>
        <v>7</v>
      </c>
      <c r="BU339" s="4">
        <v>0</v>
      </c>
      <c r="BV339" s="4">
        <f t="shared" si="986"/>
        <v>7</v>
      </c>
      <c r="BW339" s="4">
        <f t="shared" si="987"/>
        <v>7</v>
      </c>
      <c r="BX339" s="4">
        <f t="shared" si="988"/>
        <v>0.42999999999999994</v>
      </c>
      <c r="BY339" s="4">
        <f t="shared" si="989"/>
        <v>0.25</v>
      </c>
      <c r="BZ339" s="5" t="s">
        <v>583</v>
      </c>
      <c r="CA339" s="5" t="s">
        <v>583</v>
      </c>
      <c r="CB339" s="5" t="s">
        <v>583</v>
      </c>
      <c r="CC339" s="5">
        <v>0</v>
      </c>
      <c r="CD339" s="5">
        <v>2</v>
      </c>
      <c r="CE339" s="5">
        <v>0</v>
      </c>
      <c r="CF339" s="5">
        <v>0</v>
      </c>
      <c r="CG339" s="5" t="s">
        <v>590</v>
      </c>
      <c r="CH339" s="5">
        <v>0</v>
      </c>
      <c r="CI339" s="5">
        <f t="shared" si="1000"/>
        <v>119</v>
      </c>
      <c r="CJ339" s="1">
        <f t="shared" si="993"/>
        <v>0</v>
      </c>
      <c r="CK339" s="20">
        <v>0</v>
      </c>
      <c r="CL339" s="5">
        <v>0</v>
      </c>
      <c r="CM339" s="20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20">
        <v>1.3</v>
      </c>
      <c r="CW339" s="20">
        <v>0.5</v>
      </c>
      <c r="CX339" s="20">
        <v>1.5</v>
      </c>
      <c r="CY339" s="20">
        <v>0.8</v>
      </c>
      <c r="CZ339" s="8">
        <v>1</v>
      </c>
      <c r="DA339" s="6">
        <f t="shared" si="994"/>
        <v>175</v>
      </c>
      <c r="DB339" s="5">
        <v>0</v>
      </c>
      <c r="DC339" s="5">
        <f t="shared" si="999"/>
        <v>0.16250000000000001</v>
      </c>
      <c r="DD339" s="6">
        <f t="shared" si="995"/>
        <v>0.16250000000000001</v>
      </c>
      <c r="DE339" s="6">
        <v>0.25</v>
      </c>
      <c r="DF339" s="5">
        <v>0</v>
      </c>
      <c r="DG339" s="6">
        <v>3</v>
      </c>
      <c r="DH339" s="5"/>
      <c r="DI339" s="5">
        <v>2</v>
      </c>
      <c r="DJ339" s="5">
        <f t="shared" si="984"/>
        <v>45</v>
      </c>
      <c r="DK339" s="8">
        <v>0</v>
      </c>
      <c r="DL339" s="5">
        <f t="shared" si="996"/>
        <v>0</v>
      </c>
      <c r="DM339" s="5" t="str">
        <f t="shared" si="920"/>
        <v>7级刺毛虫</v>
      </c>
      <c r="DN339" s="5">
        <v>6</v>
      </c>
      <c r="DO339" s="5">
        <v>0</v>
      </c>
      <c r="DP339" s="5">
        <v>0</v>
      </c>
      <c r="DQ339" s="5">
        <v>0</v>
      </c>
      <c r="DR339" s="5">
        <f t="shared" si="990"/>
        <v>2.7</v>
      </c>
      <c r="DS339" s="6">
        <v>3</v>
      </c>
      <c r="DT339" s="5">
        <v>-3</v>
      </c>
      <c r="DU339" s="5">
        <v>-0.5</v>
      </c>
      <c r="DV339" s="6">
        <v>0.35</v>
      </c>
      <c r="DW339" s="5">
        <f t="shared" si="991"/>
        <v>0.16666666666666666</v>
      </c>
      <c r="DX339" s="5">
        <v>2</v>
      </c>
      <c r="DY339" s="5">
        <v>0</v>
      </c>
      <c r="DZ339" s="5">
        <v>0</v>
      </c>
    </row>
    <row r="340" spans="1:131" x14ac:dyDescent="0.15">
      <c r="A340" s="5">
        <v>201338</v>
      </c>
      <c r="B340" s="5" t="s">
        <v>591</v>
      </c>
      <c r="C340" s="5"/>
      <c r="D340" s="5"/>
      <c r="E340" s="5"/>
      <c r="F340" s="5">
        <v>0</v>
      </c>
      <c r="G340" s="45"/>
      <c r="H340" s="5"/>
      <c r="I340" s="5"/>
      <c r="J340" s="5"/>
      <c r="K340" s="5"/>
      <c r="L340" s="10"/>
      <c r="M340" s="5"/>
      <c r="N340" s="10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20"/>
      <c r="AF340" s="5"/>
      <c r="AG340" s="5"/>
      <c r="AH340" s="5"/>
      <c r="AI340" s="5"/>
      <c r="AJ340" s="5"/>
      <c r="AK340" s="5"/>
      <c r="AL340" s="5"/>
      <c r="AM340" s="5"/>
      <c r="AN340" s="8"/>
      <c r="AO340" s="5">
        <v>0</v>
      </c>
      <c r="AP340" s="5" t="s">
        <v>591</v>
      </c>
      <c r="AQ340" s="5">
        <v>0</v>
      </c>
      <c r="AR340" s="8">
        <v>0</v>
      </c>
      <c r="AS340" s="6">
        <f t="shared" si="997"/>
        <v>0</v>
      </c>
      <c r="AT340" s="6">
        <f t="shared" si="998"/>
        <v>24</v>
      </c>
      <c r="AU340" s="5">
        <v>0</v>
      </c>
      <c r="AV340" s="5">
        <v>1</v>
      </c>
      <c r="AW340" s="5">
        <v>1</v>
      </c>
      <c r="AX340" s="5">
        <v>1</v>
      </c>
      <c r="AY340" s="5">
        <v>1</v>
      </c>
      <c r="AZ340" s="5">
        <v>81</v>
      </c>
      <c r="BA340" s="5">
        <v>203035</v>
      </c>
      <c r="BB340" s="5">
        <v>0</v>
      </c>
      <c r="BC340" s="5">
        <v>0</v>
      </c>
      <c r="BD340" s="5">
        <v>0</v>
      </c>
      <c r="BE340" s="5">
        <v>0</v>
      </c>
      <c r="BF340" s="23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f t="shared" si="917"/>
        <v>0</v>
      </c>
      <c r="BM340" s="5">
        <v>0</v>
      </c>
      <c r="BN340" s="5">
        <v>0</v>
      </c>
      <c r="BO340" s="5">
        <v>0</v>
      </c>
      <c r="BP340" s="5">
        <v>0</v>
      </c>
      <c r="BQ340" s="5"/>
      <c r="BR340" s="5"/>
      <c r="BS340" s="4">
        <v>0</v>
      </c>
      <c r="BT340" s="4">
        <f t="shared" si="985"/>
        <v>8</v>
      </c>
      <c r="BU340" s="4">
        <v>0</v>
      </c>
      <c r="BV340" s="4">
        <f t="shared" si="986"/>
        <v>8</v>
      </c>
      <c r="BW340" s="4">
        <f t="shared" si="987"/>
        <v>8</v>
      </c>
      <c r="BX340" s="4">
        <f t="shared" si="988"/>
        <v>0.35999999999999993</v>
      </c>
      <c r="BY340" s="4">
        <f t="shared" si="989"/>
        <v>0.2</v>
      </c>
      <c r="BZ340" s="5" t="s">
        <v>585</v>
      </c>
      <c r="CA340" s="5" t="s">
        <v>585</v>
      </c>
      <c r="CB340" s="5" t="s">
        <v>585</v>
      </c>
      <c r="CC340" s="5">
        <v>0</v>
      </c>
      <c r="CD340" s="5">
        <v>2</v>
      </c>
      <c r="CE340" s="5">
        <v>0</v>
      </c>
      <c r="CF340" s="5">
        <v>0</v>
      </c>
      <c r="CG340" s="5" t="s">
        <v>591</v>
      </c>
      <c r="CH340" s="5">
        <v>0</v>
      </c>
      <c r="CI340" s="5">
        <f t="shared" si="1000"/>
        <v>120</v>
      </c>
      <c r="CJ340" s="1">
        <f t="shared" si="993"/>
        <v>1</v>
      </c>
      <c r="CK340" s="20">
        <v>0</v>
      </c>
      <c r="CL340" s="5">
        <v>0</v>
      </c>
      <c r="CM340" s="20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20">
        <v>1.3</v>
      </c>
      <c r="CW340" s="20">
        <v>0.5</v>
      </c>
      <c r="CX340" s="20">
        <v>1.5</v>
      </c>
      <c r="CY340" s="20">
        <v>0.8</v>
      </c>
      <c r="CZ340" s="8">
        <v>1</v>
      </c>
      <c r="DA340" s="6">
        <f t="shared" si="994"/>
        <v>200</v>
      </c>
      <c r="DB340" s="5">
        <v>0</v>
      </c>
      <c r="DC340" s="5">
        <f t="shared" si="999"/>
        <v>0.16875000000000001</v>
      </c>
      <c r="DD340" s="6">
        <f t="shared" si="995"/>
        <v>0.16875000000000001</v>
      </c>
      <c r="DE340" s="6">
        <v>0.25</v>
      </c>
      <c r="DF340" s="5">
        <v>0</v>
      </c>
      <c r="DG340" s="6">
        <v>3</v>
      </c>
      <c r="DH340" s="5"/>
      <c r="DI340" s="5">
        <v>2</v>
      </c>
      <c r="DJ340" s="5">
        <f t="shared" si="984"/>
        <v>50</v>
      </c>
      <c r="DK340" s="8">
        <v>0</v>
      </c>
      <c r="DL340" s="5">
        <f t="shared" si="996"/>
        <v>0</v>
      </c>
      <c r="DM340" s="5" t="str">
        <f t="shared" si="920"/>
        <v>8级刺毛虫</v>
      </c>
      <c r="DN340" s="5">
        <v>6</v>
      </c>
      <c r="DO340" s="5">
        <v>0</v>
      </c>
      <c r="DP340" s="5">
        <v>0</v>
      </c>
      <c r="DQ340" s="5">
        <v>0</v>
      </c>
      <c r="DR340" s="5">
        <f t="shared" si="990"/>
        <v>2.7</v>
      </c>
      <c r="DS340" s="6">
        <v>3</v>
      </c>
      <c r="DT340" s="5">
        <v>-3</v>
      </c>
      <c r="DU340" s="5">
        <v>-0.5</v>
      </c>
      <c r="DV340" s="6">
        <v>0.35</v>
      </c>
      <c r="DW340" s="5">
        <f t="shared" si="991"/>
        <v>0.16666666666666666</v>
      </c>
      <c r="DX340" s="5">
        <v>2</v>
      </c>
      <c r="DY340" s="5">
        <v>0</v>
      </c>
      <c r="DZ340" s="5">
        <v>0</v>
      </c>
    </row>
    <row r="341" spans="1:131" x14ac:dyDescent="0.15">
      <c r="A341" s="5">
        <v>201339</v>
      </c>
      <c r="B341" s="5" t="s">
        <v>592</v>
      </c>
      <c r="C341" s="5"/>
      <c r="D341" s="5"/>
      <c r="E341" s="5"/>
      <c r="F341" s="5">
        <v>0</v>
      </c>
      <c r="G341" s="45"/>
      <c r="H341" s="5"/>
      <c r="I341" s="5"/>
      <c r="J341" s="5"/>
      <c r="K341" s="5"/>
      <c r="L341" s="10"/>
      <c r="M341" s="5"/>
      <c r="N341" s="10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20"/>
      <c r="AF341" s="5"/>
      <c r="AG341" s="5"/>
      <c r="AH341" s="5"/>
      <c r="AI341" s="5"/>
      <c r="AJ341" s="5"/>
      <c r="AK341" s="5"/>
      <c r="AL341" s="5"/>
      <c r="AM341" s="5"/>
      <c r="AN341" s="8"/>
      <c r="AO341" s="5">
        <v>0</v>
      </c>
      <c r="AP341" s="5" t="s">
        <v>592</v>
      </c>
      <c r="AQ341" s="5">
        <v>0</v>
      </c>
      <c r="AR341" s="8">
        <v>0</v>
      </c>
      <c r="AS341" s="6">
        <f t="shared" si="997"/>
        <v>0</v>
      </c>
      <c r="AT341" s="6">
        <f t="shared" si="998"/>
        <v>27</v>
      </c>
      <c r="AU341" s="5">
        <v>0</v>
      </c>
      <c r="AV341" s="5">
        <v>1</v>
      </c>
      <c r="AW341" s="5">
        <v>1</v>
      </c>
      <c r="AX341" s="5">
        <v>1</v>
      </c>
      <c r="AY341" s="5">
        <v>1</v>
      </c>
      <c r="AZ341" s="5">
        <v>91</v>
      </c>
      <c r="BA341" s="5">
        <v>203035</v>
      </c>
      <c r="BB341" s="5">
        <v>0</v>
      </c>
      <c r="BC341" s="5">
        <v>0</v>
      </c>
      <c r="BD341" s="5">
        <v>0</v>
      </c>
      <c r="BE341" s="5">
        <v>0</v>
      </c>
      <c r="BF341" s="23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f t="shared" ref="BL341:BL342" si="1001">BL320</f>
        <v>0</v>
      </c>
      <c r="BM341" s="5">
        <v>0</v>
      </c>
      <c r="BN341" s="5">
        <v>0</v>
      </c>
      <c r="BO341" s="5">
        <v>0</v>
      </c>
      <c r="BP341" s="5">
        <v>0</v>
      </c>
      <c r="BQ341" s="5"/>
      <c r="BR341" s="5"/>
      <c r="BS341" s="4">
        <v>0</v>
      </c>
      <c r="BT341" s="4">
        <f t="shared" si="985"/>
        <v>9</v>
      </c>
      <c r="BU341" s="4">
        <v>0</v>
      </c>
      <c r="BV341" s="4">
        <f t="shared" si="986"/>
        <v>9</v>
      </c>
      <c r="BW341" s="4">
        <f t="shared" si="987"/>
        <v>9</v>
      </c>
      <c r="BX341" s="4">
        <f t="shared" si="988"/>
        <v>0.28999999999999992</v>
      </c>
      <c r="BY341" s="4">
        <f t="shared" si="989"/>
        <v>0.15000000000000002</v>
      </c>
      <c r="BZ341" s="5" t="s">
        <v>583</v>
      </c>
      <c r="CA341" s="5" t="s">
        <v>583</v>
      </c>
      <c r="CB341" s="5" t="s">
        <v>583</v>
      </c>
      <c r="CC341" s="5">
        <v>0</v>
      </c>
      <c r="CD341" s="5">
        <v>2</v>
      </c>
      <c r="CE341" s="5">
        <v>0</v>
      </c>
      <c r="CF341" s="5">
        <v>0</v>
      </c>
      <c r="CG341" s="5" t="s">
        <v>592</v>
      </c>
      <c r="CH341" s="5">
        <v>0</v>
      </c>
      <c r="CI341" s="5">
        <f t="shared" si="1000"/>
        <v>119</v>
      </c>
      <c r="CJ341" s="1">
        <f t="shared" si="993"/>
        <v>0</v>
      </c>
      <c r="CK341" s="20">
        <v>0</v>
      </c>
      <c r="CL341" s="5">
        <v>0</v>
      </c>
      <c r="CM341" s="20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0</v>
      </c>
      <c r="CV341" s="20">
        <v>1.3</v>
      </c>
      <c r="CW341" s="20">
        <v>0.5</v>
      </c>
      <c r="CX341" s="20">
        <v>1.5</v>
      </c>
      <c r="CY341" s="20">
        <v>0.8</v>
      </c>
      <c r="CZ341" s="8">
        <v>1</v>
      </c>
      <c r="DA341" s="6">
        <f t="shared" si="994"/>
        <v>225</v>
      </c>
      <c r="DB341" s="5">
        <v>0</v>
      </c>
      <c r="DC341" s="5">
        <f t="shared" si="999"/>
        <v>0.17499999999999999</v>
      </c>
      <c r="DD341" s="6">
        <f t="shared" si="995"/>
        <v>0.17499999999999999</v>
      </c>
      <c r="DE341" s="6">
        <v>0.25</v>
      </c>
      <c r="DF341" s="5">
        <v>0</v>
      </c>
      <c r="DG341" s="6">
        <v>3</v>
      </c>
      <c r="DH341" s="5"/>
      <c r="DI341" s="5">
        <v>2</v>
      </c>
      <c r="DJ341" s="5">
        <f t="shared" si="984"/>
        <v>55</v>
      </c>
      <c r="DK341" s="8">
        <v>0</v>
      </c>
      <c r="DL341" s="5">
        <f t="shared" si="996"/>
        <v>0</v>
      </c>
      <c r="DM341" s="5" t="str">
        <f t="shared" ref="DM341:DM404" si="1002">B341</f>
        <v>9级刺毛虫</v>
      </c>
      <c r="DN341" s="5">
        <v>6</v>
      </c>
      <c r="DO341" s="5">
        <v>0</v>
      </c>
      <c r="DP341" s="5">
        <v>0</v>
      </c>
      <c r="DQ341" s="5">
        <v>0</v>
      </c>
      <c r="DR341" s="5">
        <f t="shared" si="990"/>
        <v>2.7</v>
      </c>
      <c r="DS341" s="6">
        <v>3</v>
      </c>
      <c r="DT341" s="5">
        <v>-3</v>
      </c>
      <c r="DU341" s="5">
        <v>-0.5</v>
      </c>
      <c r="DV341" s="6">
        <v>0.35</v>
      </c>
      <c r="DW341" s="5">
        <f t="shared" si="991"/>
        <v>0.16666666666666666</v>
      </c>
      <c r="DX341" s="5">
        <v>2</v>
      </c>
      <c r="DY341" s="5">
        <v>0</v>
      </c>
      <c r="DZ341" s="5">
        <v>0</v>
      </c>
    </row>
    <row r="342" spans="1:131" x14ac:dyDescent="0.15">
      <c r="A342" s="5">
        <v>201340</v>
      </c>
      <c r="B342" s="5" t="s">
        <v>593</v>
      </c>
      <c r="C342" s="5"/>
      <c r="D342" s="5"/>
      <c r="E342" s="5"/>
      <c r="F342" s="5">
        <v>0</v>
      </c>
      <c r="G342" s="45"/>
      <c r="H342" s="5"/>
      <c r="I342" s="5"/>
      <c r="J342" s="5"/>
      <c r="K342" s="5"/>
      <c r="L342" s="10"/>
      <c r="M342" s="5"/>
      <c r="N342" s="10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20"/>
      <c r="AF342" s="5"/>
      <c r="AG342" s="5"/>
      <c r="AH342" s="5"/>
      <c r="AI342" s="5"/>
      <c r="AJ342" s="5"/>
      <c r="AK342" s="5"/>
      <c r="AL342" s="5"/>
      <c r="AM342" s="5"/>
      <c r="AN342" s="8"/>
      <c r="AO342" s="5">
        <v>0</v>
      </c>
      <c r="AP342" s="5" t="s">
        <v>593</v>
      </c>
      <c r="AQ342" s="5">
        <v>0</v>
      </c>
      <c r="AR342" s="8">
        <v>0</v>
      </c>
      <c r="AS342" s="6">
        <f t="shared" si="997"/>
        <v>0</v>
      </c>
      <c r="AT342" s="6">
        <f t="shared" si="998"/>
        <v>30</v>
      </c>
      <c r="AU342" s="5">
        <v>0</v>
      </c>
      <c r="AV342" s="5">
        <v>1</v>
      </c>
      <c r="AW342" s="5">
        <v>1</v>
      </c>
      <c r="AX342" s="5">
        <v>1</v>
      </c>
      <c r="AY342" s="5">
        <v>1</v>
      </c>
      <c r="AZ342" s="5">
        <v>101</v>
      </c>
      <c r="BA342" s="5">
        <v>203035</v>
      </c>
      <c r="BB342" s="5">
        <v>0</v>
      </c>
      <c r="BC342" s="5">
        <v>0</v>
      </c>
      <c r="BD342" s="5">
        <v>0</v>
      </c>
      <c r="BE342" s="5">
        <v>0</v>
      </c>
      <c r="BF342" s="23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f t="shared" si="1001"/>
        <v>0</v>
      </c>
      <c r="BM342" s="5">
        <v>0</v>
      </c>
      <c r="BN342" s="5">
        <v>0</v>
      </c>
      <c r="BO342" s="5">
        <v>0</v>
      </c>
      <c r="BP342" s="5">
        <v>0</v>
      </c>
      <c r="BQ342" s="5"/>
      <c r="BR342" s="5"/>
      <c r="BS342" s="4">
        <v>0</v>
      </c>
      <c r="BT342" s="4">
        <f t="shared" si="985"/>
        <v>10</v>
      </c>
      <c r="BU342" s="4">
        <v>0</v>
      </c>
      <c r="BV342" s="4">
        <f t="shared" si="986"/>
        <v>10</v>
      </c>
      <c r="BW342" s="4">
        <f t="shared" si="987"/>
        <v>10</v>
      </c>
      <c r="BX342" s="4">
        <f t="shared" si="988"/>
        <v>0.21999999999999986</v>
      </c>
      <c r="BY342" s="4">
        <f t="shared" si="989"/>
        <v>0.10000000000000003</v>
      </c>
      <c r="BZ342" s="5" t="s">
        <v>585</v>
      </c>
      <c r="CA342" s="5" t="s">
        <v>585</v>
      </c>
      <c r="CB342" s="5" t="s">
        <v>585</v>
      </c>
      <c r="CC342" s="5">
        <v>0</v>
      </c>
      <c r="CD342" s="5">
        <v>2</v>
      </c>
      <c r="CE342" s="5">
        <v>0</v>
      </c>
      <c r="CF342" s="5">
        <v>0</v>
      </c>
      <c r="CG342" s="5" t="s">
        <v>593</v>
      </c>
      <c r="CH342" s="5">
        <v>0</v>
      </c>
      <c r="CI342" s="5">
        <f t="shared" si="1000"/>
        <v>120</v>
      </c>
      <c r="CJ342" s="1">
        <f t="shared" si="993"/>
        <v>1</v>
      </c>
      <c r="CK342" s="20">
        <v>0</v>
      </c>
      <c r="CL342" s="5">
        <v>0</v>
      </c>
      <c r="CM342" s="20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20">
        <v>1.3</v>
      </c>
      <c r="CW342" s="20">
        <v>0.5</v>
      </c>
      <c r="CX342" s="20">
        <v>1.5</v>
      </c>
      <c r="CY342" s="20">
        <v>0.8</v>
      </c>
      <c r="CZ342" s="8">
        <v>1</v>
      </c>
      <c r="DA342" s="6">
        <f t="shared" si="994"/>
        <v>250</v>
      </c>
      <c r="DB342" s="5">
        <v>0</v>
      </c>
      <c r="DC342" s="5">
        <f t="shared" si="999"/>
        <v>0.18124999999999999</v>
      </c>
      <c r="DD342" s="6">
        <f t="shared" si="995"/>
        <v>0.18124999999999999</v>
      </c>
      <c r="DE342" s="6">
        <v>0.25</v>
      </c>
      <c r="DF342" s="5">
        <v>0</v>
      </c>
      <c r="DG342" s="6">
        <v>3</v>
      </c>
      <c r="DH342" s="5"/>
      <c r="DI342" s="5">
        <v>2</v>
      </c>
      <c r="DJ342" s="5">
        <f t="shared" si="984"/>
        <v>60</v>
      </c>
      <c r="DK342" s="8">
        <v>0</v>
      </c>
      <c r="DL342" s="5">
        <f t="shared" si="996"/>
        <v>0</v>
      </c>
      <c r="DM342" s="5" t="str">
        <f t="shared" si="1002"/>
        <v>10级刺毛虫</v>
      </c>
      <c r="DN342" s="5">
        <v>6</v>
      </c>
      <c r="DO342" s="5">
        <v>0</v>
      </c>
      <c r="DP342" s="5">
        <v>0</v>
      </c>
      <c r="DQ342" s="5">
        <v>0</v>
      </c>
      <c r="DR342" s="5">
        <f t="shared" si="990"/>
        <v>2.7</v>
      </c>
      <c r="DS342" s="6">
        <v>3</v>
      </c>
      <c r="DT342" s="5">
        <v>-3</v>
      </c>
      <c r="DU342" s="5">
        <v>-0.5</v>
      </c>
      <c r="DV342" s="6">
        <v>0.35</v>
      </c>
      <c r="DW342" s="5">
        <f t="shared" si="991"/>
        <v>0.16666666666666666</v>
      </c>
      <c r="DX342" s="5">
        <v>2</v>
      </c>
      <c r="DY342" s="5">
        <v>0</v>
      </c>
      <c r="DZ342" s="5">
        <v>0</v>
      </c>
    </row>
    <row r="343" spans="1:131" x14ac:dyDescent="0.15">
      <c r="A343" s="5">
        <v>201341</v>
      </c>
      <c r="B343" s="27" t="s">
        <v>652</v>
      </c>
      <c r="C343" s="27"/>
      <c r="D343" s="27"/>
      <c r="E343" s="27"/>
      <c r="F343" s="5">
        <v>0</v>
      </c>
      <c r="G343" s="45"/>
      <c r="H343" s="5"/>
      <c r="I343" s="5"/>
      <c r="J343" s="5"/>
      <c r="K343" s="5"/>
      <c r="L343" s="10"/>
      <c r="M343" s="5"/>
      <c r="N343" s="10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20"/>
      <c r="AF343" s="5"/>
      <c r="AG343" s="5"/>
      <c r="AH343" s="5"/>
      <c r="AI343" s="5"/>
      <c r="AJ343" s="5"/>
      <c r="AK343" s="5"/>
      <c r="AL343" s="5"/>
      <c r="AM343" s="5"/>
      <c r="AN343" s="8"/>
      <c r="AO343" s="5">
        <v>0</v>
      </c>
      <c r="AP343" s="27" t="s">
        <v>652</v>
      </c>
      <c r="AQ343" s="5">
        <v>0</v>
      </c>
      <c r="AR343" s="8">
        <v>1</v>
      </c>
      <c r="AS343" s="6">
        <f t="shared" si="997"/>
        <v>3</v>
      </c>
      <c r="AT343" s="6">
        <f t="shared" si="998"/>
        <v>6</v>
      </c>
      <c r="AU343" s="5">
        <v>0</v>
      </c>
      <c r="AV343" s="5">
        <v>1</v>
      </c>
      <c r="AW343" s="6">
        <v>1</v>
      </c>
      <c r="AX343" s="6">
        <v>1</v>
      </c>
      <c r="AY343" s="6">
        <v>1</v>
      </c>
      <c r="AZ343" s="5">
        <v>201341</v>
      </c>
      <c r="BA343" s="5">
        <v>203036</v>
      </c>
      <c r="BB343" s="5">
        <v>0</v>
      </c>
      <c r="BC343" s="5">
        <v>0</v>
      </c>
      <c r="BD343" s="5">
        <v>0</v>
      </c>
      <c r="BE343" s="5">
        <v>615001</v>
      </c>
      <c r="BF343" s="23">
        <v>180</v>
      </c>
      <c r="BG343" s="5">
        <v>0</v>
      </c>
      <c r="BH343" s="5">
        <v>0</v>
      </c>
      <c r="BI343" s="5">
        <v>0</v>
      </c>
      <c r="BJ343" s="5">
        <f>BT343*9</f>
        <v>9</v>
      </c>
      <c r="BK343" s="5">
        <f>BT343*9</f>
        <v>9</v>
      </c>
      <c r="BL343" s="5">
        <v>1</v>
      </c>
      <c r="BM343" s="5">
        <v>30</v>
      </c>
      <c r="BN343" s="5">
        <v>180</v>
      </c>
      <c r="BO343" s="5">
        <v>108006</v>
      </c>
      <c r="BP343" s="5">
        <v>2</v>
      </c>
      <c r="BQ343" s="5">
        <v>2</v>
      </c>
      <c r="BR343" s="5">
        <f>50*BT343*3-360/BM343*BJ343*BQ343</f>
        <v>-66</v>
      </c>
      <c r="BS343" s="4">
        <v>2</v>
      </c>
      <c r="BT343" s="4">
        <v>1</v>
      </c>
      <c r="BU343" s="4">
        <v>0</v>
      </c>
      <c r="BV343" s="4">
        <f t="shared" ref="BV343" si="1003">BT343</f>
        <v>1</v>
      </c>
      <c r="BW343" s="4">
        <f t="shared" ref="BW343" si="1004">BT343</f>
        <v>1</v>
      </c>
      <c r="BX343" s="14">
        <f t="shared" ref="BX343" si="1005">0.85-(BT343-1)*0.07</f>
        <v>0.85</v>
      </c>
      <c r="BY343" s="14">
        <f t="shared" ref="BY343:BY402" si="1006">0.55-(BT343-1)*0.05</f>
        <v>0.55000000000000004</v>
      </c>
      <c r="BZ343" s="27" t="s">
        <v>682</v>
      </c>
      <c r="CA343" s="27" t="s">
        <v>683</v>
      </c>
      <c r="CB343" s="27" t="s">
        <v>683</v>
      </c>
      <c r="CC343" s="5">
        <v>0</v>
      </c>
      <c r="CD343" s="5">
        <v>1</v>
      </c>
      <c r="CE343" s="5">
        <f t="shared" ref="CE343:CE392" si="1007">BT343*CF343</f>
        <v>0</v>
      </c>
      <c r="CF343" s="5">
        <v>0</v>
      </c>
      <c r="CG343" s="6" t="str">
        <f t="shared" ref="CG343:CG406" si="1008">B343</f>
        <v>1级红宝石史莱姆</v>
      </c>
      <c r="CH343" s="5">
        <v>3</v>
      </c>
      <c r="CI343" s="5">
        <v>0</v>
      </c>
      <c r="CJ343" s="4">
        <v>0</v>
      </c>
      <c r="CK343" s="5">
        <v>0</v>
      </c>
      <c r="CL343" s="5">
        <v>0</v>
      </c>
      <c r="CM343" s="20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0</v>
      </c>
      <c r="CV343" s="10">
        <v>0.8</v>
      </c>
      <c r="CW343" s="10">
        <v>0.6</v>
      </c>
      <c r="CX343" s="10">
        <v>1</v>
      </c>
      <c r="CY343" s="10">
        <v>1</v>
      </c>
      <c r="CZ343" s="8">
        <v>1</v>
      </c>
      <c r="DA343" s="6">
        <f t="shared" si="994"/>
        <v>25</v>
      </c>
      <c r="DB343" s="5">
        <v>0</v>
      </c>
      <c r="DC343" s="5">
        <f t="shared" si="999"/>
        <v>0.125</v>
      </c>
      <c r="DD343" s="6">
        <f t="shared" si="995"/>
        <v>0.125</v>
      </c>
      <c r="DE343" s="6">
        <v>0.25</v>
      </c>
      <c r="DF343" s="5">
        <v>0</v>
      </c>
      <c r="DG343" s="6">
        <f t="shared" ref="DG343" si="1009">DH343+1</f>
        <v>2.5</v>
      </c>
      <c r="DH343" s="5">
        <v>1.5</v>
      </c>
      <c r="DI343" s="8">
        <v>0</v>
      </c>
      <c r="DJ343" s="5">
        <f t="shared" si="984"/>
        <v>0</v>
      </c>
      <c r="DK343" s="8">
        <v>0</v>
      </c>
      <c r="DL343" s="5">
        <f t="shared" si="996"/>
        <v>0</v>
      </c>
      <c r="DM343" s="27" t="str">
        <f t="shared" si="1002"/>
        <v>1级红宝石史莱姆</v>
      </c>
      <c r="DN343" s="5">
        <v>6</v>
      </c>
      <c r="DO343" s="5">
        <v>0</v>
      </c>
      <c r="DP343" s="5">
        <v>0</v>
      </c>
      <c r="DQ343" s="5">
        <v>0</v>
      </c>
      <c r="DR343" s="5">
        <f t="shared" si="990"/>
        <v>0.9</v>
      </c>
      <c r="DS343" s="6">
        <v>1</v>
      </c>
      <c r="DT343" s="5">
        <v>-0.5</v>
      </c>
      <c r="DU343" s="5">
        <v>0.5</v>
      </c>
      <c r="DV343" s="6">
        <v>0.5</v>
      </c>
      <c r="DW343" s="5">
        <f t="shared" si="991"/>
        <v>0.75</v>
      </c>
      <c r="DX343" s="5">
        <v>9</v>
      </c>
      <c r="DY343" s="5">
        <f t="shared" ref="DY343" si="1010">DZ343/12</f>
        <v>0</v>
      </c>
      <c r="DZ343" s="5">
        <v>0</v>
      </c>
      <c r="EA343" s="5"/>
    </row>
    <row r="344" spans="1:131" x14ac:dyDescent="0.15">
      <c r="A344" s="5">
        <v>201342</v>
      </c>
      <c r="B344" s="27" t="s">
        <v>653</v>
      </c>
      <c r="C344" s="27"/>
      <c r="D344" s="27"/>
      <c r="E344" s="27"/>
      <c r="F344" s="5">
        <v>0</v>
      </c>
      <c r="G344" s="45"/>
      <c r="H344" s="5"/>
      <c r="I344" s="5"/>
      <c r="J344" s="5"/>
      <c r="K344" s="5"/>
      <c r="L344" s="10"/>
      <c r="M344" s="5"/>
      <c r="N344" s="10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20"/>
      <c r="AF344" s="5"/>
      <c r="AG344" s="5"/>
      <c r="AH344" s="5"/>
      <c r="AI344" s="5"/>
      <c r="AJ344" s="5"/>
      <c r="AK344" s="5"/>
      <c r="AL344" s="5"/>
      <c r="AM344" s="5"/>
      <c r="AN344" s="8"/>
      <c r="AO344" s="5">
        <v>0</v>
      </c>
      <c r="AP344" s="27" t="s">
        <v>653</v>
      </c>
      <c r="AQ344" s="5">
        <v>0</v>
      </c>
      <c r="AR344" s="8">
        <v>1</v>
      </c>
      <c r="AS344" s="6">
        <f t="shared" si="997"/>
        <v>6</v>
      </c>
      <c r="AT344" s="6">
        <f t="shared" si="998"/>
        <v>12</v>
      </c>
      <c r="AU344" s="5">
        <v>0</v>
      </c>
      <c r="AV344" s="5">
        <v>1</v>
      </c>
      <c r="AW344" s="6">
        <v>1</v>
      </c>
      <c r="AX344" s="6">
        <v>1</v>
      </c>
      <c r="AY344" s="6">
        <v>1</v>
      </c>
      <c r="AZ344" s="5">
        <v>201342</v>
      </c>
      <c r="BA344" s="5">
        <v>203036</v>
      </c>
      <c r="BB344" s="5">
        <v>0</v>
      </c>
      <c r="BC344" s="5">
        <v>0</v>
      </c>
      <c r="BD344" s="5">
        <v>0</v>
      </c>
      <c r="BE344" s="5">
        <v>615001</v>
      </c>
      <c r="BF344" s="23">
        <v>180</v>
      </c>
      <c r="BG344" s="5">
        <v>0</v>
      </c>
      <c r="BH344" s="5">
        <v>0</v>
      </c>
      <c r="BI344" s="5">
        <v>0</v>
      </c>
      <c r="BJ344" s="5">
        <f t="shared" ref="BJ344:BJ372" si="1011">BT344*9</f>
        <v>18</v>
      </c>
      <c r="BK344" s="5">
        <f t="shared" ref="BK344:BK372" si="1012">BT344*9</f>
        <v>18</v>
      </c>
      <c r="BL344" s="5">
        <v>1</v>
      </c>
      <c r="BM344" s="5">
        <v>30</v>
      </c>
      <c r="BN344" s="5">
        <v>180</v>
      </c>
      <c r="BO344" s="5">
        <v>108006</v>
      </c>
      <c r="BP344" s="5"/>
      <c r="BQ344" s="5"/>
      <c r="BR344" s="5"/>
      <c r="BS344" s="4"/>
      <c r="BT344" s="4">
        <v>2</v>
      </c>
      <c r="BU344" s="4">
        <v>0</v>
      </c>
      <c r="BV344" s="4">
        <f t="shared" ref="BV344:BV402" si="1013">BT344</f>
        <v>2</v>
      </c>
      <c r="BW344" s="4">
        <f t="shared" ref="BW344:BW402" si="1014">BT344</f>
        <v>2</v>
      </c>
      <c r="BX344" s="14">
        <f t="shared" ref="BX344:BX402" si="1015">0.85-(BT344-1)*0.07</f>
        <v>0.78</v>
      </c>
      <c r="BY344" s="14">
        <f t="shared" si="1006"/>
        <v>0.5</v>
      </c>
      <c r="BZ344" s="27" t="s">
        <v>682</v>
      </c>
      <c r="CA344" s="27" t="s">
        <v>683</v>
      </c>
      <c r="CB344" s="27" t="s">
        <v>683</v>
      </c>
      <c r="CC344" s="5">
        <v>0</v>
      </c>
      <c r="CD344" s="5">
        <v>1</v>
      </c>
      <c r="CE344" s="5">
        <f t="shared" si="1007"/>
        <v>0</v>
      </c>
      <c r="CF344" s="5">
        <v>0</v>
      </c>
      <c r="CG344" s="6" t="str">
        <f t="shared" si="1008"/>
        <v>2级红宝石史莱姆</v>
      </c>
      <c r="CH344" s="5">
        <v>3</v>
      </c>
      <c r="CI344" s="5">
        <v>0</v>
      </c>
      <c r="CJ344" s="4">
        <v>0</v>
      </c>
      <c r="CK344" s="5">
        <v>0</v>
      </c>
      <c r="CL344" s="5">
        <v>0</v>
      </c>
      <c r="CM344" s="20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10">
        <v>0.8</v>
      </c>
      <c r="CW344" s="10">
        <v>0.6</v>
      </c>
      <c r="CX344" s="10">
        <v>1</v>
      </c>
      <c r="CY344" s="10">
        <v>1</v>
      </c>
      <c r="CZ344" s="8">
        <v>1</v>
      </c>
      <c r="DA344" s="6">
        <f t="shared" ref="DA344:DA407" si="1016">CZ344*25*BV344</f>
        <v>50</v>
      </c>
      <c r="DB344" s="5">
        <v>0</v>
      </c>
      <c r="DC344" s="5">
        <f t="shared" si="999"/>
        <v>0.13125000000000001</v>
      </c>
      <c r="DD344" s="6">
        <f t="shared" ref="DD344:DD382" si="1017">(1+(BT344-1)*0.05)*DE344*0.5</f>
        <v>0.13125000000000001</v>
      </c>
      <c r="DE344" s="6">
        <v>0.25</v>
      </c>
      <c r="DF344" s="5">
        <v>0</v>
      </c>
      <c r="DG344" s="6">
        <f t="shared" ref="DG344:DG402" si="1018">DH344+1</f>
        <v>2.5</v>
      </c>
      <c r="DH344" s="5">
        <v>1.5</v>
      </c>
      <c r="DI344" s="8">
        <v>0</v>
      </c>
      <c r="DJ344" s="5">
        <f t="shared" ref="DJ344:DJ383" si="1019">DI344*5*(1+BV344/2)</f>
        <v>0</v>
      </c>
      <c r="DK344" s="8">
        <v>0</v>
      </c>
      <c r="DL344" s="5">
        <f t="shared" si="996"/>
        <v>0</v>
      </c>
      <c r="DM344" s="27" t="str">
        <f t="shared" si="1002"/>
        <v>2级红宝石史莱姆</v>
      </c>
      <c r="DN344" s="5">
        <v>6</v>
      </c>
      <c r="DO344" s="5">
        <v>0</v>
      </c>
      <c r="DP344" s="5">
        <v>0</v>
      </c>
      <c r="DQ344" s="5">
        <v>0</v>
      </c>
      <c r="DR344" s="5">
        <f t="shared" ref="DR344:DR382" si="1020">DS344*0.9</f>
        <v>0.9</v>
      </c>
      <c r="DS344" s="6">
        <v>1</v>
      </c>
      <c r="DT344" s="5">
        <v>-0.5</v>
      </c>
      <c r="DU344" s="5">
        <v>0.5</v>
      </c>
      <c r="DV344" s="6">
        <v>0.5</v>
      </c>
      <c r="DW344" s="5">
        <f t="shared" ref="DW344:DW382" si="1021">DX344/12</f>
        <v>0.75</v>
      </c>
      <c r="DX344" s="5">
        <v>9</v>
      </c>
      <c r="DY344" s="5">
        <f t="shared" ref="DY344:DY382" si="1022">DZ344/12</f>
        <v>0</v>
      </c>
      <c r="DZ344" s="5">
        <v>0</v>
      </c>
    </row>
    <row r="345" spans="1:131" x14ac:dyDescent="0.15">
      <c r="A345" s="5">
        <v>201343</v>
      </c>
      <c r="B345" s="27" t="s">
        <v>654</v>
      </c>
      <c r="C345" s="27"/>
      <c r="D345" s="27"/>
      <c r="E345" s="27"/>
      <c r="F345" s="5">
        <v>0</v>
      </c>
      <c r="G345" s="45"/>
      <c r="H345" s="5"/>
      <c r="I345" s="5"/>
      <c r="J345" s="5"/>
      <c r="K345" s="5"/>
      <c r="L345" s="10"/>
      <c r="M345" s="5"/>
      <c r="N345" s="10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20"/>
      <c r="AF345" s="5"/>
      <c r="AG345" s="5"/>
      <c r="AH345" s="5"/>
      <c r="AI345" s="5"/>
      <c r="AJ345" s="5"/>
      <c r="AK345" s="5"/>
      <c r="AL345" s="5"/>
      <c r="AM345" s="5"/>
      <c r="AN345" s="8"/>
      <c r="AO345" s="5">
        <v>0</v>
      </c>
      <c r="AP345" s="27" t="s">
        <v>654</v>
      </c>
      <c r="AQ345" s="5">
        <v>0</v>
      </c>
      <c r="AR345" s="8">
        <v>1</v>
      </c>
      <c r="AS345" s="6">
        <f t="shared" si="997"/>
        <v>9</v>
      </c>
      <c r="AT345" s="6">
        <f t="shared" si="998"/>
        <v>18</v>
      </c>
      <c r="AU345" s="5">
        <v>0</v>
      </c>
      <c r="AV345" s="5">
        <v>1</v>
      </c>
      <c r="AW345" s="6">
        <v>1</v>
      </c>
      <c r="AX345" s="6">
        <v>1</v>
      </c>
      <c r="AY345" s="6">
        <v>1</v>
      </c>
      <c r="AZ345" s="5">
        <v>201343</v>
      </c>
      <c r="BA345" s="5">
        <v>203036</v>
      </c>
      <c r="BB345" s="5">
        <v>0</v>
      </c>
      <c r="BC345" s="5">
        <v>0</v>
      </c>
      <c r="BD345" s="5">
        <v>0</v>
      </c>
      <c r="BE345" s="5">
        <v>615001</v>
      </c>
      <c r="BF345" s="23">
        <v>180</v>
      </c>
      <c r="BG345" s="5">
        <v>0</v>
      </c>
      <c r="BH345" s="5">
        <v>0</v>
      </c>
      <c r="BI345" s="5">
        <v>0</v>
      </c>
      <c r="BJ345" s="5">
        <f t="shared" si="1011"/>
        <v>27</v>
      </c>
      <c r="BK345" s="5">
        <f t="shared" si="1012"/>
        <v>27</v>
      </c>
      <c r="BL345" s="5">
        <v>1</v>
      </c>
      <c r="BM345" s="5">
        <v>30</v>
      </c>
      <c r="BN345" s="5">
        <v>180</v>
      </c>
      <c r="BO345" s="5">
        <v>108006</v>
      </c>
      <c r="BP345" s="5"/>
      <c r="BQ345" s="5"/>
      <c r="BR345" s="5"/>
      <c r="BS345" s="4"/>
      <c r="BT345" s="4">
        <v>3</v>
      </c>
      <c r="BU345" s="4">
        <v>0</v>
      </c>
      <c r="BV345" s="4">
        <f t="shared" si="1013"/>
        <v>3</v>
      </c>
      <c r="BW345" s="4">
        <f t="shared" si="1014"/>
        <v>3</v>
      </c>
      <c r="BX345" s="14">
        <f t="shared" si="1015"/>
        <v>0.71</v>
      </c>
      <c r="BY345" s="14">
        <f t="shared" si="1006"/>
        <v>0.45000000000000007</v>
      </c>
      <c r="BZ345" s="27" t="s">
        <v>682</v>
      </c>
      <c r="CA345" s="27" t="s">
        <v>683</v>
      </c>
      <c r="CB345" s="27" t="s">
        <v>683</v>
      </c>
      <c r="CC345" s="5">
        <v>0</v>
      </c>
      <c r="CD345" s="5">
        <v>1</v>
      </c>
      <c r="CE345" s="5">
        <f t="shared" si="1007"/>
        <v>0</v>
      </c>
      <c r="CF345" s="5">
        <v>0</v>
      </c>
      <c r="CG345" s="6" t="str">
        <f t="shared" si="1008"/>
        <v>3级红宝石史莱姆</v>
      </c>
      <c r="CH345" s="5">
        <v>3</v>
      </c>
      <c r="CI345" s="5">
        <v>0</v>
      </c>
      <c r="CJ345" s="4">
        <v>0</v>
      </c>
      <c r="CK345" s="5">
        <v>0</v>
      </c>
      <c r="CL345" s="5">
        <v>0</v>
      </c>
      <c r="CM345" s="20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10">
        <v>0.8</v>
      </c>
      <c r="CW345" s="10">
        <v>0.6</v>
      </c>
      <c r="CX345" s="10">
        <v>1</v>
      </c>
      <c r="CY345" s="10">
        <v>1</v>
      </c>
      <c r="CZ345" s="8">
        <v>1</v>
      </c>
      <c r="DA345" s="6">
        <f t="shared" si="1016"/>
        <v>75</v>
      </c>
      <c r="DB345" s="5">
        <v>0</v>
      </c>
      <c r="DC345" s="5">
        <f t="shared" si="999"/>
        <v>0.13750000000000001</v>
      </c>
      <c r="DD345" s="6">
        <f t="shared" si="1017"/>
        <v>0.13750000000000001</v>
      </c>
      <c r="DE345" s="6">
        <v>0.25</v>
      </c>
      <c r="DF345" s="5">
        <v>0</v>
      </c>
      <c r="DG345" s="6">
        <f t="shared" si="1018"/>
        <v>2.5</v>
      </c>
      <c r="DH345" s="5">
        <v>1.5</v>
      </c>
      <c r="DI345" s="8">
        <v>0</v>
      </c>
      <c r="DJ345" s="5">
        <f t="shared" si="1019"/>
        <v>0</v>
      </c>
      <c r="DK345" s="8">
        <v>0</v>
      </c>
      <c r="DL345" s="5">
        <f t="shared" si="996"/>
        <v>0</v>
      </c>
      <c r="DM345" s="27" t="str">
        <f t="shared" si="1002"/>
        <v>3级红宝石史莱姆</v>
      </c>
      <c r="DN345" s="5">
        <v>6</v>
      </c>
      <c r="DO345" s="5">
        <v>0</v>
      </c>
      <c r="DP345" s="5">
        <v>0</v>
      </c>
      <c r="DQ345" s="5">
        <v>0</v>
      </c>
      <c r="DR345" s="5">
        <f t="shared" si="1020"/>
        <v>0.9</v>
      </c>
      <c r="DS345" s="6">
        <v>1</v>
      </c>
      <c r="DT345" s="5">
        <v>-0.5</v>
      </c>
      <c r="DU345" s="5">
        <v>0.5</v>
      </c>
      <c r="DV345" s="6">
        <v>0.5</v>
      </c>
      <c r="DW345" s="5">
        <f t="shared" si="1021"/>
        <v>0.75</v>
      </c>
      <c r="DX345" s="5">
        <v>9</v>
      </c>
      <c r="DY345" s="5">
        <f t="shared" si="1022"/>
        <v>0</v>
      </c>
      <c r="DZ345" s="5">
        <v>0</v>
      </c>
    </row>
    <row r="346" spans="1:131" x14ac:dyDescent="0.15">
      <c r="A346" s="5">
        <v>201344</v>
      </c>
      <c r="B346" s="27" t="s">
        <v>655</v>
      </c>
      <c r="C346" s="27"/>
      <c r="D346" s="27"/>
      <c r="E346" s="27"/>
      <c r="F346" s="5">
        <v>0</v>
      </c>
      <c r="G346" s="45"/>
      <c r="H346" s="5"/>
      <c r="I346" s="5"/>
      <c r="J346" s="5"/>
      <c r="K346" s="5"/>
      <c r="L346" s="10"/>
      <c r="M346" s="5"/>
      <c r="N346" s="10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20"/>
      <c r="AF346" s="5"/>
      <c r="AG346" s="5"/>
      <c r="AH346" s="5"/>
      <c r="AI346" s="5"/>
      <c r="AJ346" s="5"/>
      <c r="AK346" s="5"/>
      <c r="AL346" s="5"/>
      <c r="AM346" s="5"/>
      <c r="AN346" s="8"/>
      <c r="AO346" s="5">
        <v>0</v>
      </c>
      <c r="AP346" s="27" t="s">
        <v>655</v>
      </c>
      <c r="AQ346" s="5">
        <v>0</v>
      </c>
      <c r="AR346" s="8">
        <v>1</v>
      </c>
      <c r="AS346" s="6">
        <f t="shared" si="997"/>
        <v>12</v>
      </c>
      <c r="AT346" s="6">
        <f t="shared" si="998"/>
        <v>24</v>
      </c>
      <c r="AU346" s="5">
        <v>0</v>
      </c>
      <c r="AV346" s="5">
        <v>1</v>
      </c>
      <c r="AW346" s="6">
        <v>1</v>
      </c>
      <c r="AX346" s="6">
        <v>1</v>
      </c>
      <c r="AY346" s="6">
        <v>1</v>
      </c>
      <c r="AZ346" s="5">
        <v>201344</v>
      </c>
      <c r="BA346" s="5">
        <v>203036</v>
      </c>
      <c r="BB346" s="5">
        <v>0</v>
      </c>
      <c r="BC346" s="5">
        <v>0</v>
      </c>
      <c r="BD346" s="5">
        <v>0</v>
      </c>
      <c r="BE346" s="5">
        <v>615001</v>
      </c>
      <c r="BF346" s="23">
        <v>180</v>
      </c>
      <c r="BG346" s="5">
        <v>0</v>
      </c>
      <c r="BH346" s="5">
        <v>0</v>
      </c>
      <c r="BI346" s="5">
        <v>0</v>
      </c>
      <c r="BJ346" s="5">
        <f t="shared" si="1011"/>
        <v>36</v>
      </c>
      <c r="BK346" s="5">
        <f t="shared" si="1012"/>
        <v>36</v>
      </c>
      <c r="BL346" s="5">
        <v>1</v>
      </c>
      <c r="BM346" s="5">
        <v>30</v>
      </c>
      <c r="BN346" s="5">
        <v>180</v>
      </c>
      <c r="BO346" s="5">
        <v>108006</v>
      </c>
      <c r="BP346" s="5"/>
      <c r="BQ346" s="5"/>
      <c r="BR346" s="5"/>
      <c r="BS346" s="4"/>
      <c r="BT346" s="4">
        <v>4</v>
      </c>
      <c r="BU346" s="4">
        <v>0</v>
      </c>
      <c r="BV346" s="4">
        <f t="shared" si="1013"/>
        <v>4</v>
      </c>
      <c r="BW346" s="4">
        <f t="shared" si="1014"/>
        <v>4</v>
      </c>
      <c r="BX346" s="14">
        <f t="shared" si="1015"/>
        <v>0.6399999999999999</v>
      </c>
      <c r="BY346" s="14">
        <f t="shared" si="1006"/>
        <v>0.4</v>
      </c>
      <c r="BZ346" s="27" t="s">
        <v>682</v>
      </c>
      <c r="CA346" s="27" t="s">
        <v>683</v>
      </c>
      <c r="CB346" s="27" t="s">
        <v>683</v>
      </c>
      <c r="CC346" s="5">
        <v>0</v>
      </c>
      <c r="CD346" s="5">
        <v>1</v>
      </c>
      <c r="CE346" s="5">
        <f t="shared" si="1007"/>
        <v>0</v>
      </c>
      <c r="CF346" s="5">
        <v>0</v>
      </c>
      <c r="CG346" s="6" t="str">
        <f t="shared" si="1008"/>
        <v>4级红宝石史莱姆</v>
      </c>
      <c r="CH346" s="5">
        <v>3</v>
      </c>
      <c r="CI346" s="5">
        <v>0</v>
      </c>
      <c r="CJ346" s="4">
        <v>0</v>
      </c>
      <c r="CK346" s="5">
        <v>0</v>
      </c>
      <c r="CL346" s="5">
        <v>0</v>
      </c>
      <c r="CM346" s="20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10">
        <v>0.8</v>
      </c>
      <c r="CW346" s="10">
        <v>0.6</v>
      </c>
      <c r="CX346" s="10">
        <v>1</v>
      </c>
      <c r="CY346" s="10">
        <v>1</v>
      </c>
      <c r="CZ346" s="8">
        <v>1</v>
      </c>
      <c r="DA346" s="6">
        <f t="shared" si="1016"/>
        <v>100</v>
      </c>
      <c r="DB346" s="5">
        <v>0</v>
      </c>
      <c r="DC346" s="5">
        <f t="shared" si="999"/>
        <v>0.14374999999999999</v>
      </c>
      <c r="DD346" s="6">
        <f t="shared" si="1017"/>
        <v>0.14374999999999999</v>
      </c>
      <c r="DE346" s="6">
        <v>0.25</v>
      </c>
      <c r="DF346" s="5">
        <v>0</v>
      </c>
      <c r="DG346" s="6">
        <f t="shared" si="1018"/>
        <v>2.5</v>
      </c>
      <c r="DH346" s="5">
        <v>1.5</v>
      </c>
      <c r="DI346" s="8">
        <v>0</v>
      </c>
      <c r="DJ346" s="5">
        <f t="shared" si="1019"/>
        <v>0</v>
      </c>
      <c r="DK346" s="8">
        <v>0</v>
      </c>
      <c r="DL346" s="5">
        <f t="shared" si="996"/>
        <v>0</v>
      </c>
      <c r="DM346" s="27" t="str">
        <f t="shared" si="1002"/>
        <v>4级红宝石史莱姆</v>
      </c>
      <c r="DN346" s="5">
        <v>6</v>
      </c>
      <c r="DO346" s="5">
        <v>0</v>
      </c>
      <c r="DP346" s="5">
        <v>0</v>
      </c>
      <c r="DQ346" s="5">
        <v>0</v>
      </c>
      <c r="DR346" s="5">
        <f t="shared" si="1020"/>
        <v>0.9</v>
      </c>
      <c r="DS346" s="6">
        <v>1</v>
      </c>
      <c r="DT346" s="5">
        <v>-0.5</v>
      </c>
      <c r="DU346" s="5">
        <v>0.5</v>
      </c>
      <c r="DV346" s="6">
        <v>0.5</v>
      </c>
      <c r="DW346" s="5">
        <f t="shared" si="1021"/>
        <v>0.75</v>
      </c>
      <c r="DX346" s="5">
        <v>9</v>
      </c>
      <c r="DY346" s="5">
        <f t="shared" si="1022"/>
        <v>0</v>
      </c>
      <c r="DZ346" s="5">
        <v>0</v>
      </c>
    </row>
    <row r="347" spans="1:131" x14ac:dyDescent="0.15">
      <c r="A347" s="5">
        <v>201345</v>
      </c>
      <c r="B347" s="27" t="s">
        <v>656</v>
      </c>
      <c r="C347" s="27"/>
      <c r="D347" s="27"/>
      <c r="E347" s="27"/>
      <c r="F347" s="5">
        <v>0</v>
      </c>
      <c r="G347" s="45"/>
      <c r="H347" s="5"/>
      <c r="I347" s="5"/>
      <c r="J347" s="5"/>
      <c r="K347" s="5"/>
      <c r="L347" s="10"/>
      <c r="M347" s="5"/>
      <c r="N347" s="10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20"/>
      <c r="AF347" s="5"/>
      <c r="AG347" s="5"/>
      <c r="AH347" s="5"/>
      <c r="AI347" s="5"/>
      <c r="AJ347" s="5"/>
      <c r="AK347" s="5"/>
      <c r="AL347" s="5"/>
      <c r="AM347" s="5"/>
      <c r="AN347" s="8"/>
      <c r="AO347" s="5">
        <v>0</v>
      </c>
      <c r="AP347" s="27" t="s">
        <v>656</v>
      </c>
      <c r="AQ347" s="5">
        <v>0</v>
      </c>
      <c r="AR347" s="8">
        <v>1</v>
      </c>
      <c r="AS347" s="6">
        <f t="shared" si="997"/>
        <v>15</v>
      </c>
      <c r="AT347" s="6">
        <f t="shared" si="998"/>
        <v>30</v>
      </c>
      <c r="AU347" s="5">
        <v>0</v>
      </c>
      <c r="AV347" s="5">
        <v>1</v>
      </c>
      <c r="AW347" s="6">
        <v>1</v>
      </c>
      <c r="AX347" s="6">
        <v>1</v>
      </c>
      <c r="AY347" s="6">
        <v>1</v>
      </c>
      <c r="AZ347" s="5">
        <v>201345</v>
      </c>
      <c r="BA347" s="5">
        <v>203036</v>
      </c>
      <c r="BB347" s="5">
        <v>0</v>
      </c>
      <c r="BC347" s="5">
        <v>0</v>
      </c>
      <c r="BD347" s="5">
        <v>0</v>
      </c>
      <c r="BE347" s="5">
        <v>615001</v>
      </c>
      <c r="BF347" s="23">
        <v>180</v>
      </c>
      <c r="BG347" s="5">
        <v>0</v>
      </c>
      <c r="BH347" s="5">
        <v>0</v>
      </c>
      <c r="BI347" s="5">
        <v>0</v>
      </c>
      <c r="BJ347" s="5">
        <f t="shared" si="1011"/>
        <v>45</v>
      </c>
      <c r="BK347" s="5">
        <f t="shared" si="1012"/>
        <v>45</v>
      </c>
      <c r="BL347" s="5">
        <v>1</v>
      </c>
      <c r="BM347" s="5">
        <v>30</v>
      </c>
      <c r="BN347" s="5">
        <v>180</v>
      </c>
      <c r="BO347" s="5">
        <v>108006</v>
      </c>
      <c r="BP347" s="5"/>
      <c r="BQ347" s="5"/>
      <c r="BR347" s="5"/>
      <c r="BS347" s="4"/>
      <c r="BT347" s="4">
        <v>5</v>
      </c>
      <c r="BU347" s="4">
        <v>0</v>
      </c>
      <c r="BV347" s="4">
        <f t="shared" si="1013"/>
        <v>5</v>
      </c>
      <c r="BW347" s="4">
        <f t="shared" si="1014"/>
        <v>5</v>
      </c>
      <c r="BX347" s="14">
        <f t="shared" si="1015"/>
        <v>0.56999999999999995</v>
      </c>
      <c r="BY347" s="14">
        <f t="shared" si="1006"/>
        <v>0.35000000000000003</v>
      </c>
      <c r="BZ347" s="27" t="s">
        <v>682</v>
      </c>
      <c r="CA347" s="27" t="s">
        <v>683</v>
      </c>
      <c r="CB347" s="27" t="s">
        <v>683</v>
      </c>
      <c r="CC347" s="5">
        <v>0</v>
      </c>
      <c r="CD347" s="5">
        <v>1</v>
      </c>
      <c r="CE347" s="5">
        <f t="shared" si="1007"/>
        <v>0</v>
      </c>
      <c r="CF347" s="5">
        <v>0</v>
      </c>
      <c r="CG347" s="6" t="str">
        <f t="shared" si="1008"/>
        <v>5级红宝石史莱姆</v>
      </c>
      <c r="CH347" s="5">
        <v>3</v>
      </c>
      <c r="CI347" s="5">
        <v>0</v>
      </c>
      <c r="CJ347" s="4">
        <v>0</v>
      </c>
      <c r="CK347" s="5">
        <v>0</v>
      </c>
      <c r="CL347" s="5">
        <v>0</v>
      </c>
      <c r="CM347" s="20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10">
        <v>0.8</v>
      </c>
      <c r="CW347" s="10">
        <v>0.6</v>
      </c>
      <c r="CX347" s="10">
        <v>1</v>
      </c>
      <c r="CY347" s="10">
        <v>1</v>
      </c>
      <c r="CZ347" s="8">
        <v>1</v>
      </c>
      <c r="DA347" s="6">
        <f t="shared" si="1016"/>
        <v>125</v>
      </c>
      <c r="DB347" s="5">
        <v>0</v>
      </c>
      <c r="DC347" s="5">
        <f t="shared" si="999"/>
        <v>0.15</v>
      </c>
      <c r="DD347" s="6">
        <f t="shared" si="1017"/>
        <v>0.15</v>
      </c>
      <c r="DE347" s="6">
        <v>0.25</v>
      </c>
      <c r="DF347" s="5">
        <v>0</v>
      </c>
      <c r="DG347" s="6">
        <f t="shared" si="1018"/>
        <v>2.5</v>
      </c>
      <c r="DH347" s="5">
        <v>1.5</v>
      </c>
      <c r="DI347" s="8">
        <v>0</v>
      </c>
      <c r="DJ347" s="5">
        <f t="shared" si="1019"/>
        <v>0</v>
      </c>
      <c r="DK347" s="8">
        <v>0</v>
      </c>
      <c r="DL347" s="5">
        <f t="shared" si="996"/>
        <v>0</v>
      </c>
      <c r="DM347" s="27" t="str">
        <f t="shared" si="1002"/>
        <v>5级红宝石史莱姆</v>
      </c>
      <c r="DN347" s="5">
        <v>6</v>
      </c>
      <c r="DO347" s="5">
        <v>0</v>
      </c>
      <c r="DP347" s="5">
        <v>0</v>
      </c>
      <c r="DQ347" s="5">
        <v>0</v>
      </c>
      <c r="DR347" s="5">
        <f t="shared" si="1020"/>
        <v>0.9</v>
      </c>
      <c r="DS347" s="6">
        <v>1</v>
      </c>
      <c r="DT347" s="5">
        <v>-0.5</v>
      </c>
      <c r="DU347" s="5">
        <v>0.5</v>
      </c>
      <c r="DV347" s="6">
        <v>0.5</v>
      </c>
      <c r="DW347" s="5">
        <f t="shared" si="1021"/>
        <v>0.75</v>
      </c>
      <c r="DX347" s="5">
        <v>9</v>
      </c>
      <c r="DY347" s="5">
        <f t="shared" si="1022"/>
        <v>0</v>
      </c>
      <c r="DZ347" s="5">
        <v>0</v>
      </c>
    </row>
    <row r="348" spans="1:131" x14ac:dyDescent="0.15">
      <c r="A348" s="5">
        <v>201346</v>
      </c>
      <c r="B348" s="27" t="s">
        <v>657</v>
      </c>
      <c r="C348" s="27"/>
      <c r="D348" s="27"/>
      <c r="E348" s="27"/>
      <c r="F348" s="5">
        <v>0</v>
      </c>
      <c r="G348" s="45"/>
      <c r="H348" s="5"/>
      <c r="I348" s="5"/>
      <c r="J348" s="5"/>
      <c r="K348" s="5"/>
      <c r="L348" s="10"/>
      <c r="M348" s="5"/>
      <c r="N348" s="10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20"/>
      <c r="AF348" s="5"/>
      <c r="AG348" s="5"/>
      <c r="AH348" s="5"/>
      <c r="AI348" s="5"/>
      <c r="AJ348" s="5"/>
      <c r="AK348" s="5"/>
      <c r="AL348" s="5"/>
      <c r="AM348" s="5"/>
      <c r="AN348" s="8"/>
      <c r="AO348" s="5">
        <v>0</v>
      </c>
      <c r="AP348" s="27" t="s">
        <v>657</v>
      </c>
      <c r="AQ348" s="5">
        <v>0</v>
      </c>
      <c r="AR348" s="8">
        <v>1</v>
      </c>
      <c r="AS348" s="6">
        <f t="shared" si="997"/>
        <v>18</v>
      </c>
      <c r="AT348" s="6">
        <f t="shared" si="998"/>
        <v>36</v>
      </c>
      <c r="AU348" s="5">
        <v>0</v>
      </c>
      <c r="AV348" s="5">
        <v>1</v>
      </c>
      <c r="AW348" s="6">
        <v>1</v>
      </c>
      <c r="AX348" s="6">
        <v>1</v>
      </c>
      <c r="AY348" s="6">
        <v>1</v>
      </c>
      <c r="AZ348" s="5">
        <v>201346</v>
      </c>
      <c r="BA348" s="5">
        <v>203036</v>
      </c>
      <c r="BB348" s="5">
        <v>0</v>
      </c>
      <c r="BC348" s="5">
        <v>0</v>
      </c>
      <c r="BD348" s="5">
        <v>0</v>
      </c>
      <c r="BE348" s="5">
        <v>615001</v>
      </c>
      <c r="BF348" s="23">
        <v>180</v>
      </c>
      <c r="BG348" s="5">
        <v>0</v>
      </c>
      <c r="BH348" s="5">
        <v>0</v>
      </c>
      <c r="BI348" s="5">
        <v>0</v>
      </c>
      <c r="BJ348" s="5">
        <f t="shared" si="1011"/>
        <v>54</v>
      </c>
      <c r="BK348" s="5">
        <f t="shared" si="1012"/>
        <v>54</v>
      </c>
      <c r="BL348" s="5">
        <v>1</v>
      </c>
      <c r="BM348" s="5">
        <v>30</v>
      </c>
      <c r="BN348" s="5">
        <v>180</v>
      </c>
      <c r="BO348" s="5">
        <v>108006</v>
      </c>
      <c r="BP348" s="5"/>
      <c r="BQ348" s="5"/>
      <c r="BR348" s="5"/>
      <c r="BS348" s="4"/>
      <c r="BT348" s="4">
        <v>6</v>
      </c>
      <c r="BU348" s="4">
        <v>0</v>
      </c>
      <c r="BV348" s="4">
        <f t="shared" si="1013"/>
        <v>6</v>
      </c>
      <c r="BW348" s="4">
        <f t="shared" si="1014"/>
        <v>6</v>
      </c>
      <c r="BX348" s="14">
        <f t="shared" si="1015"/>
        <v>0.49999999999999994</v>
      </c>
      <c r="BY348" s="14">
        <f t="shared" si="1006"/>
        <v>0.30000000000000004</v>
      </c>
      <c r="BZ348" s="27" t="s">
        <v>682</v>
      </c>
      <c r="CA348" s="27" t="s">
        <v>683</v>
      </c>
      <c r="CB348" s="27" t="s">
        <v>683</v>
      </c>
      <c r="CC348" s="5">
        <v>0</v>
      </c>
      <c r="CD348" s="5">
        <v>1</v>
      </c>
      <c r="CE348" s="5">
        <f t="shared" si="1007"/>
        <v>0</v>
      </c>
      <c r="CF348" s="5">
        <v>0</v>
      </c>
      <c r="CG348" s="6" t="str">
        <f t="shared" si="1008"/>
        <v>6级红宝石史莱姆</v>
      </c>
      <c r="CH348" s="5">
        <v>3</v>
      </c>
      <c r="CI348" s="5">
        <v>0</v>
      </c>
      <c r="CJ348" s="4">
        <v>0</v>
      </c>
      <c r="CK348" s="5">
        <v>0</v>
      </c>
      <c r="CL348" s="5">
        <v>0</v>
      </c>
      <c r="CM348" s="20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10">
        <v>0.8</v>
      </c>
      <c r="CW348" s="10">
        <v>0.6</v>
      </c>
      <c r="CX348" s="10">
        <v>1</v>
      </c>
      <c r="CY348" s="10">
        <v>1</v>
      </c>
      <c r="CZ348" s="8">
        <v>1</v>
      </c>
      <c r="DA348" s="6">
        <f t="shared" si="1016"/>
        <v>150</v>
      </c>
      <c r="DB348" s="5">
        <v>0</v>
      </c>
      <c r="DC348" s="5">
        <f t="shared" si="999"/>
        <v>0.15625</v>
      </c>
      <c r="DD348" s="6">
        <f t="shared" si="1017"/>
        <v>0.15625</v>
      </c>
      <c r="DE348" s="6">
        <v>0.25</v>
      </c>
      <c r="DF348" s="5">
        <v>0</v>
      </c>
      <c r="DG348" s="6">
        <f t="shared" si="1018"/>
        <v>2.5</v>
      </c>
      <c r="DH348" s="5">
        <v>1.5</v>
      </c>
      <c r="DI348" s="8">
        <v>0</v>
      </c>
      <c r="DJ348" s="5">
        <f t="shared" si="1019"/>
        <v>0</v>
      </c>
      <c r="DK348" s="8">
        <v>0</v>
      </c>
      <c r="DL348" s="5">
        <f t="shared" si="996"/>
        <v>0</v>
      </c>
      <c r="DM348" s="27" t="str">
        <f t="shared" si="1002"/>
        <v>6级红宝石史莱姆</v>
      </c>
      <c r="DN348" s="5">
        <v>6</v>
      </c>
      <c r="DO348" s="5">
        <v>0</v>
      </c>
      <c r="DP348" s="5">
        <v>0</v>
      </c>
      <c r="DQ348" s="5">
        <v>0</v>
      </c>
      <c r="DR348" s="5">
        <f t="shared" si="1020"/>
        <v>0.9</v>
      </c>
      <c r="DS348" s="6">
        <v>1</v>
      </c>
      <c r="DT348" s="5">
        <v>-0.5</v>
      </c>
      <c r="DU348" s="5">
        <v>0.5</v>
      </c>
      <c r="DV348" s="6">
        <v>0.5</v>
      </c>
      <c r="DW348" s="5">
        <f t="shared" si="1021"/>
        <v>0.75</v>
      </c>
      <c r="DX348" s="5">
        <v>9</v>
      </c>
      <c r="DY348" s="5">
        <f t="shared" si="1022"/>
        <v>0</v>
      </c>
      <c r="DZ348" s="5">
        <v>0</v>
      </c>
    </row>
    <row r="349" spans="1:131" x14ac:dyDescent="0.15">
      <c r="A349" s="5">
        <v>201347</v>
      </c>
      <c r="B349" s="27" t="s">
        <v>658</v>
      </c>
      <c r="C349" s="27"/>
      <c r="D349" s="27"/>
      <c r="E349" s="27"/>
      <c r="F349" s="5">
        <v>0</v>
      </c>
      <c r="G349" s="45"/>
      <c r="H349" s="5"/>
      <c r="I349" s="5"/>
      <c r="J349" s="5"/>
      <c r="K349" s="5"/>
      <c r="L349" s="10"/>
      <c r="M349" s="5"/>
      <c r="N349" s="10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20"/>
      <c r="AF349" s="5"/>
      <c r="AG349" s="5"/>
      <c r="AH349" s="5"/>
      <c r="AI349" s="5"/>
      <c r="AJ349" s="5"/>
      <c r="AK349" s="5"/>
      <c r="AL349" s="5"/>
      <c r="AM349" s="5"/>
      <c r="AN349" s="8"/>
      <c r="AO349" s="5">
        <v>0</v>
      </c>
      <c r="AP349" s="27" t="s">
        <v>658</v>
      </c>
      <c r="AQ349" s="5">
        <v>0</v>
      </c>
      <c r="AR349" s="8">
        <v>1</v>
      </c>
      <c r="AS349" s="6">
        <f t="shared" si="997"/>
        <v>21</v>
      </c>
      <c r="AT349" s="6">
        <f t="shared" si="998"/>
        <v>42</v>
      </c>
      <c r="AU349" s="5">
        <v>0</v>
      </c>
      <c r="AV349" s="5">
        <v>1</v>
      </c>
      <c r="AW349" s="6">
        <v>1</v>
      </c>
      <c r="AX349" s="6">
        <v>1</v>
      </c>
      <c r="AY349" s="6">
        <v>1</v>
      </c>
      <c r="AZ349" s="5">
        <v>201347</v>
      </c>
      <c r="BA349" s="5">
        <v>203036</v>
      </c>
      <c r="BB349" s="5">
        <v>0</v>
      </c>
      <c r="BC349" s="5">
        <v>0</v>
      </c>
      <c r="BD349" s="5">
        <v>0</v>
      </c>
      <c r="BE349" s="5">
        <v>615001</v>
      </c>
      <c r="BF349" s="23">
        <v>180</v>
      </c>
      <c r="BG349" s="5">
        <v>0</v>
      </c>
      <c r="BH349" s="5">
        <v>0</v>
      </c>
      <c r="BI349" s="5">
        <v>0</v>
      </c>
      <c r="BJ349" s="5">
        <f t="shared" si="1011"/>
        <v>63</v>
      </c>
      <c r="BK349" s="5">
        <f t="shared" si="1012"/>
        <v>63</v>
      </c>
      <c r="BL349" s="5">
        <v>1</v>
      </c>
      <c r="BM349" s="5">
        <v>30</v>
      </c>
      <c r="BN349" s="5">
        <v>180</v>
      </c>
      <c r="BO349" s="5">
        <v>108006</v>
      </c>
      <c r="BP349" s="5"/>
      <c r="BQ349" s="5"/>
      <c r="BR349" s="5"/>
      <c r="BS349" s="4"/>
      <c r="BT349" s="4">
        <v>7</v>
      </c>
      <c r="BU349" s="4">
        <v>0</v>
      </c>
      <c r="BV349" s="4">
        <f t="shared" si="1013"/>
        <v>7</v>
      </c>
      <c r="BW349" s="4">
        <f t="shared" si="1014"/>
        <v>7</v>
      </c>
      <c r="BX349" s="14">
        <f t="shared" si="1015"/>
        <v>0.42999999999999994</v>
      </c>
      <c r="BY349" s="14">
        <f t="shared" si="1006"/>
        <v>0.25</v>
      </c>
      <c r="BZ349" s="27" t="s">
        <v>682</v>
      </c>
      <c r="CA349" s="27" t="s">
        <v>683</v>
      </c>
      <c r="CB349" s="27" t="s">
        <v>683</v>
      </c>
      <c r="CC349" s="5">
        <v>0</v>
      </c>
      <c r="CD349" s="5">
        <v>1</v>
      </c>
      <c r="CE349" s="5">
        <f t="shared" si="1007"/>
        <v>0</v>
      </c>
      <c r="CF349" s="5">
        <v>0</v>
      </c>
      <c r="CG349" s="6" t="str">
        <f t="shared" si="1008"/>
        <v>7级红宝石史莱姆</v>
      </c>
      <c r="CH349" s="5">
        <v>3</v>
      </c>
      <c r="CI349" s="5">
        <v>0</v>
      </c>
      <c r="CJ349" s="4">
        <v>0</v>
      </c>
      <c r="CK349" s="5">
        <v>0</v>
      </c>
      <c r="CL349" s="5">
        <v>0</v>
      </c>
      <c r="CM349" s="20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10">
        <v>0.8</v>
      </c>
      <c r="CW349" s="10">
        <v>0.6</v>
      </c>
      <c r="CX349" s="10">
        <v>1</v>
      </c>
      <c r="CY349" s="10">
        <v>1</v>
      </c>
      <c r="CZ349" s="8">
        <v>1</v>
      </c>
      <c r="DA349" s="6">
        <f t="shared" si="1016"/>
        <v>175</v>
      </c>
      <c r="DB349" s="5">
        <v>0</v>
      </c>
      <c r="DC349" s="5">
        <f t="shared" si="999"/>
        <v>0.16250000000000001</v>
      </c>
      <c r="DD349" s="6">
        <f t="shared" si="1017"/>
        <v>0.16250000000000001</v>
      </c>
      <c r="DE349" s="6">
        <v>0.25</v>
      </c>
      <c r="DF349" s="5">
        <v>0</v>
      </c>
      <c r="DG349" s="6">
        <f t="shared" si="1018"/>
        <v>2.5</v>
      </c>
      <c r="DH349" s="5">
        <v>1.5</v>
      </c>
      <c r="DI349" s="8">
        <v>0</v>
      </c>
      <c r="DJ349" s="5">
        <f t="shared" si="1019"/>
        <v>0</v>
      </c>
      <c r="DK349" s="8">
        <v>0</v>
      </c>
      <c r="DL349" s="5">
        <f t="shared" si="996"/>
        <v>0</v>
      </c>
      <c r="DM349" s="27" t="str">
        <f t="shared" si="1002"/>
        <v>7级红宝石史莱姆</v>
      </c>
      <c r="DN349" s="5">
        <v>6</v>
      </c>
      <c r="DO349" s="5">
        <v>0</v>
      </c>
      <c r="DP349" s="5">
        <v>0</v>
      </c>
      <c r="DQ349" s="5">
        <v>0</v>
      </c>
      <c r="DR349" s="5">
        <f t="shared" si="1020"/>
        <v>0.9</v>
      </c>
      <c r="DS349" s="6">
        <v>1</v>
      </c>
      <c r="DT349" s="5">
        <v>-0.5</v>
      </c>
      <c r="DU349" s="5">
        <v>0.5</v>
      </c>
      <c r="DV349" s="6">
        <v>0.5</v>
      </c>
      <c r="DW349" s="5">
        <f t="shared" si="1021"/>
        <v>0.75</v>
      </c>
      <c r="DX349" s="5">
        <v>9</v>
      </c>
      <c r="DY349" s="5">
        <f t="shared" si="1022"/>
        <v>0</v>
      </c>
      <c r="DZ349" s="5">
        <v>0</v>
      </c>
    </row>
    <row r="350" spans="1:131" x14ac:dyDescent="0.15">
      <c r="A350" s="5">
        <v>201348</v>
      </c>
      <c r="B350" s="27" t="s">
        <v>659</v>
      </c>
      <c r="C350" s="27"/>
      <c r="D350" s="27"/>
      <c r="E350" s="27"/>
      <c r="F350" s="5">
        <v>0</v>
      </c>
      <c r="G350" s="45"/>
      <c r="H350" s="5"/>
      <c r="I350" s="5"/>
      <c r="J350" s="5"/>
      <c r="K350" s="5"/>
      <c r="L350" s="10"/>
      <c r="M350" s="5"/>
      <c r="N350" s="10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20"/>
      <c r="AF350" s="5"/>
      <c r="AG350" s="5"/>
      <c r="AH350" s="5"/>
      <c r="AI350" s="5"/>
      <c r="AJ350" s="5"/>
      <c r="AK350" s="5"/>
      <c r="AL350" s="5"/>
      <c r="AM350" s="5"/>
      <c r="AN350" s="8"/>
      <c r="AO350" s="5">
        <v>0</v>
      </c>
      <c r="AP350" s="27" t="s">
        <v>659</v>
      </c>
      <c r="AQ350" s="5">
        <v>0</v>
      </c>
      <c r="AR350" s="8">
        <v>1</v>
      </c>
      <c r="AS350" s="6">
        <f t="shared" si="997"/>
        <v>24</v>
      </c>
      <c r="AT350" s="6">
        <f t="shared" si="998"/>
        <v>48</v>
      </c>
      <c r="AU350" s="5">
        <v>0</v>
      </c>
      <c r="AV350" s="5">
        <v>1</v>
      </c>
      <c r="AW350" s="6">
        <v>1</v>
      </c>
      <c r="AX350" s="6">
        <v>1</v>
      </c>
      <c r="AY350" s="6">
        <v>1</v>
      </c>
      <c r="AZ350" s="5">
        <v>201348</v>
      </c>
      <c r="BA350" s="5">
        <v>203036</v>
      </c>
      <c r="BB350" s="5">
        <v>0</v>
      </c>
      <c r="BC350" s="5">
        <v>0</v>
      </c>
      <c r="BD350" s="5">
        <v>0</v>
      </c>
      <c r="BE350" s="5">
        <v>615001</v>
      </c>
      <c r="BF350" s="23">
        <v>180</v>
      </c>
      <c r="BG350" s="5">
        <v>0</v>
      </c>
      <c r="BH350" s="5">
        <v>0</v>
      </c>
      <c r="BI350" s="5">
        <v>0</v>
      </c>
      <c r="BJ350" s="5">
        <f t="shared" si="1011"/>
        <v>72</v>
      </c>
      <c r="BK350" s="5">
        <f t="shared" si="1012"/>
        <v>72</v>
      </c>
      <c r="BL350" s="5">
        <v>1</v>
      </c>
      <c r="BM350" s="5">
        <v>30</v>
      </c>
      <c r="BN350" s="5">
        <v>180</v>
      </c>
      <c r="BO350" s="5">
        <v>108006</v>
      </c>
      <c r="BP350" s="5"/>
      <c r="BQ350" s="5"/>
      <c r="BR350" s="5"/>
      <c r="BS350" s="4"/>
      <c r="BT350" s="4">
        <v>8</v>
      </c>
      <c r="BU350" s="4">
        <v>0</v>
      </c>
      <c r="BV350" s="4">
        <f t="shared" si="1013"/>
        <v>8</v>
      </c>
      <c r="BW350" s="4">
        <f t="shared" si="1014"/>
        <v>8</v>
      </c>
      <c r="BX350" s="14">
        <f t="shared" si="1015"/>
        <v>0.35999999999999993</v>
      </c>
      <c r="BY350" s="14">
        <f t="shared" si="1006"/>
        <v>0.2</v>
      </c>
      <c r="BZ350" s="27" t="s">
        <v>682</v>
      </c>
      <c r="CA350" s="27" t="s">
        <v>683</v>
      </c>
      <c r="CB350" s="27" t="s">
        <v>683</v>
      </c>
      <c r="CC350" s="5">
        <v>0</v>
      </c>
      <c r="CD350" s="5">
        <v>1</v>
      </c>
      <c r="CE350" s="5">
        <f t="shared" si="1007"/>
        <v>0</v>
      </c>
      <c r="CF350" s="5">
        <v>0</v>
      </c>
      <c r="CG350" s="6" t="str">
        <f t="shared" si="1008"/>
        <v>8级红宝石史莱姆</v>
      </c>
      <c r="CH350" s="5">
        <v>3</v>
      </c>
      <c r="CI350" s="5">
        <v>0</v>
      </c>
      <c r="CJ350" s="4">
        <v>0</v>
      </c>
      <c r="CK350" s="5">
        <v>0</v>
      </c>
      <c r="CL350" s="5">
        <v>0</v>
      </c>
      <c r="CM350" s="20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10">
        <v>0.8</v>
      </c>
      <c r="CW350" s="10">
        <v>0.6</v>
      </c>
      <c r="CX350" s="10">
        <v>1</v>
      </c>
      <c r="CY350" s="10">
        <v>1</v>
      </c>
      <c r="CZ350" s="8">
        <v>1</v>
      </c>
      <c r="DA350" s="6">
        <f t="shared" si="1016"/>
        <v>200</v>
      </c>
      <c r="DB350" s="5">
        <v>0</v>
      </c>
      <c r="DC350" s="5">
        <f t="shared" si="999"/>
        <v>0.16875000000000001</v>
      </c>
      <c r="DD350" s="6">
        <f t="shared" si="1017"/>
        <v>0.16875000000000001</v>
      </c>
      <c r="DE350" s="6">
        <v>0.25</v>
      </c>
      <c r="DF350" s="5">
        <v>0</v>
      </c>
      <c r="DG350" s="6">
        <f t="shared" si="1018"/>
        <v>2.5</v>
      </c>
      <c r="DH350" s="5">
        <v>1.5</v>
      </c>
      <c r="DI350" s="8">
        <v>0</v>
      </c>
      <c r="DJ350" s="5">
        <f t="shared" si="1019"/>
        <v>0</v>
      </c>
      <c r="DK350" s="8">
        <v>0</v>
      </c>
      <c r="DL350" s="5">
        <f t="shared" si="996"/>
        <v>0</v>
      </c>
      <c r="DM350" s="27" t="str">
        <f t="shared" si="1002"/>
        <v>8级红宝石史莱姆</v>
      </c>
      <c r="DN350" s="5">
        <v>6</v>
      </c>
      <c r="DO350" s="5">
        <v>0</v>
      </c>
      <c r="DP350" s="5">
        <v>0</v>
      </c>
      <c r="DQ350" s="5">
        <v>0</v>
      </c>
      <c r="DR350" s="5">
        <f t="shared" si="1020"/>
        <v>0.9</v>
      </c>
      <c r="DS350" s="6">
        <v>1</v>
      </c>
      <c r="DT350" s="5">
        <v>-0.5</v>
      </c>
      <c r="DU350" s="5">
        <v>0.5</v>
      </c>
      <c r="DV350" s="6">
        <v>0.5</v>
      </c>
      <c r="DW350" s="5">
        <f t="shared" si="1021"/>
        <v>0.75</v>
      </c>
      <c r="DX350" s="5">
        <v>9</v>
      </c>
      <c r="DY350" s="5">
        <f t="shared" si="1022"/>
        <v>0</v>
      </c>
      <c r="DZ350" s="5">
        <v>0</v>
      </c>
    </row>
    <row r="351" spans="1:131" x14ac:dyDescent="0.15">
      <c r="A351" s="5">
        <v>201349</v>
      </c>
      <c r="B351" s="27" t="s">
        <v>660</v>
      </c>
      <c r="C351" s="27"/>
      <c r="D351" s="27"/>
      <c r="E351" s="27"/>
      <c r="F351" s="5">
        <v>0</v>
      </c>
      <c r="G351" s="45"/>
      <c r="H351" s="5"/>
      <c r="I351" s="5"/>
      <c r="J351" s="5"/>
      <c r="K351" s="5"/>
      <c r="L351" s="10"/>
      <c r="M351" s="5"/>
      <c r="N351" s="10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20"/>
      <c r="AF351" s="5"/>
      <c r="AG351" s="5"/>
      <c r="AH351" s="5"/>
      <c r="AI351" s="5"/>
      <c r="AJ351" s="5"/>
      <c r="AK351" s="5"/>
      <c r="AL351" s="5"/>
      <c r="AM351" s="5"/>
      <c r="AN351" s="8"/>
      <c r="AO351" s="5">
        <v>0</v>
      </c>
      <c r="AP351" s="27" t="s">
        <v>660</v>
      </c>
      <c r="AQ351" s="5">
        <v>0</v>
      </c>
      <c r="AR351" s="8">
        <v>1</v>
      </c>
      <c r="AS351" s="6">
        <f t="shared" si="997"/>
        <v>27</v>
      </c>
      <c r="AT351" s="6">
        <f t="shared" si="998"/>
        <v>54</v>
      </c>
      <c r="AU351" s="5">
        <v>0</v>
      </c>
      <c r="AV351" s="5">
        <v>1</v>
      </c>
      <c r="AW351" s="6">
        <v>1</v>
      </c>
      <c r="AX351" s="6">
        <v>1</v>
      </c>
      <c r="AY351" s="6">
        <v>1</v>
      </c>
      <c r="AZ351" s="5">
        <v>201349</v>
      </c>
      <c r="BA351" s="5">
        <v>203036</v>
      </c>
      <c r="BB351" s="5">
        <v>0</v>
      </c>
      <c r="BC351" s="5">
        <v>0</v>
      </c>
      <c r="BD351" s="5">
        <v>0</v>
      </c>
      <c r="BE351" s="5">
        <v>615001</v>
      </c>
      <c r="BF351" s="23">
        <v>180</v>
      </c>
      <c r="BG351" s="5">
        <v>0</v>
      </c>
      <c r="BH351" s="5">
        <v>0</v>
      </c>
      <c r="BI351" s="5">
        <v>0</v>
      </c>
      <c r="BJ351" s="5">
        <f t="shared" si="1011"/>
        <v>81</v>
      </c>
      <c r="BK351" s="5">
        <f t="shared" si="1012"/>
        <v>81</v>
      </c>
      <c r="BL351" s="5">
        <v>1</v>
      </c>
      <c r="BM351" s="5">
        <v>30</v>
      </c>
      <c r="BN351" s="5">
        <v>180</v>
      </c>
      <c r="BO351" s="5">
        <v>108006</v>
      </c>
      <c r="BP351" s="5"/>
      <c r="BQ351" s="5"/>
      <c r="BR351" s="5"/>
      <c r="BS351" s="4"/>
      <c r="BT351" s="4">
        <v>9</v>
      </c>
      <c r="BU351" s="4">
        <v>0</v>
      </c>
      <c r="BV351" s="4">
        <f t="shared" si="1013"/>
        <v>9</v>
      </c>
      <c r="BW351" s="4">
        <f t="shared" si="1014"/>
        <v>9</v>
      </c>
      <c r="BX351" s="14">
        <f t="shared" si="1015"/>
        <v>0.28999999999999992</v>
      </c>
      <c r="BY351" s="14">
        <f t="shared" si="1006"/>
        <v>0.15000000000000002</v>
      </c>
      <c r="BZ351" s="27" t="s">
        <v>682</v>
      </c>
      <c r="CA351" s="27" t="s">
        <v>683</v>
      </c>
      <c r="CB351" s="27" t="s">
        <v>683</v>
      </c>
      <c r="CC351" s="5">
        <v>0</v>
      </c>
      <c r="CD351" s="5">
        <v>1</v>
      </c>
      <c r="CE351" s="5">
        <f t="shared" si="1007"/>
        <v>0</v>
      </c>
      <c r="CF351" s="5">
        <v>0</v>
      </c>
      <c r="CG351" s="6" t="str">
        <f t="shared" si="1008"/>
        <v>9级红宝石史莱姆</v>
      </c>
      <c r="CH351" s="5">
        <v>3</v>
      </c>
      <c r="CI351" s="5">
        <v>0</v>
      </c>
      <c r="CJ351" s="4">
        <v>0</v>
      </c>
      <c r="CK351" s="5">
        <v>0</v>
      </c>
      <c r="CL351" s="5">
        <v>0</v>
      </c>
      <c r="CM351" s="20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10">
        <v>0.8</v>
      </c>
      <c r="CW351" s="10">
        <v>0.6</v>
      </c>
      <c r="CX351" s="10">
        <v>1</v>
      </c>
      <c r="CY351" s="10">
        <v>1</v>
      </c>
      <c r="CZ351" s="8">
        <v>1</v>
      </c>
      <c r="DA351" s="6">
        <f t="shared" si="1016"/>
        <v>225</v>
      </c>
      <c r="DB351" s="5">
        <v>0</v>
      </c>
      <c r="DC351" s="5">
        <f t="shared" si="999"/>
        <v>0.17499999999999999</v>
      </c>
      <c r="DD351" s="6">
        <f t="shared" si="1017"/>
        <v>0.17499999999999999</v>
      </c>
      <c r="DE351" s="6">
        <v>0.25</v>
      </c>
      <c r="DF351" s="5">
        <v>0</v>
      </c>
      <c r="DG351" s="6">
        <f t="shared" si="1018"/>
        <v>2.5</v>
      </c>
      <c r="DH351" s="5">
        <v>1.5</v>
      </c>
      <c r="DI351" s="8">
        <v>0</v>
      </c>
      <c r="DJ351" s="5">
        <f t="shared" si="1019"/>
        <v>0</v>
      </c>
      <c r="DK351" s="8">
        <v>0</v>
      </c>
      <c r="DL351" s="5">
        <f t="shared" si="996"/>
        <v>0</v>
      </c>
      <c r="DM351" s="27" t="str">
        <f t="shared" si="1002"/>
        <v>9级红宝石史莱姆</v>
      </c>
      <c r="DN351" s="5">
        <v>6</v>
      </c>
      <c r="DO351" s="5">
        <v>0</v>
      </c>
      <c r="DP351" s="5">
        <v>0</v>
      </c>
      <c r="DQ351" s="5">
        <v>0</v>
      </c>
      <c r="DR351" s="5">
        <f t="shared" si="1020"/>
        <v>0.9</v>
      </c>
      <c r="DS351" s="6">
        <v>1</v>
      </c>
      <c r="DT351" s="5">
        <v>-0.5</v>
      </c>
      <c r="DU351" s="5">
        <v>0.5</v>
      </c>
      <c r="DV351" s="6">
        <v>0.5</v>
      </c>
      <c r="DW351" s="5">
        <f t="shared" si="1021"/>
        <v>0.75</v>
      </c>
      <c r="DX351" s="5">
        <v>9</v>
      </c>
      <c r="DY351" s="5">
        <f t="shared" si="1022"/>
        <v>0</v>
      </c>
      <c r="DZ351" s="5">
        <v>0</v>
      </c>
    </row>
    <row r="352" spans="1:131" x14ac:dyDescent="0.15">
      <c r="A352" s="5">
        <v>201350</v>
      </c>
      <c r="B352" s="27" t="s">
        <v>661</v>
      </c>
      <c r="C352" s="27"/>
      <c r="D352" s="27"/>
      <c r="E352" s="27"/>
      <c r="F352" s="5">
        <v>0</v>
      </c>
      <c r="G352" s="45"/>
      <c r="H352" s="5"/>
      <c r="I352" s="5"/>
      <c r="J352" s="5"/>
      <c r="K352" s="5"/>
      <c r="L352" s="10"/>
      <c r="M352" s="5"/>
      <c r="N352" s="10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20"/>
      <c r="AF352" s="5"/>
      <c r="AG352" s="5"/>
      <c r="AH352" s="5"/>
      <c r="AI352" s="5"/>
      <c r="AJ352" s="5"/>
      <c r="AK352" s="5"/>
      <c r="AL352" s="5"/>
      <c r="AM352" s="5"/>
      <c r="AN352" s="8"/>
      <c r="AO352" s="5">
        <v>0</v>
      </c>
      <c r="AP352" s="27" t="s">
        <v>661</v>
      </c>
      <c r="AQ352" s="5">
        <v>0</v>
      </c>
      <c r="AR352" s="8">
        <v>1</v>
      </c>
      <c r="AS352" s="6">
        <f t="shared" si="997"/>
        <v>30</v>
      </c>
      <c r="AT352" s="6">
        <f t="shared" si="998"/>
        <v>60</v>
      </c>
      <c r="AU352" s="5">
        <v>0</v>
      </c>
      <c r="AV352" s="5">
        <v>1</v>
      </c>
      <c r="AW352" s="6">
        <v>1</v>
      </c>
      <c r="AX352" s="6">
        <v>1</v>
      </c>
      <c r="AY352" s="6">
        <v>1</v>
      </c>
      <c r="AZ352" s="5">
        <v>201350</v>
      </c>
      <c r="BA352" s="5">
        <v>203036</v>
      </c>
      <c r="BB352" s="5">
        <v>0</v>
      </c>
      <c r="BC352" s="5">
        <v>0</v>
      </c>
      <c r="BD352" s="5">
        <v>0</v>
      </c>
      <c r="BE352" s="5">
        <v>615001</v>
      </c>
      <c r="BF352" s="23">
        <v>180</v>
      </c>
      <c r="BG352" s="5">
        <v>0</v>
      </c>
      <c r="BH352" s="5">
        <v>0</v>
      </c>
      <c r="BI352" s="5">
        <v>0</v>
      </c>
      <c r="BJ352" s="5">
        <f t="shared" si="1011"/>
        <v>90</v>
      </c>
      <c r="BK352" s="5">
        <f t="shared" si="1012"/>
        <v>90</v>
      </c>
      <c r="BL352" s="5">
        <v>1</v>
      </c>
      <c r="BM352" s="5">
        <v>30</v>
      </c>
      <c r="BN352" s="5">
        <v>180</v>
      </c>
      <c r="BO352" s="5">
        <v>108006</v>
      </c>
      <c r="BP352" s="5"/>
      <c r="BQ352" s="5"/>
      <c r="BR352" s="5"/>
      <c r="BS352" s="4"/>
      <c r="BT352" s="4">
        <v>10</v>
      </c>
      <c r="BU352" s="4">
        <v>0</v>
      </c>
      <c r="BV352" s="4">
        <f t="shared" si="1013"/>
        <v>10</v>
      </c>
      <c r="BW352" s="4">
        <f t="shared" si="1014"/>
        <v>10</v>
      </c>
      <c r="BX352" s="14">
        <f t="shared" si="1015"/>
        <v>0.21999999999999986</v>
      </c>
      <c r="BY352" s="14">
        <f t="shared" si="1006"/>
        <v>0.10000000000000003</v>
      </c>
      <c r="BZ352" s="27" t="s">
        <v>682</v>
      </c>
      <c r="CA352" s="27" t="s">
        <v>683</v>
      </c>
      <c r="CB352" s="27" t="s">
        <v>683</v>
      </c>
      <c r="CC352" s="5">
        <v>0</v>
      </c>
      <c r="CD352" s="5">
        <v>1</v>
      </c>
      <c r="CE352" s="5">
        <f t="shared" si="1007"/>
        <v>0</v>
      </c>
      <c r="CF352" s="5">
        <v>0</v>
      </c>
      <c r="CG352" s="6" t="str">
        <f t="shared" si="1008"/>
        <v>10级红宝石史莱姆</v>
      </c>
      <c r="CH352" s="5">
        <v>3</v>
      </c>
      <c r="CI352" s="5">
        <v>0</v>
      </c>
      <c r="CJ352" s="4">
        <v>0</v>
      </c>
      <c r="CK352" s="5">
        <v>0</v>
      </c>
      <c r="CL352" s="5">
        <v>0</v>
      </c>
      <c r="CM352" s="20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10">
        <v>0.8</v>
      </c>
      <c r="CW352" s="10">
        <v>0.6</v>
      </c>
      <c r="CX352" s="10">
        <v>1</v>
      </c>
      <c r="CY352" s="10">
        <v>1</v>
      </c>
      <c r="CZ352" s="8">
        <v>1</v>
      </c>
      <c r="DA352" s="6">
        <f t="shared" si="1016"/>
        <v>250</v>
      </c>
      <c r="DB352" s="5">
        <v>0</v>
      </c>
      <c r="DC352" s="5">
        <f t="shared" si="999"/>
        <v>0.18124999999999999</v>
      </c>
      <c r="DD352" s="6">
        <f t="shared" si="1017"/>
        <v>0.18124999999999999</v>
      </c>
      <c r="DE352" s="6">
        <v>0.25</v>
      </c>
      <c r="DF352" s="5">
        <v>0</v>
      </c>
      <c r="DG352" s="6">
        <f t="shared" si="1018"/>
        <v>2.5</v>
      </c>
      <c r="DH352" s="5">
        <v>1.5</v>
      </c>
      <c r="DI352" s="8">
        <v>0</v>
      </c>
      <c r="DJ352" s="5">
        <f t="shared" si="1019"/>
        <v>0</v>
      </c>
      <c r="DK352" s="8">
        <v>0</v>
      </c>
      <c r="DL352" s="5">
        <f t="shared" si="996"/>
        <v>0</v>
      </c>
      <c r="DM352" s="27" t="str">
        <f t="shared" si="1002"/>
        <v>10级红宝石史莱姆</v>
      </c>
      <c r="DN352" s="5">
        <v>6</v>
      </c>
      <c r="DO352" s="5">
        <v>0</v>
      </c>
      <c r="DP352" s="5">
        <v>0</v>
      </c>
      <c r="DQ352" s="5">
        <v>0</v>
      </c>
      <c r="DR352" s="5">
        <f t="shared" si="1020"/>
        <v>0.9</v>
      </c>
      <c r="DS352" s="6">
        <v>1</v>
      </c>
      <c r="DT352" s="5">
        <v>-0.5</v>
      </c>
      <c r="DU352" s="5">
        <v>0.5</v>
      </c>
      <c r="DV352" s="6">
        <v>0.5</v>
      </c>
      <c r="DW352" s="5">
        <f t="shared" si="1021"/>
        <v>0.75</v>
      </c>
      <c r="DX352" s="5">
        <v>9</v>
      </c>
      <c r="DY352" s="5">
        <f t="shared" si="1022"/>
        <v>0</v>
      </c>
      <c r="DZ352" s="5">
        <v>0</v>
      </c>
    </row>
    <row r="353" spans="1:130" x14ac:dyDescent="0.15">
      <c r="A353" s="5">
        <v>201351</v>
      </c>
      <c r="B353" s="27" t="s">
        <v>662</v>
      </c>
      <c r="C353" s="27"/>
      <c r="D353" s="27"/>
      <c r="E353" s="27"/>
      <c r="F353" s="5">
        <v>0</v>
      </c>
      <c r="G353" s="45"/>
      <c r="H353" s="5"/>
      <c r="I353" s="5"/>
      <c r="J353" s="5"/>
      <c r="K353" s="5"/>
      <c r="L353" s="10"/>
      <c r="M353" s="5"/>
      <c r="N353" s="10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20"/>
      <c r="AF353" s="5"/>
      <c r="AG353" s="5"/>
      <c r="AH353" s="5"/>
      <c r="AI353" s="5"/>
      <c r="AJ353" s="5"/>
      <c r="AK353" s="5"/>
      <c r="AL353" s="5"/>
      <c r="AM353" s="5"/>
      <c r="AN353" s="8"/>
      <c r="AO353" s="5">
        <v>0</v>
      </c>
      <c r="AP353" s="27" t="s">
        <v>662</v>
      </c>
      <c r="AQ353" s="5">
        <v>0</v>
      </c>
      <c r="AR353" s="8">
        <v>1</v>
      </c>
      <c r="AS353" s="6">
        <f t="shared" si="997"/>
        <v>3</v>
      </c>
      <c r="AT353" s="6">
        <f t="shared" si="998"/>
        <v>6</v>
      </c>
      <c r="AU353" s="5">
        <v>0</v>
      </c>
      <c r="AV353" s="5">
        <v>1</v>
      </c>
      <c r="AW353" s="6">
        <v>1</v>
      </c>
      <c r="AX353" s="6">
        <v>1</v>
      </c>
      <c r="AY353" s="6">
        <v>1</v>
      </c>
      <c r="AZ353" s="5">
        <v>201351</v>
      </c>
      <c r="BA353" s="5">
        <v>203037</v>
      </c>
      <c r="BB353" s="5">
        <v>0</v>
      </c>
      <c r="BC353" s="5">
        <v>0</v>
      </c>
      <c r="BD353" s="5">
        <v>0</v>
      </c>
      <c r="BE353" s="5">
        <v>615002</v>
      </c>
      <c r="BF353" s="23">
        <v>180</v>
      </c>
      <c r="BG353" s="5">
        <v>0</v>
      </c>
      <c r="BH353" s="5">
        <v>0</v>
      </c>
      <c r="BI353" s="5">
        <v>0</v>
      </c>
      <c r="BJ353" s="5">
        <f t="shared" si="1011"/>
        <v>9</v>
      </c>
      <c r="BK353" s="5">
        <f t="shared" si="1012"/>
        <v>9</v>
      </c>
      <c r="BL353" s="5">
        <v>1</v>
      </c>
      <c r="BM353" s="5">
        <v>30</v>
      </c>
      <c r="BN353" s="5">
        <v>180</v>
      </c>
      <c r="BO353" s="5">
        <v>108006</v>
      </c>
      <c r="BP353" s="5"/>
      <c r="BQ353" s="5"/>
      <c r="BR353" s="5"/>
      <c r="BS353" s="4"/>
      <c r="BT353" s="4">
        <f>BT343</f>
        <v>1</v>
      </c>
      <c r="BU353" s="4">
        <v>0</v>
      </c>
      <c r="BV353" s="4">
        <f t="shared" si="1013"/>
        <v>1</v>
      </c>
      <c r="BW353" s="4">
        <f t="shared" si="1014"/>
        <v>1</v>
      </c>
      <c r="BX353" s="14">
        <f t="shared" si="1015"/>
        <v>0.85</v>
      </c>
      <c r="BY353" s="14">
        <f t="shared" si="1006"/>
        <v>0.55000000000000004</v>
      </c>
      <c r="BZ353" s="27" t="s">
        <v>684</v>
      </c>
      <c r="CA353" s="27" t="s">
        <v>685</v>
      </c>
      <c r="CB353" s="27" t="s">
        <v>685</v>
      </c>
      <c r="CC353" s="5">
        <v>0</v>
      </c>
      <c r="CD353" s="5">
        <v>1</v>
      </c>
      <c r="CE353" s="5">
        <f t="shared" si="1007"/>
        <v>0</v>
      </c>
      <c r="CF353" s="5">
        <v>0</v>
      </c>
      <c r="CG353" s="6" t="str">
        <f t="shared" si="1008"/>
        <v>1级蓝宝石史莱姆</v>
      </c>
      <c r="CH353" s="5">
        <v>3</v>
      </c>
      <c r="CI353" s="5">
        <v>0</v>
      </c>
      <c r="CJ353" s="4">
        <v>0</v>
      </c>
      <c r="CK353" s="5">
        <v>0</v>
      </c>
      <c r="CL353" s="5">
        <v>0</v>
      </c>
      <c r="CM353" s="20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10">
        <v>0.8</v>
      </c>
      <c r="CW353" s="10">
        <v>0.6</v>
      </c>
      <c r="CX353" s="10">
        <v>1</v>
      </c>
      <c r="CY353" s="10">
        <v>1</v>
      </c>
      <c r="CZ353" s="8">
        <v>1</v>
      </c>
      <c r="DA353" s="6">
        <f t="shared" si="1016"/>
        <v>25</v>
      </c>
      <c r="DB353" s="5">
        <v>0</v>
      </c>
      <c r="DC353" s="5">
        <f t="shared" si="999"/>
        <v>0.125</v>
      </c>
      <c r="DD353" s="6">
        <f t="shared" si="1017"/>
        <v>0.125</v>
      </c>
      <c r="DE353" s="6">
        <v>0.25</v>
      </c>
      <c r="DF353" s="5">
        <v>0</v>
      </c>
      <c r="DG353" s="6">
        <f t="shared" si="1018"/>
        <v>2.5</v>
      </c>
      <c r="DH353" s="5">
        <v>1.5</v>
      </c>
      <c r="DI353" s="8">
        <v>0</v>
      </c>
      <c r="DJ353" s="5">
        <f t="shared" si="1019"/>
        <v>0</v>
      </c>
      <c r="DK353" s="8">
        <v>0</v>
      </c>
      <c r="DL353" s="5">
        <f t="shared" si="996"/>
        <v>0</v>
      </c>
      <c r="DM353" s="27" t="str">
        <f t="shared" si="1002"/>
        <v>1级蓝宝石史莱姆</v>
      </c>
      <c r="DN353" s="5">
        <v>6</v>
      </c>
      <c r="DO353" s="5">
        <v>0</v>
      </c>
      <c r="DP353" s="5">
        <v>0</v>
      </c>
      <c r="DQ353" s="5">
        <v>0</v>
      </c>
      <c r="DR353" s="5">
        <f t="shared" si="1020"/>
        <v>0.9</v>
      </c>
      <c r="DS353" s="6">
        <v>1</v>
      </c>
      <c r="DT353" s="5">
        <v>-0.5</v>
      </c>
      <c r="DU353" s="5">
        <v>0.5</v>
      </c>
      <c r="DV353" s="6">
        <v>0.5</v>
      </c>
      <c r="DW353" s="5">
        <f t="shared" si="1021"/>
        <v>0.75</v>
      </c>
      <c r="DX353" s="5">
        <v>9</v>
      </c>
      <c r="DY353" s="5">
        <f t="shared" si="1022"/>
        <v>0</v>
      </c>
      <c r="DZ353" s="5">
        <v>0</v>
      </c>
    </row>
    <row r="354" spans="1:130" x14ac:dyDescent="0.15">
      <c r="A354" s="5">
        <v>201352</v>
      </c>
      <c r="B354" s="27" t="s">
        <v>663</v>
      </c>
      <c r="C354" s="27"/>
      <c r="D354" s="27"/>
      <c r="E354" s="27"/>
      <c r="F354" s="5">
        <v>0</v>
      </c>
      <c r="G354" s="45"/>
      <c r="H354" s="5"/>
      <c r="I354" s="5"/>
      <c r="J354" s="5"/>
      <c r="K354" s="5"/>
      <c r="L354" s="10"/>
      <c r="M354" s="5"/>
      <c r="N354" s="10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20"/>
      <c r="AF354" s="5"/>
      <c r="AG354" s="5"/>
      <c r="AH354" s="5"/>
      <c r="AI354" s="5"/>
      <c r="AJ354" s="5"/>
      <c r="AK354" s="5"/>
      <c r="AL354" s="5"/>
      <c r="AM354" s="5"/>
      <c r="AN354" s="8"/>
      <c r="AO354" s="5">
        <v>0</v>
      </c>
      <c r="AP354" s="27" t="s">
        <v>663</v>
      </c>
      <c r="AQ354" s="5">
        <v>0</v>
      </c>
      <c r="AR354" s="8">
        <v>1</v>
      </c>
      <c r="AS354" s="6">
        <f t="shared" si="997"/>
        <v>6</v>
      </c>
      <c r="AT354" s="6">
        <f t="shared" si="998"/>
        <v>12</v>
      </c>
      <c r="AU354" s="5">
        <v>0</v>
      </c>
      <c r="AV354" s="5">
        <v>1</v>
      </c>
      <c r="AW354" s="6">
        <v>1</v>
      </c>
      <c r="AX354" s="6">
        <v>1</v>
      </c>
      <c r="AY354" s="6">
        <v>1</v>
      </c>
      <c r="AZ354" s="5">
        <v>201352</v>
      </c>
      <c r="BA354" s="5">
        <v>203037</v>
      </c>
      <c r="BB354" s="5">
        <v>0</v>
      </c>
      <c r="BC354" s="5">
        <v>0</v>
      </c>
      <c r="BD354" s="5">
        <v>0</v>
      </c>
      <c r="BE354" s="5">
        <v>615002</v>
      </c>
      <c r="BF354" s="23">
        <v>180</v>
      </c>
      <c r="BG354" s="5">
        <v>0</v>
      </c>
      <c r="BH354" s="5">
        <v>0</v>
      </c>
      <c r="BI354" s="5">
        <v>0</v>
      </c>
      <c r="BJ354" s="5">
        <f t="shared" si="1011"/>
        <v>18</v>
      </c>
      <c r="BK354" s="5">
        <f t="shared" si="1012"/>
        <v>18</v>
      </c>
      <c r="BL354" s="5">
        <v>1</v>
      </c>
      <c r="BM354" s="5">
        <v>30</v>
      </c>
      <c r="BN354" s="5">
        <v>180</v>
      </c>
      <c r="BO354" s="5">
        <v>108006</v>
      </c>
      <c r="BP354" s="5"/>
      <c r="BQ354" s="5"/>
      <c r="BR354" s="5"/>
      <c r="BS354" s="4"/>
      <c r="BT354" s="4">
        <f t="shared" ref="BT354:BT402" si="1023">BT344</f>
        <v>2</v>
      </c>
      <c r="BU354" s="4">
        <v>0</v>
      </c>
      <c r="BV354" s="4">
        <f t="shared" si="1013"/>
        <v>2</v>
      </c>
      <c r="BW354" s="4">
        <f t="shared" si="1014"/>
        <v>2</v>
      </c>
      <c r="BX354" s="14">
        <f t="shared" si="1015"/>
        <v>0.78</v>
      </c>
      <c r="BY354" s="14">
        <f t="shared" si="1006"/>
        <v>0.5</v>
      </c>
      <c r="BZ354" s="27" t="s">
        <v>684</v>
      </c>
      <c r="CA354" s="27" t="s">
        <v>685</v>
      </c>
      <c r="CB354" s="27" t="s">
        <v>685</v>
      </c>
      <c r="CC354" s="5">
        <v>0</v>
      </c>
      <c r="CD354" s="5">
        <v>1</v>
      </c>
      <c r="CE354" s="5">
        <f t="shared" si="1007"/>
        <v>0</v>
      </c>
      <c r="CF354" s="5">
        <v>0</v>
      </c>
      <c r="CG354" s="6" t="str">
        <f t="shared" si="1008"/>
        <v>2级蓝宝石史莱姆</v>
      </c>
      <c r="CH354" s="5">
        <v>3</v>
      </c>
      <c r="CI354" s="5">
        <v>0</v>
      </c>
      <c r="CJ354" s="4">
        <v>0</v>
      </c>
      <c r="CK354" s="5">
        <v>0</v>
      </c>
      <c r="CL354" s="5">
        <v>0</v>
      </c>
      <c r="CM354" s="20">
        <v>0</v>
      </c>
      <c r="CN354" s="5">
        <v>0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10">
        <v>0.8</v>
      </c>
      <c r="CW354" s="10">
        <v>0.6</v>
      </c>
      <c r="CX354" s="10">
        <v>1</v>
      </c>
      <c r="CY354" s="10">
        <v>1</v>
      </c>
      <c r="CZ354" s="8">
        <v>1</v>
      </c>
      <c r="DA354" s="6">
        <f t="shared" si="1016"/>
        <v>50</v>
      </c>
      <c r="DB354" s="5">
        <v>0</v>
      </c>
      <c r="DC354" s="5">
        <f t="shared" si="999"/>
        <v>0.13125000000000001</v>
      </c>
      <c r="DD354" s="6">
        <f t="shared" si="1017"/>
        <v>0.13125000000000001</v>
      </c>
      <c r="DE354" s="6">
        <v>0.25</v>
      </c>
      <c r="DF354" s="5">
        <v>0</v>
      </c>
      <c r="DG354" s="6">
        <f t="shared" si="1018"/>
        <v>2.5</v>
      </c>
      <c r="DH354" s="5">
        <v>1.5</v>
      </c>
      <c r="DI354" s="8">
        <v>0</v>
      </c>
      <c r="DJ354" s="5">
        <f t="shared" si="1019"/>
        <v>0</v>
      </c>
      <c r="DK354" s="8">
        <v>0</v>
      </c>
      <c r="DL354" s="5">
        <f t="shared" si="996"/>
        <v>0</v>
      </c>
      <c r="DM354" s="27" t="str">
        <f t="shared" si="1002"/>
        <v>2级蓝宝石史莱姆</v>
      </c>
      <c r="DN354" s="5">
        <v>6</v>
      </c>
      <c r="DO354" s="5">
        <v>0</v>
      </c>
      <c r="DP354" s="5">
        <v>0</v>
      </c>
      <c r="DQ354" s="5">
        <v>0</v>
      </c>
      <c r="DR354" s="5">
        <f t="shared" si="1020"/>
        <v>0.9</v>
      </c>
      <c r="DS354" s="6">
        <v>1</v>
      </c>
      <c r="DT354" s="5">
        <v>-0.5</v>
      </c>
      <c r="DU354" s="5">
        <v>0.5</v>
      </c>
      <c r="DV354" s="6">
        <v>0.5</v>
      </c>
      <c r="DW354" s="5">
        <f t="shared" si="1021"/>
        <v>0.75</v>
      </c>
      <c r="DX354" s="5">
        <v>9</v>
      </c>
      <c r="DY354" s="5">
        <f t="shared" si="1022"/>
        <v>0</v>
      </c>
      <c r="DZ354" s="5">
        <v>0</v>
      </c>
    </row>
    <row r="355" spans="1:130" x14ac:dyDescent="0.15">
      <c r="A355" s="5">
        <v>201353</v>
      </c>
      <c r="B355" s="27" t="s">
        <v>664</v>
      </c>
      <c r="C355" s="27"/>
      <c r="D355" s="27"/>
      <c r="E355" s="27"/>
      <c r="F355" s="5">
        <v>0</v>
      </c>
      <c r="G355" s="45"/>
      <c r="H355" s="5"/>
      <c r="I355" s="5"/>
      <c r="J355" s="5"/>
      <c r="K355" s="5"/>
      <c r="L355" s="10"/>
      <c r="M355" s="5"/>
      <c r="N355" s="10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20"/>
      <c r="AF355" s="5"/>
      <c r="AG355" s="5"/>
      <c r="AH355" s="5"/>
      <c r="AI355" s="5"/>
      <c r="AJ355" s="5"/>
      <c r="AK355" s="5"/>
      <c r="AL355" s="5"/>
      <c r="AM355" s="5"/>
      <c r="AN355" s="8"/>
      <c r="AO355" s="5">
        <v>0</v>
      </c>
      <c r="AP355" s="27" t="s">
        <v>664</v>
      </c>
      <c r="AQ355" s="5">
        <v>0</v>
      </c>
      <c r="AR355" s="8">
        <v>1</v>
      </c>
      <c r="AS355" s="6">
        <f t="shared" si="997"/>
        <v>9</v>
      </c>
      <c r="AT355" s="6">
        <f t="shared" si="998"/>
        <v>18</v>
      </c>
      <c r="AU355" s="5">
        <v>0</v>
      </c>
      <c r="AV355" s="5">
        <v>1</v>
      </c>
      <c r="AW355" s="6">
        <v>1</v>
      </c>
      <c r="AX355" s="6">
        <v>1</v>
      </c>
      <c r="AY355" s="6">
        <v>1</v>
      </c>
      <c r="AZ355" s="5">
        <v>201353</v>
      </c>
      <c r="BA355" s="5">
        <v>203037</v>
      </c>
      <c r="BB355" s="5">
        <v>0</v>
      </c>
      <c r="BC355" s="5">
        <v>0</v>
      </c>
      <c r="BD355" s="5">
        <v>0</v>
      </c>
      <c r="BE355" s="5">
        <v>615002</v>
      </c>
      <c r="BF355" s="23">
        <v>180</v>
      </c>
      <c r="BG355" s="5">
        <v>0</v>
      </c>
      <c r="BH355" s="5">
        <v>0</v>
      </c>
      <c r="BI355" s="5">
        <v>0</v>
      </c>
      <c r="BJ355" s="5">
        <f t="shared" si="1011"/>
        <v>27</v>
      </c>
      <c r="BK355" s="5">
        <f t="shared" si="1012"/>
        <v>27</v>
      </c>
      <c r="BL355" s="5">
        <v>1</v>
      </c>
      <c r="BM355" s="5">
        <v>30</v>
      </c>
      <c r="BN355" s="5">
        <v>180</v>
      </c>
      <c r="BO355" s="5">
        <v>108006</v>
      </c>
      <c r="BP355" s="5"/>
      <c r="BQ355" s="5"/>
      <c r="BR355" s="5"/>
      <c r="BS355" s="4"/>
      <c r="BT355" s="4">
        <f t="shared" si="1023"/>
        <v>3</v>
      </c>
      <c r="BU355" s="4">
        <v>0</v>
      </c>
      <c r="BV355" s="4">
        <f t="shared" si="1013"/>
        <v>3</v>
      </c>
      <c r="BW355" s="4">
        <f t="shared" si="1014"/>
        <v>3</v>
      </c>
      <c r="BX355" s="14">
        <f t="shared" si="1015"/>
        <v>0.71</v>
      </c>
      <c r="BY355" s="14">
        <f t="shared" si="1006"/>
        <v>0.45000000000000007</v>
      </c>
      <c r="BZ355" s="27" t="s">
        <v>684</v>
      </c>
      <c r="CA355" s="27" t="s">
        <v>685</v>
      </c>
      <c r="CB355" s="27" t="s">
        <v>685</v>
      </c>
      <c r="CC355" s="5">
        <v>0</v>
      </c>
      <c r="CD355" s="5">
        <v>1</v>
      </c>
      <c r="CE355" s="5">
        <f t="shared" si="1007"/>
        <v>0</v>
      </c>
      <c r="CF355" s="5">
        <v>0</v>
      </c>
      <c r="CG355" s="6" t="str">
        <f t="shared" si="1008"/>
        <v>3级蓝宝石史莱姆</v>
      </c>
      <c r="CH355" s="5">
        <v>3</v>
      </c>
      <c r="CI355" s="5">
        <v>0</v>
      </c>
      <c r="CJ355" s="4">
        <v>0</v>
      </c>
      <c r="CK355" s="5">
        <v>0</v>
      </c>
      <c r="CL355" s="5">
        <v>0</v>
      </c>
      <c r="CM355" s="20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10">
        <v>0.8</v>
      </c>
      <c r="CW355" s="10">
        <v>0.6</v>
      </c>
      <c r="CX355" s="10">
        <v>1</v>
      </c>
      <c r="CY355" s="10">
        <v>1</v>
      </c>
      <c r="CZ355" s="8">
        <v>1</v>
      </c>
      <c r="DA355" s="6">
        <f t="shared" si="1016"/>
        <v>75</v>
      </c>
      <c r="DB355" s="5">
        <v>0</v>
      </c>
      <c r="DC355" s="5">
        <f t="shared" si="999"/>
        <v>0.13750000000000001</v>
      </c>
      <c r="DD355" s="6">
        <f t="shared" si="1017"/>
        <v>0.13750000000000001</v>
      </c>
      <c r="DE355" s="6">
        <v>0.25</v>
      </c>
      <c r="DF355" s="5">
        <v>0</v>
      </c>
      <c r="DG355" s="6">
        <f t="shared" si="1018"/>
        <v>2.5</v>
      </c>
      <c r="DH355" s="5">
        <v>1.5</v>
      </c>
      <c r="DI355" s="8">
        <v>0</v>
      </c>
      <c r="DJ355" s="5">
        <f t="shared" si="1019"/>
        <v>0</v>
      </c>
      <c r="DK355" s="8">
        <v>0</v>
      </c>
      <c r="DL355" s="5">
        <f t="shared" si="996"/>
        <v>0</v>
      </c>
      <c r="DM355" s="27" t="str">
        <f t="shared" si="1002"/>
        <v>3级蓝宝石史莱姆</v>
      </c>
      <c r="DN355" s="5">
        <v>6</v>
      </c>
      <c r="DO355" s="5">
        <v>0</v>
      </c>
      <c r="DP355" s="5">
        <v>0</v>
      </c>
      <c r="DQ355" s="5">
        <v>0</v>
      </c>
      <c r="DR355" s="5">
        <f t="shared" si="1020"/>
        <v>0.9</v>
      </c>
      <c r="DS355" s="6">
        <v>1</v>
      </c>
      <c r="DT355" s="5">
        <v>-0.5</v>
      </c>
      <c r="DU355" s="5">
        <v>0.5</v>
      </c>
      <c r="DV355" s="6">
        <v>0.5</v>
      </c>
      <c r="DW355" s="5">
        <f t="shared" si="1021"/>
        <v>0.75</v>
      </c>
      <c r="DX355" s="5">
        <v>9</v>
      </c>
      <c r="DY355" s="5">
        <f t="shared" si="1022"/>
        <v>0</v>
      </c>
      <c r="DZ355" s="5">
        <v>0</v>
      </c>
    </row>
    <row r="356" spans="1:130" x14ac:dyDescent="0.15">
      <c r="A356" s="5">
        <v>201354</v>
      </c>
      <c r="B356" s="27" t="s">
        <v>665</v>
      </c>
      <c r="C356" s="27"/>
      <c r="D356" s="27"/>
      <c r="E356" s="27"/>
      <c r="F356" s="5">
        <v>0</v>
      </c>
      <c r="G356" s="45"/>
      <c r="H356" s="5"/>
      <c r="I356" s="5"/>
      <c r="J356" s="5"/>
      <c r="K356" s="5"/>
      <c r="L356" s="10"/>
      <c r="M356" s="5"/>
      <c r="N356" s="10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20"/>
      <c r="AF356" s="5"/>
      <c r="AG356" s="5"/>
      <c r="AH356" s="5"/>
      <c r="AI356" s="5"/>
      <c r="AJ356" s="5"/>
      <c r="AK356" s="5"/>
      <c r="AL356" s="5"/>
      <c r="AM356" s="5"/>
      <c r="AN356" s="8"/>
      <c r="AO356" s="5">
        <v>0</v>
      </c>
      <c r="AP356" s="27" t="s">
        <v>665</v>
      </c>
      <c r="AQ356" s="5">
        <v>0</v>
      </c>
      <c r="AR356" s="8">
        <v>1</v>
      </c>
      <c r="AS356" s="6">
        <f t="shared" si="997"/>
        <v>12</v>
      </c>
      <c r="AT356" s="6">
        <f t="shared" si="998"/>
        <v>24</v>
      </c>
      <c r="AU356" s="5">
        <v>0</v>
      </c>
      <c r="AV356" s="5">
        <v>1</v>
      </c>
      <c r="AW356" s="6">
        <v>1</v>
      </c>
      <c r="AX356" s="6">
        <v>1</v>
      </c>
      <c r="AY356" s="6">
        <v>1</v>
      </c>
      <c r="AZ356" s="5">
        <v>201354</v>
      </c>
      <c r="BA356" s="5">
        <v>203037</v>
      </c>
      <c r="BB356" s="5">
        <v>0</v>
      </c>
      <c r="BC356" s="5">
        <v>0</v>
      </c>
      <c r="BD356" s="5">
        <v>0</v>
      </c>
      <c r="BE356" s="5">
        <v>615002</v>
      </c>
      <c r="BF356" s="23">
        <v>180</v>
      </c>
      <c r="BG356" s="5">
        <v>0</v>
      </c>
      <c r="BH356" s="5">
        <v>0</v>
      </c>
      <c r="BI356" s="5">
        <v>0</v>
      </c>
      <c r="BJ356" s="5">
        <f t="shared" si="1011"/>
        <v>36</v>
      </c>
      <c r="BK356" s="5">
        <f t="shared" si="1012"/>
        <v>36</v>
      </c>
      <c r="BL356" s="5">
        <v>1</v>
      </c>
      <c r="BM356" s="5">
        <v>30</v>
      </c>
      <c r="BN356" s="5">
        <v>180</v>
      </c>
      <c r="BO356" s="5">
        <v>108006</v>
      </c>
      <c r="BP356" s="5"/>
      <c r="BQ356" s="5"/>
      <c r="BR356" s="5"/>
      <c r="BS356" s="4"/>
      <c r="BT356" s="4">
        <f t="shared" si="1023"/>
        <v>4</v>
      </c>
      <c r="BU356" s="4">
        <v>0</v>
      </c>
      <c r="BV356" s="4">
        <f t="shared" si="1013"/>
        <v>4</v>
      </c>
      <c r="BW356" s="4">
        <f t="shared" si="1014"/>
        <v>4</v>
      </c>
      <c r="BX356" s="14">
        <f t="shared" si="1015"/>
        <v>0.6399999999999999</v>
      </c>
      <c r="BY356" s="14">
        <f t="shared" si="1006"/>
        <v>0.4</v>
      </c>
      <c r="BZ356" s="27" t="s">
        <v>684</v>
      </c>
      <c r="CA356" s="27" t="s">
        <v>685</v>
      </c>
      <c r="CB356" s="27" t="s">
        <v>685</v>
      </c>
      <c r="CC356" s="5">
        <v>0</v>
      </c>
      <c r="CD356" s="5">
        <v>1</v>
      </c>
      <c r="CE356" s="5">
        <f t="shared" si="1007"/>
        <v>0</v>
      </c>
      <c r="CF356" s="5">
        <v>0</v>
      </c>
      <c r="CG356" s="6" t="str">
        <f t="shared" si="1008"/>
        <v>4级蓝宝石史莱姆</v>
      </c>
      <c r="CH356" s="5">
        <v>3</v>
      </c>
      <c r="CI356" s="5">
        <v>0</v>
      </c>
      <c r="CJ356" s="4">
        <v>0</v>
      </c>
      <c r="CK356" s="5">
        <v>0</v>
      </c>
      <c r="CL356" s="5">
        <v>0</v>
      </c>
      <c r="CM356" s="20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10">
        <v>0.8</v>
      </c>
      <c r="CW356" s="10">
        <v>0.6</v>
      </c>
      <c r="CX356" s="10">
        <v>1</v>
      </c>
      <c r="CY356" s="10">
        <v>1</v>
      </c>
      <c r="CZ356" s="8">
        <v>1</v>
      </c>
      <c r="DA356" s="6">
        <f t="shared" si="1016"/>
        <v>100</v>
      </c>
      <c r="DB356" s="5">
        <v>0</v>
      </c>
      <c r="DC356" s="5">
        <f t="shared" si="999"/>
        <v>0.14374999999999999</v>
      </c>
      <c r="DD356" s="6">
        <f t="shared" si="1017"/>
        <v>0.14374999999999999</v>
      </c>
      <c r="DE356" s="6">
        <v>0.25</v>
      </c>
      <c r="DF356" s="5">
        <v>0</v>
      </c>
      <c r="DG356" s="6">
        <f t="shared" si="1018"/>
        <v>2.5</v>
      </c>
      <c r="DH356" s="5">
        <v>1.5</v>
      </c>
      <c r="DI356" s="8">
        <v>0</v>
      </c>
      <c r="DJ356" s="5">
        <f t="shared" si="1019"/>
        <v>0</v>
      </c>
      <c r="DK356" s="8">
        <v>0</v>
      </c>
      <c r="DL356" s="5">
        <f t="shared" si="996"/>
        <v>0</v>
      </c>
      <c r="DM356" s="27" t="str">
        <f t="shared" si="1002"/>
        <v>4级蓝宝石史莱姆</v>
      </c>
      <c r="DN356" s="5">
        <v>6</v>
      </c>
      <c r="DO356" s="5">
        <v>0</v>
      </c>
      <c r="DP356" s="5">
        <v>0</v>
      </c>
      <c r="DQ356" s="5">
        <v>0</v>
      </c>
      <c r="DR356" s="5">
        <f t="shared" si="1020"/>
        <v>0.9</v>
      </c>
      <c r="DS356" s="6">
        <v>1</v>
      </c>
      <c r="DT356" s="5">
        <v>-0.5</v>
      </c>
      <c r="DU356" s="5">
        <v>0.5</v>
      </c>
      <c r="DV356" s="6">
        <v>0.5</v>
      </c>
      <c r="DW356" s="5">
        <f t="shared" si="1021"/>
        <v>0.75</v>
      </c>
      <c r="DX356" s="5">
        <v>9</v>
      </c>
      <c r="DY356" s="5">
        <f t="shared" si="1022"/>
        <v>0</v>
      </c>
      <c r="DZ356" s="5">
        <v>0</v>
      </c>
    </row>
    <row r="357" spans="1:130" x14ac:dyDescent="0.15">
      <c r="A357" s="5">
        <v>201355</v>
      </c>
      <c r="B357" s="27" t="s">
        <v>666</v>
      </c>
      <c r="C357" s="27"/>
      <c r="D357" s="27"/>
      <c r="E357" s="27"/>
      <c r="F357" s="5">
        <v>0</v>
      </c>
      <c r="G357" s="45"/>
      <c r="H357" s="5"/>
      <c r="I357" s="5"/>
      <c r="J357" s="5"/>
      <c r="K357" s="5"/>
      <c r="L357" s="10"/>
      <c r="M357" s="5"/>
      <c r="N357" s="10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20"/>
      <c r="AF357" s="5"/>
      <c r="AG357" s="5"/>
      <c r="AH357" s="5"/>
      <c r="AI357" s="5"/>
      <c r="AJ357" s="5"/>
      <c r="AK357" s="5"/>
      <c r="AL357" s="5"/>
      <c r="AM357" s="5"/>
      <c r="AN357" s="8"/>
      <c r="AO357" s="5">
        <v>0</v>
      </c>
      <c r="AP357" s="27" t="s">
        <v>666</v>
      </c>
      <c r="AQ357" s="5">
        <v>0</v>
      </c>
      <c r="AR357" s="8">
        <v>1</v>
      </c>
      <c r="AS357" s="6">
        <f t="shared" si="997"/>
        <v>15</v>
      </c>
      <c r="AT357" s="6">
        <f t="shared" si="998"/>
        <v>30</v>
      </c>
      <c r="AU357" s="5">
        <v>0</v>
      </c>
      <c r="AV357" s="5">
        <v>1</v>
      </c>
      <c r="AW357" s="6">
        <v>1</v>
      </c>
      <c r="AX357" s="6">
        <v>1</v>
      </c>
      <c r="AY357" s="6">
        <v>1</v>
      </c>
      <c r="AZ357" s="5">
        <v>201355</v>
      </c>
      <c r="BA357" s="5">
        <v>203037</v>
      </c>
      <c r="BB357" s="5">
        <v>0</v>
      </c>
      <c r="BC357" s="5">
        <v>0</v>
      </c>
      <c r="BD357" s="5">
        <v>0</v>
      </c>
      <c r="BE357" s="5">
        <v>615002</v>
      </c>
      <c r="BF357" s="23">
        <v>180</v>
      </c>
      <c r="BG357" s="5">
        <v>0</v>
      </c>
      <c r="BH357" s="5">
        <v>0</v>
      </c>
      <c r="BI357" s="5">
        <v>0</v>
      </c>
      <c r="BJ357" s="5">
        <f t="shared" si="1011"/>
        <v>45</v>
      </c>
      <c r="BK357" s="5">
        <f t="shared" si="1012"/>
        <v>45</v>
      </c>
      <c r="BL357" s="5">
        <v>1</v>
      </c>
      <c r="BM357" s="5">
        <v>30</v>
      </c>
      <c r="BN357" s="5">
        <v>180</v>
      </c>
      <c r="BO357" s="5">
        <v>108006</v>
      </c>
      <c r="BP357" s="5"/>
      <c r="BQ357" s="5"/>
      <c r="BR357" s="5"/>
      <c r="BS357" s="4"/>
      <c r="BT357" s="4">
        <f t="shared" si="1023"/>
        <v>5</v>
      </c>
      <c r="BU357" s="4">
        <v>0</v>
      </c>
      <c r="BV357" s="4">
        <f t="shared" si="1013"/>
        <v>5</v>
      </c>
      <c r="BW357" s="4">
        <f t="shared" si="1014"/>
        <v>5</v>
      </c>
      <c r="BX357" s="14">
        <f t="shared" si="1015"/>
        <v>0.56999999999999995</v>
      </c>
      <c r="BY357" s="14">
        <f t="shared" si="1006"/>
        <v>0.35000000000000003</v>
      </c>
      <c r="BZ357" s="27" t="s">
        <v>684</v>
      </c>
      <c r="CA357" s="27" t="s">
        <v>685</v>
      </c>
      <c r="CB357" s="27" t="s">
        <v>685</v>
      </c>
      <c r="CC357" s="5">
        <v>0</v>
      </c>
      <c r="CD357" s="5">
        <v>1</v>
      </c>
      <c r="CE357" s="5">
        <f t="shared" si="1007"/>
        <v>0</v>
      </c>
      <c r="CF357" s="5">
        <v>0</v>
      </c>
      <c r="CG357" s="6" t="str">
        <f t="shared" si="1008"/>
        <v>5级蓝宝石史莱姆</v>
      </c>
      <c r="CH357" s="5">
        <v>3</v>
      </c>
      <c r="CI357" s="5">
        <v>0</v>
      </c>
      <c r="CJ357" s="4">
        <v>0</v>
      </c>
      <c r="CK357" s="5">
        <v>0</v>
      </c>
      <c r="CL357" s="5">
        <v>0</v>
      </c>
      <c r="CM357" s="20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10">
        <v>0.8</v>
      </c>
      <c r="CW357" s="10">
        <v>0.6</v>
      </c>
      <c r="CX357" s="10">
        <v>1</v>
      </c>
      <c r="CY357" s="10">
        <v>1</v>
      </c>
      <c r="CZ357" s="8">
        <v>1</v>
      </c>
      <c r="DA357" s="6">
        <f t="shared" si="1016"/>
        <v>125</v>
      </c>
      <c r="DB357" s="5">
        <v>0</v>
      </c>
      <c r="DC357" s="5">
        <f t="shared" si="999"/>
        <v>0.15</v>
      </c>
      <c r="DD357" s="6">
        <f t="shared" si="1017"/>
        <v>0.15</v>
      </c>
      <c r="DE357" s="6">
        <v>0.25</v>
      </c>
      <c r="DF357" s="5">
        <v>0</v>
      </c>
      <c r="DG357" s="6">
        <f t="shared" si="1018"/>
        <v>2.5</v>
      </c>
      <c r="DH357" s="5">
        <v>1.5</v>
      </c>
      <c r="DI357" s="8">
        <v>0</v>
      </c>
      <c r="DJ357" s="5">
        <f t="shared" si="1019"/>
        <v>0</v>
      </c>
      <c r="DK357" s="8">
        <v>0</v>
      </c>
      <c r="DL357" s="5">
        <f t="shared" si="996"/>
        <v>0</v>
      </c>
      <c r="DM357" s="27" t="str">
        <f t="shared" si="1002"/>
        <v>5级蓝宝石史莱姆</v>
      </c>
      <c r="DN357" s="5">
        <v>6</v>
      </c>
      <c r="DO357" s="5">
        <v>0</v>
      </c>
      <c r="DP357" s="5">
        <v>0</v>
      </c>
      <c r="DQ357" s="5">
        <v>0</v>
      </c>
      <c r="DR357" s="5">
        <f t="shared" si="1020"/>
        <v>0.9</v>
      </c>
      <c r="DS357" s="6">
        <v>1</v>
      </c>
      <c r="DT357" s="5">
        <v>-0.5</v>
      </c>
      <c r="DU357" s="5">
        <v>0.5</v>
      </c>
      <c r="DV357" s="6">
        <v>0.5</v>
      </c>
      <c r="DW357" s="5">
        <f t="shared" si="1021"/>
        <v>0.75</v>
      </c>
      <c r="DX357" s="5">
        <v>9</v>
      </c>
      <c r="DY357" s="5">
        <f t="shared" si="1022"/>
        <v>0</v>
      </c>
      <c r="DZ357" s="5">
        <v>0</v>
      </c>
    </row>
    <row r="358" spans="1:130" x14ac:dyDescent="0.15">
      <c r="A358" s="5">
        <v>201356</v>
      </c>
      <c r="B358" s="27" t="s">
        <v>667</v>
      </c>
      <c r="C358" s="27"/>
      <c r="D358" s="27"/>
      <c r="E358" s="27"/>
      <c r="F358" s="5">
        <v>0</v>
      </c>
      <c r="G358" s="45"/>
      <c r="H358" s="5"/>
      <c r="I358" s="5"/>
      <c r="J358" s="5"/>
      <c r="K358" s="5"/>
      <c r="L358" s="10"/>
      <c r="M358" s="5"/>
      <c r="N358" s="10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20"/>
      <c r="AF358" s="5"/>
      <c r="AG358" s="5"/>
      <c r="AH358" s="5"/>
      <c r="AI358" s="5"/>
      <c r="AJ358" s="5"/>
      <c r="AK358" s="5"/>
      <c r="AL358" s="5"/>
      <c r="AM358" s="5"/>
      <c r="AN358" s="8"/>
      <c r="AO358" s="5">
        <v>0</v>
      </c>
      <c r="AP358" s="27" t="s">
        <v>667</v>
      </c>
      <c r="AQ358" s="5">
        <v>0</v>
      </c>
      <c r="AR358" s="8">
        <v>1</v>
      </c>
      <c r="AS358" s="6">
        <f t="shared" si="997"/>
        <v>18</v>
      </c>
      <c r="AT358" s="6">
        <f t="shared" si="998"/>
        <v>36</v>
      </c>
      <c r="AU358" s="5">
        <v>0</v>
      </c>
      <c r="AV358" s="5">
        <v>1</v>
      </c>
      <c r="AW358" s="6">
        <v>1</v>
      </c>
      <c r="AX358" s="6">
        <v>1</v>
      </c>
      <c r="AY358" s="6">
        <v>1</v>
      </c>
      <c r="AZ358" s="5">
        <v>201356</v>
      </c>
      <c r="BA358" s="5">
        <v>203037</v>
      </c>
      <c r="BB358" s="5">
        <v>0</v>
      </c>
      <c r="BC358" s="5">
        <v>0</v>
      </c>
      <c r="BD358" s="5">
        <v>0</v>
      </c>
      <c r="BE358" s="5">
        <v>615002</v>
      </c>
      <c r="BF358" s="23">
        <v>180</v>
      </c>
      <c r="BG358" s="5">
        <v>0</v>
      </c>
      <c r="BH358" s="5">
        <v>0</v>
      </c>
      <c r="BI358" s="5">
        <v>0</v>
      </c>
      <c r="BJ358" s="5">
        <f t="shared" si="1011"/>
        <v>54</v>
      </c>
      <c r="BK358" s="5">
        <f t="shared" si="1012"/>
        <v>54</v>
      </c>
      <c r="BL358" s="5">
        <v>1</v>
      </c>
      <c r="BM358" s="5">
        <v>30</v>
      </c>
      <c r="BN358" s="5">
        <v>180</v>
      </c>
      <c r="BO358" s="5">
        <v>108006</v>
      </c>
      <c r="BP358" s="5"/>
      <c r="BQ358" s="5"/>
      <c r="BR358" s="5"/>
      <c r="BS358" s="4"/>
      <c r="BT358" s="4">
        <f t="shared" si="1023"/>
        <v>6</v>
      </c>
      <c r="BU358" s="4">
        <v>0</v>
      </c>
      <c r="BV358" s="4">
        <f t="shared" si="1013"/>
        <v>6</v>
      </c>
      <c r="BW358" s="4">
        <f t="shared" si="1014"/>
        <v>6</v>
      </c>
      <c r="BX358" s="14">
        <f t="shared" si="1015"/>
        <v>0.49999999999999994</v>
      </c>
      <c r="BY358" s="14">
        <f t="shared" si="1006"/>
        <v>0.30000000000000004</v>
      </c>
      <c r="BZ358" s="27" t="s">
        <v>684</v>
      </c>
      <c r="CA358" s="27" t="s">
        <v>685</v>
      </c>
      <c r="CB358" s="27" t="s">
        <v>685</v>
      </c>
      <c r="CC358" s="5">
        <v>0</v>
      </c>
      <c r="CD358" s="5">
        <v>1</v>
      </c>
      <c r="CE358" s="5">
        <f t="shared" si="1007"/>
        <v>0</v>
      </c>
      <c r="CF358" s="5">
        <v>0</v>
      </c>
      <c r="CG358" s="6" t="str">
        <f t="shared" si="1008"/>
        <v>6级蓝宝石史莱姆</v>
      </c>
      <c r="CH358" s="5">
        <v>3</v>
      </c>
      <c r="CI358" s="5">
        <v>0</v>
      </c>
      <c r="CJ358" s="4">
        <v>0</v>
      </c>
      <c r="CK358" s="5">
        <v>0</v>
      </c>
      <c r="CL358" s="5">
        <v>0</v>
      </c>
      <c r="CM358" s="20">
        <v>0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10">
        <v>0.8</v>
      </c>
      <c r="CW358" s="10">
        <v>0.6</v>
      </c>
      <c r="CX358" s="10">
        <v>1</v>
      </c>
      <c r="CY358" s="10">
        <v>1</v>
      </c>
      <c r="CZ358" s="8">
        <v>1</v>
      </c>
      <c r="DA358" s="6">
        <f t="shared" si="1016"/>
        <v>150</v>
      </c>
      <c r="DB358" s="5">
        <v>0</v>
      </c>
      <c r="DC358" s="5">
        <f t="shared" si="999"/>
        <v>0.15625</v>
      </c>
      <c r="DD358" s="6">
        <f t="shared" si="1017"/>
        <v>0.15625</v>
      </c>
      <c r="DE358" s="6">
        <v>0.25</v>
      </c>
      <c r="DF358" s="5">
        <v>0</v>
      </c>
      <c r="DG358" s="6">
        <f t="shared" si="1018"/>
        <v>2.5</v>
      </c>
      <c r="DH358" s="5">
        <v>1.5</v>
      </c>
      <c r="DI358" s="8">
        <v>0</v>
      </c>
      <c r="DJ358" s="5">
        <f t="shared" si="1019"/>
        <v>0</v>
      </c>
      <c r="DK358" s="8">
        <v>0</v>
      </c>
      <c r="DL358" s="5">
        <f t="shared" si="996"/>
        <v>0</v>
      </c>
      <c r="DM358" s="27" t="str">
        <f t="shared" si="1002"/>
        <v>6级蓝宝石史莱姆</v>
      </c>
      <c r="DN358" s="5">
        <v>6</v>
      </c>
      <c r="DO358" s="5">
        <v>0</v>
      </c>
      <c r="DP358" s="5">
        <v>0</v>
      </c>
      <c r="DQ358" s="5">
        <v>0</v>
      </c>
      <c r="DR358" s="5">
        <f t="shared" si="1020"/>
        <v>0.9</v>
      </c>
      <c r="DS358" s="6">
        <v>1</v>
      </c>
      <c r="DT358" s="5">
        <v>-0.5</v>
      </c>
      <c r="DU358" s="5">
        <v>0.5</v>
      </c>
      <c r="DV358" s="6">
        <v>0.5</v>
      </c>
      <c r="DW358" s="5">
        <f t="shared" si="1021"/>
        <v>0.75</v>
      </c>
      <c r="DX358" s="5">
        <v>9</v>
      </c>
      <c r="DY358" s="5">
        <f t="shared" si="1022"/>
        <v>0</v>
      </c>
      <c r="DZ358" s="5">
        <v>0</v>
      </c>
    </row>
    <row r="359" spans="1:130" x14ac:dyDescent="0.15">
      <c r="A359" s="5">
        <v>201357</v>
      </c>
      <c r="B359" s="27" t="s">
        <v>668</v>
      </c>
      <c r="C359" s="27"/>
      <c r="D359" s="27"/>
      <c r="E359" s="27"/>
      <c r="F359" s="5">
        <v>0</v>
      </c>
      <c r="G359" s="45"/>
      <c r="H359" s="5"/>
      <c r="I359" s="5"/>
      <c r="J359" s="5"/>
      <c r="K359" s="5"/>
      <c r="L359" s="10"/>
      <c r="M359" s="5"/>
      <c r="N359" s="10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20"/>
      <c r="AF359" s="5"/>
      <c r="AG359" s="5"/>
      <c r="AH359" s="5"/>
      <c r="AI359" s="5"/>
      <c r="AJ359" s="5"/>
      <c r="AK359" s="5"/>
      <c r="AL359" s="5"/>
      <c r="AM359" s="5"/>
      <c r="AN359" s="8"/>
      <c r="AO359" s="5">
        <v>0</v>
      </c>
      <c r="AP359" s="27" t="s">
        <v>668</v>
      </c>
      <c r="AQ359" s="5">
        <v>0</v>
      </c>
      <c r="AR359" s="8">
        <v>1</v>
      </c>
      <c r="AS359" s="6">
        <f t="shared" si="997"/>
        <v>21</v>
      </c>
      <c r="AT359" s="6">
        <f t="shared" si="998"/>
        <v>42</v>
      </c>
      <c r="AU359" s="5">
        <v>0</v>
      </c>
      <c r="AV359" s="5">
        <v>1</v>
      </c>
      <c r="AW359" s="6">
        <v>1</v>
      </c>
      <c r="AX359" s="6">
        <v>1</v>
      </c>
      <c r="AY359" s="6">
        <v>1</v>
      </c>
      <c r="AZ359" s="5">
        <v>201357</v>
      </c>
      <c r="BA359" s="5">
        <v>203037</v>
      </c>
      <c r="BB359" s="5">
        <v>0</v>
      </c>
      <c r="BC359" s="5">
        <v>0</v>
      </c>
      <c r="BD359" s="5">
        <v>0</v>
      </c>
      <c r="BE359" s="5">
        <v>615002</v>
      </c>
      <c r="BF359" s="23">
        <v>180</v>
      </c>
      <c r="BG359" s="5">
        <v>0</v>
      </c>
      <c r="BH359" s="5">
        <v>0</v>
      </c>
      <c r="BI359" s="5">
        <v>0</v>
      </c>
      <c r="BJ359" s="5">
        <f t="shared" si="1011"/>
        <v>63</v>
      </c>
      <c r="BK359" s="5">
        <f t="shared" si="1012"/>
        <v>63</v>
      </c>
      <c r="BL359" s="5">
        <v>1</v>
      </c>
      <c r="BM359" s="5">
        <v>30</v>
      </c>
      <c r="BN359" s="5">
        <v>180</v>
      </c>
      <c r="BO359" s="5">
        <v>108006</v>
      </c>
      <c r="BP359" s="5"/>
      <c r="BQ359" s="5"/>
      <c r="BR359" s="5"/>
      <c r="BS359" s="4"/>
      <c r="BT359" s="4">
        <f t="shared" si="1023"/>
        <v>7</v>
      </c>
      <c r="BU359" s="4">
        <v>0</v>
      </c>
      <c r="BV359" s="4">
        <f t="shared" si="1013"/>
        <v>7</v>
      </c>
      <c r="BW359" s="4">
        <f t="shared" si="1014"/>
        <v>7</v>
      </c>
      <c r="BX359" s="14">
        <f t="shared" si="1015"/>
        <v>0.42999999999999994</v>
      </c>
      <c r="BY359" s="14">
        <f t="shared" si="1006"/>
        <v>0.25</v>
      </c>
      <c r="BZ359" s="27" t="s">
        <v>684</v>
      </c>
      <c r="CA359" s="27" t="s">
        <v>685</v>
      </c>
      <c r="CB359" s="27" t="s">
        <v>685</v>
      </c>
      <c r="CC359" s="5">
        <v>0</v>
      </c>
      <c r="CD359" s="5">
        <v>1</v>
      </c>
      <c r="CE359" s="5">
        <f t="shared" si="1007"/>
        <v>0</v>
      </c>
      <c r="CF359" s="5">
        <v>0</v>
      </c>
      <c r="CG359" s="6" t="str">
        <f t="shared" si="1008"/>
        <v>7级蓝宝石史莱姆</v>
      </c>
      <c r="CH359" s="5">
        <v>3</v>
      </c>
      <c r="CI359" s="5">
        <v>0</v>
      </c>
      <c r="CJ359" s="4">
        <v>0</v>
      </c>
      <c r="CK359" s="5">
        <v>0</v>
      </c>
      <c r="CL359" s="5">
        <v>0</v>
      </c>
      <c r="CM359" s="20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10">
        <v>0.8</v>
      </c>
      <c r="CW359" s="10">
        <v>0.6</v>
      </c>
      <c r="CX359" s="10">
        <v>1</v>
      </c>
      <c r="CY359" s="10">
        <v>1</v>
      </c>
      <c r="CZ359" s="8">
        <v>1</v>
      </c>
      <c r="DA359" s="6">
        <f t="shared" si="1016"/>
        <v>175</v>
      </c>
      <c r="DB359" s="5">
        <v>0</v>
      </c>
      <c r="DC359" s="5">
        <f t="shared" si="999"/>
        <v>0.16250000000000001</v>
      </c>
      <c r="DD359" s="6">
        <f t="shared" si="1017"/>
        <v>0.16250000000000001</v>
      </c>
      <c r="DE359" s="6">
        <v>0.25</v>
      </c>
      <c r="DF359" s="5">
        <v>0</v>
      </c>
      <c r="DG359" s="6">
        <f t="shared" si="1018"/>
        <v>2.5</v>
      </c>
      <c r="DH359" s="5">
        <v>1.5</v>
      </c>
      <c r="DI359" s="8">
        <v>0</v>
      </c>
      <c r="DJ359" s="5">
        <f t="shared" si="1019"/>
        <v>0</v>
      </c>
      <c r="DK359" s="8">
        <v>0</v>
      </c>
      <c r="DL359" s="5">
        <f t="shared" si="996"/>
        <v>0</v>
      </c>
      <c r="DM359" s="27" t="str">
        <f t="shared" si="1002"/>
        <v>7级蓝宝石史莱姆</v>
      </c>
      <c r="DN359" s="5">
        <v>6</v>
      </c>
      <c r="DO359" s="5">
        <v>0</v>
      </c>
      <c r="DP359" s="5">
        <v>0</v>
      </c>
      <c r="DQ359" s="5">
        <v>0</v>
      </c>
      <c r="DR359" s="5">
        <f t="shared" si="1020"/>
        <v>0.9</v>
      </c>
      <c r="DS359" s="6">
        <v>1</v>
      </c>
      <c r="DT359" s="5">
        <v>-0.5</v>
      </c>
      <c r="DU359" s="5">
        <v>0.5</v>
      </c>
      <c r="DV359" s="6">
        <v>0.5</v>
      </c>
      <c r="DW359" s="5">
        <f t="shared" si="1021"/>
        <v>0.75</v>
      </c>
      <c r="DX359" s="5">
        <v>9</v>
      </c>
      <c r="DY359" s="5">
        <f t="shared" si="1022"/>
        <v>0</v>
      </c>
      <c r="DZ359" s="5">
        <v>0</v>
      </c>
    </row>
    <row r="360" spans="1:130" x14ac:dyDescent="0.15">
      <c r="A360" s="5">
        <v>201358</v>
      </c>
      <c r="B360" s="27" t="s">
        <v>669</v>
      </c>
      <c r="C360" s="27"/>
      <c r="D360" s="27"/>
      <c r="E360" s="27"/>
      <c r="F360" s="5">
        <v>0</v>
      </c>
      <c r="G360" s="45"/>
      <c r="H360" s="5"/>
      <c r="I360" s="5"/>
      <c r="J360" s="5"/>
      <c r="K360" s="5"/>
      <c r="L360" s="10"/>
      <c r="M360" s="5"/>
      <c r="N360" s="10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20"/>
      <c r="AF360" s="5"/>
      <c r="AG360" s="5"/>
      <c r="AH360" s="5"/>
      <c r="AI360" s="5"/>
      <c r="AJ360" s="5"/>
      <c r="AK360" s="5"/>
      <c r="AL360" s="5"/>
      <c r="AM360" s="5"/>
      <c r="AN360" s="8"/>
      <c r="AO360" s="5">
        <v>0</v>
      </c>
      <c r="AP360" s="27" t="s">
        <v>669</v>
      </c>
      <c r="AQ360" s="5">
        <v>0</v>
      </c>
      <c r="AR360" s="8">
        <v>1</v>
      </c>
      <c r="AS360" s="6">
        <f t="shared" si="997"/>
        <v>24</v>
      </c>
      <c r="AT360" s="6">
        <f t="shared" si="998"/>
        <v>48</v>
      </c>
      <c r="AU360" s="5">
        <v>0</v>
      </c>
      <c r="AV360" s="5">
        <v>1</v>
      </c>
      <c r="AW360" s="6">
        <v>1</v>
      </c>
      <c r="AX360" s="6">
        <v>1</v>
      </c>
      <c r="AY360" s="6">
        <v>1</v>
      </c>
      <c r="AZ360" s="5">
        <v>201358</v>
      </c>
      <c r="BA360" s="5">
        <v>203037</v>
      </c>
      <c r="BB360" s="5">
        <v>0</v>
      </c>
      <c r="BC360" s="5">
        <v>0</v>
      </c>
      <c r="BD360" s="5">
        <v>0</v>
      </c>
      <c r="BE360" s="5">
        <v>615002</v>
      </c>
      <c r="BF360" s="23">
        <v>180</v>
      </c>
      <c r="BG360" s="5">
        <v>0</v>
      </c>
      <c r="BH360" s="5">
        <v>0</v>
      </c>
      <c r="BI360" s="5">
        <v>0</v>
      </c>
      <c r="BJ360" s="5">
        <f t="shared" si="1011"/>
        <v>72</v>
      </c>
      <c r="BK360" s="5">
        <f t="shared" si="1012"/>
        <v>72</v>
      </c>
      <c r="BL360" s="5">
        <v>1</v>
      </c>
      <c r="BM360" s="5">
        <v>30</v>
      </c>
      <c r="BN360" s="5">
        <v>180</v>
      </c>
      <c r="BO360" s="5">
        <v>108006</v>
      </c>
      <c r="BP360" s="5"/>
      <c r="BQ360" s="5"/>
      <c r="BR360" s="5"/>
      <c r="BS360" s="4"/>
      <c r="BT360" s="4">
        <f t="shared" si="1023"/>
        <v>8</v>
      </c>
      <c r="BU360" s="4">
        <v>0</v>
      </c>
      <c r="BV360" s="4">
        <f t="shared" si="1013"/>
        <v>8</v>
      </c>
      <c r="BW360" s="4">
        <f t="shared" si="1014"/>
        <v>8</v>
      </c>
      <c r="BX360" s="14">
        <f t="shared" si="1015"/>
        <v>0.35999999999999993</v>
      </c>
      <c r="BY360" s="14">
        <f t="shared" si="1006"/>
        <v>0.2</v>
      </c>
      <c r="BZ360" s="27" t="s">
        <v>684</v>
      </c>
      <c r="CA360" s="27" t="s">
        <v>685</v>
      </c>
      <c r="CB360" s="27" t="s">
        <v>685</v>
      </c>
      <c r="CC360" s="5">
        <v>0</v>
      </c>
      <c r="CD360" s="5">
        <v>1</v>
      </c>
      <c r="CE360" s="5">
        <f t="shared" si="1007"/>
        <v>0</v>
      </c>
      <c r="CF360" s="5">
        <v>0</v>
      </c>
      <c r="CG360" s="6" t="str">
        <f t="shared" si="1008"/>
        <v>8级蓝宝石史莱姆</v>
      </c>
      <c r="CH360" s="5">
        <v>3</v>
      </c>
      <c r="CI360" s="5">
        <v>0</v>
      </c>
      <c r="CJ360" s="4">
        <v>0</v>
      </c>
      <c r="CK360" s="5">
        <v>0</v>
      </c>
      <c r="CL360" s="5">
        <v>0</v>
      </c>
      <c r="CM360" s="20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10">
        <v>0.8</v>
      </c>
      <c r="CW360" s="10">
        <v>0.6</v>
      </c>
      <c r="CX360" s="10">
        <v>1</v>
      </c>
      <c r="CY360" s="10">
        <v>1</v>
      </c>
      <c r="CZ360" s="8">
        <v>1</v>
      </c>
      <c r="DA360" s="6">
        <f t="shared" si="1016"/>
        <v>200</v>
      </c>
      <c r="DB360" s="5">
        <v>0</v>
      </c>
      <c r="DC360" s="5">
        <f t="shared" si="999"/>
        <v>0.16875000000000001</v>
      </c>
      <c r="DD360" s="6">
        <f t="shared" si="1017"/>
        <v>0.16875000000000001</v>
      </c>
      <c r="DE360" s="6">
        <v>0.25</v>
      </c>
      <c r="DF360" s="5">
        <v>0</v>
      </c>
      <c r="DG360" s="6">
        <f t="shared" si="1018"/>
        <v>2.5</v>
      </c>
      <c r="DH360" s="5">
        <v>1.5</v>
      </c>
      <c r="DI360" s="8">
        <v>0</v>
      </c>
      <c r="DJ360" s="5">
        <f t="shared" si="1019"/>
        <v>0</v>
      </c>
      <c r="DK360" s="8">
        <v>0</v>
      </c>
      <c r="DL360" s="5">
        <f t="shared" si="996"/>
        <v>0</v>
      </c>
      <c r="DM360" s="27" t="str">
        <f t="shared" si="1002"/>
        <v>8级蓝宝石史莱姆</v>
      </c>
      <c r="DN360" s="5">
        <v>6</v>
      </c>
      <c r="DO360" s="5">
        <v>0</v>
      </c>
      <c r="DP360" s="5">
        <v>0</v>
      </c>
      <c r="DQ360" s="5">
        <v>0</v>
      </c>
      <c r="DR360" s="5">
        <f t="shared" si="1020"/>
        <v>0.9</v>
      </c>
      <c r="DS360" s="6">
        <v>1</v>
      </c>
      <c r="DT360" s="5">
        <v>-0.5</v>
      </c>
      <c r="DU360" s="5">
        <v>0.5</v>
      </c>
      <c r="DV360" s="6">
        <v>0.5</v>
      </c>
      <c r="DW360" s="5">
        <f t="shared" si="1021"/>
        <v>0.75</v>
      </c>
      <c r="DX360" s="5">
        <v>9</v>
      </c>
      <c r="DY360" s="5">
        <f t="shared" si="1022"/>
        <v>0</v>
      </c>
      <c r="DZ360" s="5">
        <v>0</v>
      </c>
    </row>
    <row r="361" spans="1:130" x14ac:dyDescent="0.15">
      <c r="A361" s="5">
        <v>201359</v>
      </c>
      <c r="B361" s="27" t="s">
        <v>670</v>
      </c>
      <c r="C361" s="27"/>
      <c r="D361" s="27"/>
      <c r="E361" s="27"/>
      <c r="F361" s="5">
        <v>0</v>
      </c>
      <c r="G361" s="45"/>
      <c r="H361" s="5"/>
      <c r="I361" s="5"/>
      <c r="J361" s="5"/>
      <c r="K361" s="5"/>
      <c r="L361" s="10"/>
      <c r="M361" s="5"/>
      <c r="N361" s="10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20"/>
      <c r="AF361" s="5"/>
      <c r="AG361" s="5"/>
      <c r="AH361" s="5"/>
      <c r="AI361" s="5"/>
      <c r="AJ361" s="5"/>
      <c r="AK361" s="5"/>
      <c r="AL361" s="5"/>
      <c r="AM361" s="5"/>
      <c r="AN361" s="8"/>
      <c r="AO361" s="5">
        <v>0</v>
      </c>
      <c r="AP361" s="27" t="s">
        <v>670</v>
      </c>
      <c r="AQ361" s="5">
        <v>0</v>
      </c>
      <c r="AR361" s="8">
        <v>1</v>
      </c>
      <c r="AS361" s="6">
        <f t="shared" si="997"/>
        <v>27</v>
      </c>
      <c r="AT361" s="6">
        <f t="shared" si="998"/>
        <v>54</v>
      </c>
      <c r="AU361" s="5">
        <v>0</v>
      </c>
      <c r="AV361" s="5">
        <v>1</v>
      </c>
      <c r="AW361" s="6">
        <v>1</v>
      </c>
      <c r="AX361" s="6">
        <v>1</v>
      </c>
      <c r="AY361" s="6">
        <v>1</v>
      </c>
      <c r="AZ361" s="5">
        <v>201359</v>
      </c>
      <c r="BA361" s="5">
        <v>203037</v>
      </c>
      <c r="BB361" s="5">
        <v>0</v>
      </c>
      <c r="BC361" s="5">
        <v>0</v>
      </c>
      <c r="BD361" s="5">
        <v>0</v>
      </c>
      <c r="BE361" s="5">
        <v>615002</v>
      </c>
      <c r="BF361" s="23">
        <v>180</v>
      </c>
      <c r="BG361" s="5">
        <v>0</v>
      </c>
      <c r="BH361" s="5">
        <v>0</v>
      </c>
      <c r="BI361" s="5">
        <v>0</v>
      </c>
      <c r="BJ361" s="5">
        <f t="shared" si="1011"/>
        <v>81</v>
      </c>
      <c r="BK361" s="5">
        <f t="shared" si="1012"/>
        <v>81</v>
      </c>
      <c r="BL361" s="5">
        <v>1</v>
      </c>
      <c r="BM361" s="5">
        <v>30</v>
      </c>
      <c r="BN361" s="5">
        <v>180</v>
      </c>
      <c r="BO361" s="5">
        <v>108006</v>
      </c>
      <c r="BP361" s="5"/>
      <c r="BQ361" s="5"/>
      <c r="BR361" s="5"/>
      <c r="BS361" s="4"/>
      <c r="BT361" s="4">
        <f t="shared" si="1023"/>
        <v>9</v>
      </c>
      <c r="BU361" s="4">
        <v>0</v>
      </c>
      <c r="BV361" s="4">
        <f t="shared" si="1013"/>
        <v>9</v>
      </c>
      <c r="BW361" s="4">
        <f t="shared" si="1014"/>
        <v>9</v>
      </c>
      <c r="BX361" s="14">
        <f t="shared" si="1015"/>
        <v>0.28999999999999992</v>
      </c>
      <c r="BY361" s="14">
        <f t="shared" si="1006"/>
        <v>0.15000000000000002</v>
      </c>
      <c r="BZ361" s="27" t="s">
        <v>684</v>
      </c>
      <c r="CA361" s="27" t="s">
        <v>685</v>
      </c>
      <c r="CB361" s="27" t="s">
        <v>685</v>
      </c>
      <c r="CC361" s="5">
        <v>0</v>
      </c>
      <c r="CD361" s="5">
        <v>1</v>
      </c>
      <c r="CE361" s="5">
        <f t="shared" si="1007"/>
        <v>0</v>
      </c>
      <c r="CF361" s="5">
        <v>0</v>
      </c>
      <c r="CG361" s="6" t="str">
        <f t="shared" si="1008"/>
        <v>9级蓝宝石史莱姆</v>
      </c>
      <c r="CH361" s="5">
        <v>3</v>
      </c>
      <c r="CI361" s="5">
        <v>0</v>
      </c>
      <c r="CJ361" s="4">
        <v>0</v>
      </c>
      <c r="CK361" s="5">
        <v>0</v>
      </c>
      <c r="CL361" s="5">
        <v>0</v>
      </c>
      <c r="CM361" s="20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10">
        <v>0.8</v>
      </c>
      <c r="CW361" s="10">
        <v>0.6</v>
      </c>
      <c r="CX361" s="10">
        <v>1</v>
      </c>
      <c r="CY361" s="10">
        <v>1</v>
      </c>
      <c r="CZ361" s="8">
        <v>1</v>
      </c>
      <c r="DA361" s="6">
        <f t="shared" si="1016"/>
        <v>225</v>
      </c>
      <c r="DB361" s="5">
        <v>0</v>
      </c>
      <c r="DC361" s="5">
        <f t="shared" si="999"/>
        <v>0.17499999999999999</v>
      </c>
      <c r="DD361" s="6">
        <f t="shared" si="1017"/>
        <v>0.17499999999999999</v>
      </c>
      <c r="DE361" s="6">
        <v>0.25</v>
      </c>
      <c r="DF361" s="5">
        <v>0</v>
      </c>
      <c r="DG361" s="6">
        <f t="shared" si="1018"/>
        <v>2.5</v>
      </c>
      <c r="DH361" s="5">
        <v>1.5</v>
      </c>
      <c r="DI361" s="8">
        <v>0</v>
      </c>
      <c r="DJ361" s="5">
        <f t="shared" si="1019"/>
        <v>0</v>
      </c>
      <c r="DK361" s="8">
        <v>0</v>
      </c>
      <c r="DL361" s="5">
        <f t="shared" si="996"/>
        <v>0</v>
      </c>
      <c r="DM361" s="27" t="str">
        <f t="shared" si="1002"/>
        <v>9级蓝宝石史莱姆</v>
      </c>
      <c r="DN361" s="5">
        <v>6</v>
      </c>
      <c r="DO361" s="5">
        <v>0</v>
      </c>
      <c r="DP361" s="5">
        <v>0</v>
      </c>
      <c r="DQ361" s="5">
        <v>0</v>
      </c>
      <c r="DR361" s="5">
        <f t="shared" si="1020"/>
        <v>0.9</v>
      </c>
      <c r="DS361" s="6">
        <v>1</v>
      </c>
      <c r="DT361" s="5">
        <v>-0.5</v>
      </c>
      <c r="DU361" s="5">
        <v>0.5</v>
      </c>
      <c r="DV361" s="6">
        <v>0.5</v>
      </c>
      <c r="DW361" s="5">
        <f t="shared" si="1021"/>
        <v>0.75</v>
      </c>
      <c r="DX361" s="5">
        <v>9</v>
      </c>
      <c r="DY361" s="5">
        <f t="shared" si="1022"/>
        <v>0</v>
      </c>
      <c r="DZ361" s="5">
        <v>0</v>
      </c>
    </row>
    <row r="362" spans="1:130" x14ac:dyDescent="0.15">
      <c r="A362" s="5">
        <v>201360</v>
      </c>
      <c r="B362" s="27" t="s">
        <v>671</v>
      </c>
      <c r="C362" s="27"/>
      <c r="D362" s="27"/>
      <c r="E362" s="27"/>
      <c r="F362" s="5">
        <v>0</v>
      </c>
      <c r="G362" s="45"/>
      <c r="H362" s="5"/>
      <c r="I362" s="5"/>
      <c r="J362" s="5"/>
      <c r="K362" s="5"/>
      <c r="L362" s="10"/>
      <c r="M362" s="5"/>
      <c r="N362" s="10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20"/>
      <c r="AF362" s="5"/>
      <c r="AG362" s="5"/>
      <c r="AH362" s="5"/>
      <c r="AI362" s="5"/>
      <c r="AJ362" s="5"/>
      <c r="AK362" s="5"/>
      <c r="AL362" s="5"/>
      <c r="AM362" s="5"/>
      <c r="AN362" s="8"/>
      <c r="AO362" s="5">
        <v>0</v>
      </c>
      <c r="AP362" s="27" t="s">
        <v>671</v>
      </c>
      <c r="AQ362" s="5">
        <v>0</v>
      </c>
      <c r="AR362" s="8">
        <v>1</v>
      </c>
      <c r="AS362" s="6">
        <f t="shared" si="997"/>
        <v>30</v>
      </c>
      <c r="AT362" s="6">
        <f t="shared" si="998"/>
        <v>60</v>
      </c>
      <c r="AU362" s="5">
        <v>0</v>
      </c>
      <c r="AV362" s="5">
        <v>1</v>
      </c>
      <c r="AW362" s="6">
        <v>1</v>
      </c>
      <c r="AX362" s="6">
        <v>1</v>
      </c>
      <c r="AY362" s="6">
        <v>1</v>
      </c>
      <c r="AZ362" s="5">
        <v>201360</v>
      </c>
      <c r="BA362" s="5">
        <v>203037</v>
      </c>
      <c r="BB362" s="5">
        <v>0</v>
      </c>
      <c r="BC362" s="5">
        <v>0</v>
      </c>
      <c r="BD362" s="5">
        <v>0</v>
      </c>
      <c r="BE362" s="5">
        <v>615002</v>
      </c>
      <c r="BF362" s="23">
        <v>180</v>
      </c>
      <c r="BG362" s="5">
        <v>0</v>
      </c>
      <c r="BH362" s="5">
        <v>0</v>
      </c>
      <c r="BI362" s="5">
        <v>0</v>
      </c>
      <c r="BJ362" s="5">
        <f t="shared" si="1011"/>
        <v>90</v>
      </c>
      <c r="BK362" s="5">
        <f t="shared" si="1012"/>
        <v>90</v>
      </c>
      <c r="BL362" s="5">
        <v>1</v>
      </c>
      <c r="BM362" s="5">
        <v>30</v>
      </c>
      <c r="BN362" s="5">
        <v>180</v>
      </c>
      <c r="BO362" s="5">
        <v>108006</v>
      </c>
      <c r="BP362" s="5"/>
      <c r="BQ362" s="5"/>
      <c r="BR362" s="5"/>
      <c r="BS362" s="4"/>
      <c r="BT362" s="4">
        <f t="shared" si="1023"/>
        <v>10</v>
      </c>
      <c r="BU362" s="4">
        <v>0</v>
      </c>
      <c r="BV362" s="4">
        <f t="shared" si="1013"/>
        <v>10</v>
      </c>
      <c r="BW362" s="4">
        <f t="shared" si="1014"/>
        <v>10</v>
      </c>
      <c r="BX362" s="14">
        <f t="shared" si="1015"/>
        <v>0.21999999999999986</v>
      </c>
      <c r="BY362" s="14">
        <f t="shared" si="1006"/>
        <v>0.10000000000000003</v>
      </c>
      <c r="BZ362" s="27" t="s">
        <v>684</v>
      </c>
      <c r="CA362" s="27" t="s">
        <v>685</v>
      </c>
      <c r="CB362" s="27" t="s">
        <v>685</v>
      </c>
      <c r="CC362" s="5">
        <v>0</v>
      </c>
      <c r="CD362" s="5">
        <v>1</v>
      </c>
      <c r="CE362" s="5">
        <f t="shared" si="1007"/>
        <v>0</v>
      </c>
      <c r="CF362" s="5">
        <v>0</v>
      </c>
      <c r="CG362" s="6" t="str">
        <f t="shared" si="1008"/>
        <v>10级蓝宝石史莱姆</v>
      </c>
      <c r="CH362" s="5">
        <v>3</v>
      </c>
      <c r="CI362" s="5">
        <v>0</v>
      </c>
      <c r="CJ362" s="4">
        <v>0</v>
      </c>
      <c r="CK362" s="5">
        <v>0</v>
      </c>
      <c r="CL362" s="5">
        <v>0</v>
      </c>
      <c r="CM362" s="20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10">
        <v>0.8</v>
      </c>
      <c r="CW362" s="10">
        <v>0.6</v>
      </c>
      <c r="CX362" s="10">
        <v>1</v>
      </c>
      <c r="CY362" s="10">
        <v>1</v>
      </c>
      <c r="CZ362" s="8">
        <v>1</v>
      </c>
      <c r="DA362" s="6">
        <f t="shared" si="1016"/>
        <v>250</v>
      </c>
      <c r="DB362" s="5">
        <v>0</v>
      </c>
      <c r="DC362" s="5">
        <f t="shared" si="999"/>
        <v>0.18124999999999999</v>
      </c>
      <c r="DD362" s="6">
        <f t="shared" si="1017"/>
        <v>0.18124999999999999</v>
      </c>
      <c r="DE362" s="6">
        <v>0.25</v>
      </c>
      <c r="DF362" s="5">
        <v>0</v>
      </c>
      <c r="DG362" s="6">
        <f t="shared" si="1018"/>
        <v>2.5</v>
      </c>
      <c r="DH362" s="5">
        <v>1.5</v>
      </c>
      <c r="DI362" s="8">
        <v>0</v>
      </c>
      <c r="DJ362" s="5">
        <f t="shared" si="1019"/>
        <v>0</v>
      </c>
      <c r="DK362" s="8">
        <v>0</v>
      </c>
      <c r="DL362" s="5">
        <f t="shared" si="996"/>
        <v>0</v>
      </c>
      <c r="DM362" s="27" t="str">
        <f t="shared" si="1002"/>
        <v>10级蓝宝石史莱姆</v>
      </c>
      <c r="DN362" s="5">
        <v>6</v>
      </c>
      <c r="DO362" s="5">
        <v>0</v>
      </c>
      <c r="DP362" s="5">
        <v>0</v>
      </c>
      <c r="DQ362" s="5">
        <v>0</v>
      </c>
      <c r="DR362" s="5">
        <f t="shared" si="1020"/>
        <v>0.9</v>
      </c>
      <c r="DS362" s="6">
        <v>1</v>
      </c>
      <c r="DT362" s="5">
        <v>-0.5</v>
      </c>
      <c r="DU362" s="5">
        <v>0.5</v>
      </c>
      <c r="DV362" s="6">
        <v>0.5</v>
      </c>
      <c r="DW362" s="5">
        <f t="shared" si="1021"/>
        <v>0.75</v>
      </c>
      <c r="DX362" s="5">
        <v>9</v>
      </c>
      <c r="DY362" s="5">
        <f t="shared" si="1022"/>
        <v>0</v>
      </c>
      <c r="DZ362" s="5">
        <v>0</v>
      </c>
    </row>
    <row r="363" spans="1:130" x14ac:dyDescent="0.15">
      <c r="A363" s="5">
        <v>201361</v>
      </c>
      <c r="B363" s="27" t="s">
        <v>672</v>
      </c>
      <c r="C363" s="27"/>
      <c r="D363" s="27"/>
      <c r="E363" s="27"/>
      <c r="F363" s="5">
        <v>0</v>
      </c>
      <c r="G363" s="45"/>
      <c r="H363" s="5"/>
      <c r="I363" s="5"/>
      <c r="J363" s="5"/>
      <c r="K363" s="5"/>
      <c r="L363" s="10"/>
      <c r="M363" s="5"/>
      <c r="N363" s="10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20"/>
      <c r="AF363" s="5"/>
      <c r="AG363" s="5"/>
      <c r="AH363" s="5"/>
      <c r="AI363" s="5"/>
      <c r="AJ363" s="5"/>
      <c r="AK363" s="5"/>
      <c r="AL363" s="5"/>
      <c r="AM363" s="5"/>
      <c r="AN363" s="8"/>
      <c r="AO363" s="5">
        <v>0</v>
      </c>
      <c r="AP363" s="27" t="s">
        <v>672</v>
      </c>
      <c r="AQ363" s="5">
        <v>0</v>
      </c>
      <c r="AR363" s="8">
        <v>1</v>
      </c>
      <c r="AS363" s="6">
        <f t="shared" si="997"/>
        <v>3</v>
      </c>
      <c r="AT363" s="6">
        <f t="shared" si="998"/>
        <v>6</v>
      </c>
      <c r="AU363" s="5">
        <v>0</v>
      </c>
      <c r="AV363" s="5">
        <v>1</v>
      </c>
      <c r="AW363" s="6">
        <v>1</v>
      </c>
      <c r="AX363" s="6">
        <v>1</v>
      </c>
      <c r="AY363" s="6">
        <v>1</v>
      </c>
      <c r="AZ363" s="5">
        <v>201361</v>
      </c>
      <c r="BA363" s="5">
        <v>203038</v>
      </c>
      <c r="BB363" s="5">
        <v>0</v>
      </c>
      <c r="BC363" s="5">
        <v>0</v>
      </c>
      <c r="BD363" s="5">
        <v>0</v>
      </c>
      <c r="BE363" s="5">
        <v>615003</v>
      </c>
      <c r="BF363" s="23">
        <v>180</v>
      </c>
      <c r="BG363" s="5">
        <v>0</v>
      </c>
      <c r="BH363" s="5">
        <v>0</v>
      </c>
      <c r="BI363" s="5">
        <v>0</v>
      </c>
      <c r="BJ363" s="5">
        <f t="shared" si="1011"/>
        <v>9</v>
      </c>
      <c r="BK363" s="5">
        <f t="shared" si="1012"/>
        <v>9</v>
      </c>
      <c r="BL363" s="5">
        <v>1</v>
      </c>
      <c r="BM363" s="5">
        <v>30</v>
      </c>
      <c r="BN363" s="5">
        <v>180</v>
      </c>
      <c r="BO363" s="5">
        <v>108006</v>
      </c>
      <c r="BP363" s="5"/>
      <c r="BQ363" s="5"/>
      <c r="BR363" s="5"/>
      <c r="BS363" s="4"/>
      <c r="BT363" s="4">
        <f t="shared" si="1023"/>
        <v>1</v>
      </c>
      <c r="BU363" s="4">
        <v>0</v>
      </c>
      <c r="BV363" s="4">
        <f t="shared" si="1013"/>
        <v>1</v>
      </c>
      <c r="BW363" s="4">
        <f t="shared" si="1014"/>
        <v>1</v>
      </c>
      <c r="BX363" s="14">
        <f t="shared" si="1015"/>
        <v>0.85</v>
      </c>
      <c r="BY363" s="14">
        <f t="shared" si="1006"/>
        <v>0.55000000000000004</v>
      </c>
      <c r="BZ363" s="27" t="s">
        <v>686</v>
      </c>
      <c r="CA363" s="27" t="s">
        <v>687</v>
      </c>
      <c r="CB363" s="27" t="s">
        <v>687</v>
      </c>
      <c r="CC363" s="5">
        <v>0</v>
      </c>
      <c r="CD363" s="5">
        <v>1</v>
      </c>
      <c r="CE363" s="5">
        <f t="shared" si="1007"/>
        <v>0</v>
      </c>
      <c r="CF363" s="5">
        <v>0</v>
      </c>
      <c r="CG363" s="6" t="str">
        <f t="shared" si="1008"/>
        <v>1级绿宝石史莱姆</v>
      </c>
      <c r="CH363" s="5">
        <v>3</v>
      </c>
      <c r="CI363" s="5">
        <v>0</v>
      </c>
      <c r="CJ363" s="4">
        <v>0</v>
      </c>
      <c r="CK363" s="5">
        <v>0</v>
      </c>
      <c r="CL363" s="5">
        <v>0</v>
      </c>
      <c r="CM363" s="20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10">
        <v>0.8</v>
      </c>
      <c r="CW363" s="10">
        <v>0.6</v>
      </c>
      <c r="CX363" s="10">
        <v>1</v>
      </c>
      <c r="CY363" s="10">
        <v>1</v>
      </c>
      <c r="CZ363" s="8">
        <v>1</v>
      </c>
      <c r="DA363" s="6">
        <f t="shared" si="1016"/>
        <v>25</v>
      </c>
      <c r="DB363" s="5">
        <v>0</v>
      </c>
      <c r="DC363" s="5">
        <f t="shared" si="999"/>
        <v>0.125</v>
      </c>
      <c r="DD363" s="6">
        <f t="shared" si="1017"/>
        <v>0.125</v>
      </c>
      <c r="DE363" s="6">
        <v>0.25</v>
      </c>
      <c r="DF363" s="5">
        <v>0</v>
      </c>
      <c r="DG363" s="6">
        <f t="shared" si="1018"/>
        <v>2.5</v>
      </c>
      <c r="DH363" s="5">
        <v>1.5</v>
      </c>
      <c r="DI363" s="8">
        <v>0</v>
      </c>
      <c r="DJ363" s="5">
        <f t="shared" si="1019"/>
        <v>0</v>
      </c>
      <c r="DK363" s="8">
        <v>0</v>
      </c>
      <c r="DL363" s="5">
        <f t="shared" si="996"/>
        <v>0</v>
      </c>
      <c r="DM363" s="27" t="str">
        <f t="shared" si="1002"/>
        <v>1级绿宝石史莱姆</v>
      </c>
      <c r="DN363" s="5">
        <v>6</v>
      </c>
      <c r="DO363" s="5">
        <v>0</v>
      </c>
      <c r="DP363" s="5">
        <v>0</v>
      </c>
      <c r="DQ363" s="5">
        <v>0</v>
      </c>
      <c r="DR363" s="5">
        <f t="shared" si="1020"/>
        <v>0.9</v>
      </c>
      <c r="DS363" s="6">
        <v>1</v>
      </c>
      <c r="DT363" s="5">
        <v>-0.5</v>
      </c>
      <c r="DU363" s="5">
        <v>0.5</v>
      </c>
      <c r="DV363" s="6">
        <v>0.5</v>
      </c>
      <c r="DW363" s="5">
        <f t="shared" si="1021"/>
        <v>0.75</v>
      </c>
      <c r="DX363" s="5">
        <v>9</v>
      </c>
      <c r="DY363" s="5">
        <f t="shared" si="1022"/>
        <v>0</v>
      </c>
      <c r="DZ363" s="5">
        <v>0</v>
      </c>
    </row>
    <row r="364" spans="1:130" x14ac:dyDescent="0.15">
      <c r="A364" s="5">
        <v>201362</v>
      </c>
      <c r="B364" s="27" t="s">
        <v>673</v>
      </c>
      <c r="C364" s="27"/>
      <c r="D364" s="27"/>
      <c r="E364" s="27"/>
      <c r="F364" s="5">
        <v>0</v>
      </c>
      <c r="G364" s="45"/>
      <c r="H364" s="5"/>
      <c r="I364" s="5"/>
      <c r="J364" s="5"/>
      <c r="K364" s="5"/>
      <c r="L364" s="10"/>
      <c r="M364" s="5"/>
      <c r="N364" s="10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20"/>
      <c r="AF364" s="5"/>
      <c r="AG364" s="5"/>
      <c r="AH364" s="5"/>
      <c r="AI364" s="5"/>
      <c r="AJ364" s="5"/>
      <c r="AK364" s="5"/>
      <c r="AL364" s="5"/>
      <c r="AM364" s="5"/>
      <c r="AN364" s="8"/>
      <c r="AO364" s="5">
        <v>0</v>
      </c>
      <c r="AP364" s="27" t="s">
        <v>673</v>
      </c>
      <c r="AQ364" s="5">
        <v>0</v>
      </c>
      <c r="AR364" s="8">
        <v>1</v>
      </c>
      <c r="AS364" s="6">
        <f t="shared" si="997"/>
        <v>6</v>
      </c>
      <c r="AT364" s="6">
        <f t="shared" si="998"/>
        <v>12</v>
      </c>
      <c r="AU364" s="5">
        <v>0</v>
      </c>
      <c r="AV364" s="5">
        <v>1</v>
      </c>
      <c r="AW364" s="6">
        <v>1</v>
      </c>
      <c r="AX364" s="6">
        <v>1</v>
      </c>
      <c r="AY364" s="6">
        <v>1</v>
      </c>
      <c r="AZ364" s="5">
        <v>201362</v>
      </c>
      <c r="BA364" s="5">
        <v>203038</v>
      </c>
      <c r="BB364" s="5">
        <v>0</v>
      </c>
      <c r="BC364" s="5">
        <v>0</v>
      </c>
      <c r="BD364" s="5">
        <v>0</v>
      </c>
      <c r="BE364" s="5">
        <v>615003</v>
      </c>
      <c r="BF364" s="23">
        <v>180</v>
      </c>
      <c r="BG364" s="5">
        <v>0</v>
      </c>
      <c r="BH364" s="5">
        <v>0</v>
      </c>
      <c r="BI364" s="5">
        <v>0</v>
      </c>
      <c r="BJ364" s="5">
        <f t="shared" si="1011"/>
        <v>18</v>
      </c>
      <c r="BK364" s="5">
        <f t="shared" si="1012"/>
        <v>18</v>
      </c>
      <c r="BL364" s="5">
        <v>1</v>
      </c>
      <c r="BM364" s="5">
        <v>30</v>
      </c>
      <c r="BN364" s="5">
        <v>180</v>
      </c>
      <c r="BO364" s="5">
        <v>108006</v>
      </c>
      <c r="BP364" s="5"/>
      <c r="BQ364" s="5"/>
      <c r="BR364" s="5"/>
      <c r="BS364" s="4"/>
      <c r="BT364" s="4">
        <f t="shared" si="1023"/>
        <v>2</v>
      </c>
      <c r="BU364" s="4">
        <v>0</v>
      </c>
      <c r="BV364" s="4">
        <f t="shared" si="1013"/>
        <v>2</v>
      </c>
      <c r="BW364" s="4">
        <f t="shared" si="1014"/>
        <v>2</v>
      </c>
      <c r="BX364" s="14">
        <f t="shared" si="1015"/>
        <v>0.78</v>
      </c>
      <c r="BY364" s="14">
        <f t="shared" si="1006"/>
        <v>0.5</v>
      </c>
      <c r="BZ364" s="27" t="s">
        <v>686</v>
      </c>
      <c r="CA364" s="27" t="s">
        <v>687</v>
      </c>
      <c r="CB364" s="27" t="s">
        <v>687</v>
      </c>
      <c r="CC364" s="5">
        <v>0</v>
      </c>
      <c r="CD364" s="5">
        <v>1</v>
      </c>
      <c r="CE364" s="5">
        <f t="shared" si="1007"/>
        <v>0</v>
      </c>
      <c r="CF364" s="5">
        <v>0</v>
      </c>
      <c r="CG364" s="6" t="str">
        <f t="shared" si="1008"/>
        <v>2级绿宝石史莱姆</v>
      </c>
      <c r="CH364" s="5">
        <v>3</v>
      </c>
      <c r="CI364" s="5">
        <v>0</v>
      </c>
      <c r="CJ364" s="4">
        <v>0</v>
      </c>
      <c r="CK364" s="5">
        <v>0</v>
      </c>
      <c r="CL364" s="5">
        <v>0</v>
      </c>
      <c r="CM364" s="20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10">
        <v>0.8</v>
      </c>
      <c r="CW364" s="10">
        <v>0.6</v>
      </c>
      <c r="CX364" s="10">
        <v>1</v>
      </c>
      <c r="CY364" s="10">
        <v>1</v>
      </c>
      <c r="CZ364" s="8">
        <v>1</v>
      </c>
      <c r="DA364" s="6">
        <f t="shared" si="1016"/>
        <v>50</v>
      </c>
      <c r="DB364" s="5">
        <v>0</v>
      </c>
      <c r="DC364" s="5">
        <f t="shared" si="999"/>
        <v>0.13125000000000001</v>
      </c>
      <c r="DD364" s="6">
        <f t="shared" si="1017"/>
        <v>0.13125000000000001</v>
      </c>
      <c r="DE364" s="6">
        <v>0.25</v>
      </c>
      <c r="DF364" s="5">
        <v>0</v>
      </c>
      <c r="DG364" s="6">
        <f t="shared" si="1018"/>
        <v>2.5</v>
      </c>
      <c r="DH364" s="5">
        <v>1.5</v>
      </c>
      <c r="DI364" s="8">
        <v>0</v>
      </c>
      <c r="DJ364" s="5">
        <f t="shared" si="1019"/>
        <v>0</v>
      </c>
      <c r="DK364" s="8">
        <v>0</v>
      </c>
      <c r="DL364" s="5">
        <f t="shared" si="996"/>
        <v>0</v>
      </c>
      <c r="DM364" s="27" t="str">
        <f t="shared" si="1002"/>
        <v>2级绿宝石史莱姆</v>
      </c>
      <c r="DN364" s="5">
        <v>6</v>
      </c>
      <c r="DO364" s="5">
        <v>0</v>
      </c>
      <c r="DP364" s="5">
        <v>0</v>
      </c>
      <c r="DQ364" s="5">
        <v>0</v>
      </c>
      <c r="DR364" s="5">
        <f t="shared" si="1020"/>
        <v>0.9</v>
      </c>
      <c r="DS364" s="6">
        <v>1</v>
      </c>
      <c r="DT364" s="5">
        <v>-0.5</v>
      </c>
      <c r="DU364" s="5">
        <v>0.5</v>
      </c>
      <c r="DV364" s="6">
        <v>0.5</v>
      </c>
      <c r="DW364" s="5">
        <f t="shared" si="1021"/>
        <v>0.75</v>
      </c>
      <c r="DX364" s="5">
        <v>9</v>
      </c>
      <c r="DY364" s="5">
        <f t="shared" si="1022"/>
        <v>0</v>
      </c>
      <c r="DZ364" s="5">
        <v>0</v>
      </c>
    </row>
    <row r="365" spans="1:130" x14ac:dyDescent="0.15">
      <c r="A365" s="5">
        <v>201363</v>
      </c>
      <c r="B365" s="27" t="s">
        <v>674</v>
      </c>
      <c r="C365" s="27"/>
      <c r="D365" s="27"/>
      <c r="E365" s="27"/>
      <c r="F365" s="5">
        <v>0</v>
      </c>
      <c r="G365" s="45"/>
      <c r="H365" s="5"/>
      <c r="I365" s="5"/>
      <c r="J365" s="5"/>
      <c r="K365" s="5"/>
      <c r="L365" s="10"/>
      <c r="M365" s="5"/>
      <c r="N365" s="10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20"/>
      <c r="AF365" s="5"/>
      <c r="AG365" s="5"/>
      <c r="AH365" s="5"/>
      <c r="AI365" s="5"/>
      <c r="AJ365" s="5"/>
      <c r="AK365" s="5"/>
      <c r="AL365" s="5"/>
      <c r="AM365" s="5"/>
      <c r="AN365" s="8"/>
      <c r="AO365" s="5">
        <v>0</v>
      </c>
      <c r="AP365" s="27" t="s">
        <v>674</v>
      </c>
      <c r="AQ365" s="5">
        <v>0</v>
      </c>
      <c r="AR365" s="8">
        <v>1</v>
      </c>
      <c r="AS365" s="6">
        <f t="shared" si="997"/>
        <v>9</v>
      </c>
      <c r="AT365" s="6">
        <f t="shared" si="998"/>
        <v>18</v>
      </c>
      <c r="AU365" s="5">
        <v>0</v>
      </c>
      <c r="AV365" s="5">
        <v>1</v>
      </c>
      <c r="AW365" s="6">
        <v>1</v>
      </c>
      <c r="AX365" s="6">
        <v>1</v>
      </c>
      <c r="AY365" s="6">
        <v>1</v>
      </c>
      <c r="AZ365" s="5">
        <v>201363</v>
      </c>
      <c r="BA365" s="5">
        <v>203038</v>
      </c>
      <c r="BB365" s="5">
        <v>0</v>
      </c>
      <c r="BC365" s="5">
        <v>0</v>
      </c>
      <c r="BD365" s="5">
        <v>0</v>
      </c>
      <c r="BE365" s="5">
        <v>615003</v>
      </c>
      <c r="BF365" s="23">
        <v>180</v>
      </c>
      <c r="BG365" s="5">
        <v>0</v>
      </c>
      <c r="BH365" s="5">
        <v>0</v>
      </c>
      <c r="BI365" s="5">
        <v>0</v>
      </c>
      <c r="BJ365" s="5">
        <f t="shared" si="1011"/>
        <v>27</v>
      </c>
      <c r="BK365" s="5">
        <f t="shared" si="1012"/>
        <v>27</v>
      </c>
      <c r="BL365" s="5">
        <v>1</v>
      </c>
      <c r="BM365" s="5">
        <v>30</v>
      </c>
      <c r="BN365" s="5">
        <v>180</v>
      </c>
      <c r="BO365" s="5">
        <v>108006</v>
      </c>
      <c r="BP365" s="5"/>
      <c r="BQ365" s="5"/>
      <c r="BR365" s="5"/>
      <c r="BS365" s="4"/>
      <c r="BT365" s="4">
        <f t="shared" si="1023"/>
        <v>3</v>
      </c>
      <c r="BU365" s="4">
        <v>0</v>
      </c>
      <c r="BV365" s="4">
        <f t="shared" si="1013"/>
        <v>3</v>
      </c>
      <c r="BW365" s="4">
        <f t="shared" si="1014"/>
        <v>3</v>
      </c>
      <c r="BX365" s="14">
        <f t="shared" si="1015"/>
        <v>0.71</v>
      </c>
      <c r="BY365" s="14">
        <f t="shared" si="1006"/>
        <v>0.45000000000000007</v>
      </c>
      <c r="BZ365" s="27" t="s">
        <v>686</v>
      </c>
      <c r="CA365" s="27" t="s">
        <v>687</v>
      </c>
      <c r="CB365" s="27" t="s">
        <v>687</v>
      </c>
      <c r="CC365" s="5">
        <v>0</v>
      </c>
      <c r="CD365" s="5">
        <v>1</v>
      </c>
      <c r="CE365" s="5">
        <f t="shared" si="1007"/>
        <v>0</v>
      </c>
      <c r="CF365" s="5">
        <v>0</v>
      </c>
      <c r="CG365" s="6" t="str">
        <f t="shared" si="1008"/>
        <v>3级绿宝石史莱姆</v>
      </c>
      <c r="CH365" s="5">
        <v>3</v>
      </c>
      <c r="CI365" s="5">
        <v>0</v>
      </c>
      <c r="CJ365" s="4">
        <v>0</v>
      </c>
      <c r="CK365" s="5">
        <v>0</v>
      </c>
      <c r="CL365" s="5">
        <v>0</v>
      </c>
      <c r="CM365" s="20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10">
        <v>0.8</v>
      </c>
      <c r="CW365" s="10">
        <v>0.6</v>
      </c>
      <c r="CX365" s="10">
        <v>1</v>
      </c>
      <c r="CY365" s="10">
        <v>1</v>
      </c>
      <c r="CZ365" s="8">
        <v>1</v>
      </c>
      <c r="DA365" s="6">
        <f t="shared" si="1016"/>
        <v>75</v>
      </c>
      <c r="DB365" s="5">
        <v>0</v>
      </c>
      <c r="DC365" s="5">
        <f t="shared" si="999"/>
        <v>0.13750000000000001</v>
      </c>
      <c r="DD365" s="6">
        <f t="shared" si="1017"/>
        <v>0.13750000000000001</v>
      </c>
      <c r="DE365" s="6">
        <v>0.25</v>
      </c>
      <c r="DF365" s="5">
        <v>0</v>
      </c>
      <c r="DG365" s="6">
        <f t="shared" si="1018"/>
        <v>2.5</v>
      </c>
      <c r="DH365" s="5">
        <v>1.5</v>
      </c>
      <c r="DI365" s="8">
        <v>0</v>
      </c>
      <c r="DJ365" s="5">
        <f t="shared" si="1019"/>
        <v>0</v>
      </c>
      <c r="DK365" s="8">
        <v>0</v>
      </c>
      <c r="DL365" s="5">
        <f t="shared" si="996"/>
        <v>0</v>
      </c>
      <c r="DM365" s="27" t="str">
        <f t="shared" si="1002"/>
        <v>3级绿宝石史莱姆</v>
      </c>
      <c r="DN365" s="5">
        <v>6</v>
      </c>
      <c r="DO365" s="5">
        <v>0</v>
      </c>
      <c r="DP365" s="5">
        <v>0</v>
      </c>
      <c r="DQ365" s="5">
        <v>0</v>
      </c>
      <c r="DR365" s="5">
        <f t="shared" si="1020"/>
        <v>0.9</v>
      </c>
      <c r="DS365" s="6">
        <v>1</v>
      </c>
      <c r="DT365" s="5">
        <v>-0.5</v>
      </c>
      <c r="DU365" s="5">
        <v>0.5</v>
      </c>
      <c r="DV365" s="6">
        <v>0.5</v>
      </c>
      <c r="DW365" s="5">
        <f t="shared" si="1021"/>
        <v>0.75</v>
      </c>
      <c r="DX365" s="5">
        <v>9</v>
      </c>
      <c r="DY365" s="5">
        <f t="shared" si="1022"/>
        <v>0</v>
      </c>
      <c r="DZ365" s="5">
        <v>0</v>
      </c>
    </row>
    <row r="366" spans="1:130" x14ac:dyDescent="0.15">
      <c r="A366" s="5">
        <v>201364</v>
      </c>
      <c r="B366" s="27" t="s">
        <v>675</v>
      </c>
      <c r="C366" s="27"/>
      <c r="D366" s="27"/>
      <c r="E366" s="27"/>
      <c r="F366" s="5">
        <v>0</v>
      </c>
      <c r="G366" s="45"/>
      <c r="H366" s="5"/>
      <c r="I366" s="5"/>
      <c r="J366" s="5"/>
      <c r="K366" s="5"/>
      <c r="L366" s="10"/>
      <c r="M366" s="5"/>
      <c r="N366" s="10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20"/>
      <c r="AF366" s="5"/>
      <c r="AG366" s="5"/>
      <c r="AH366" s="5"/>
      <c r="AI366" s="5"/>
      <c r="AJ366" s="5"/>
      <c r="AK366" s="5"/>
      <c r="AL366" s="5"/>
      <c r="AM366" s="5"/>
      <c r="AN366" s="8"/>
      <c r="AO366" s="5">
        <v>0</v>
      </c>
      <c r="AP366" s="27" t="s">
        <v>675</v>
      </c>
      <c r="AQ366" s="5">
        <v>0</v>
      </c>
      <c r="AR366" s="8">
        <v>1</v>
      </c>
      <c r="AS366" s="6">
        <f t="shared" si="997"/>
        <v>12</v>
      </c>
      <c r="AT366" s="6">
        <f t="shared" si="998"/>
        <v>24</v>
      </c>
      <c r="AU366" s="5">
        <v>0</v>
      </c>
      <c r="AV366" s="5">
        <v>1</v>
      </c>
      <c r="AW366" s="6">
        <v>1</v>
      </c>
      <c r="AX366" s="6">
        <v>1</v>
      </c>
      <c r="AY366" s="6">
        <v>1</v>
      </c>
      <c r="AZ366" s="5">
        <v>201364</v>
      </c>
      <c r="BA366" s="5">
        <v>203038</v>
      </c>
      <c r="BB366" s="5">
        <v>0</v>
      </c>
      <c r="BC366" s="5">
        <v>0</v>
      </c>
      <c r="BD366" s="5">
        <v>0</v>
      </c>
      <c r="BE366" s="5">
        <v>615003</v>
      </c>
      <c r="BF366" s="23">
        <v>180</v>
      </c>
      <c r="BG366" s="5">
        <v>0</v>
      </c>
      <c r="BH366" s="5">
        <v>0</v>
      </c>
      <c r="BI366" s="5">
        <v>0</v>
      </c>
      <c r="BJ366" s="5">
        <f t="shared" si="1011"/>
        <v>36</v>
      </c>
      <c r="BK366" s="5">
        <f t="shared" si="1012"/>
        <v>36</v>
      </c>
      <c r="BL366" s="5">
        <v>1</v>
      </c>
      <c r="BM366" s="5">
        <v>30</v>
      </c>
      <c r="BN366" s="5">
        <v>180</v>
      </c>
      <c r="BO366" s="5">
        <v>108006</v>
      </c>
      <c r="BP366" s="5"/>
      <c r="BQ366" s="5"/>
      <c r="BR366" s="5"/>
      <c r="BS366" s="4"/>
      <c r="BT366" s="4">
        <f t="shared" si="1023"/>
        <v>4</v>
      </c>
      <c r="BU366" s="4">
        <v>0</v>
      </c>
      <c r="BV366" s="4">
        <f t="shared" si="1013"/>
        <v>4</v>
      </c>
      <c r="BW366" s="4">
        <f t="shared" si="1014"/>
        <v>4</v>
      </c>
      <c r="BX366" s="14">
        <f t="shared" si="1015"/>
        <v>0.6399999999999999</v>
      </c>
      <c r="BY366" s="14">
        <f t="shared" si="1006"/>
        <v>0.4</v>
      </c>
      <c r="BZ366" s="27" t="s">
        <v>686</v>
      </c>
      <c r="CA366" s="27" t="s">
        <v>687</v>
      </c>
      <c r="CB366" s="27" t="s">
        <v>687</v>
      </c>
      <c r="CC366" s="5">
        <v>0</v>
      </c>
      <c r="CD366" s="5">
        <v>1</v>
      </c>
      <c r="CE366" s="5">
        <f t="shared" si="1007"/>
        <v>0</v>
      </c>
      <c r="CF366" s="5">
        <v>0</v>
      </c>
      <c r="CG366" s="6" t="str">
        <f t="shared" si="1008"/>
        <v>4级绿宝石史莱姆</v>
      </c>
      <c r="CH366" s="5">
        <v>3</v>
      </c>
      <c r="CI366" s="5">
        <v>0</v>
      </c>
      <c r="CJ366" s="4">
        <v>0</v>
      </c>
      <c r="CK366" s="5">
        <v>0</v>
      </c>
      <c r="CL366" s="5">
        <v>0</v>
      </c>
      <c r="CM366" s="20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10">
        <v>0.8</v>
      </c>
      <c r="CW366" s="10">
        <v>0.6</v>
      </c>
      <c r="CX366" s="10">
        <v>1</v>
      </c>
      <c r="CY366" s="10">
        <v>1</v>
      </c>
      <c r="CZ366" s="8">
        <v>1</v>
      </c>
      <c r="DA366" s="6">
        <f t="shared" si="1016"/>
        <v>100</v>
      </c>
      <c r="DB366" s="5">
        <v>0</v>
      </c>
      <c r="DC366" s="5">
        <f t="shared" si="999"/>
        <v>0.14374999999999999</v>
      </c>
      <c r="DD366" s="6">
        <f t="shared" si="1017"/>
        <v>0.14374999999999999</v>
      </c>
      <c r="DE366" s="6">
        <v>0.25</v>
      </c>
      <c r="DF366" s="5">
        <v>0</v>
      </c>
      <c r="DG366" s="6">
        <f t="shared" si="1018"/>
        <v>2.5</v>
      </c>
      <c r="DH366" s="5">
        <v>1.5</v>
      </c>
      <c r="DI366" s="8">
        <v>0</v>
      </c>
      <c r="DJ366" s="5">
        <f t="shared" si="1019"/>
        <v>0</v>
      </c>
      <c r="DK366" s="8">
        <v>0</v>
      </c>
      <c r="DL366" s="5">
        <f t="shared" si="996"/>
        <v>0</v>
      </c>
      <c r="DM366" s="27" t="str">
        <f t="shared" si="1002"/>
        <v>4级绿宝石史莱姆</v>
      </c>
      <c r="DN366" s="5">
        <v>6</v>
      </c>
      <c r="DO366" s="5">
        <v>0</v>
      </c>
      <c r="DP366" s="5">
        <v>0</v>
      </c>
      <c r="DQ366" s="5">
        <v>0</v>
      </c>
      <c r="DR366" s="5">
        <f t="shared" si="1020"/>
        <v>0.9</v>
      </c>
      <c r="DS366" s="6">
        <v>1</v>
      </c>
      <c r="DT366" s="5">
        <v>-0.5</v>
      </c>
      <c r="DU366" s="5">
        <v>0.5</v>
      </c>
      <c r="DV366" s="6">
        <v>0.5</v>
      </c>
      <c r="DW366" s="5">
        <f t="shared" si="1021"/>
        <v>0.75</v>
      </c>
      <c r="DX366" s="5">
        <v>9</v>
      </c>
      <c r="DY366" s="5">
        <f t="shared" si="1022"/>
        <v>0</v>
      </c>
      <c r="DZ366" s="5">
        <v>0</v>
      </c>
    </row>
    <row r="367" spans="1:130" x14ac:dyDescent="0.15">
      <c r="A367" s="5">
        <v>201365</v>
      </c>
      <c r="B367" s="27" t="s">
        <v>676</v>
      </c>
      <c r="C367" s="27"/>
      <c r="D367" s="27"/>
      <c r="E367" s="27"/>
      <c r="F367" s="5">
        <v>0</v>
      </c>
      <c r="G367" s="45"/>
      <c r="H367" s="5"/>
      <c r="I367" s="5"/>
      <c r="J367" s="5"/>
      <c r="K367" s="5"/>
      <c r="L367" s="10"/>
      <c r="M367" s="5"/>
      <c r="N367" s="10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20"/>
      <c r="AF367" s="5"/>
      <c r="AG367" s="5"/>
      <c r="AH367" s="5"/>
      <c r="AI367" s="5"/>
      <c r="AJ367" s="5"/>
      <c r="AK367" s="5"/>
      <c r="AL367" s="5"/>
      <c r="AM367" s="5"/>
      <c r="AN367" s="8"/>
      <c r="AO367" s="5">
        <v>0</v>
      </c>
      <c r="AP367" s="27" t="s">
        <v>676</v>
      </c>
      <c r="AQ367" s="5">
        <v>0</v>
      </c>
      <c r="AR367" s="8">
        <v>1</v>
      </c>
      <c r="AS367" s="6">
        <f t="shared" si="997"/>
        <v>15</v>
      </c>
      <c r="AT367" s="6">
        <f t="shared" si="998"/>
        <v>30</v>
      </c>
      <c r="AU367" s="5">
        <v>0</v>
      </c>
      <c r="AV367" s="5">
        <v>1</v>
      </c>
      <c r="AW367" s="6">
        <v>1</v>
      </c>
      <c r="AX367" s="6">
        <v>1</v>
      </c>
      <c r="AY367" s="6">
        <v>1</v>
      </c>
      <c r="AZ367" s="5">
        <v>201365</v>
      </c>
      <c r="BA367" s="5">
        <v>203038</v>
      </c>
      <c r="BB367" s="5">
        <v>0</v>
      </c>
      <c r="BC367" s="5">
        <v>0</v>
      </c>
      <c r="BD367" s="5">
        <v>0</v>
      </c>
      <c r="BE367" s="5">
        <v>615003</v>
      </c>
      <c r="BF367" s="23">
        <v>180</v>
      </c>
      <c r="BG367" s="5">
        <v>0</v>
      </c>
      <c r="BH367" s="5">
        <v>0</v>
      </c>
      <c r="BI367" s="5">
        <v>0</v>
      </c>
      <c r="BJ367" s="5">
        <f t="shared" si="1011"/>
        <v>45</v>
      </c>
      <c r="BK367" s="5">
        <f t="shared" si="1012"/>
        <v>45</v>
      </c>
      <c r="BL367" s="5">
        <v>1</v>
      </c>
      <c r="BM367" s="5">
        <v>30</v>
      </c>
      <c r="BN367" s="5">
        <v>180</v>
      </c>
      <c r="BO367" s="5">
        <v>108006</v>
      </c>
      <c r="BP367" s="5"/>
      <c r="BQ367" s="5"/>
      <c r="BR367" s="5"/>
      <c r="BS367" s="4"/>
      <c r="BT367" s="4">
        <f t="shared" si="1023"/>
        <v>5</v>
      </c>
      <c r="BU367" s="4">
        <v>0</v>
      </c>
      <c r="BV367" s="4">
        <f t="shared" si="1013"/>
        <v>5</v>
      </c>
      <c r="BW367" s="4">
        <f t="shared" si="1014"/>
        <v>5</v>
      </c>
      <c r="BX367" s="14">
        <f t="shared" si="1015"/>
        <v>0.56999999999999995</v>
      </c>
      <c r="BY367" s="14">
        <f t="shared" si="1006"/>
        <v>0.35000000000000003</v>
      </c>
      <c r="BZ367" s="27" t="s">
        <v>686</v>
      </c>
      <c r="CA367" s="27" t="s">
        <v>687</v>
      </c>
      <c r="CB367" s="27" t="s">
        <v>687</v>
      </c>
      <c r="CC367" s="5">
        <v>0</v>
      </c>
      <c r="CD367" s="5">
        <v>1</v>
      </c>
      <c r="CE367" s="5">
        <f t="shared" si="1007"/>
        <v>0</v>
      </c>
      <c r="CF367" s="5">
        <v>0</v>
      </c>
      <c r="CG367" s="6" t="str">
        <f t="shared" si="1008"/>
        <v>5级绿宝石史莱姆</v>
      </c>
      <c r="CH367" s="5">
        <v>3</v>
      </c>
      <c r="CI367" s="5">
        <v>0</v>
      </c>
      <c r="CJ367" s="4">
        <v>0</v>
      </c>
      <c r="CK367" s="5">
        <v>0</v>
      </c>
      <c r="CL367" s="5">
        <v>0</v>
      </c>
      <c r="CM367" s="20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10">
        <v>0.8</v>
      </c>
      <c r="CW367" s="10">
        <v>0.6</v>
      </c>
      <c r="CX367" s="10">
        <v>1</v>
      </c>
      <c r="CY367" s="10">
        <v>1</v>
      </c>
      <c r="CZ367" s="8">
        <v>1</v>
      </c>
      <c r="DA367" s="6">
        <f t="shared" si="1016"/>
        <v>125</v>
      </c>
      <c r="DB367" s="5">
        <v>0</v>
      </c>
      <c r="DC367" s="5">
        <f t="shared" si="999"/>
        <v>0.15</v>
      </c>
      <c r="DD367" s="6">
        <f t="shared" si="1017"/>
        <v>0.15</v>
      </c>
      <c r="DE367" s="6">
        <v>0.25</v>
      </c>
      <c r="DF367" s="5">
        <v>0</v>
      </c>
      <c r="DG367" s="6">
        <f t="shared" si="1018"/>
        <v>2.5</v>
      </c>
      <c r="DH367" s="5">
        <v>1.5</v>
      </c>
      <c r="DI367" s="8">
        <v>0</v>
      </c>
      <c r="DJ367" s="5">
        <f t="shared" si="1019"/>
        <v>0</v>
      </c>
      <c r="DK367" s="8">
        <v>0</v>
      </c>
      <c r="DL367" s="5">
        <f t="shared" si="996"/>
        <v>0</v>
      </c>
      <c r="DM367" s="27" t="str">
        <f t="shared" si="1002"/>
        <v>5级绿宝石史莱姆</v>
      </c>
      <c r="DN367" s="5">
        <v>6</v>
      </c>
      <c r="DO367" s="5">
        <v>0</v>
      </c>
      <c r="DP367" s="5">
        <v>0</v>
      </c>
      <c r="DQ367" s="5">
        <v>0</v>
      </c>
      <c r="DR367" s="5">
        <f t="shared" si="1020"/>
        <v>0.9</v>
      </c>
      <c r="DS367" s="6">
        <v>1</v>
      </c>
      <c r="DT367" s="5">
        <v>-0.5</v>
      </c>
      <c r="DU367" s="5">
        <v>0.5</v>
      </c>
      <c r="DV367" s="6">
        <v>0.5</v>
      </c>
      <c r="DW367" s="5">
        <f t="shared" si="1021"/>
        <v>0.75</v>
      </c>
      <c r="DX367" s="5">
        <v>9</v>
      </c>
      <c r="DY367" s="5">
        <f t="shared" si="1022"/>
        <v>0</v>
      </c>
      <c r="DZ367" s="5">
        <v>0</v>
      </c>
    </row>
    <row r="368" spans="1:130" x14ac:dyDescent="0.15">
      <c r="A368" s="5">
        <v>201366</v>
      </c>
      <c r="B368" s="27" t="s">
        <v>677</v>
      </c>
      <c r="C368" s="27"/>
      <c r="D368" s="27"/>
      <c r="E368" s="27"/>
      <c r="F368" s="5">
        <v>0</v>
      </c>
      <c r="G368" s="45"/>
      <c r="H368" s="5"/>
      <c r="I368" s="5"/>
      <c r="J368" s="5"/>
      <c r="K368" s="5"/>
      <c r="L368" s="10"/>
      <c r="M368" s="5"/>
      <c r="N368" s="10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20"/>
      <c r="AF368" s="5"/>
      <c r="AG368" s="5"/>
      <c r="AH368" s="5"/>
      <c r="AI368" s="5"/>
      <c r="AJ368" s="5"/>
      <c r="AK368" s="5"/>
      <c r="AL368" s="5"/>
      <c r="AM368" s="5"/>
      <c r="AN368" s="8"/>
      <c r="AO368" s="5">
        <v>0</v>
      </c>
      <c r="AP368" s="27" t="s">
        <v>677</v>
      </c>
      <c r="AQ368" s="5">
        <v>0</v>
      </c>
      <c r="AR368" s="8">
        <v>1</v>
      </c>
      <c r="AS368" s="6">
        <f t="shared" si="997"/>
        <v>18</v>
      </c>
      <c r="AT368" s="6">
        <f t="shared" si="998"/>
        <v>36</v>
      </c>
      <c r="AU368" s="5">
        <v>0</v>
      </c>
      <c r="AV368" s="5">
        <v>1</v>
      </c>
      <c r="AW368" s="6">
        <v>1</v>
      </c>
      <c r="AX368" s="6">
        <v>1</v>
      </c>
      <c r="AY368" s="6">
        <v>1</v>
      </c>
      <c r="AZ368" s="5">
        <v>201366</v>
      </c>
      <c r="BA368" s="5">
        <v>203038</v>
      </c>
      <c r="BB368" s="5">
        <v>0</v>
      </c>
      <c r="BC368" s="5">
        <v>0</v>
      </c>
      <c r="BD368" s="5">
        <v>0</v>
      </c>
      <c r="BE368" s="5">
        <v>615003</v>
      </c>
      <c r="BF368" s="23">
        <v>180</v>
      </c>
      <c r="BG368" s="5">
        <v>0</v>
      </c>
      <c r="BH368" s="5">
        <v>0</v>
      </c>
      <c r="BI368" s="5">
        <v>0</v>
      </c>
      <c r="BJ368" s="5">
        <f t="shared" si="1011"/>
        <v>54</v>
      </c>
      <c r="BK368" s="5">
        <f t="shared" si="1012"/>
        <v>54</v>
      </c>
      <c r="BL368" s="5">
        <v>1</v>
      </c>
      <c r="BM368" s="5">
        <v>30</v>
      </c>
      <c r="BN368" s="5">
        <v>180</v>
      </c>
      <c r="BO368" s="5">
        <v>108006</v>
      </c>
      <c r="BP368" s="5"/>
      <c r="BQ368" s="5"/>
      <c r="BR368" s="5"/>
      <c r="BS368" s="4"/>
      <c r="BT368" s="4">
        <f t="shared" si="1023"/>
        <v>6</v>
      </c>
      <c r="BU368" s="4">
        <v>0</v>
      </c>
      <c r="BV368" s="4">
        <f t="shared" si="1013"/>
        <v>6</v>
      </c>
      <c r="BW368" s="4">
        <f t="shared" si="1014"/>
        <v>6</v>
      </c>
      <c r="BX368" s="14">
        <f t="shared" si="1015"/>
        <v>0.49999999999999994</v>
      </c>
      <c r="BY368" s="14">
        <f t="shared" si="1006"/>
        <v>0.30000000000000004</v>
      </c>
      <c r="BZ368" s="27" t="s">
        <v>686</v>
      </c>
      <c r="CA368" s="27" t="s">
        <v>687</v>
      </c>
      <c r="CB368" s="27" t="s">
        <v>687</v>
      </c>
      <c r="CC368" s="5">
        <v>0</v>
      </c>
      <c r="CD368" s="5">
        <v>1</v>
      </c>
      <c r="CE368" s="5">
        <f t="shared" si="1007"/>
        <v>0</v>
      </c>
      <c r="CF368" s="5">
        <v>0</v>
      </c>
      <c r="CG368" s="6" t="str">
        <f t="shared" si="1008"/>
        <v>6级绿宝石史莱姆</v>
      </c>
      <c r="CH368" s="5">
        <v>3</v>
      </c>
      <c r="CI368" s="5">
        <v>0</v>
      </c>
      <c r="CJ368" s="4">
        <v>0</v>
      </c>
      <c r="CK368" s="5">
        <v>0</v>
      </c>
      <c r="CL368" s="5">
        <v>0</v>
      </c>
      <c r="CM368" s="20">
        <v>0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10">
        <v>0.8</v>
      </c>
      <c r="CW368" s="10">
        <v>0.6</v>
      </c>
      <c r="CX368" s="10">
        <v>1</v>
      </c>
      <c r="CY368" s="10">
        <v>1</v>
      </c>
      <c r="CZ368" s="8">
        <v>1</v>
      </c>
      <c r="DA368" s="6">
        <f t="shared" si="1016"/>
        <v>150</v>
      </c>
      <c r="DB368" s="5">
        <v>0</v>
      </c>
      <c r="DC368" s="5">
        <f t="shared" si="999"/>
        <v>0.15625</v>
      </c>
      <c r="DD368" s="6">
        <f t="shared" si="1017"/>
        <v>0.15625</v>
      </c>
      <c r="DE368" s="6">
        <v>0.25</v>
      </c>
      <c r="DF368" s="5">
        <v>0</v>
      </c>
      <c r="DG368" s="6">
        <f t="shared" si="1018"/>
        <v>2.5</v>
      </c>
      <c r="DH368" s="5">
        <v>1.5</v>
      </c>
      <c r="DI368" s="8">
        <v>0</v>
      </c>
      <c r="DJ368" s="5">
        <f t="shared" si="1019"/>
        <v>0</v>
      </c>
      <c r="DK368" s="8">
        <v>0</v>
      </c>
      <c r="DL368" s="5">
        <f t="shared" si="996"/>
        <v>0</v>
      </c>
      <c r="DM368" s="27" t="str">
        <f t="shared" si="1002"/>
        <v>6级绿宝石史莱姆</v>
      </c>
      <c r="DN368" s="5">
        <v>6</v>
      </c>
      <c r="DO368" s="5">
        <v>0</v>
      </c>
      <c r="DP368" s="5">
        <v>0</v>
      </c>
      <c r="DQ368" s="5">
        <v>0</v>
      </c>
      <c r="DR368" s="5">
        <f t="shared" si="1020"/>
        <v>0.9</v>
      </c>
      <c r="DS368" s="6">
        <v>1</v>
      </c>
      <c r="DT368" s="5">
        <v>-0.5</v>
      </c>
      <c r="DU368" s="5">
        <v>0.5</v>
      </c>
      <c r="DV368" s="6">
        <v>0.5</v>
      </c>
      <c r="DW368" s="5">
        <f t="shared" si="1021"/>
        <v>0.75</v>
      </c>
      <c r="DX368" s="5">
        <v>9</v>
      </c>
      <c r="DY368" s="5">
        <f t="shared" si="1022"/>
        <v>0</v>
      </c>
      <c r="DZ368" s="5">
        <v>0</v>
      </c>
    </row>
    <row r="369" spans="1:130" x14ac:dyDescent="0.15">
      <c r="A369" s="5">
        <v>201367</v>
      </c>
      <c r="B369" s="27" t="s">
        <v>678</v>
      </c>
      <c r="C369" s="27"/>
      <c r="D369" s="27"/>
      <c r="E369" s="27"/>
      <c r="F369" s="5">
        <v>0</v>
      </c>
      <c r="G369" s="45"/>
      <c r="H369" s="5"/>
      <c r="I369" s="5"/>
      <c r="J369" s="5"/>
      <c r="K369" s="5"/>
      <c r="L369" s="10"/>
      <c r="M369" s="5"/>
      <c r="N369" s="10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20"/>
      <c r="AF369" s="5"/>
      <c r="AG369" s="5"/>
      <c r="AH369" s="5"/>
      <c r="AI369" s="5"/>
      <c r="AJ369" s="5"/>
      <c r="AK369" s="5"/>
      <c r="AL369" s="5"/>
      <c r="AM369" s="5"/>
      <c r="AN369" s="8"/>
      <c r="AO369" s="5">
        <v>0</v>
      </c>
      <c r="AP369" s="27" t="s">
        <v>678</v>
      </c>
      <c r="AQ369" s="5">
        <v>0</v>
      </c>
      <c r="AR369" s="8">
        <v>1</v>
      </c>
      <c r="AS369" s="6">
        <f t="shared" si="997"/>
        <v>21</v>
      </c>
      <c r="AT369" s="6">
        <f t="shared" si="998"/>
        <v>42</v>
      </c>
      <c r="AU369" s="5">
        <v>0</v>
      </c>
      <c r="AV369" s="5">
        <v>1</v>
      </c>
      <c r="AW369" s="6">
        <v>1</v>
      </c>
      <c r="AX369" s="6">
        <v>1</v>
      </c>
      <c r="AY369" s="6">
        <v>1</v>
      </c>
      <c r="AZ369" s="5">
        <v>201367</v>
      </c>
      <c r="BA369" s="5">
        <v>203038</v>
      </c>
      <c r="BB369" s="5">
        <v>0</v>
      </c>
      <c r="BC369" s="5">
        <v>0</v>
      </c>
      <c r="BD369" s="5">
        <v>0</v>
      </c>
      <c r="BE369" s="5">
        <v>615003</v>
      </c>
      <c r="BF369" s="23">
        <v>180</v>
      </c>
      <c r="BG369" s="5">
        <v>0</v>
      </c>
      <c r="BH369" s="5">
        <v>0</v>
      </c>
      <c r="BI369" s="5">
        <v>0</v>
      </c>
      <c r="BJ369" s="5">
        <f t="shared" si="1011"/>
        <v>63</v>
      </c>
      <c r="BK369" s="5">
        <f t="shared" si="1012"/>
        <v>63</v>
      </c>
      <c r="BL369" s="5">
        <v>1</v>
      </c>
      <c r="BM369" s="5">
        <v>30</v>
      </c>
      <c r="BN369" s="5">
        <v>180</v>
      </c>
      <c r="BO369" s="5">
        <v>108006</v>
      </c>
      <c r="BP369" s="5"/>
      <c r="BQ369" s="5"/>
      <c r="BR369" s="5"/>
      <c r="BS369" s="4"/>
      <c r="BT369" s="4">
        <f t="shared" si="1023"/>
        <v>7</v>
      </c>
      <c r="BU369" s="4">
        <v>0</v>
      </c>
      <c r="BV369" s="4">
        <f t="shared" si="1013"/>
        <v>7</v>
      </c>
      <c r="BW369" s="4">
        <f t="shared" si="1014"/>
        <v>7</v>
      </c>
      <c r="BX369" s="14">
        <f t="shared" si="1015"/>
        <v>0.42999999999999994</v>
      </c>
      <c r="BY369" s="14">
        <f t="shared" si="1006"/>
        <v>0.25</v>
      </c>
      <c r="BZ369" s="27" t="s">
        <v>686</v>
      </c>
      <c r="CA369" s="27" t="s">
        <v>687</v>
      </c>
      <c r="CB369" s="27" t="s">
        <v>687</v>
      </c>
      <c r="CC369" s="5">
        <v>0</v>
      </c>
      <c r="CD369" s="5">
        <v>1</v>
      </c>
      <c r="CE369" s="5">
        <f t="shared" si="1007"/>
        <v>0</v>
      </c>
      <c r="CF369" s="5">
        <v>0</v>
      </c>
      <c r="CG369" s="6" t="str">
        <f t="shared" si="1008"/>
        <v>7级绿宝石史莱姆</v>
      </c>
      <c r="CH369" s="5">
        <v>3</v>
      </c>
      <c r="CI369" s="5">
        <v>0</v>
      </c>
      <c r="CJ369" s="4">
        <v>0</v>
      </c>
      <c r="CK369" s="5">
        <v>0</v>
      </c>
      <c r="CL369" s="5">
        <v>0</v>
      </c>
      <c r="CM369" s="20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10">
        <v>0.8</v>
      </c>
      <c r="CW369" s="10">
        <v>0.6</v>
      </c>
      <c r="CX369" s="10">
        <v>1</v>
      </c>
      <c r="CY369" s="10">
        <v>1</v>
      </c>
      <c r="CZ369" s="8">
        <v>1</v>
      </c>
      <c r="DA369" s="6">
        <f t="shared" si="1016"/>
        <v>175</v>
      </c>
      <c r="DB369" s="5">
        <v>0</v>
      </c>
      <c r="DC369" s="5">
        <f t="shared" si="999"/>
        <v>0.16250000000000001</v>
      </c>
      <c r="DD369" s="6">
        <f t="shared" si="1017"/>
        <v>0.16250000000000001</v>
      </c>
      <c r="DE369" s="6">
        <v>0.25</v>
      </c>
      <c r="DF369" s="5">
        <v>0</v>
      </c>
      <c r="DG369" s="6">
        <f t="shared" si="1018"/>
        <v>2.5</v>
      </c>
      <c r="DH369" s="5">
        <v>1.5</v>
      </c>
      <c r="DI369" s="8">
        <v>0</v>
      </c>
      <c r="DJ369" s="5">
        <f t="shared" si="1019"/>
        <v>0</v>
      </c>
      <c r="DK369" s="8">
        <v>0</v>
      </c>
      <c r="DL369" s="5">
        <f t="shared" si="996"/>
        <v>0</v>
      </c>
      <c r="DM369" s="27" t="str">
        <f t="shared" si="1002"/>
        <v>7级绿宝石史莱姆</v>
      </c>
      <c r="DN369" s="5">
        <v>6</v>
      </c>
      <c r="DO369" s="5">
        <v>0</v>
      </c>
      <c r="DP369" s="5">
        <v>0</v>
      </c>
      <c r="DQ369" s="5">
        <v>0</v>
      </c>
      <c r="DR369" s="5">
        <f t="shared" si="1020"/>
        <v>0.9</v>
      </c>
      <c r="DS369" s="6">
        <v>1</v>
      </c>
      <c r="DT369" s="5">
        <v>-0.5</v>
      </c>
      <c r="DU369" s="5">
        <v>0.5</v>
      </c>
      <c r="DV369" s="6">
        <v>0.5</v>
      </c>
      <c r="DW369" s="5">
        <f t="shared" si="1021"/>
        <v>0.75</v>
      </c>
      <c r="DX369" s="5">
        <v>9</v>
      </c>
      <c r="DY369" s="5">
        <f t="shared" si="1022"/>
        <v>0</v>
      </c>
      <c r="DZ369" s="5">
        <v>0</v>
      </c>
    </row>
    <row r="370" spans="1:130" x14ac:dyDescent="0.15">
      <c r="A370" s="5">
        <v>201368</v>
      </c>
      <c r="B370" s="27" t="s">
        <v>679</v>
      </c>
      <c r="C370" s="27"/>
      <c r="D370" s="27"/>
      <c r="E370" s="27"/>
      <c r="F370" s="5">
        <v>0</v>
      </c>
      <c r="G370" s="45"/>
      <c r="H370" s="5"/>
      <c r="I370" s="5"/>
      <c r="J370" s="5"/>
      <c r="K370" s="5"/>
      <c r="L370" s="10"/>
      <c r="M370" s="5"/>
      <c r="N370" s="10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20"/>
      <c r="AF370" s="5"/>
      <c r="AG370" s="5"/>
      <c r="AH370" s="5"/>
      <c r="AI370" s="5"/>
      <c r="AJ370" s="5"/>
      <c r="AK370" s="5"/>
      <c r="AL370" s="5"/>
      <c r="AM370" s="5"/>
      <c r="AN370" s="8"/>
      <c r="AO370" s="5">
        <v>0</v>
      </c>
      <c r="AP370" s="27" t="s">
        <v>679</v>
      </c>
      <c r="AQ370" s="5">
        <v>0</v>
      </c>
      <c r="AR370" s="8">
        <v>1</v>
      </c>
      <c r="AS370" s="6">
        <f t="shared" si="997"/>
        <v>24</v>
      </c>
      <c r="AT370" s="6">
        <f t="shared" si="998"/>
        <v>48</v>
      </c>
      <c r="AU370" s="5">
        <v>0</v>
      </c>
      <c r="AV370" s="5">
        <v>1</v>
      </c>
      <c r="AW370" s="6">
        <v>1</v>
      </c>
      <c r="AX370" s="6">
        <v>1</v>
      </c>
      <c r="AY370" s="6">
        <v>1</v>
      </c>
      <c r="AZ370" s="5">
        <v>201368</v>
      </c>
      <c r="BA370" s="5">
        <v>203038</v>
      </c>
      <c r="BB370" s="5">
        <v>0</v>
      </c>
      <c r="BC370" s="5">
        <v>0</v>
      </c>
      <c r="BD370" s="5">
        <v>0</v>
      </c>
      <c r="BE370" s="5">
        <v>615003</v>
      </c>
      <c r="BF370" s="23">
        <v>180</v>
      </c>
      <c r="BG370" s="5">
        <v>0</v>
      </c>
      <c r="BH370" s="5">
        <v>0</v>
      </c>
      <c r="BI370" s="5">
        <v>0</v>
      </c>
      <c r="BJ370" s="5">
        <f t="shared" si="1011"/>
        <v>72</v>
      </c>
      <c r="BK370" s="5">
        <f t="shared" si="1012"/>
        <v>72</v>
      </c>
      <c r="BL370" s="5">
        <v>1</v>
      </c>
      <c r="BM370" s="5">
        <v>30</v>
      </c>
      <c r="BN370" s="5">
        <v>180</v>
      </c>
      <c r="BO370" s="5">
        <v>108006</v>
      </c>
      <c r="BP370" s="5"/>
      <c r="BQ370" s="5"/>
      <c r="BR370" s="5"/>
      <c r="BS370" s="4"/>
      <c r="BT370" s="4">
        <f t="shared" si="1023"/>
        <v>8</v>
      </c>
      <c r="BU370" s="4">
        <v>0</v>
      </c>
      <c r="BV370" s="4">
        <f t="shared" si="1013"/>
        <v>8</v>
      </c>
      <c r="BW370" s="4">
        <f t="shared" si="1014"/>
        <v>8</v>
      </c>
      <c r="BX370" s="14">
        <f t="shared" si="1015"/>
        <v>0.35999999999999993</v>
      </c>
      <c r="BY370" s="14">
        <f t="shared" si="1006"/>
        <v>0.2</v>
      </c>
      <c r="BZ370" s="27" t="s">
        <v>686</v>
      </c>
      <c r="CA370" s="27" t="s">
        <v>687</v>
      </c>
      <c r="CB370" s="27" t="s">
        <v>687</v>
      </c>
      <c r="CC370" s="5">
        <v>0</v>
      </c>
      <c r="CD370" s="5">
        <v>1</v>
      </c>
      <c r="CE370" s="5">
        <f t="shared" si="1007"/>
        <v>0</v>
      </c>
      <c r="CF370" s="5">
        <v>0</v>
      </c>
      <c r="CG370" s="6" t="str">
        <f t="shared" si="1008"/>
        <v>8级绿宝石史莱姆</v>
      </c>
      <c r="CH370" s="5">
        <v>3</v>
      </c>
      <c r="CI370" s="5">
        <v>0</v>
      </c>
      <c r="CJ370" s="4">
        <v>0</v>
      </c>
      <c r="CK370" s="5">
        <v>0</v>
      </c>
      <c r="CL370" s="5">
        <v>0</v>
      </c>
      <c r="CM370" s="20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10">
        <v>0.8</v>
      </c>
      <c r="CW370" s="10">
        <v>0.6</v>
      </c>
      <c r="CX370" s="10">
        <v>1</v>
      </c>
      <c r="CY370" s="10">
        <v>1</v>
      </c>
      <c r="CZ370" s="8">
        <v>1</v>
      </c>
      <c r="DA370" s="6">
        <f t="shared" si="1016"/>
        <v>200</v>
      </c>
      <c r="DB370" s="5">
        <v>0</v>
      </c>
      <c r="DC370" s="5">
        <f t="shared" si="999"/>
        <v>0.16875000000000001</v>
      </c>
      <c r="DD370" s="6">
        <f t="shared" si="1017"/>
        <v>0.16875000000000001</v>
      </c>
      <c r="DE370" s="6">
        <v>0.25</v>
      </c>
      <c r="DF370" s="5">
        <v>0</v>
      </c>
      <c r="DG370" s="6">
        <f t="shared" si="1018"/>
        <v>2.5</v>
      </c>
      <c r="DH370" s="5">
        <v>1.5</v>
      </c>
      <c r="DI370" s="8">
        <v>0</v>
      </c>
      <c r="DJ370" s="5">
        <f t="shared" si="1019"/>
        <v>0</v>
      </c>
      <c r="DK370" s="8">
        <v>0</v>
      </c>
      <c r="DL370" s="5">
        <f t="shared" si="996"/>
        <v>0</v>
      </c>
      <c r="DM370" s="27" t="str">
        <f t="shared" si="1002"/>
        <v>8级绿宝石史莱姆</v>
      </c>
      <c r="DN370" s="5">
        <v>6</v>
      </c>
      <c r="DO370" s="5">
        <v>0</v>
      </c>
      <c r="DP370" s="5">
        <v>0</v>
      </c>
      <c r="DQ370" s="5">
        <v>0</v>
      </c>
      <c r="DR370" s="5">
        <f t="shared" si="1020"/>
        <v>0.9</v>
      </c>
      <c r="DS370" s="6">
        <v>1</v>
      </c>
      <c r="DT370" s="5">
        <v>-0.5</v>
      </c>
      <c r="DU370" s="5">
        <v>0.5</v>
      </c>
      <c r="DV370" s="6">
        <v>0.5</v>
      </c>
      <c r="DW370" s="5">
        <f t="shared" si="1021"/>
        <v>0.75</v>
      </c>
      <c r="DX370" s="5">
        <v>9</v>
      </c>
      <c r="DY370" s="5">
        <f t="shared" si="1022"/>
        <v>0</v>
      </c>
      <c r="DZ370" s="5">
        <v>0</v>
      </c>
    </row>
    <row r="371" spans="1:130" x14ac:dyDescent="0.15">
      <c r="A371" s="5">
        <v>201369</v>
      </c>
      <c r="B371" s="27" t="s">
        <v>680</v>
      </c>
      <c r="C371" s="27"/>
      <c r="D371" s="27"/>
      <c r="E371" s="27"/>
      <c r="F371" s="5">
        <v>0</v>
      </c>
      <c r="G371" s="45"/>
      <c r="H371" s="5"/>
      <c r="I371" s="5"/>
      <c r="J371" s="5"/>
      <c r="K371" s="5"/>
      <c r="L371" s="10"/>
      <c r="M371" s="5"/>
      <c r="N371" s="10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20"/>
      <c r="AF371" s="5"/>
      <c r="AG371" s="5"/>
      <c r="AH371" s="5"/>
      <c r="AI371" s="5"/>
      <c r="AJ371" s="5"/>
      <c r="AK371" s="5"/>
      <c r="AL371" s="5"/>
      <c r="AM371" s="5"/>
      <c r="AN371" s="8"/>
      <c r="AO371" s="5">
        <v>0</v>
      </c>
      <c r="AP371" s="27" t="s">
        <v>680</v>
      </c>
      <c r="AQ371" s="5">
        <v>0</v>
      </c>
      <c r="AR371" s="8">
        <v>1</v>
      </c>
      <c r="AS371" s="6">
        <f t="shared" si="997"/>
        <v>27</v>
      </c>
      <c r="AT371" s="6">
        <f t="shared" si="998"/>
        <v>54</v>
      </c>
      <c r="AU371" s="5">
        <v>0</v>
      </c>
      <c r="AV371" s="5">
        <v>1</v>
      </c>
      <c r="AW371" s="6">
        <v>1</v>
      </c>
      <c r="AX371" s="6">
        <v>1</v>
      </c>
      <c r="AY371" s="6">
        <v>1</v>
      </c>
      <c r="AZ371" s="5">
        <v>201369</v>
      </c>
      <c r="BA371" s="5">
        <v>203038</v>
      </c>
      <c r="BB371" s="5">
        <v>0</v>
      </c>
      <c r="BC371" s="5">
        <v>0</v>
      </c>
      <c r="BD371" s="5">
        <v>0</v>
      </c>
      <c r="BE371" s="5">
        <v>615003</v>
      </c>
      <c r="BF371" s="23">
        <v>180</v>
      </c>
      <c r="BG371" s="5">
        <v>0</v>
      </c>
      <c r="BH371" s="5">
        <v>0</v>
      </c>
      <c r="BI371" s="5">
        <v>0</v>
      </c>
      <c r="BJ371" s="5">
        <f t="shared" si="1011"/>
        <v>81</v>
      </c>
      <c r="BK371" s="5">
        <f t="shared" si="1012"/>
        <v>81</v>
      </c>
      <c r="BL371" s="5">
        <v>1</v>
      </c>
      <c r="BM371" s="5">
        <v>30</v>
      </c>
      <c r="BN371" s="5">
        <v>180</v>
      </c>
      <c r="BO371" s="5">
        <v>108006</v>
      </c>
      <c r="BP371" s="5"/>
      <c r="BQ371" s="5"/>
      <c r="BR371" s="5"/>
      <c r="BS371" s="4"/>
      <c r="BT371" s="4">
        <f t="shared" si="1023"/>
        <v>9</v>
      </c>
      <c r="BU371" s="4">
        <v>0</v>
      </c>
      <c r="BV371" s="4">
        <f t="shared" si="1013"/>
        <v>9</v>
      </c>
      <c r="BW371" s="4">
        <f t="shared" si="1014"/>
        <v>9</v>
      </c>
      <c r="BX371" s="14">
        <f t="shared" si="1015"/>
        <v>0.28999999999999992</v>
      </c>
      <c r="BY371" s="14">
        <f t="shared" si="1006"/>
        <v>0.15000000000000002</v>
      </c>
      <c r="BZ371" s="27" t="s">
        <v>686</v>
      </c>
      <c r="CA371" s="27" t="s">
        <v>687</v>
      </c>
      <c r="CB371" s="27" t="s">
        <v>687</v>
      </c>
      <c r="CC371" s="5">
        <v>0</v>
      </c>
      <c r="CD371" s="5">
        <v>1</v>
      </c>
      <c r="CE371" s="5">
        <f t="shared" si="1007"/>
        <v>0</v>
      </c>
      <c r="CF371" s="5">
        <v>0</v>
      </c>
      <c r="CG371" s="6" t="str">
        <f t="shared" si="1008"/>
        <v>9级绿宝石史莱姆</v>
      </c>
      <c r="CH371" s="5">
        <v>3</v>
      </c>
      <c r="CI371" s="5">
        <v>0</v>
      </c>
      <c r="CJ371" s="4">
        <v>0</v>
      </c>
      <c r="CK371" s="5">
        <v>0</v>
      </c>
      <c r="CL371" s="5">
        <v>0</v>
      </c>
      <c r="CM371" s="20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10">
        <v>0.8</v>
      </c>
      <c r="CW371" s="10">
        <v>0.6</v>
      </c>
      <c r="CX371" s="10">
        <v>1</v>
      </c>
      <c r="CY371" s="10">
        <v>1</v>
      </c>
      <c r="CZ371" s="8">
        <v>1</v>
      </c>
      <c r="DA371" s="6">
        <f t="shared" si="1016"/>
        <v>225</v>
      </c>
      <c r="DB371" s="5">
        <v>0</v>
      </c>
      <c r="DC371" s="5">
        <f t="shared" si="999"/>
        <v>0.17499999999999999</v>
      </c>
      <c r="DD371" s="6">
        <f t="shared" si="1017"/>
        <v>0.17499999999999999</v>
      </c>
      <c r="DE371" s="6">
        <v>0.25</v>
      </c>
      <c r="DF371" s="5">
        <v>0</v>
      </c>
      <c r="DG371" s="6">
        <f t="shared" si="1018"/>
        <v>2.5</v>
      </c>
      <c r="DH371" s="5">
        <v>1.5</v>
      </c>
      <c r="DI371" s="8">
        <v>0</v>
      </c>
      <c r="DJ371" s="5">
        <f t="shared" si="1019"/>
        <v>0</v>
      </c>
      <c r="DK371" s="8">
        <v>0</v>
      </c>
      <c r="DL371" s="5">
        <f t="shared" si="996"/>
        <v>0</v>
      </c>
      <c r="DM371" s="27" t="str">
        <f t="shared" si="1002"/>
        <v>9级绿宝石史莱姆</v>
      </c>
      <c r="DN371" s="5">
        <v>6</v>
      </c>
      <c r="DO371" s="5">
        <v>0</v>
      </c>
      <c r="DP371" s="5">
        <v>0</v>
      </c>
      <c r="DQ371" s="5">
        <v>0</v>
      </c>
      <c r="DR371" s="5">
        <f t="shared" si="1020"/>
        <v>0.9</v>
      </c>
      <c r="DS371" s="6">
        <v>1</v>
      </c>
      <c r="DT371" s="5">
        <v>-0.5</v>
      </c>
      <c r="DU371" s="5">
        <v>0.5</v>
      </c>
      <c r="DV371" s="6">
        <v>0.5</v>
      </c>
      <c r="DW371" s="5">
        <f t="shared" si="1021"/>
        <v>0.75</v>
      </c>
      <c r="DX371" s="5">
        <v>9</v>
      </c>
      <c r="DY371" s="5">
        <f t="shared" si="1022"/>
        <v>0</v>
      </c>
      <c r="DZ371" s="5">
        <v>0</v>
      </c>
    </row>
    <row r="372" spans="1:130" x14ac:dyDescent="0.15">
      <c r="A372" s="5">
        <v>201370</v>
      </c>
      <c r="B372" s="27" t="s">
        <v>681</v>
      </c>
      <c r="C372" s="27"/>
      <c r="D372" s="27"/>
      <c r="E372" s="27"/>
      <c r="F372" s="5">
        <v>0</v>
      </c>
      <c r="G372" s="45"/>
      <c r="H372" s="5"/>
      <c r="I372" s="5"/>
      <c r="J372" s="5"/>
      <c r="K372" s="5"/>
      <c r="L372" s="10"/>
      <c r="M372" s="5"/>
      <c r="N372" s="10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20"/>
      <c r="AF372" s="5"/>
      <c r="AG372" s="5"/>
      <c r="AH372" s="5"/>
      <c r="AI372" s="5"/>
      <c r="AJ372" s="5"/>
      <c r="AK372" s="5"/>
      <c r="AL372" s="5"/>
      <c r="AM372" s="5"/>
      <c r="AN372" s="8"/>
      <c r="AO372" s="5">
        <v>0</v>
      </c>
      <c r="AP372" s="27" t="s">
        <v>681</v>
      </c>
      <c r="AQ372" s="5">
        <v>0</v>
      </c>
      <c r="AR372" s="8">
        <v>1</v>
      </c>
      <c r="AS372" s="6">
        <f t="shared" si="997"/>
        <v>30</v>
      </c>
      <c r="AT372" s="6">
        <f t="shared" si="998"/>
        <v>60</v>
      </c>
      <c r="AU372" s="5">
        <v>0</v>
      </c>
      <c r="AV372" s="5">
        <v>1</v>
      </c>
      <c r="AW372" s="6">
        <v>1</v>
      </c>
      <c r="AX372" s="6">
        <v>1</v>
      </c>
      <c r="AY372" s="6">
        <v>1</v>
      </c>
      <c r="AZ372" s="5">
        <v>201370</v>
      </c>
      <c r="BA372" s="5">
        <v>203038</v>
      </c>
      <c r="BB372" s="5">
        <v>0</v>
      </c>
      <c r="BC372" s="5">
        <v>0</v>
      </c>
      <c r="BD372" s="5">
        <v>0</v>
      </c>
      <c r="BE372" s="5">
        <v>615003</v>
      </c>
      <c r="BF372" s="23">
        <v>180</v>
      </c>
      <c r="BG372" s="5">
        <v>0</v>
      </c>
      <c r="BH372" s="5">
        <v>0</v>
      </c>
      <c r="BI372" s="5">
        <v>0</v>
      </c>
      <c r="BJ372" s="5">
        <f t="shared" si="1011"/>
        <v>90</v>
      </c>
      <c r="BK372" s="5">
        <f t="shared" si="1012"/>
        <v>90</v>
      </c>
      <c r="BL372" s="5">
        <v>1</v>
      </c>
      <c r="BM372" s="5">
        <v>30</v>
      </c>
      <c r="BN372" s="5">
        <v>180</v>
      </c>
      <c r="BO372" s="5">
        <v>108006</v>
      </c>
      <c r="BP372" s="5"/>
      <c r="BQ372" s="5"/>
      <c r="BR372" s="5"/>
      <c r="BS372" s="4"/>
      <c r="BT372" s="4">
        <f t="shared" si="1023"/>
        <v>10</v>
      </c>
      <c r="BU372" s="4">
        <v>0</v>
      </c>
      <c r="BV372" s="4">
        <f t="shared" si="1013"/>
        <v>10</v>
      </c>
      <c r="BW372" s="4">
        <f t="shared" si="1014"/>
        <v>10</v>
      </c>
      <c r="BX372" s="14">
        <f t="shared" si="1015"/>
        <v>0.21999999999999986</v>
      </c>
      <c r="BY372" s="14">
        <f t="shared" si="1006"/>
        <v>0.10000000000000003</v>
      </c>
      <c r="BZ372" s="27" t="s">
        <v>686</v>
      </c>
      <c r="CA372" s="27" t="s">
        <v>687</v>
      </c>
      <c r="CB372" s="27" t="s">
        <v>687</v>
      </c>
      <c r="CC372" s="5">
        <v>0</v>
      </c>
      <c r="CD372" s="5">
        <v>1</v>
      </c>
      <c r="CE372" s="5">
        <f t="shared" si="1007"/>
        <v>0</v>
      </c>
      <c r="CF372" s="5">
        <v>0</v>
      </c>
      <c r="CG372" s="6" t="str">
        <f t="shared" si="1008"/>
        <v>10级绿宝石史莱姆</v>
      </c>
      <c r="CH372" s="5">
        <v>3</v>
      </c>
      <c r="CI372" s="5">
        <v>0</v>
      </c>
      <c r="CJ372" s="4">
        <v>0</v>
      </c>
      <c r="CK372" s="5">
        <v>0</v>
      </c>
      <c r="CL372" s="5">
        <v>0</v>
      </c>
      <c r="CM372" s="20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10">
        <v>0.8</v>
      </c>
      <c r="CW372" s="10">
        <v>0.6</v>
      </c>
      <c r="CX372" s="10">
        <v>1</v>
      </c>
      <c r="CY372" s="10">
        <v>1</v>
      </c>
      <c r="CZ372" s="8">
        <v>1</v>
      </c>
      <c r="DA372" s="6">
        <f t="shared" si="1016"/>
        <v>250</v>
      </c>
      <c r="DB372" s="5">
        <v>0</v>
      </c>
      <c r="DC372" s="5">
        <f t="shared" si="999"/>
        <v>0.18124999999999999</v>
      </c>
      <c r="DD372" s="6">
        <f t="shared" si="1017"/>
        <v>0.18124999999999999</v>
      </c>
      <c r="DE372" s="6">
        <v>0.25</v>
      </c>
      <c r="DF372" s="5">
        <v>0</v>
      </c>
      <c r="DG372" s="6">
        <f t="shared" si="1018"/>
        <v>2.5</v>
      </c>
      <c r="DH372" s="5">
        <v>1.5</v>
      </c>
      <c r="DI372" s="8">
        <v>0</v>
      </c>
      <c r="DJ372" s="5">
        <f t="shared" si="1019"/>
        <v>0</v>
      </c>
      <c r="DK372" s="8">
        <v>0</v>
      </c>
      <c r="DL372" s="5">
        <f t="shared" si="996"/>
        <v>0</v>
      </c>
      <c r="DM372" s="27" t="str">
        <f t="shared" si="1002"/>
        <v>10级绿宝石史莱姆</v>
      </c>
      <c r="DN372" s="5">
        <v>6</v>
      </c>
      <c r="DO372" s="5">
        <v>0</v>
      </c>
      <c r="DP372" s="5">
        <v>0</v>
      </c>
      <c r="DQ372" s="5">
        <v>0</v>
      </c>
      <c r="DR372" s="5">
        <f t="shared" si="1020"/>
        <v>0.9</v>
      </c>
      <c r="DS372" s="6">
        <v>1</v>
      </c>
      <c r="DT372" s="5">
        <v>-0.5</v>
      </c>
      <c r="DU372" s="5">
        <v>0.5</v>
      </c>
      <c r="DV372" s="6">
        <v>0.5</v>
      </c>
      <c r="DW372" s="5">
        <f t="shared" si="1021"/>
        <v>0.75</v>
      </c>
      <c r="DX372" s="5">
        <v>9</v>
      </c>
      <c r="DY372" s="5">
        <f t="shared" si="1022"/>
        <v>0</v>
      </c>
      <c r="DZ372" s="5">
        <v>0</v>
      </c>
    </row>
    <row r="373" spans="1:130" x14ac:dyDescent="0.15">
      <c r="A373" s="5">
        <v>201371</v>
      </c>
      <c r="B373" s="27" t="s">
        <v>642</v>
      </c>
      <c r="C373" s="27"/>
      <c r="D373" s="27"/>
      <c r="E373" s="27"/>
      <c r="F373" s="5">
        <v>0</v>
      </c>
      <c r="G373" s="45"/>
      <c r="H373" s="5"/>
      <c r="I373" s="5"/>
      <c r="J373" s="5"/>
      <c r="K373" s="5"/>
      <c r="L373" s="10"/>
      <c r="M373" s="5"/>
      <c r="N373" s="10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20"/>
      <c r="AF373" s="5"/>
      <c r="AG373" s="5"/>
      <c r="AH373" s="5"/>
      <c r="AI373" s="5"/>
      <c r="AJ373" s="5"/>
      <c r="AK373" s="5"/>
      <c r="AL373" s="5"/>
      <c r="AM373" s="5"/>
      <c r="AN373" s="8"/>
      <c r="AO373" s="5">
        <v>0</v>
      </c>
      <c r="AP373" s="27" t="s">
        <v>642</v>
      </c>
      <c r="AQ373" s="5">
        <v>0</v>
      </c>
      <c r="AR373" s="8">
        <v>2</v>
      </c>
      <c r="AS373" s="6">
        <f t="shared" si="997"/>
        <v>6</v>
      </c>
      <c r="AT373" s="6">
        <f t="shared" si="998"/>
        <v>9</v>
      </c>
      <c r="AU373" s="5">
        <v>0</v>
      </c>
      <c r="AV373" s="5">
        <v>1</v>
      </c>
      <c r="AW373" s="6">
        <v>1</v>
      </c>
      <c r="AX373" s="6">
        <v>1</v>
      </c>
      <c r="AY373" s="6">
        <v>0</v>
      </c>
      <c r="AZ373" s="5">
        <v>201371</v>
      </c>
      <c r="BA373" s="5">
        <v>203039</v>
      </c>
      <c r="BB373" s="5">
        <v>0</v>
      </c>
      <c r="BC373" s="5">
        <v>0</v>
      </c>
      <c r="BD373" s="5">
        <v>0</v>
      </c>
      <c r="BE373" s="5">
        <v>301003</v>
      </c>
      <c r="BF373" s="23">
        <v>180</v>
      </c>
      <c r="BG373" s="5">
        <v>0</v>
      </c>
      <c r="BH373" s="5">
        <v>0</v>
      </c>
      <c r="BI373" s="5">
        <v>0</v>
      </c>
      <c r="BJ373" s="5">
        <f>BT373*60</f>
        <v>60</v>
      </c>
      <c r="BK373" s="5">
        <f>BT373*60</f>
        <v>60</v>
      </c>
      <c r="BL373" s="5">
        <v>1</v>
      </c>
      <c r="BM373" s="5">
        <v>30</v>
      </c>
      <c r="BN373" s="5">
        <v>180</v>
      </c>
      <c r="BO373" s="5">
        <v>108006</v>
      </c>
      <c r="BP373" s="5"/>
      <c r="BQ373" s="5"/>
      <c r="BR373" s="5"/>
      <c r="BS373" s="4"/>
      <c r="BT373" s="4">
        <f t="shared" si="1023"/>
        <v>1</v>
      </c>
      <c r="BU373" s="4">
        <v>0</v>
      </c>
      <c r="BV373" s="4">
        <f t="shared" si="1013"/>
        <v>1</v>
      </c>
      <c r="BW373" s="4">
        <f t="shared" si="1014"/>
        <v>1</v>
      </c>
      <c r="BX373" s="14">
        <f t="shared" si="1015"/>
        <v>0.85</v>
      </c>
      <c r="BY373" s="14">
        <f t="shared" si="1006"/>
        <v>0.55000000000000004</v>
      </c>
      <c r="BZ373" s="27" t="s">
        <v>688</v>
      </c>
      <c r="CA373" s="27" t="s">
        <v>689</v>
      </c>
      <c r="CB373" s="27" t="s">
        <v>689</v>
      </c>
      <c r="CC373" s="5">
        <v>0</v>
      </c>
      <c r="CD373" s="5">
        <v>1</v>
      </c>
      <c r="CE373" s="5">
        <f t="shared" si="1007"/>
        <v>0</v>
      </c>
      <c r="CF373" s="5">
        <v>0</v>
      </c>
      <c r="CG373" s="6" t="str">
        <f t="shared" si="1008"/>
        <v>1级炸弹史莱姆</v>
      </c>
      <c r="CH373" s="5">
        <v>3</v>
      </c>
      <c r="CI373" s="5">
        <v>0</v>
      </c>
      <c r="CJ373" s="4">
        <v>0</v>
      </c>
      <c r="CK373" s="5">
        <v>0</v>
      </c>
      <c r="CL373" s="5">
        <v>0</v>
      </c>
      <c r="CM373" s="20">
        <v>0</v>
      </c>
      <c r="CN373" s="5">
        <v>119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10">
        <v>0.8</v>
      </c>
      <c r="CW373" s="10">
        <v>0.6</v>
      </c>
      <c r="CX373" s="10">
        <v>1</v>
      </c>
      <c r="CY373" s="10">
        <v>1</v>
      </c>
      <c r="CZ373" s="8">
        <v>1</v>
      </c>
      <c r="DA373" s="6">
        <f t="shared" si="1016"/>
        <v>25</v>
      </c>
      <c r="DB373" s="5">
        <v>0</v>
      </c>
      <c r="DC373" s="5">
        <f t="shared" si="999"/>
        <v>0.125</v>
      </c>
      <c r="DD373" s="6">
        <f t="shared" si="1017"/>
        <v>0.125</v>
      </c>
      <c r="DE373" s="6">
        <v>0.25</v>
      </c>
      <c r="DF373" s="5">
        <v>0</v>
      </c>
      <c r="DG373" s="6">
        <f t="shared" si="1018"/>
        <v>2.5</v>
      </c>
      <c r="DH373" s="5">
        <v>1.5</v>
      </c>
      <c r="DI373" s="8">
        <v>0</v>
      </c>
      <c r="DJ373" s="5">
        <f t="shared" si="1019"/>
        <v>0</v>
      </c>
      <c r="DK373" s="8">
        <v>0</v>
      </c>
      <c r="DL373" s="5">
        <f t="shared" si="996"/>
        <v>0</v>
      </c>
      <c r="DM373" s="27" t="str">
        <f t="shared" si="1002"/>
        <v>1级炸弹史莱姆</v>
      </c>
      <c r="DN373" s="5">
        <v>6</v>
      </c>
      <c r="DO373" s="5">
        <v>0</v>
      </c>
      <c r="DP373" s="5">
        <v>0</v>
      </c>
      <c r="DQ373" s="5">
        <v>0</v>
      </c>
      <c r="DR373" s="5">
        <f t="shared" si="1020"/>
        <v>0.9</v>
      </c>
      <c r="DS373" s="6">
        <v>1</v>
      </c>
      <c r="DT373" s="5">
        <v>-0.5</v>
      </c>
      <c r="DU373" s="5">
        <v>0.5</v>
      </c>
      <c r="DV373" s="6">
        <v>0.5</v>
      </c>
      <c r="DW373" s="5">
        <f t="shared" si="1021"/>
        <v>0.75</v>
      </c>
      <c r="DX373" s="5">
        <v>9</v>
      </c>
      <c r="DY373" s="5">
        <f t="shared" si="1022"/>
        <v>0</v>
      </c>
      <c r="DZ373" s="5">
        <v>0</v>
      </c>
    </row>
    <row r="374" spans="1:130" x14ac:dyDescent="0.15">
      <c r="A374" s="5">
        <v>201372</v>
      </c>
      <c r="B374" s="27" t="s">
        <v>643</v>
      </c>
      <c r="C374" s="27"/>
      <c r="D374" s="27"/>
      <c r="E374" s="27"/>
      <c r="F374" s="5">
        <v>0</v>
      </c>
      <c r="G374" s="45"/>
      <c r="H374" s="5"/>
      <c r="I374" s="5"/>
      <c r="J374" s="5"/>
      <c r="K374" s="5"/>
      <c r="L374" s="10"/>
      <c r="M374" s="5"/>
      <c r="N374" s="10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20"/>
      <c r="AF374" s="5"/>
      <c r="AG374" s="5"/>
      <c r="AH374" s="5"/>
      <c r="AI374" s="5"/>
      <c r="AJ374" s="5"/>
      <c r="AK374" s="5"/>
      <c r="AL374" s="5"/>
      <c r="AM374" s="5"/>
      <c r="AN374" s="8"/>
      <c r="AO374" s="5">
        <v>0</v>
      </c>
      <c r="AP374" s="27" t="s">
        <v>643</v>
      </c>
      <c r="AQ374" s="5">
        <v>0</v>
      </c>
      <c r="AR374" s="8">
        <v>2</v>
      </c>
      <c r="AS374" s="6">
        <f t="shared" si="997"/>
        <v>12</v>
      </c>
      <c r="AT374" s="6">
        <f t="shared" si="998"/>
        <v>18</v>
      </c>
      <c r="AU374" s="5">
        <v>0</v>
      </c>
      <c r="AV374" s="5">
        <v>1</v>
      </c>
      <c r="AW374" s="6">
        <v>1</v>
      </c>
      <c r="AX374" s="6">
        <v>1</v>
      </c>
      <c r="AY374" s="6">
        <v>0</v>
      </c>
      <c r="AZ374" s="5">
        <v>201372</v>
      </c>
      <c r="BA374" s="5">
        <v>203039</v>
      </c>
      <c r="BB374" s="5">
        <v>0</v>
      </c>
      <c r="BC374" s="5">
        <v>0</v>
      </c>
      <c r="BD374" s="5">
        <v>0</v>
      </c>
      <c r="BE374" s="5">
        <v>301003</v>
      </c>
      <c r="BF374" s="23">
        <v>180</v>
      </c>
      <c r="BG374" s="5">
        <v>0</v>
      </c>
      <c r="BH374" s="5">
        <v>0</v>
      </c>
      <c r="BI374" s="5">
        <v>0</v>
      </c>
      <c r="BJ374" s="5">
        <f t="shared" ref="BJ374:BJ382" si="1024">BT374*60</f>
        <v>120</v>
      </c>
      <c r="BK374" s="5">
        <f t="shared" ref="BK374:BK382" si="1025">BT374*60</f>
        <v>120</v>
      </c>
      <c r="BL374" s="5">
        <v>1</v>
      </c>
      <c r="BM374" s="5">
        <v>30</v>
      </c>
      <c r="BN374" s="5">
        <v>180</v>
      </c>
      <c r="BO374" s="5">
        <v>108006</v>
      </c>
      <c r="BP374" s="5"/>
      <c r="BQ374" s="5"/>
      <c r="BR374" s="5"/>
      <c r="BS374" s="4"/>
      <c r="BT374" s="4">
        <f t="shared" si="1023"/>
        <v>2</v>
      </c>
      <c r="BU374" s="4">
        <v>0</v>
      </c>
      <c r="BV374" s="4">
        <f t="shared" si="1013"/>
        <v>2</v>
      </c>
      <c r="BW374" s="4">
        <f t="shared" si="1014"/>
        <v>2</v>
      </c>
      <c r="BX374" s="14">
        <f t="shared" si="1015"/>
        <v>0.78</v>
      </c>
      <c r="BY374" s="14">
        <f t="shared" si="1006"/>
        <v>0.5</v>
      </c>
      <c r="BZ374" s="27" t="s">
        <v>688</v>
      </c>
      <c r="CA374" s="27" t="s">
        <v>689</v>
      </c>
      <c r="CB374" s="27" t="s">
        <v>689</v>
      </c>
      <c r="CC374" s="5">
        <v>0</v>
      </c>
      <c r="CD374" s="5">
        <v>1</v>
      </c>
      <c r="CE374" s="5">
        <f t="shared" si="1007"/>
        <v>0</v>
      </c>
      <c r="CF374" s="5">
        <v>0</v>
      </c>
      <c r="CG374" s="6" t="str">
        <f t="shared" si="1008"/>
        <v>2级炸弹史莱姆</v>
      </c>
      <c r="CH374" s="5">
        <v>3</v>
      </c>
      <c r="CI374" s="5">
        <v>0</v>
      </c>
      <c r="CJ374" s="4">
        <v>0</v>
      </c>
      <c r="CK374" s="5">
        <v>0</v>
      </c>
      <c r="CL374" s="5">
        <v>0</v>
      </c>
      <c r="CM374" s="20">
        <v>0</v>
      </c>
      <c r="CN374" s="5">
        <v>119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10">
        <v>0.8</v>
      </c>
      <c r="CW374" s="10">
        <v>0.6</v>
      </c>
      <c r="CX374" s="10">
        <v>1</v>
      </c>
      <c r="CY374" s="10">
        <v>1</v>
      </c>
      <c r="CZ374" s="8">
        <v>1</v>
      </c>
      <c r="DA374" s="6">
        <f t="shared" si="1016"/>
        <v>50</v>
      </c>
      <c r="DB374" s="5">
        <v>0</v>
      </c>
      <c r="DC374" s="5">
        <f t="shared" si="999"/>
        <v>0.13125000000000001</v>
      </c>
      <c r="DD374" s="6">
        <f t="shared" si="1017"/>
        <v>0.13125000000000001</v>
      </c>
      <c r="DE374" s="6">
        <v>0.25</v>
      </c>
      <c r="DF374" s="5">
        <v>0</v>
      </c>
      <c r="DG374" s="6">
        <f t="shared" si="1018"/>
        <v>2.5</v>
      </c>
      <c r="DH374" s="5">
        <v>1.5</v>
      </c>
      <c r="DI374" s="8">
        <v>0</v>
      </c>
      <c r="DJ374" s="5">
        <f t="shared" si="1019"/>
        <v>0</v>
      </c>
      <c r="DK374" s="8">
        <v>0</v>
      </c>
      <c r="DL374" s="5">
        <f t="shared" si="996"/>
        <v>0</v>
      </c>
      <c r="DM374" s="27" t="str">
        <f t="shared" si="1002"/>
        <v>2级炸弹史莱姆</v>
      </c>
      <c r="DN374" s="5">
        <v>6</v>
      </c>
      <c r="DO374" s="5">
        <v>0</v>
      </c>
      <c r="DP374" s="5">
        <v>0</v>
      </c>
      <c r="DQ374" s="5">
        <v>0</v>
      </c>
      <c r="DR374" s="5">
        <f t="shared" si="1020"/>
        <v>0.9</v>
      </c>
      <c r="DS374" s="6">
        <v>1</v>
      </c>
      <c r="DT374" s="5">
        <v>-0.5</v>
      </c>
      <c r="DU374" s="5">
        <v>0.5</v>
      </c>
      <c r="DV374" s="6">
        <v>0.5</v>
      </c>
      <c r="DW374" s="5">
        <f t="shared" si="1021"/>
        <v>0.75</v>
      </c>
      <c r="DX374" s="5">
        <v>9</v>
      </c>
      <c r="DY374" s="5">
        <f t="shared" si="1022"/>
        <v>0</v>
      </c>
      <c r="DZ374" s="5">
        <v>0</v>
      </c>
    </row>
    <row r="375" spans="1:130" x14ac:dyDescent="0.15">
      <c r="A375" s="5">
        <v>201373</v>
      </c>
      <c r="B375" s="27" t="s">
        <v>644</v>
      </c>
      <c r="C375" s="27"/>
      <c r="D375" s="27"/>
      <c r="E375" s="27"/>
      <c r="F375" s="5">
        <v>0</v>
      </c>
      <c r="G375" s="45"/>
      <c r="H375" s="5"/>
      <c r="I375" s="5"/>
      <c r="J375" s="5"/>
      <c r="K375" s="5"/>
      <c r="L375" s="10"/>
      <c r="M375" s="5"/>
      <c r="N375" s="10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20"/>
      <c r="AF375" s="5"/>
      <c r="AG375" s="5"/>
      <c r="AH375" s="5"/>
      <c r="AI375" s="5"/>
      <c r="AJ375" s="5"/>
      <c r="AK375" s="5"/>
      <c r="AL375" s="5"/>
      <c r="AM375" s="5"/>
      <c r="AN375" s="8"/>
      <c r="AO375" s="5">
        <v>0</v>
      </c>
      <c r="AP375" s="27" t="s">
        <v>644</v>
      </c>
      <c r="AQ375" s="5">
        <v>0</v>
      </c>
      <c r="AR375" s="8">
        <v>2</v>
      </c>
      <c r="AS375" s="6">
        <f t="shared" si="997"/>
        <v>18</v>
      </c>
      <c r="AT375" s="6">
        <f t="shared" si="998"/>
        <v>27</v>
      </c>
      <c r="AU375" s="5">
        <v>0</v>
      </c>
      <c r="AV375" s="5">
        <v>1</v>
      </c>
      <c r="AW375" s="6">
        <v>1</v>
      </c>
      <c r="AX375" s="6">
        <v>1</v>
      </c>
      <c r="AY375" s="6">
        <v>0</v>
      </c>
      <c r="AZ375" s="5">
        <v>201373</v>
      </c>
      <c r="BA375" s="5">
        <v>203039</v>
      </c>
      <c r="BB375" s="5">
        <v>0</v>
      </c>
      <c r="BC375" s="5">
        <v>0</v>
      </c>
      <c r="BD375" s="5">
        <v>0</v>
      </c>
      <c r="BE375" s="5">
        <v>301003</v>
      </c>
      <c r="BF375" s="23">
        <v>180</v>
      </c>
      <c r="BG375" s="5">
        <v>0</v>
      </c>
      <c r="BH375" s="5">
        <v>0</v>
      </c>
      <c r="BI375" s="5">
        <v>0</v>
      </c>
      <c r="BJ375" s="5">
        <f t="shared" si="1024"/>
        <v>180</v>
      </c>
      <c r="BK375" s="5">
        <f t="shared" si="1025"/>
        <v>180</v>
      </c>
      <c r="BL375" s="5">
        <v>1</v>
      </c>
      <c r="BM375" s="5">
        <v>30</v>
      </c>
      <c r="BN375" s="5">
        <v>180</v>
      </c>
      <c r="BO375" s="5">
        <v>108006</v>
      </c>
      <c r="BP375" s="5"/>
      <c r="BQ375" s="5"/>
      <c r="BR375" s="5"/>
      <c r="BS375" s="4"/>
      <c r="BT375" s="4">
        <f t="shared" si="1023"/>
        <v>3</v>
      </c>
      <c r="BU375" s="4">
        <v>0</v>
      </c>
      <c r="BV375" s="4">
        <f t="shared" si="1013"/>
        <v>3</v>
      </c>
      <c r="BW375" s="4">
        <f t="shared" si="1014"/>
        <v>3</v>
      </c>
      <c r="BX375" s="14">
        <f t="shared" si="1015"/>
        <v>0.71</v>
      </c>
      <c r="BY375" s="14">
        <f t="shared" si="1006"/>
        <v>0.45000000000000007</v>
      </c>
      <c r="BZ375" s="27" t="s">
        <v>688</v>
      </c>
      <c r="CA375" s="27" t="s">
        <v>689</v>
      </c>
      <c r="CB375" s="27" t="s">
        <v>689</v>
      </c>
      <c r="CC375" s="5">
        <v>0</v>
      </c>
      <c r="CD375" s="5">
        <v>1</v>
      </c>
      <c r="CE375" s="5">
        <f t="shared" si="1007"/>
        <v>0</v>
      </c>
      <c r="CF375" s="5">
        <v>0</v>
      </c>
      <c r="CG375" s="6" t="str">
        <f t="shared" si="1008"/>
        <v>3级炸弹史莱姆</v>
      </c>
      <c r="CH375" s="5">
        <v>3</v>
      </c>
      <c r="CI375" s="5">
        <v>0</v>
      </c>
      <c r="CJ375" s="4">
        <v>0</v>
      </c>
      <c r="CK375" s="5">
        <v>0</v>
      </c>
      <c r="CL375" s="5">
        <v>0</v>
      </c>
      <c r="CM375" s="20">
        <v>0</v>
      </c>
      <c r="CN375" s="5">
        <v>119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10">
        <v>0.8</v>
      </c>
      <c r="CW375" s="10">
        <v>0.6</v>
      </c>
      <c r="CX375" s="10">
        <v>1</v>
      </c>
      <c r="CY375" s="10">
        <v>1</v>
      </c>
      <c r="CZ375" s="8">
        <v>1</v>
      </c>
      <c r="DA375" s="6">
        <f t="shared" si="1016"/>
        <v>75</v>
      </c>
      <c r="DB375" s="5">
        <v>0</v>
      </c>
      <c r="DC375" s="5">
        <f t="shared" si="999"/>
        <v>0.13750000000000001</v>
      </c>
      <c r="DD375" s="6">
        <f t="shared" si="1017"/>
        <v>0.13750000000000001</v>
      </c>
      <c r="DE375" s="6">
        <v>0.25</v>
      </c>
      <c r="DF375" s="5">
        <v>0</v>
      </c>
      <c r="DG375" s="6">
        <f t="shared" si="1018"/>
        <v>2.5</v>
      </c>
      <c r="DH375" s="5">
        <v>1.5</v>
      </c>
      <c r="DI375" s="8">
        <v>0</v>
      </c>
      <c r="DJ375" s="5">
        <f t="shared" si="1019"/>
        <v>0</v>
      </c>
      <c r="DK375" s="8">
        <v>0</v>
      </c>
      <c r="DL375" s="5">
        <f t="shared" si="996"/>
        <v>0</v>
      </c>
      <c r="DM375" s="27" t="str">
        <f t="shared" si="1002"/>
        <v>3级炸弹史莱姆</v>
      </c>
      <c r="DN375" s="5">
        <v>6</v>
      </c>
      <c r="DO375" s="5">
        <v>0</v>
      </c>
      <c r="DP375" s="5">
        <v>0</v>
      </c>
      <c r="DQ375" s="5">
        <v>0</v>
      </c>
      <c r="DR375" s="5">
        <f t="shared" si="1020"/>
        <v>0.9</v>
      </c>
      <c r="DS375" s="6">
        <v>1</v>
      </c>
      <c r="DT375" s="5">
        <v>-0.5</v>
      </c>
      <c r="DU375" s="5">
        <v>0.5</v>
      </c>
      <c r="DV375" s="6">
        <v>0.5</v>
      </c>
      <c r="DW375" s="5">
        <f t="shared" si="1021"/>
        <v>0.75</v>
      </c>
      <c r="DX375" s="5">
        <v>9</v>
      </c>
      <c r="DY375" s="5">
        <f t="shared" si="1022"/>
        <v>0</v>
      </c>
      <c r="DZ375" s="5">
        <v>0</v>
      </c>
    </row>
    <row r="376" spans="1:130" x14ac:dyDescent="0.15">
      <c r="A376" s="5">
        <v>201374</v>
      </c>
      <c r="B376" s="27" t="s">
        <v>645</v>
      </c>
      <c r="C376" s="27"/>
      <c r="D376" s="27"/>
      <c r="E376" s="27"/>
      <c r="F376" s="5">
        <v>0</v>
      </c>
      <c r="G376" s="45"/>
      <c r="H376" s="5"/>
      <c r="I376" s="5"/>
      <c r="J376" s="5"/>
      <c r="K376" s="5"/>
      <c r="L376" s="10"/>
      <c r="M376" s="5"/>
      <c r="N376" s="10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20"/>
      <c r="AF376" s="5"/>
      <c r="AG376" s="5"/>
      <c r="AH376" s="5"/>
      <c r="AI376" s="5"/>
      <c r="AJ376" s="5"/>
      <c r="AK376" s="5"/>
      <c r="AL376" s="5"/>
      <c r="AM376" s="5"/>
      <c r="AN376" s="8"/>
      <c r="AO376" s="5">
        <v>0</v>
      </c>
      <c r="AP376" s="27" t="s">
        <v>645</v>
      </c>
      <c r="AQ376" s="5">
        <v>0</v>
      </c>
      <c r="AR376" s="8">
        <v>2</v>
      </c>
      <c r="AS376" s="6">
        <f t="shared" si="997"/>
        <v>24</v>
      </c>
      <c r="AT376" s="6">
        <f t="shared" si="998"/>
        <v>36</v>
      </c>
      <c r="AU376" s="5">
        <v>0</v>
      </c>
      <c r="AV376" s="5">
        <v>1</v>
      </c>
      <c r="AW376" s="6">
        <v>1</v>
      </c>
      <c r="AX376" s="6">
        <v>1</v>
      </c>
      <c r="AY376" s="6">
        <v>0</v>
      </c>
      <c r="AZ376" s="5">
        <v>201374</v>
      </c>
      <c r="BA376" s="5">
        <v>203039</v>
      </c>
      <c r="BB376" s="5">
        <v>0</v>
      </c>
      <c r="BC376" s="5">
        <v>0</v>
      </c>
      <c r="BD376" s="5">
        <v>0</v>
      </c>
      <c r="BE376" s="5">
        <v>301003</v>
      </c>
      <c r="BF376" s="23">
        <v>180</v>
      </c>
      <c r="BG376" s="5">
        <v>0</v>
      </c>
      <c r="BH376" s="5">
        <v>0</v>
      </c>
      <c r="BI376" s="5">
        <v>0</v>
      </c>
      <c r="BJ376" s="5">
        <f t="shared" si="1024"/>
        <v>240</v>
      </c>
      <c r="BK376" s="5">
        <f t="shared" si="1025"/>
        <v>240</v>
      </c>
      <c r="BL376" s="5">
        <v>1</v>
      </c>
      <c r="BM376" s="5">
        <v>30</v>
      </c>
      <c r="BN376" s="5">
        <v>180</v>
      </c>
      <c r="BO376" s="5">
        <v>108006</v>
      </c>
      <c r="BP376" s="5"/>
      <c r="BQ376" s="5"/>
      <c r="BR376" s="5"/>
      <c r="BS376" s="4"/>
      <c r="BT376" s="4">
        <f t="shared" si="1023"/>
        <v>4</v>
      </c>
      <c r="BU376" s="4">
        <v>0</v>
      </c>
      <c r="BV376" s="4">
        <f t="shared" si="1013"/>
        <v>4</v>
      </c>
      <c r="BW376" s="4">
        <f t="shared" si="1014"/>
        <v>4</v>
      </c>
      <c r="BX376" s="14">
        <f t="shared" si="1015"/>
        <v>0.6399999999999999</v>
      </c>
      <c r="BY376" s="14">
        <f t="shared" si="1006"/>
        <v>0.4</v>
      </c>
      <c r="BZ376" s="27" t="s">
        <v>688</v>
      </c>
      <c r="CA376" s="27" t="s">
        <v>689</v>
      </c>
      <c r="CB376" s="27" t="s">
        <v>689</v>
      </c>
      <c r="CC376" s="5">
        <v>0</v>
      </c>
      <c r="CD376" s="5">
        <v>1</v>
      </c>
      <c r="CE376" s="5">
        <f t="shared" si="1007"/>
        <v>0</v>
      </c>
      <c r="CF376" s="5">
        <v>0</v>
      </c>
      <c r="CG376" s="6" t="str">
        <f t="shared" si="1008"/>
        <v>4级炸弹史莱姆</v>
      </c>
      <c r="CH376" s="5">
        <v>3</v>
      </c>
      <c r="CI376" s="5">
        <v>0</v>
      </c>
      <c r="CJ376" s="4">
        <v>0</v>
      </c>
      <c r="CK376" s="5">
        <v>0</v>
      </c>
      <c r="CL376" s="5">
        <v>0</v>
      </c>
      <c r="CM376" s="20">
        <v>0</v>
      </c>
      <c r="CN376" s="5">
        <v>119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10">
        <v>0.8</v>
      </c>
      <c r="CW376" s="10">
        <v>0.6</v>
      </c>
      <c r="CX376" s="10">
        <v>1</v>
      </c>
      <c r="CY376" s="10">
        <v>1</v>
      </c>
      <c r="CZ376" s="8">
        <v>1</v>
      </c>
      <c r="DA376" s="6">
        <f t="shared" si="1016"/>
        <v>100</v>
      </c>
      <c r="DB376" s="5">
        <v>0</v>
      </c>
      <c r="DC376" s="5">
        <f t="shared" si="999"/>
        <v>0.14374999999999999</v>
      </c>
      <c r="DD376" s="6">
        <f t="shared" si="1017"/>
        <v>0.14374999999999999</v>
      </c>
      <c r="DE376" s="6">
        <v>0.25</v>
      </c>
      <c r="DF376" s="5">
        <v>0</v>
      </c>
      <c r="DG376" s="6">
        <f t="shared" si="1018"/>
        <v>2.5</v>
      </c>
      <c r="DH376" s="5">
        <v>1.5</v>
      </c>
      <c r="DI376" s="8">
        <v>0</v>
      </c>
      <c r="DJ376" s="5">
        <f t="shared" si="1019"/>
        <v>0</v>
      </c>
      <c r="DK376" s="8">
        <v>0</v>
      </c>
      <c r="DL376" s="5">
        <f t="shared" si="996"/>
        <v>0</v>
      </c>
      <c r="DM376" s="27" t="str">
        <f t="shared" si="1002"/>
        <v>4级炸弹史莱姆</v>
      </c>
      <c r="DN376" s="5">
        <v>6</v>
      </c>
      <c r="DO376" s="5">
        <v>0</v>
      </c>
      <c r="DP376" s="5">
        <v>0</v>
      </c>
      <c r="DQ376" s="5">
        <v>0</v>
      </c>
      <c r="DR376" s="5">
        <f t="shared" si="1020"/>
        <v>0.9</v>
      </c>
      <c r="DS376" s="6">
        <v>1</v>
      </c>
      <c r="DT376" s="5">
        <v>-0.5</v>
      </c>
      <c r="DU376" s="5">
        <v>0.5</v>
      </c>
      <c r="DV376" s="6">
        <v>0.5</v>
      </c>
      <c r="DW376" s="5">
        <f t="shared" si="1021"/>
        <v>0.75</v>
      </c>
      <c r="DX376" s="5">
        <v>9</v>
      </c>
      <c r="DY376" s="5">
        <f t="shared" si="1022"/>
        <v>0</v>
      </c>
      <c r="DZ376" s="5">
        <v>0</v>
      </c>
    </row>
    <row r="377" spans="1:130" x14ac:dyDescent="0.15">
      <c r="A377" s="5">
        <v>201375</v>
      </c>
      <c r="B377" s="27" t="s">
        <v>646</v>
      </c>
      <c r="C377" s="27"/>
      <c r="D377" s="27"/>
      <c r="E377" s="27"/>
      <c r="F377" s="5">
        <v>0</v>
      </c>
      <c r="G377" s="45"/>
      <c r="H377" s="5"/>
      <c r="I377" s="5"/>
      <c r="J377" s="5"/>
      <c r="K377" s="5"/>
      <c r="L377" s="10"/>
      <c r="M377" s="5"/>
      <c r="N377" s="10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20"/>
      <c r="AF377" s="5"/>
      <c r="AG377" s="5"/>
      <c r="AH377" s="5"/>
      <c r="AI377" s="5"/>
      <c r="AJ377" s="5"/>
      <c r="AK377" s="5"/>
      <c r="AL377" s="5"/>
      <c r="AM377" s="5"/>
      <c r="AN377" s="8"/>
      <c r="AO377" s="5">
        <v>0</v>
      </c>
      <c r="AP377" s="27" t="s">
        <v>646</v>
      </c>
      <c r="AQ377" s="5">
        <v>0</v>
      </c>
      <c r="AR377" s="8">
        <v>2</v>
      </c>
      <c r="AS377" s="6">
        <f t="shared" si="997"/>
        <v>30</v>
      </c>
      <c r="AT377" s="6">
        <f t="shared" si="998"/>
        <v>45</v>
      </c>
      <c r="AU377" s="5">
        <v>0</v>
      </c>
      <c r="AV377" s="5">
        <v>1</v>
      </c>
      <c r="AW377" s="6">
        <v>1</v>
      </c>
      <c r="AX377" s="6">
        <v>1</v>
      </c>
      <c r="AY377" s="6">
        <v>0</v>
      </c>
      <c r="AZ377" s="5">
        <v>201375</v>
      </c>
      <c r="BA377" s="5">
        <v>203039</v>
      </c>
      <c r="BB377" s="5">
        <v>0</v>
      </c>
      <c r="BC377" s="5">
        <v>0</v>
      </c>
      <c r="BD377" s="5">
        <v>0</v>
      </c>
      <c r="BE377" s="5">
        <v>301003</v>
      </c>
      <c r="BF377" s="23">
        <v>180</v>
      </c>
      <c r="BG377" s="5">
        <v>0</v>
      </c>
      <c r="BH377" s="5">
        <v>0</v>
      </c>
      <c r="BI377" s="5">
        <v>0</v>
      </c>
      <c r="BJ377" s="5">
        <f t="shared" si="1024"/>
        <v>300</v>
      </c>
      <c r="BK377" s="5">
        <f t="shared" si="1025"/>
        <v>300</v>
      </c>
      <c r="BL377" s="5">
        <v>1</v>
      </c>
      <c r="BM377" s="5">
        <v>30</v>
      </c>
      <c r="BN377" s="5">
        <v>180</v>
      </c>
      <c r="BO377" s="5">
        <v>108006</v>
      </c>
      <c r="BP377" s="5"/>
      <c r="BQ377" s="5"/>
      <c r="BR377" s="5"/>
      <c r="BS377" s="4"/>
      <c r="BT377" s="4">
        <f t="shared" si="1023"/>
        <v>5</v>
      </c>
      <c r="BU377" s="4">
        <v>0</v>
      </c>
      <c r="BV377" s="4">
        <f t="shared" si="1013"/>
        <v>5</v>
      </c>
      <c r="BW377" s="4">
        <f t="shared" si="1014"/>
        <v>5</v>
      </c>
      <c r="BX377" s="14">
        <f t="shared" si="1015"/>
        <v>0.56999999999999995</v>
      </c>
      <c r="BY377" s="14">
        <f t="shared" si="1006"/>
        <v>0.35000000000000003</v>
      </c>
      <c r="BZ377" s="27" t="s">
        <v>688</v>
      </c>
      <c r="CA377" s="27" t="s">
        <v>689</v>
      </c>
      <c r="CB377" s="27" t="s">
        <v>689</v>
      </c>
      <c r="CC377" s="5">
        <v>0</v>
      </c>
      <c r="CD377" s="5">
        <v>1</v>
      </c>
      <c r="CE377" s="5">
        <f t="shared" si="1007"/>
        <v>0</v>
      </c>
      <c r="CF377" s="5">
        <v>0</v>
      </c>
      <c r="CG377" s="6" t="str">
        <f t="shared" si="1008"/>
        <v>5级炸弹史莱姆</v>
      </c>
      <c r="CH377" s="5">
        <v>3</v>
      </c>
      <c r="CI377" s="5">
        <v>0</v>
      </c>
      <c r="CJ377" s="4">
        <v>0</v>
      </c>
      <c r="CK377" s="5">
        <v>0</v>
      </c>
      <c r="CL377" s="5">
        <v>0</v>
      </c>
      <c r="CM377" s="20">
        <v>0</v>
      </c>
      <c r="CN377" s="5">
        <v>119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10">
        <v>0.8</v>
      </c>
      <c r="CW377" s="10">
        <v>0.6</v>
      </c>
      <c r="CX377" s="10">
        <v>1</v>
      </c>
      <c r="CY377" s="10">
        <v>1</v>
      </c>
      <c r="CZ377" s="8">
        <v>1</v>
      </c>
      <c r="DA377" s="6">
        <f t="shared" si="1016"/>
        <v>125</v>
      </c>
      <c r="DB377" s="5">
        <v>0</v>
      </c>
      <c r="DC377" s="5">
        <f t="shared" si="999"/>
        <v>0.15</v>
      </c>
      <c r="DD377" s="6">
        <f t="shared" si="1017"/>
        <v>0.15</v>
      </c>
      <c r="DE377" s="6">
        <v>0.25</v>
      </c>
      <c r="DF377" s="5">
        <v>0</v>
      </c>
      <c r="DG377" s="6">
        <f t="shared" si="1018"/>
        <v>2.5</v>
      </c>
      <c r="DH377" s="5">
        <v>1.5</v>
      </c>
      <c r="DI377" s="8">
        <v>0</v>
      </c>
      <c r="DJ377" s="5">
        <f t="shared" si="1019"/>
        <v>0</v>
      </c>
      <c r="DK377" s="8">
        <v>0</v>
      </c>
      <c r="DL377" s="5">
        <f t="shared" si="996"/>
        <v>0</v>
      </c>
      <c r="DM377" s="27" t="str">
        <f t="shared" si="1002"/>
        <v>5级炸弹史莱姆</v>
      </c>
      <c r="DN377" s="5">
        <v>6</v>
      </c>
      <c r="DO377" s="5">
        <v>0</v>
      </c>
      <c r="DP377" s="5">
        <v>0</v>
      </c>
      <c r="DQ377" s="5">
        <v>0</v>
      </c>
      <c r="DR377" s="5">
        <f t="shared" si="1020"/>
        <v>0.9</v>
      </c>
      <c r="DS377" s="6">
        <v>1</v>
      </c>
      <c r="DT377" s="5">
        <v>-0.5</v>
      </c>
      <c r="DU377" s="5">
        <v>0.5</v>
      </c>
      <c r="DV377" s="6">
        <v>0.5</v>
      </c>
      <c r="DW377" s="5">
        <f t="shared" si="1021"/>
        <v>0.75</v>
      </c>
      <c r="DX377" s="5">
        <v>9</v>
      </c>
      <c r="DY377" s="5">
        <f t="shared" si="1022"/>
        <v>0</v>
      </c>
      <c r="DZ377" s="5">
        <v>0</v>
      </c>
    </row>
    <row r="378" spans="1:130" x14ac:dyDescent="0.15">
      <c r="A378" s="5">
        <v>201376</v>
      </c>
      <c r="B378" s="27" t="s">
        <v>647</v>
      </c>
      <c r="C378" s="27"/>
      <c r="D378" s="27"/>
      <c r="E378" s="27"/>
      <c r="F378" s="5">
        <v>0</v>
      </c>
      <c r="G378" s="45"/>
      <c r="H378" s="5"/>
      <c r="I378" s="5"/>
      <c r="J378" s="5"/>
      <c r="K378" s="5"/>
      <c r="L378" s="10"/>
      <c r="M378" s="5"/>
      <c r="N378" s="10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20"/>
      <c r="AF378" s="5"/>
      <c r="AG378" s="5"/>
      <c r="AH378" s="5"/>
      <c r="AI378" s="5"/>
      <c r="AJ378" s="5"/>
      <c r="AK378" s="5"/>
      <c r="AL378" s="5"/>
      <c r="AM378" s="5"/>
      <c r="AN378" s="8"/>
      <c r="AO378" s="5">
        <v>0</v>
      </c>
      <c r="AP378" s="27" t="s">
        <v>647</v>
      </c>
      <c r="AQ378" s="5">
        <v>0</v>
      </c>
      <c r="AR378" s="8">
        <v>2</v>
      </c>
      <c r="AS378" s="6">
        <f t="shared" si="997"/>
        <v>36</v>
      </c>
      <c r="AT378" s="6">
        <f t="shared" si="998"/>
        <v>54</v>
      </c>
      <c r="AU378" s="5">
        <v>0</v>
      </c>
      <c r="AV378" s="5">
        <v>1</v>
      </c>
      <c r="AW378" s="6">
        <v>1</v>
      </c>
      <c r="AX378" s="6">
        <v>1</v>
      </c>
      <c r="AY378" s="6">
        <v>0</v>
      </c>
      <c r="AZ378" s="5">
        <v>201376</v>
      </c>
      <c r="BA378" s="5">
        <v>203039</v>
      </c>
      <c r="BB378" s="5">
        <v>0</v>
      </c>
      <c r="BC378" s="5">
        <v>0</v>
      </c>
      <c r="BD378" s="5">
        <v>0</v>
      </c>
      <c r="BE378" s="5">
        <v>301003</v>
      </c>
      <c r="BF378" s="23">
        <v>180</v>
      </c>
      <c r="BG378" s="5">
        <v>0</v>
      </c>
      <c r="BH378" s="5">
        <v>0</v>
      </c>
      <c r="BI378" s="5">
        <v>0</v>
      </c>
      <c r="BJ378" s="5">
        <f t="shared" si="1024"/>
        <v>360</v>
      </c>
      <c r="BK378" s="5">
        <f t="shared" si="1025"/>
        <v>360</v>
      </c>
      <c r="BL378" s="5">
        <v>1</v>
      </c>
      <c r="BM378" s="5">
        <v>30</v>
      </c>
      <c r="BN378" s="5">
        <v>180</v>
      </c>
      <c r="BO378" s="5">
        <v>108006</v>
      </c>
      <c r="BP378" s="5"/>
      <c r="BQ378" s="5"/>
      <c r="BR378" s="5"/>
      <c r="BS378" s="4"/>
      <c r="BT378" s="4">
        <f t="shared" si="1023"/>
        <v>6</v>
      </c>
      <c r="BU378" s="4">
        <v>0</v>
      </c>
      <c r="BV378" s="4">
        <f t="shared" si="1013"/>
        <v>6</v>
      </c>
      <c r="BW378" s="4">
        <f t="shared" si="1014"/>
        <v>6</v>
      </c>
      <c r="BX378" s="14">
        <f t="shared" si="1015"/>
        <v>0.49999999999999994</v>
      </c>
      <c r="BY378" s="14">
        <f t="shared" si="1006"/>
        <v>0.30000000000000004</v>
      </c>
      <c r="BZ378" s="27" t="s">
        <v>688</v>
      </c>
      <c r="CA378" s="27" t="s">
        <v>689</v>
      </c>
      <c r="CB378" s="27" t="s">
        <v>689</v>
      </c>
      <c r="CC378" s="5">
        <v>0</v>
      </c>
      <c r="CD378" s="5">
        <v>1</v>
      </c>
      <c r="CE378" s="5">
        <f t="shared" si="1007"/>
        <v>0</v>
      </c>
      <c r="CF378" s="5">
        <v>0</v>
      </c>
      <c r="CG378" s="6" t="str">
        <f t="shared" si="1008"/>
        <v>6级炸弹史莱姆</v>
      </c>
      <c r="CH378" s="5">
        <v>3</v>
      </c>
      <c r="CI378" s="5">
        <v>0</v>
      </c>
      <c r="CJ378" s="4">
        <v>0</v>
      </c>
      <c r="CK378" s="5">
        <v>0</v>
      </c>
      <c r="CL378" s="5">
        <v>0</v>
      </c>
      <c r="CM378" s="20">
        <v>0</v>
      </c>
      <c r="CN378" s="5">
        <v>119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10">
        <v>0.8</v>
      </c>
      <c r="CW378" s="10">
        <v>0.6</v>
      </c>
      <c r="CX378" s="10">
        <v>1</v>
      </c>
      <c r="CY378" s="10">
        <v>1</v>
      </c>
      <c r="CZ378" s="8">
        <v>1</v>
      </c>
      <c r="DA378" s="6">
        <f t="shared" si="1016"/>
        <v>150</v>
      </c>
      <c r="DB378" s="5">
        <v>0</v>
      </c>
      <c r="DC378" s="5">
        <f t="shared" si="999"/>
        <v>0.15625</v>
      </c>
      <c r="DD378" s="6">
        <f t="shared" si="1017"/>
        <v>0.15625</v>
      </c>
      <c r="DE378" s="6">
        <v>0.25</v>
      </c>
      <c r="DF378" s="5">
        <v>0</v>
      </c>
      <c r="DG378" s="6">
        <f t="shared" si="1018"/>
        <v>2.5</v>
      </c>
      <c r="DH378" s="5">
        <v>1.5</v>
      </c>
      <c r="DI378" s="8">
        <v>0</v>
      </c>
      <c r="DJ378" s="5">
        <f t="shared" si="1019"/>
        <v>0</v>
      </c>
      <c r="DK378" s="8">
        <v>0</v>
      </c>
      <c r="DL378" s="5">
        <f t="shared" si="996"/>
        <v>0</v>
      </c>
      <c r="DM378" s="27" t="str">
        <f t="shared" si="1002"/>
        <v>6级炸弹史莱姆</v>
      </c>
      <c r="DN378" s="5">
        <v>6</v>
      </c>
      <c r="DO378" s="5">
        <v>0</v>
      </c>
      <c r="DP378" s="5">
        <v>0</v>
      </c>
      <c r="DQ378" s="5">
        <v>0</v>
      </c>
      <c r="DR378" s="5">
        <f t="shared" si="1020"/>
        <v>0.9</v>
      </c>
      <c r="DS378" s="6">
        <v>1</v>
      </c>
      <c r="DT378" s="5">
        <v>-0.5</v>
      </c>
      <c r="DU378" s="5">
        <v>0.5</v>
      </c>
      <c r="DV378" s="6">
        <v>0.5</v>
      </c>
      <c r="DW378" s="5">
        <f t="shared" si="1021"/>
        <v>0.75</v>
      </c>
      <c r="DX378" s="5">
        <v>9</v>
      </c>
      <c r="DY378" s="5">
        <f t="shared" si="1022"/>
        <v>0</v>
      </c>
      <c r="DZ378" s="5">
        <v>0</v>
      </c>
    </row>
    <row r="379" spans="1:130" x14ac:dyDescent="0.15">
      <c r="A379" s="5">
        <v>201377</v>
      </c>
      <c r="B379" s="27" t="s">
        <v>648</v>
      </c>
      <c r="C379" s="27"/>
      <c r="D379" s="27"/>
      <c r="E379" s="27"/>
      <c r="F379" s="5">
        <v>0</v>
      </c>
      <c r="G379" s="45"/>
      <c r="H379" s="5"/>
      <c r="I379" s="5"/>
      <c r="J379" s="5"/>
      <c r="K379" s="5"/>
      <c r="L379" s="10"/>
      <c r="M379" s="5"/>
      <c r="N379" s="10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20"/>
      <c r="AF379" s="5"/>
      <c r="AG379" s="5"/>
      <c r="AH379" s="5"/>
      <c r="AI379" s="5"/>
      <c r="AJ379" s="5"/>
      <c r="AK379" s="5"/>
      <c r="AL379" s="5"/>
      <c r="AM379" s="5"/>
      <c r="AN379" s="8"/>
      <c r="AO379" s="5">
        <v>0</v>
      </c>
      <c r="AP379" s="27" t="s">
        <v>648</v>
      </c>
      <c r="AQ379" s="5">
        <v>0</v>
      </c>
      <c r="AR379" s="8">
        <v>2</v>
      </c>
      <c r="AS379" s="6">
        <f t="shared" si="997"/>
        <v>42</v>
      </c>
      <c r="AT379" s="6">
        <f t="shared" si="998"/>
        <v>63</v>
      </c>
      <c r="AU379" s="5">
        <v>0</v>
      </c>
      <c r="AV379" s="5">
        <v>1</v>
      </c>
      <c r="AW379" s="6">
        <v>1</v>
      </c>
      <c r="AX379" s="6">
        <v>1</v>
      </c>
      <c r="AY379" s="6">
        <v>0</v>
      </c>
      <c r="AZ379" s="5">
        <v>201377</v>
      </c>
      <c r="BA379" s="5">
        <v>203039</v>
      </c>
      <c r="BB379" s="5">
        <v>0</v>
      </c>
      <c r="BC379" s="5">
        <v>0</v>
      </c>
      <c r="BD379" s="5">
        <v>0</v>
      </c>
      <c r="BE379" s="5">
        <v>301003</v>
      </c>
      <c r="BF379" s="5">
        <v>180</v>
      </c>
      <c r="BG379" s="5">
        <v>0</v>
      </c>
      <c r="BH379" s="5">
        <v>0</v>
      </c>
      <c r="BI379" s="5">
        <v>0</v>
      </c>
      <c r="BJ379" s="5">
        <f t="shared" si="1024"/>
        <v>420</v>
      </c>
      <c r="BK379" s="5">
        <f t="shared" si="1025"/>
        <v>420</v>
      </c>
      <c r="BL379" s="5">
        <v>1</v>
      </c>
      <c r="BM379" s="5">
        <v>30</v>
      </c>
      <c r="BN379" s="5">
        <v>180</v>
      </c>
      <c r="BO379" s="5">
        <v>108006</v>
      </c>
      <c r="BP379" s="5"/>
      <c r="BQ379" s="5"/>
      <c r="BR379" s="5"/>
      <c r="BS379" s="4"/>
      <c r="BT379" s="4">
        <f t="shared" si="1023"/>
        <v>7</v>
      </c>
      <c r="BU379" s="4">
        <v>0</v>
      </c>
      <c r="BV379" s="4">
        <f t="shared" si="1013"/>
        <v>7</v>
      </c>
      <c r="BW379" s="4">
        <f t="shared" si="1014"/>
        <v>7</v>
      </c>
      <c r="BX379" s="14">
        <f t="shared" si="1015"/>
        <v>0.42999999999999994</v>
      </c>
      <c r="BY379" s="14">
        <f t="shared" si="1006"/>
        <v>0.25</v>
      </c>
      <c r="BZ379" s="27" t="s">
        <v>688</v>
      </c>
      <c r="CA379" s="27" t="s">
        <v>689</v>
      </c>
      <c r="CB379" s="27" t="s">
        <v>689</v>
      </c>
      <c r="CC379" s="5">
        <v>0</v>
      </c>
      <c r="CD379" s="5">
        <v>1</v>
      </c>
      <c r="CE379" s="5">
        <f t="shared" si="1007"/>
        <v>0</v>
      </c>
      <c r="CF379" s="5">
        <v>0</v>
      </c>
      <c r="CG379" s="6" t="str">
        <f t="shared" si="1008"/>
        <v>7级炸弹史莱姆</v>
      </c>
      <c r="CH379" s="5">
        <v>3</v>
      </c>
      <c r="CI379" s="5">
        <v>0</v>
      </c>
      <c r="CJ379" s="4">
        <v>0</v>
      </c>
      <c r="CK379" s="5">
        <v>0</v>
      </c>
      <c r="CL379" s="5">
        <v>0</v>
      </c>
      <c r="CM379" s="20">
        <v>0</v>
      </c>
      <c r="CN379" s="5">
        <v>119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10">
        <v>0.8</v>
      </c>
      <c r="CW379" s="10">
        <v>0.6</v>
      </c>
      <c r="CX379" s="10">
        <v>1</v>
      </c>
      <c r="CY379" s="10">
        <v>1</v>
      </c>
      <c r="CZ379" s="8">
        <v>1</v>
      </c>
      <c r="DA379" s="6">
        <f t="shared" si="1016"/>
        <v>175</v>
      </c>
      <c r="DB379" s="5">
        <v>0</v>
      </c>
      <c r="DC379" s="5">
        <f t="shared" si="999"/>
        <v>0.16250000000000001</v>
      </c>
      <c r="DD379" s="6">
        <f t="shared" si="1017"/>
        <v>0.16250000000000001</v>
      </c>
      <c r="DE379" s="6">
        <v>0.25</v>
      </c>
      <c r="DF379" s="5">
        <v>0</v>
      </c>
      <c r="DG379" s="6">
        <f t="shared" si="1018"/>
        <v>2.5</v>
      </c>
      <c r="DH379" s="5">
        <v>1.5</v>
      </c>
      <c r="DI379" s="8">
        <v>0</v>
      </c>
      <c r="DJ379" s="5">
        <f t="shared" si="1019"/>
        <v>0</v>
      </c>
      <c r="DK379" s="8">
        <v>0</v>
      </c>
      <c r="DL379" s="5">
        <f t="shared" si="996"/>
        <v>0</v>
      </c>
      <c r="DM379" s="27" t="str">
        <f t="shared" si="1002"/>
        <v>7级炸弹史莱姆</v>
      </c>
      <c r="DN379" s="5">
        <v>6</v>
      </c>
      <c r="DO379" s="5">
        <v>0</v>
      </c>
      <c r="DP379" s="5">
        <v>0</v>
      </c>
      <c r="DQ379" s="5">
        <v>0</v>
      </c>
      <c r="DR379" s="5">
        <f t="shared" si="1020"/>
        <v>0.9</v>
      </c>
      <c r="DS379" s="6">
        <v>1</v>
      </c>
      <c r="DT379" s="5">
        <v>-0.5</v>
      </c>
      <c r="DU379" s="5">
        <v>0.5</v>
      </c>
      <c r="DV379" s="6">
        <v>0.5</v>
      </c>
      <c r="DW379" s="5">
        <f t="shared" si="1021"/>
        <v>0.75</v>
      </c>
      <c r="DX379" s="5">
        <v>9</v>
      </c>
      <c r="DY379" s="5">
        <f t="shared" si="1022"/>
        <v>0</v>
      </c>
      <c r="DZ379" s="5">
        <v>0</v>
      </c>
    </row>
    <row r="380" spans="1:130" x14ac:dyDescent="0.15">
      <c r="A380" s="5">
        <v>201378</v>
      </c>
      <c r="B380" s="27" t="s">
        <v>649</v>
      </c>
      <c r="C380" s="27"/>
      <c r="D380" s="27"/>
      <c r="E380" s="27"/>
      <c r="F380" s="5">
        <v>0</v>
      </c>
      <c r="G380" s="45"/>
      <c r="H380" s="5"/>
      <c r="I380" s="5"/>
      <c r="J380" s="5"/>
      <c r="K380" s="5"/>
      <c r="L380" s="10"/>
      <c r="M380" s="5"/>
      <c r="N380" s="10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20"/>
      <c r="AF380" s="5"/>
      <c r="AG380" s="5"/>
      <c r="AH380" s="5"/>
      <c r="AI380" s="5"/>
      <c r="AJ380" s="5"/>
      <c r="AK380" s="5"/>
      <c r="AL380" s="5"/>
      <c r="AM380" s="5"/>
      <c r="AN380" s="8"/>
      <c r="AO380" s="5">
        <v>0</v>
      </c>
      <c r="AP380" s="27" t="s">
        <v>649</v>
      </c>
      <c r="AQ380" s="5">
        <v>0</v>
      </c>
      <c r="AR380" s="8">
        <v>2</v>
      </c>
      <c r="AS380" s="6">
        <f t="shared" si="997"/>
        <v>48</v>
      </c>
      <c r="AT380" s="6">
        <f t="shared" si="998"/>
        <v>72</v>
      </c>
      <c r="AU380" s="5">
        <v>0</v>
      </c>
      <c r="AV380" s="5">
        <v>1</v>
      </c>
      <c r="AW380" s="6">
        <v>1</v>
      </c>
      <c r="AX380" s="6">
        <v>1</v>
      </c>
      <c r="AY380" s="6">
        <v>0</v>
      </c>
      <c r="AZ380" s="5">
        <v>201378</v>
      </c>
      <c r="BA380" s="5">
        <v>203039</v>
      </c>
      <c r="BB380" s="5">
        <v>0</v>
      </c>
      <c r="BC380" s="5">
        <v>0</v>
      </c>
      <c r="BD380" s="5">
        <v>0</v>
      </c>
      <c r="BE380" s="5">
        <v>301003</v>
      </c>
      <c r="BF380" s="5">
        <v>180</v>
      </c>
      <c r="BG380" s="5">
        <v>0</v>
      </c>
      <c r="BH380" s="5">
        <v>0</v>
      </c>
      <c r="BI380" s="5">
        <v>0</v>
      </c>
      <c r="BJ380" s="5">
        <f t="shared" si="1024"/>
        <v>480</v>
      </c>
      <c r="BK380" s="5">
        <f t="shared" si="1025"/>
        <v>480</v>
      </c>
      <c r="BL380" s="5">
        <v>1</v>
      </c>
      <c r="BM380" s="5">
        <v>30</v>
      </c>
      <c r="BN380" s="5">
        <v>180</v>
      </c>
      <c r="BO380" s="5">
        <v>108006</v>
      </c>
      <c r="BP380" s="5"/>
      <c r="BQ380" s="5"/>
      <c r="BR380" s="5"/>
      <c r="BS380" s="4"/>
      <c r="BT380" s="4">
        <f t="shared" si="1023"/>
        <v>8</v>
      </c>
      <c r="BU380" s="4">
        <v>0</v>
      </c>
      <c r="BV380" s="4">
        <f t="shared" si="1013"/>
        <v>8</v>
      </c>
      <c r="BW380" s="4">
        <f t="shared" si="1014"/>
        <v>8</v>
      </c>
      <c r="BX380" s="14">
        <f t="shared" si="1015"/>
        <v>0.35999999999999993</v>
      </c>
      <c r="BY380" s="14">
        <f t="shared" si="1006"/>
        <v>0.2</v>
      </c>
      <c r="BZ380" s="27" t="s">
        <v>688</v>
      </c>
      <c r="CA380" s="27" t="s">
        <v>689</v>
      </c>
      <c r="CB380" s="27" t="s">
        <v>689</v>
      </c>
      <c r="CC380" s="5">
        <v>0</v>
      </c>
      <c r="CD380" s="5">
        <v>1</v>
      </c>
      <c r="CE380" s="5">
        <f t="shared" si="1007"/>
        <v>0</v>
      </c>
      <c r="CF380" s="5">
        <v>0</v>
      </c>
      <c r="CG380" s="6" t="str">
        <f t="shared" si="1008"/>
        <v>8级炸弹史莱姆</v>
      </c>
      <c r="CH380" s="5">
        <v>3</v>
      </c>
      <c r="CI380" s="5">
        <v>0</v>
      </c>
      <c r="CJ380" s="4">
        <v>0</v>
      </c>
      <c r="CK380" s="5">
        <v>0</v>
      </c>
      <c r="CL380" s="5">
        <v>0</v>
      </c>
      <c r="CM380" s="20">
        <v>0</v>
      </c>
      <c r="CN380" s="5">
        <v>119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10">
        <v>0.8</v>
      </c>
      <c r="CW380" s="10">
        <v>0.6</v>
      </c>
      <c r="CX380" s="10">
        <v>1</v>
      </c>
      <c r="CY380" s="10">
        <v>1</v>
      </c>
      <c r="CZ380" s="8">
        <v>1</v>
      </c>
      <c r="DA380" s="6">
        <f t="shared" si="1016"/>
        <v>200</v>
      </c>
      <c r="DB380" s="5">
        <v>0</v>
      </c>
      <c r="DC380" s="5">
        <f t="shared" si="999"/>
        <v>0.16875000000000001</v>
      </c>
      <c r="DD380" s="6">
        <f t="shared" si="1017"/>
        <v>0.16875000000000001</v>
      </c>
      <c r="DE380" s="6">
        <v>0.25</v>
      </c>
      <c r="DF380" s="5">
        <v>0</v>
      </c>
      <c r="DG380" s="6">
        <f t="shared" si="1018"/>
        <v>2.5</v>
      </c>
      <c r="DH380" s="5">
        <v>1.5</v>
      </c>
      <c r="DI380" s="8">
        <v>0</v>
      </c>
      <c r="DJ380" s="5">
        <f t="shared" si="1019"/>
        <v>0</v>
      </c>
      <c r="DK380" s="8">
        <v>0</v>
      </c>
      <c r="DL380" s="5">
        <f t="shared" si="996"/>
        <v>0</v>
      </c>
      <c r="DM380" s="27" t="str">
        <f t="shared" si="1002"/>
        <v>8级炸弹史莱姆</v>
      </c>
      <c r="DN380" s="5">
        <v>6</v>
      </c>
      <c r="DO380" s="5">
        <v>0</v>
      </c>
      <c r="DP380" s="5">
        <v>0</v>
      </c>
      <c r="DQ380" s="5">
        <v>0</v>
      </c>
      <c r="DR380" s="5">
        <f t="shared" si="1020"/>
        <v>0.9</v>
      </c>
      <c r="DS380" s="6">
        <v>1</v>
      </c>
      <c r="DT380" s="5">
        <v>-0.5</v>
      </c>
      <c r="DU380" s="5">
        <v>0.5</v>
      </c>
      <c r="DV380" s="6">
        <v>0.5</v>
      </c>
      <c r="DW380" s="5">
        <f t="shared" si="1021"/>
        <v>0.75</v>
      </c>
      <c r="DX380" s="5">
        <v>9</v>
      </c>
      <c r="DY380" s="5">
        <f t="shared" si="1022"/>
        <v>0</v>
      </c>
      <c r="DZ380" s="5">
        <v>0</v>
      </c>
    </row>
    <row r="381" spans="1:130" x14ac:dyDescent="0.15">
      <c r="A381" s="5">
        <v>201379</v>
      </c>
      <c r="B381" s="27" t="s">
        <v>650</v>
      </c>
      <c r="C381" s="27"/>
      <c r="D381" s="27"/>
      <c r="E381" s="27"/>
      <c r="F381" s="5">
        <v>0</v>
      </c>
      <c r="G381" s="45"/>
      <c r="H381" s="5"/>
      <c r="I381" s="5"/>
      <c r="J381" s="5"/>
      <c r="K381" s="5"/>
      <c r="L381" s="10"/>
      <c r="M381" s="5"/>
      <c r="N381" s="10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20"/>
      <c r="AF381" s="5"/>
      <c r="AG381" s="5"/>
      <c r="AH381" s="5"/>
      <c r="AI381" s="5"/>
      <c r="AJ381" s="5"/>
      <c r="AK381" s="5"/>
      <c r="AL381" s="5"/>
      <c r="AM381" s="5"/>
      <c r="AN381" s="8"/>
      <c r="AO381" s="5">
        <v>0</v>
      </c>
      <c r="AP381" s="27" t="s">
        <v>650</v>
      </c>
      <c r="AQ381" s="5">
        <v>0</v>
      </c>
      <c r="AR381" s="8">
        <v>2</v>
      </c>
      <c r="AS381" s="6">
        <f t="shared" si="997"/>
        <v>54</v>
      </c>
      <c r="AT381" s="6">
        <f t="shared" si="998"/>
        <v>81</v>
      </c>
      <c r="AU381" s="5">
        <v>0</v>
      </c>
      <c r="AV381" s="5">
        <v>1</v>
      </c>
      <c r="AW381" s="6">
        <v>1</v>
      </c>
      <c r="AX381" s="6">
        <v>1</v>
      </c>
      <c r="AY381" s="6">
        <v>0</v>
      </c>
      <c r="AZ381" s="5">
        <v>201379</v>
      </c>
      <c r="BA381" s="5">
        <v>203039</v>
      </c>
      <c r="BB381" s="5">
        <v>0</v>
      </c>
      <c r="BC381" s="5">
        <v>0</v>
      </c>
      <c r="BD381" s="5">
        <v>0</v>
      </c>
      <c r="BE381" s="5">
        <v>301003</v>
      </c>
      <c r="BF381" s="5">
        <v>180</v>
      </c>
      <c r="BG381" s="5">
        <v>0</v>
      </c>
      <c r="BH381" s="5">
        <v>0</v>
      </c>
      <c r="BI381" s="5">
        <v>0</v>
      </c>
      <c r="BJ381" s="5">
        <f t="shared" si="1024"/>
        <v>540</v>
      </c>
      <c r="BK381" s="5">
        <f t="shared" si="1025"/>
        <v>540</v>
      </c>
      <c r="BL381" s="5">
        <v>1</v>
      </c>
      <c r="BM381" s="5">
        <v>30</v>
      </c>
      <c r="BN381" s="5">
        <v>180</v>
      </c>
      <c r="BO381" s="5">
        <v>108006</v>
      </c>
      <c r="BP381" s="5"/>
      <c r="BQ381" s="5"/>
      <c r="BR381" s="5"/>
      <c r="BS381" s="4"/>
      <c r="BT381" s="4">
        <f t="shared" si="1023"/>
        <v>9</v>
      </c>
      <c r="BU381" s="4">
        <v>0</v>
      </c>
      <c r="BV381" s="4">
        <f t="shared" si="1013"/>
        <v>9</v>
      </c>
      <c r="BW381" s="4">
        <f t="shared" si="1014"/>
        <v>9</v>
      </c>
      <c r="BX381" s="14">
        <f t="shared" si="1015"/>
        <v>0.28999999999999992</v>
      </c>
      <c r="BY381" s="14">
        <f t="shared" si="1006"/>
        <v>0.15000000000000002</v>
      </c>
      <c r="BZ381" s="27" t="s">
        <v>688</v>
      </c>
      <c r="CA381" s="27" t="s">
        <v>689</v>
      </c>
      <c r="CB381" s="27" t="s">
        <v>689</v>
      </c>
      <c r="CC381" s="5">
        <v>0</v>
      </c>
      <c r="CD381" s="5">
        <v>1</v>
      </c>
      <c r="CE381" s="5">
        <f t="shared" si="1007"/>
        <v>0</v>
      </c>
      <c r="CF381" s="5">
        <v>0</v>
      </c>
      <c r="CG381" s="6" t="str">
        <f t="shared" si="1008"/>
        <v>9级炸弹史莱姆</v>
      </c>
      <c r="CH381" s="5">
        <v>3</v>
      </c>
      <c r="CI381" s="5">
        <v>0</v>
      </c>
      <c r="CJ381" s="4">
        <v>0</v>
      </c>
      <c r="CK381" s="5">
        <v>0</v>
      </c>
      <c r="CL381" s="5">
        <v>0</v>
      </c>
      <c r="CM381" s="20">
        <v>0</v>
      </c>
      <c r="CN381" s="5">
        <v>119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10">
        <v>0.8</v>
      </c>
      <c r="CW381" s="10">
        <v>0.6</v>
      </c>
      <c r="CX381" s="10">
        <v>1</v>
      </c>
      <c r="CY381" s="10">
        <v>1</v>
      </c>
      <c r="CZ381" s="8">
        <v>1</v>
      </c>
      <c r="DA381" s="6">
        <f t="shared" si="1016"/>
        <v>225</v>
      </c>
      <c r="DB381" s="5">
        <v>0</v>
      </c>
      <c r="DC381" s="5">
        <f t="shared" si="999"/>
        <v>0.17499999999999999</v>
      </c>
      <c r="DD381" s="6">
        <f t="shared" si="1017"/>
        <v>0.17499999999999999</v>
      </c>
      <c r="DE381" s="6">
        <v>0.25</v>
      </c>
      <c r="DF381" s="5">
        <v>0</v>
      </c>
      <c r="DG381" s="6">
        <f t="shared" si="1018"/>
        <v>2.5</v>
      </c>
      <c r="DH381" s="5">
        <v>1.5</v>
      </c>
      <c r="DI381" s="8">
        <v>0</v>
      </c>
      <c r="DJ381" s="5">
        <f t="shared" si="1019"/>
        <v>0</v>
      </c>
      <c r="DK381" s="8">
        <v>0</v>
      </c>
      <c r="DL381" s="5">
        <f t="shared" si="996"/>
        <v>0</v>
      </c>
      <c r="DM381" s="27" t="str">
        <f t="shared" si="1002"/>
        <v>9级炸弹史莱姆</v>
      </c>
      <c r="DN381" s="5">
        <v>6</v>
      </c>
      <c r="DO381" s="5">
        <v>0</v>
      </c>
      <c r="DP381" s="5">
        <v>0</v>
      </c>
      <c r="DQ381" s="5">
        <v>0</v>
      </c>
      <c r="DR381" s="5">
        <f t="shared" si="1020"/>
        <v>0.9</v>
      </c>
      <c r="DS381" s="6">
        <v>1</v>
      </c>
      <c r="DT381" s="5">
        <v>-0.5</v>
      </c>
      <c r="DU381" s="5">
        <v>0.5</v>
      </c>
      <c r="DV381" s="6">
        <v>0.5</v>
      </c>
      <c r="DW381" s="5">
        <f t="shared" si="1021"/>
        <v>0.75</v>
      </c>
      <c r="DX381" s="5">
        <v>9</v>
      </c>
      <c r="DY381" s="5">
        <f t="shared" si="1022"/>
        <v>0</v>
      </c>
      <c r="DZ381" s="5">
        <v>0</v>
      </c>
    </row>
    <row r="382" spans="1:130" x14ac:dyDescent="0.15">
      <c r="A382" s="5">
        <v>201380</v>
      </c>
      <c r="B382" s="27" t="s">
        <v>651</v>
      </c>
      <c r="C382" s="27"/>
      <c r="D382" s="27"/>
      <c r="E382" s="27"/>
      <c r="F382" s="5">
        <v>0</v>
      </c>
      <c r="G382" s="45"/>
      <c r="H382" s="5"/>
      <c r="I382" s="5"/>
      <c r="J382" s="5"/>
      <c r="K382" s="5"/>
      <c r="L382" s="10"/>
      <c r="M382" s="5"/>
      <c r="N382" s="10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20"/>
      <c r="AF382" s="5"/>
      <c r="AG382" s="5"/>
      <c r="AH382" s="5"/>
      <c r="AI382" s="5"/>
      <c r="AJ382" s="5"/>
      <c r="AK382" s="5"/>
      <c r="AL382" s="5"/>
      <c r="AM382" s="5"/>
      <c r="AN382" s="8"/>
      <c r="AO382" s="5">
        <v>0</v>
      </c>
      <c r="AP382" s="27" t="s">
        <v>651</v>
      </c>
      <c r="AQ382" s="5">
        <v>0</v>
      </c>
      <c r="AR382" s="8">
        <v>2</v>
      </c>
      <c r="AS382" s="6">
        <f t="shared" si="997"/>
        <v>60</v>
      </c>
      <c r="AT382" s="6">
        <f t="shared" si="998"/>
        <v>90</v>
      </c>
      <c r="AU382" s="5">
        <v>0</v>
      </c>
      <c r="AV382" s="5">
        <v>1</v>
      </c>
      <c r="AW382" s="6">
        <v>1</v>
      </c>
      <c r="AX382" s="6">
        <v>1</v>
      </c>
      <c r="AY382" s="6">
        <v>0</v>
      </c>
      <c r="AZ382" s="5">
        <v>201380</v>
      </c>
      <c r="BA382" s="5">
        <v>203039</v>
      </c>
      <c r="BB382" s="5">
        <v>0</v>
      </c>
      <c r="BC382" s="5">
        <v>0</v>
      </c>
      <c r="BD382" s="5">
        <v>0</v>
      </c>
      <c r="BE382" s="5">
        <v>301003</v>
      </c>
      <c r="BF382" s="5">
        <v>180</v>
      </c>
      <c r="BG382" s="5">
        <v>0</v>
      </c>
      <c r="BH382" s="5">
        <v>0</v>
      </c>
      <c r="BI382" s="5">
        <v>0</v>
      </c>
      <c r="BJ382" s="5">
        <f t="shared" si="1024"/>
        <v>600</v>
      </c>
      <c r="BK382" s="5">
        <f t="shared" si="1025"/>
        <v>600</v>
      </c>
      <c r="BL382" s="5">
        <v>1</v>
      </c>
      <c r="BM382" s="5">
        <v>30</v>
      </c>
      <c r="BN382" s="5">
        <v>180</v>
      </c>
      <c r="BO382" s="5">
        <v>108006</v>
      </c>
      <c r="BP382" s="5"/>
      <c r="BQ382" s="5"/>
      <c r="BR382" s="5"/>
      <c r="BS382" s="4"/>
      <c r="BT382" s="4">
        <f t="shared" si="1023"/>
        <v>10</v>
      </c>
      <c r="BU382" s="4">
        <v>0</v>
      </c>
      <c r="BV382" s="4">
        <f t="shared" si="1013"/>
        <v>10</v>
      </c>
      <c r="BW382" s="4">
        <f t="shared" si="1014"/>
        <v>10</v>
      </c>
      <c r="BX382" s="14">
        <f t="shared" si="1015"/>
        <v>0.21999999999999986</v>
      </c>
      <c r="BY382" s="14">
        <f t="shared" si="1006"/>
        <v>0.10000000000000003</v>
      </c>
      <c r="BZ382" s="27" t="s">
        <v>688</v>
      </c>
      <c r="CA382" s="27" t="s">
        <v>689</v>
      </c>
      <c r="CB382" s="27" t="s">
        <v>689</v>
      </c>
      <c r="CC382" s="5">
        <v>0</v>
      </c>
      <c r="CD382" s="5">
        <v>1</v>
      </c>
      <c r="CE382" s="5">
        <f t="shared" si="1007"/>
        <v>0</v>
      </c>
      <c r="CF382" s="5">
        <v>0</v>
      </c>
      <c r="CG382" s="6" t="str">
        <f t="shared" si="1008"/>
        <v>10级炸弹史莱姆</v>
      </c>
      <c r="CH382" s="5">
        <v>3</v>
      </c>
      <c r="CI382" s="5">
        <v>0</v>
      </c>
      <c r="CJ382" s="4">
        <v>0</v>
      </c>
      <c r="CK382" s="5">
        <v>0</v>
      </c>
      <c r="CL382" s="5">
        <v>0</v>
      </c>
      <c r="CM382" s="20">
        <v>0</v>
      </c>
      <c r="CN382" s="5">
        <v>119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10">
        <v>0.8</v>
      </c>
      <c r="CW382" s="10">
        <v>0.6</v>
      </c>
      <c r="CX382" s="10">
        <v>1</v>
      </c>
      <c r="CY382" s="10">
        <v>1</v>
      </c>
      <c r="CZ382" s="8">
        <v>1</v>
      </c>
      <c r="DA382" s="6">
        <f t="shared" si="1016"/>
        <v>250</v>
      </c>
      <c r="DB382" s="5">
        <v>0</v>
      </c>
      <c r="DC382" s="5">
        <f t="shared" si="999"/>
        <v>0.18124999999999999</v>
      </c>
      <c r="DD382" s="6">
        <f t="shared" si="1017"/>
        <v>0.18124999999999999</v>
      </c>
      <c r="DE382" s="6">
        <v>0.25</v>
      </c>
      <c r="DF382" s="5">
        <v>0</v>
      </c>
      <c r="DG382" s="6">
        <f t="shared" si="1018"/>
        <v>2.5</v>
      </c>
      <c r="DH382" s="5">
        <v>1.5</v>
      </c>
      <c r="DI382" s="8">
        <v>0</v>
      </c>
      <c r="DJ382" s="5">
        <f t="shared" si="1019"/>
        <v>0</v>
      </c>
      <c r="DK382" s="8">
        <v>0</v>
      </c>
      <c r="DL382" s="5">
        <f t="shared" si="996"/>
        <v>0</v>
      </c>
      <c r="DM382" s="27" t="str">
        <f t="shared" si="1002"/>
        <v>10级炸弹史莱姆</v>
      </c>
      <c r="DN382" s="5">
        <v>6</v>
      </c>
      <c r="DO382" s="5">
        <v>0</v>
      </c>
      <c r="DP382" s="5">
        <v>0</v>
      </c>
      <c r="DQ382" s="5">
        <v>0</v>
      </c>
      <c r="DR382" s="5">
        <f t="shared" si="1020"/>
        <v>0.9</v>
      </c>
      <c r="DS382" s="6">
        <v>1</v>
      </c>
      <c r="DT382" s="5">
        <v>-0.5</v>
      </c>
      <c r="DU382" s="5">
        <v>0.5</v>
      </c>
      <c r="DV382" s="6">
        <v>0.5</v>
      </c>
      <c r="DW382" s="5">
        <f t="shared" si="1021"/>
        <v>0.75</v>
      </c>
      <c r="DX382" s="5">
        <v>9</v>
      </c>
      <c r="DY382" s="5">
        <f t="shared" si="1022"/>
        <v>0</v>
      </c>
      <c r="DZ382" s="5">
        <v>0</v>
      </c>
    </row>
    <row r="383" spans="1:130" x14ac:dyDescent="0.15">
      <c r="A383" s="5">
        <v>201381</v>
      </c>
      <c r="B383" s="27" t="s">
        <v>693</v>
      </c>
      <c r="C383" s="27"/>
      <c r="D383" s="27"/>
      <c r="E383" s="27"/>
      <c r="F383" s="5">
        <v>3</v>
      </c>
      <c r="G383" s="45"/>
      <c r="H383" s="5"/>
      <c r="I383" s="5"/>
      <c r="J383" s="5"/>
      <c r="K383" s="5"/>
      <c r="L383" s="10"/>
      <c r="M383" s="5"/>
      <c r="N383" s="10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20"/>
      <c r="AF383" s="5"/>
      <c r="AG383" s="5"/>
      <c r="AH383" s="5"/>
      <c r="AI383" s="5"/>
      <c r="AJ383" s="5"/>
      <c r="AK383" s="5"/>
      <c r="AL383" s="5"/>
      <c r="AM383" s="5"/>
      <c r="AN383" s="8"/>
      <c r="AO383" s="5">
        <v>0</v>
      </c>
      <c r="AP383" s="27" t="s">
        <v>693</v>
      </c>
      <c r="AQ383" s="5">
        <v>0</v>
      </c>
      <c r="AR383" s="8">
        <v>1</v>
      </c>
      <c r="AS383" s="6">
        <f t="shared" si="997"/>
        <v>3</v>
      </c>
      <c r="AT383" s="6">
        <f t="shared" si="998"/>
        <v>6</v>
      </c>
      <c r="AU383" s="5">
        <v>0</v>
      </c>
      <c r="AV383" s="5">
        <v>1</v>
      </c>
      <c r="AW383" s="6">
        <v>1</v>
      </c>
      <c r="AX383" s="6">
        <v>1</v>
      </c>
      <c r="AY383" s="6">
        <v>1</v>
      </c>
      <c r="AZ383" s="5">
        <v>201381</v>
      </c>
      <c r="BA383" s="5">
        <v>203040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f t="shared" ref="BL383:BL446" si="1026">BL362</f>
        <v>1</v>
      </c>
      <c r="BM383" s="5">
        <v>0</v>
      </c>
      <c r="BN383" s="5">
        <v>0</v>
      </c>
      <c r="BO383" s="5">
        <v>0</v>
      </c>
      <c r="BP383" s="5">
        <v>0</v>
      </c>
      <c r="BQ383" s="5"/>
      <c r="BR383" s="5"/>
      <c r="BS383" s="4">
        <v>0</v>
      </c>
      <c r="BT383" s="4">
        <f t="shared" si="1023"/>
        <v>1</v>
      </c>
      <c r="BU383" s="4">
        <v>0</v>
      </c>
      <c r="BV383" s="4">
        <f t="shared" si="1013"/>
        <v>1</v>
      </c>
      <c r="BW383" s="4">
        <f t="shared" si="1014"/>
        <v>1</v>
      </c>
      <c r="BX383" s="14">
        <f t="shared" si="1015"/>
        <v>0.85</v>
      </c>
      <c r="BY383" s="14">
        <f t="shared" si="1006"/>
        <v>0.55000000000000004</v>
      </c>
      <c r="BZ383" s="27" t="s">
        <v>713</v>
      </c>
      <c r="CA383" s="27" t="s">
        <v>713</v>
      </c>
      <c r="CB383" s="27" t="s">
        <v>713</v>
      </c>
      <c r="CC383" s="5">
        <v>1</v>
      </c>
      <c r="CD383" s="5">
        <v>1</v>
      </c>
      <c r="CE383" s="5">
        <f t="shared" si="1007"/>
        <v>3</v>
      </c>
      <c r="CF383" s="5">
        <v>3</v>
      </c>
      <c r="CG383" s="6" t="str">
        <f t="shared" si="1008"/>
        <v>1级工蚁</v>
      </c>
      <c r="CH383" s="5">
        <v>3</v>
      </c>
      <c r="CI383" s="5">
        <v>0</v>
      </c>
      <c r="CJ383" s="4">
        <v>0</v>
      </c>
      <c r="CK383" s="5">
        <v>0</v>
      </c>
      <c r="CL383" s="5">
        <v>0</v>
      </c>
      <c r="CM383" s="20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10">
        <v>0.8</v>
      </c>
      <c r="CW383" s="10">
        <v>0.7</v>
      </c>
      <c r="CX383" s="10">
        <v>1</v>
      </c>
      <c r="CY383" s="10">
        <v>1</v>
      </c>
      <c r="CZ383" s="8">
        <v>1</v>
      </c>
      <c r="DA383" s="6">
        <f t="shared" si="1016"/>
        <v>25</v>
      </c>
      <c r="DB383" s="5">
        <v>0</v>
      </c>
      <c r="DC383" s="5">
        <f t="shared" si="999"/>
        <v>0.6</v>
      </c>
      <c r="DD383" s="6">
        <f t="shared" ref="DD383:DD412" si="1027">(1+(BT383-1)*0.05)*DE383*0.5</f>
        <v>0.6</v>
      </c>
      <c r="DE383" s="6">
        <v>1.2</v>
      </c>
      <c r="DF383" s="5">
        <v>0</v>
      </c>
      <c r="DG383" s="6">
        <f t="shared" si="1018"/>
        <v>2.5</v>
      </c>
      <c r="DH383" s="5">
        <v>1.5</v>
      </c>
      <c r="DI383" s="8">
        <v>0</v>
      </c>
      <c r="DJ383" s="5">
        <f t="shared" si="1019"/>
        <v>0</v>
      </c>
      <c r="DK383" s="8">
        <v>0</v>
      </c>
      <c r="DL383" s="5">
        <f t="shared" si="996"/>
        <v>0</v>
      </c>
      <c r="DM383" s="27" t="str">
        <f t="shared" si="1002"/>
        <v>1级工蚁</v>
      </c>
      <c r="DN383" s="5">
        <v>6</v>
      </c>
      <c r="DO383" s="5">
        <v>0</v>
      </c>
      <c r="DP383" s="5">
        <v>0</v>
      </c>
      <c r="DQ383" s="5">
        <v>0</v>
      </c>
      <c r="DR383" s="5">
        <f t="shared" ref="DR383:DR402" si="1028">DS383*0.9</f>
        <v>0.9</v>
      </c>
      <c r="DS383" s="6">
        <v>1</v>
      </c>
      <c r="DT383" s="5">
        <v>-0.5</v>
      </c>
      <c r="DU383" s="5">
        <v>0.5</v>
      </c>
      <c r="DV383" s="6">
        <v>0.5</v>
      </c>
      <c r="DW383" s="5">
        <f t="shared" ref="DW383:DW412" si="1029">DX383/12</f>
        <v>0</v>
      </c>
      <c r="DX383" s="5">
        <f t="shared" ref="DX383" si="1030">DY383/12</f>
        <v>0</v>
      </c>
      <c r="DY383" s="5">
        <v>0</v>
      </c>
      <c r="DZ383" s="5">
        <v>0</v>
      </c>
    </row>
    <row r="384" spans="1:130" x14ac:dyDescent="0.15">
      <c r="A384" s="5">
        <v>201382</v>
      </c>
      <c r="B384" s="27" t="s">
        <v>694</v>
      </c>
      <c r="C384" s="27"/>
      <c r="D384" s="27"/>
      <c r="E384" s="27"/>
      <c r="F384" s="5">
        <v>3</v>
      </c>
      <c r="G384" s="45"/>
      <c r="H384" s="5"/>
      <c r="I384" s="5"/>
      <c r="J384" s="5"/>
      <c r="K384" s="5"/>
      <c r="L384" s="10"/>
      <c r="M384" s="5"/>
      <c r="N384" s="10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20"/>
      <c r="AF384" s="5"/>
      <c r="AG384" s="5"/>
      <c r="AH384" s="5"/>
      <c r="AI384" s="5"/>
      <c r="AJ384" s="5"/>
      <c r="AK384" s="5"/>
      <c r="AL384" s="5"/>
      <c r="AM384" s="5"/>
      <c r="AN384" s="8"/>
      <c r="AO384" s="5">
        <v>0</v>
      </c>
      <c r="AP384" s="27" t="s">
        <v>694</v>
      </c>
      <c r="AQ384" s="5">
        <v>0</v>
      </c>
      <c r="AR384" s="8">
        <v>1</v>
      </c>
      <c r="AS384" s="6">
        <f t="shared" si="997"/>
        <v>6</v>
      </c>
      <c r="AT384" s="6">
        <f t="shared" si="998"/>
        <v>12</v>
      </c>
      <c r="AU384" s="5">
        <v>0</v>
      </c>
      <c r="AV384" s="5">
        <v>1</v>
      </c>
      <c r="AW384" s="6">
        <v>1</v>
      </c>
      <c r="AX384" s="6">
        <v>1</v>
      </c>
      <c r="AY384" s="6">
        <v>1</v>
      </c>
      <c r="AZ384" s="5">
        <v>201382</v>
      </c>
      <c r="BA384" s="5">
        <v>203040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f t="shared" si="1026"/>
        <v>1</v>
      </c>
      <c r="BM384" s="5">
        <v>0</v>
      </c>
      <c r="BN384" s="5">
        <v>0</v>
      </c>
      <c r="BO384" s="5">
        <v>0</v>
      </c>
      <c r="BP384" s="5">
        <v>0</v>
      </c>
      <c r="BQ384" s="5"/>
      <c r="BR384" s="5"/>
      <c r="BS384" s="4">
        <v>0</v>
      </c>
      <c r="BT384" s="4">
        <f t="shared" si="1023"/>
        <v>2</v>
      </c>
      <c r="BU384" s="4">
        <v>0</v>
      </c>
      <c r="BV384" s="4">
        <f t="shared" si="1013"/>
        <v>2</v>
      </c>
      <c r="BW384" s="4">
        <f t="shared" si="1014"/>
        <v>2</v>
      </c>
      <c r="BX384" s="14">
        <f t="shared" si="1015"/>
        <v>0.78</v>
      </c>
      <c r="BY384" s="14">
        <f t="shared" si="1006"/>
        <v>0.5</v>
      </c>
      <c r="BZ384" s="27" t="s">
        <v>713</v>
      </c>
      <c r="CA384" s="27" t="s">
        <v>713</v>
      </c>
      <c r="CB384" s="27" t="s">
        <v>713</v>
      </c>
      <c r="CC384" s="5">
        <v>1</v>
      </c>
      <c r="CD384" s="5">
        <v>1</v>
      </c>
      <c r="CE384" s="5">
        <f t="shared" si="1007"/>
        <v>6</v>
      </c>
      <c r="CF384" s="5">
        <v>3</v>
      </c>
      <c r="CG384" s="6" t="str">
        <f t="shared" si="1008"/>
        <v>2级工蚁</v>
      </c>
      <c r="CH384" s="5">
        <v>3</v>
      </c>
      <c r="CI384" s="5">
        <v>0</v>
      </c>
      <c r="CJ384" s="4">
        <v>0</v>
      </c>
      <c r="CK384" s="5">
        <v>0</v>
      </c>
      <c r="CL384" s="5">
        <v>0</v>
      </c>
      <c r="CM384" s="20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10">
        <v>0.8</v>
      </c>
      <c r="CW384" s="10">
        <v>0.7</v>
      </c>
      <c r="CX384" s="10">
        <v>1</v>
      </c>
      <c r="CY384" s="10">
        <v>1</v>
      </c>
      <c r="CZ384" s="8">
        <v>1</v>
      </c>
      <c r="DA384" s="6">
        <f t="shared" si="1016"/>
        <v>50</v>
      </c>
      <c r="DB384" s="5">
        <v>0</v>
      </c>
      <c r="DC384" s="5">
        <f t="shared" si="999"/>
        <v>0.63</v>
      </c>
      <c r="DD384" s="6">
        <f t="shared" si="1027"/>
        <v>0.63</v>
      </c>
      <c r="DE384" s="6">
        <v>1.2</v>
      </c>
      <c r="DF384" s="5">
        <v>0</v>
      </c>
      <c r="DG384" s="6">
        <f t="shared" si="1018"/>
        <v>2.5</v>
      </c>
      <c r="DH384" s="5">
        <v>1.5</v>
      </c>
      <c r="DI384" s="8">
        <v>0</v>
      </c>
      <c r="DJ384" s="5">
        <f t="shared" ref="DJ384:DJ402" si="1031">DI384*5*(1+BV384/2)</f>
        <v>0</v>
      </c>
      <c r="DK384" s="8">
        <v>0</v>
      </c>
      <c r="DL384" s="5">
        <f t="shared" si="996"/>
        <v>0</v>
      </c>
      <c r="DM384" s="27" t="str">
        <f t="shared" si="1002"/>
        <v>2级工蚁</v>
      </c>
      <c r="DN384" s="5">
        <v>6</v>
      </c>
      <c r="DO384" s="5">
        <v>0</v>
      </c>
      <c r="DP384" s="5">
        <v>0</v>
      </c>
      <c r="DQ384" s="5">
        <v>0</v>
      </c>
      <c r="DR384" s="5">
        <f t="shared" si="1028"/>
        <v>0.9</v>
      </c>
      <c r="DS384" s="6">
        <v>1</v>
      </c>
      <c r="DT384" s="5">
        <v>-0.5</v>
      </c>
      <c r="DU384" s="5">
        <v>0.5</v>
      </c>
      <c r="DV384" s="6">
        <v>0.5</v>
      </c>
      <c r="DW384" s="5">
        <f t="shared" ref="DW384:DW391" si="1032">DX384/12</f>
        <v>0</v>
      </c>
      <c r="DX384" s="5">
        <f t="shared" ref="DX384:DX391" si="1033">DY384/12</f>
        <v>0</v>
      </c>
      <c r="DY384" s="5">
        <v>0</v>
      </c>
      <c r="DZ384" s="5">
        <v>0</v>
      </c>
    </row>
    <row r="385" spans="1:130" x14ac:dyDescent="0.15">
      <c r="A385" s="5">
        <v>201383</v>
      </c>
      <c r="B385" s="27" t="s">
        <v>695</v>
      </c>
      <c r="C385" s="27"/>
      <c r="D385" s="27"/>
      <c r="E385" s="27"/>
      <c r="F385" s="5">
        <v>3</v>
      </c>
      <c r="G385" s="45"/>
      <c r="H385" s="5"/>
      <c r="I385" s="5"/>
      <c r="J385" s="5"/>
      <c r="K385" s="5"/>
      <c r="L385" s="10"/>
      <c r="M385" s="5"/>
      <c r="N385" s="10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20"/>
      <c r="AF385" s="5"/>
      <c r="AG385" s="5"/>
      <c r="AH385" s="5"/>
      <c r="AI385" s="5"/>
      <c r="AJ385" s="5"/>
      <c r="AK385" s="5"/>
      <c r="AL385" s="5"/>
      <c r="AM385" s="5"/>
      <c r="AN385" s="8"/>
      <c r="AO385" s="5">
        <v>0</v>
      </c>
      <c r="AP385" s="27" t="s">
        <v>695</v>
      </c>
      <c r="AQ385" s="5">
        <v>0</v>
      </c>
      <c r="AR385" s="8">
        <v>1</v>
      </c>
      <c r="AS385" s="6">
        <f t="shared" si="997"/>
        <v>9</v>
      </c>
      <c r="AT385" s="6">
        <f t="shared" si="998"/>
        <v>18</v>
      </c>
      <c r="AU385" s="5">
        <v>0</v>
      </c>
      <c r="AV385" s="5">
        <v>1</v>
      </c>
      <c r="AW385" s="6">
        <v>1</v>
      </c>
      <c r="AX385" s="6">
        <v>1</v>
      </c>
      <c r="AY385" s="6">
        <v>1</v>
      </c>
      <c r="AZ385" s="5">
        <v>201383</v>
      </c>
      <c r="BA385" s="5">
        <v>203040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f t="shared" si="1026"/>
        <v>1</v>
      </c>
      <c r="BM385" s="5">
        <v>0</v>
      </c>
      <c r="BN385" s="5">
        <v>0</v>
      </c>
      <c r="BO385" s="5">
        <v>0</v>
      </c>
      <c r="BP385" s="5">
        <v>0</v>
      </c>
      <c r="BQ385" s="5"/>
      <c r="BR385" s="5"/>
      <c r="BS385" s="4">
        <v>0</v>
      </c>
      <c r="BT385" s="4">
        <f t="shared" si="1023"/>
        <v>3</v>
      </c>
      <c r="BU385" s="4">
        <v>0</v>
      </c>
      <c r="BV385" s="4">
        <f t="shared" si="1013"/>
        <v>3</v>
      </c>
      <c r="BW385" s="4">
        <f t="shared" si="1014"/>
        <v>3</v>
      </c>
      <c r="BX385" s="14">
        <f t="shared" si="1015"/>
        <v>0.71</v>
      </c>
      <c r="BY385" s="14">
        <f t="shared" si="1006"/>
        <v>0.45000000000000007</v>
      </c>
      <c r="BZ385" s="27" t="s">
        <v>713</v>
      </c>
      <c r="CA385" s="27" t="s">
        <v>713</v>
      </c>
      <c r="CB385" s="27" t="s">
        <v>713</v>
      </c>
      <c r="CC385" s="5">
        <v>1</v>
      </c>
      <c r="CD385" s="5">
        <v>1</v>
      </c>
      <c r="CE385" s="5">
        <f t="shared" si="1007"/>
        <v>9</v>
      </c>
      <c r="CF385" s="5">
        <v>3</v>
      </c>
      <c r="CG385" s="6" t="str">
        <f t="shared" si="1008"/>
        <v>3级工蚁</v>
      </c>
      <c r="CH385" s="5">
        <v>3</v>
      </c>
      <c r="CI385" s="5">
        <v>0</v>
      </c>
      <c r="CJ385" s="4">
        <v>0</v>
      </c>
      <c r="CK385" s="5">
        <v>0</v>
      </c>
      <c r="CL385" s="5">
        <v>0</v>
      </c>
      <c r="CM385" s="20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10">
        <v>0.8</v>
      </c>
      <c r="CW385" s="10">
        <v>0.7</v>
      </c>
      <c r="CX385" s="10">
        <v>1</v>
      </c>
      <c r="CY385" s="10">
        <v>1</v>
      </c>
      <c r="CZ385" s="8">
        <v>1</v>
      </c>
      <c r="DA385" s="6">
        <f t="shared" si="1016"/>
        <v>75</v>
      </c>
      <c r="DB385" s="5">
        <v>0</v>
      </c>
      <c r="DC385" s="5">
        <f t="shared" si="999"/>
        <v>0.66</v>
      </c>
      <c r="DD385" s="6">
        <f t="shared" si="1027"/>
        <v>0.66</v>
      </c>
      <c r="DE385" s="6">
        <v>1.2</v>
      </c>
      <c r="DF385" s="5">
        <v>0</v>
      </c>
      <c r="DG385" s="6">
        <f t="shared" si="1018"/>
        <v>2.5</v>
      </c>
      <c r="DH385" s="5">
        <v>1.5</v>
      </c>
      <c r="DI385" s="8">
        <v>0</v>
      </c>
      <c r="DJ385" s="5">
        <f t="shared" si="1031"/>
        <v>0</v>
      </c>
      <c r="DK385" s="8">
        <v>0</v>
      </c>
      <c r="DL385" s="5">
        <f t="shared" si="996"/>
        <v>0</v>
      </c>
      <c r="DM385" s="27" t="str">
        <f t="shared" si="1002"/>
        <v>3级工蚁</v>
      </c>
      <c r="DN385" s="5">
        <v>6</v>
      </c>
      <c r="DO385" s="5">
        <v>0</v>
      </c>
      <c r="DP385" s="5">
        <v>0</v>
      </c>
      <c r="DQ385" s="5">
        <v>0</v>
      </c>
      <c r="DR385" s="5">
        <f t="shared" si="1028"/>
        <v>0.9</v>
      </c>
      <c r="DS385" s="6">
        <v>1</v>
      </c>
      <c r="DT385" s="5">
        <v>-0.5</v>
      </c>
      <c r="DU385" s="5">
        <v>0.5</v>
      </c>
      <c r="DV385" s="6">
        <v>0.5</v>
      </c>
      <c r="DW385" s="5">
        <f t="shared" si="1032"/>
        <v>0</v>
      </c>
      <c r="DX385" s="5">
        <f t="shared" si="1033"/>
        <v>0</v>
      </c>
      <c r="DY385" s="5">
        <v>0</v>
      </c>
      <c r="DZ385" s="5">
        <v>0</v>
      </c>
    </row>
    <row r="386" spans="1:130" x14ac:dyDescent="0.15">
      <c r="A386" s="5">
        <v>201384</v>
      </c>
      <c r="B386" s="27" t="s">
        <v>696</v>
      </c>
      <c r="C386" s="27"/>
      <c r="D386" s="27"/>
      <c r="E386" s="27"/>
      <c r="F386" s="5">
        <v>3</v>
      </c>
      <c r="G386" s="45"/>
      <c r="H386" s="5"/>
      <c r="I386" s="5"/>
      <c r="J386" s="5"/>
      <c r="K386" s="5"/>
      <c r="L386" s="10"/>
      <c r="M386" s="5"/>
      <c r="N386" s="10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20"/>
      <c r="AF386" s="5"/>
      <c r="AG386" s="5"/>
      <c r="AH386" s="5"/>
      <c r="AI386" s="5"/>
      <c r="AJ386" s="5"/>
      <c r="AK386" s="5"/>
      <c r="AL386" s="5"/>
      <c r="AM386" s="5"/>
      <c r="AN386" s="8"/>
      <c r="AO386" s="5">
        <v>0</v>
      </c>
      <c r="AP386" s="27" t="s">
        <v>696</v>
      </c>
      <c r="AQ386" s="5">
        <v>0</v>
      </c>
      <c r="AR386" s="8">
        <v>1</v>
      </c>
      <c r="AS386" s="6">
        <f t="shared" si="997"/>
        <v>12</v>
      </c>
      <c r="AT386" s="6">
        <f t="shared" si="998"/>
        <v>24</v>
      </c>
      <c r="AU386" s="5">
        <v>0</v>
      </c>
      <c r="AV386" s="5">
        <v>1</v>
      </c>
      <c r="AW386" s="6">
        <v>1</v>
      </c>
      <c r="AX386" s="6">
        <v>1</v>
      </c>
      <c r="AY386" s="6">
        <v>1</v>
      </c>
      <c r="AZ386" s="5">
        <v>201384</v>
      </c>
      <c r="BA386" s="5">
        <v>203040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f t="shared" si="1026"/>
        <v>1</v>
      </c>
      <c r="BM386" s="5">
        <v>0</v>
      </c>
      <c r="BN386" s="5">
        <v>0</v>
      </c>
      <c r="BO386" s="5">
        <v>0</v>
      </c>
      <c r="BP386" s="5">
        <v>0</v>
      </c>
      <c r="BQ386" s="5"/>
      <c r="BR386" s="5"/>
      <c r="BS386" s="4">
        <v>0</v>
      </c>
      <c r="BT386" s="4">
        <f t="shared" si="1023"/>
        <v>4</v>
      </c>
      <c r="BU386" s="4">
        <v>0</v>
      </c>
      <c r="BV386" s="4">
        <f t="shared" si="1013"/>
        <v>4</v>
      </c>
      <c r="BW386" s="4">
        <f t="shared" si="1014"/>
        <v>4</v>
      </c>
      <c r="BX386" s="14">
        <f t="shared" si="1015"/>
        <v>0.6399999999999999</v>
      </c>
      <c r="BY386" s="14">
        <f t="shared" si="1006"/>
        <v>0.4</v>
      </c>
      <c r="BZ386" s="27" t="s">
        <v>713</v>
      </c>
      <c r="CA386" s="27" t="s">
        <v>713</v>
      </c>
      <c r="CB386" s="27" t="s">
        <v>713</v>
      </c>
      <c r="CC386" s="5">
        <v>1</v>
      </c>
      <c r="CD386" s="5">
        <v>1</v>
      </c>
      <c r="CE386" s="5">
        <f t="shared" si="1007"/>
        <v>12</v>
      </c>
      <c r="CF386" s="5">
        <v>3</v>
      </c>
      <c r="CG386" s="6" t="str">
        <f t="shared" si="1008"/>
        <v>4级工蚁</v>
      </c>
      <c r="CH386" s="5">
        <v>3</v>
      </c>
      <c r="CI386" s="5">
        <v>0</v>
      </c>
      <c r="CJ386" s="4">
        <v>0</v>
      </c>
      <c r="CK386" s="5">
        <v>0</v>
      </c>
      <c r="CL386" s="5">
        <v>0</v>
      </c>
      <c r="CM386" s="20">
        <v>0</v>
      </c>
      <c r="CN386" s="5">
        <v>0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10">
        <v>0.8</v>
      </c>
      <c r="CW386" s="10">
        <v>0.7</v>
      </c>
      <c r="CX386" s="10">
        <v>1</v>
      </c>
      <c r="CY386" s="10">
        <v>1</v>
      </c>
      <c r="CZ386" s="8">
        <v>1</v>
      </c>
      <c r="DA386" s="6">
        <f t="shared" si="1016"/>
        <v>100</v>
      </c>
      <c r="DB386" s="5">
        <v>0</v>
      </c>
      <c r="DC386" s="5">
        <f t="shared" si="999"/>
        <v>0.69</v>
      </c>
      <c r="DD386" s="6">
        <f t="shared" si="1027"/>
        <v>0.69</v>
      </c>
      <c r="DE386" s="6">
        <v>1.2</v>
      </c>
      <c r="DF386" s="5">
        <v>0</v>
      </c>
      <c r="DG386" s="6">
        <f t="shared" si="1018"/>
        <v>2.5</v>
      </c>
      <c r="DH386" s="5">
        <v>1.5</v>
      </c>
      <c r="DI386" s="8">
        <v>0</v>
      </c>
      <c r="DJ386" s="5">
        <f t="shared" si="1031"/>
        <v>0</v>
      </c>
      <c r="DK386" s="8">
        <v>0</v>
      </c>
      <c r="DL386" s="5">
        <f t="shared" si="996"/>
        <v>0</v>
      </c>
      <c r="DM386" s="27" t="str">
        <f t="shared" si="1002"/>
        <v>4级工蚁</v>
      </c>
      <c r="DN386" s="5">
        <v>6</v>
      </c>
      <c r="DO386" s="5">
        <v>0</v>
      </c>
      <c r="DP386" s="5">
        <v>0</v>
      </c>
      <c r="DQ386" s="5">
        <v>0</v>
      </c>
      <c r="DR386" s="5">
        <f t="shared" si="1028"/>
        <v>0.9</v>
      </c>
      <c r="DS386" s="6">
        <v>1</v>
      </c>
      <c r="DT386" s="5">
        <v>-0.5</v>
      </c>
      <c r="DU386" s="5">
        <v>0.5</v>
      </c>
      <c r="DV386" s="6">
        <v>0.5</v>
      </c>
      <c r="DW386" s="5">
        <f t="shared" si="1032"/>
        <v>0</v>
      </c>
      <c r="DX386" s="5">
        <f t="shared" si="1033"/>
        <v>0</v>
      </c>
      <c r="DY386" s="5">
        <v>0</v>
      </c>
      <c r="DZ386" s="5">
        <v>0</v>
      </c>
    </row>
    <row r="387" spans="1:130" x14ac:dyDescent="0.15">
      <c r="A387" s="5">
        <v>201385</v>
      </c>
      <c r="B387" s="27" t="s">
        <v>697</v>
      </c>
      <c r="C387" s="27"/>
      <c r="D387" s="27"/>
      <c r="E387" s="27"/>
      <c r="F387" s="5">
        <v>3</v>
      </c>
      <c r="G387" s="45"/>
      <c r="H387" s="5"/>
      <c r="I387" s="5"/>
      <c r="J387" s="5"/>
      <c r="K387" s="5"/>
      <c r="L387" s="10"/>
      <c r="M387" s="5"/>
      <c r="N387" s="10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20"/>
      <c r="AF387" s="5"/>
      <c r="AG387" s="5"/>
      <c r="AH387" s="5"/>
      <c r="AI387" s="5"/>
      <c r="AJ387" s="5"/>
      <c r="AK387" s="5"/>
      <c r="AL387" s="5"/>
      <c r="AM387" s="5"/>
      <c r="AN387" s="8"/>
      <c r="AO387" s="5">
        <v>0</v>
      </c>
      <c r="AP387" s="27" t="s">
        <v>697</v>
      </c>
      <c r="AQ387" s="5">
        <v>0</v>
      </c>
      <c r="AR387" s="8">
        <v>1</v>
      </c>
      <c r="AS387" s="6">
        <f t="shared" si="997"/>
        <v>15</v>
      </c>
      <c r="AT387" s="6">
        <f t="shared" si="998"/>
        <v>30</v>
      </c>
      <c r="AU387" s="5">
        <v>0</v>
      </c>
      <c r="AV387" s="5">
        <v>1</v>
      </c>
      <c r="AW387" s="6">
        <v>1</v>
      </c>
      <c r="AX387" s="6">
        <v>1</v>
      </c>
      <c r="AY387" s="6">
        <v>1</v>
      </c>
      <c r="AZ387" s="5">
        <v>201385</v>
      </c>
      <c r="BA387" s="5">
        <v>203040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f t="shared" si="1026"/>
        <v>1</v>
      </c>
      <c r="BM387" s="5">
        <v>0</v>
      </c>
      <c r="BN387" s="5">
        <v>0</v>
      </c>
      <c r="BO387" s="5">
        <v>0</v>
      </c>
      <c r="BP387" s="5">
        <v>0</v>
      </c>
      <c r="BQ387" s="5"/>
      <c r="BR387" s="5"/>
      <c r="BS387" s="4">
        <v>0</v>
      </c>
      <c r="BT387" s="4">
        <f t="shared" si="1023"/>
        <v>5</v>
      </c>
      <c r="BU387" s="4">
        <v>0</v>
      </c>
      <c r="BV387" s="4">
        <f t="shared" si="1013"/>
        <v>5</v>
      </c>
      <c r="BW387" s="4">
        <f t="shared" si="1014"/>
        <v>5</v>
      </c>
      <c r="BX387" s="14">
        <f t="shared" si="1015"/>
        <v>0.56999999999999995</v>
      </c>
      <c r="BY387" s="14">
        <f t="shared" si="1006"/>
        <v>0.35000000000000003</v>
      </c>
      <c r="BZ387" s="27" t="s">
        <v>713</v>
      </c>
      <c r="CA387" s="27" t="s">
        <v>713</v>
      </c>
      <c r="CB387" s="27" t="s">
        <v>713</v>
      </c>
      <c r="CC387" s="5">
        <v>1</v>
      </c>
      <c r="CD387" s="5">
        <v>1</v>
      </c>
      <c r="CE387" s="5">
        <f t="shared" si="1007"/>
        <v>15</v>
      </c>
      <c r="CF387" s="5">
        <v>3</v>
      </c>
      <c r="CG387" s="6" t="str">
        <f t="shared" si="1008"/>
        <v>5级工蚁</v>
      </c>
      <c r="CH387" s="5">
        <v>3</v>
      </c>
      <c r="CI387" s="5">
        <v>0</v>
      </c>
      <c r="CJ387" s="4">
        <v>0</v>
      </c>
      <c r="CK387" s="5">
        <v>0</v>
      </c>
      <c r="CL387" s="5">
        <v>0</v>
      </c>
      <c r="CM387" s="20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10">
        <v>0.8</v>
      </c>
      <c r="CW387" s="10">
        <v>0.7</v>
      </c>
      <c r="CX387" s="10">
        <v>1</v>
      </c>
      <c r="CY387" s="10">
        <v>1</v>
      </c>
      <c r="CZ387" s="8">
        <v>1</v>
      </c>
      <c r="DA387" s="6">
        <f t="shared" si="1016"/>
        <v>125</v>
      </c>
      <c r="DB387" s="5">
        <v>0</v>
      </c>
      <c r="DC387" s="5">
        <f t="shared" si="999"/>
        <v>0.72</v>
      </c>
      <c r="DD387" s="6">
        <f t="shared" si="1027"/>
        <v>0.72</v>
      </c>
      <c r="DE387" s="6">
        <v>1.2</v>
      </c>
      <c r="DF387" s="5">
        <v>0</v>
      </c>
      <c r="DG387" s="6">
        <f t="shared" si="1018"/>
        <v>2.5</v>
      </c>
      <c r="DH387" s="5">
        <v>1.5</v>
      </c>
      <c r="DI387" s="8">
        <v>0</v>
      </c>
      <c r="DJ387" s="5">
        <f t="shared" si="1031"/>
        <v>0</v>
      </c>
      <c r="DK387" s="8">
        <v>0</v>
      </c>
      <c r="DL387" s="5">
        <f t="shared" ref="DL387:DL450" si="1034">DK387*5*(1+BV387/2)</f>
        <v>0</v>
      </c>
      <c r="DM387" s="27" t="str">
        <f t="shared" si="1002"/>
        <v>5级工蚁</v>
      </c>
      <c r="DN387" s="5">
        <v>6</v>
      </c>
      <c r="DO387" s="5">
        <v>0</v>
      </c>
      <c r="DP387" s="5">
        <v>0</v>
      </c>
      <c r="DQ387" s="5">
        <v>0</v>
      </c>
      <c r="DR387" s="5">
        <f t="shared" si="1028"/>
        <v>0.9</v>
      </c>
      <c r="DS387" s="6">
        <v>1</v>
      </c>
      <c r="DT387" s="5">
        <v>-0.5</v>
      </c>
      <c r="DU387" s="5">
        <v>0.5</v>
      </c>
      <c r="DV387" s="6">
        <v>0.5</v>
      </c>
      <c r="DW387" s="5">
        <f t="shared" si="1032"/>
        <v>0</v>
      </c>
      <c r="DX387" s="5">
        <f t="shared" si="1033"/>
        <v>0</v>
      </c>
      <c r="DY387" s="5">
        <v>0</v>
      </c>
      <c r="DZ387" s="5">
        <v>0</v>
      </c>
    </row>
    <row r="388" spans="1:130" x14ac:dyDescent="0.15">
      <c r="A388" s="5">
        <v>201386</v>
      </c>
      <c r="B388" s="27" t="s">
        <v>698</v>
      </c>
      <c r="C388" s="27"/>
      <c r="D388" s="27"/>
      <c r="E388" s="27"/>
      <c r="F388" s="5">
        <v>3</v>
      </c>
      <c r="G388" s="45"/>
      <c r="H388" s="5"/>
      <c r="I388" s="5"/>
      <c r="J388" s="5"/>
      <c r="K388" s="5"/>
      <c r="L388" s="10"/>
      <c r="M388" s="5"/>
      <c r="N388" s="10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20"/>
      <c r="AF388" s="5"/>
      <c r="AG388" s="5"/>
      <c r="AH388" s="5"/>
      <c r="AI388" s="5"/>
      <c r="AJ388" s="5"/>
      <c r="AK388" s="5"/>
      <c r="AL388" s="5"/>
      <c r="AM388" s="5"/>
      <c r="AN388" s="8"/>
      <c r="AO388" s="5">
        <v>0</v>
      </c>
      <c r="AP388" s="27" t="s">
        <v>698</v>
      </c>
      <c r="AQ388" s="5">
        <v>0</v>
      </c>
      <c r="AR388" s="8">
        <v>1</v>
      </c>
      <c r="AS388" s="6">
        <f t="shared" ref="AS388:AS451" si="1035">AR388*3*BV388</f>
        <v>18</v>
      </c>
      <c r="AT388" s="6">
        <f t="shared" ref="AT388:AT451" si="1036">(AR388+1)*3*BV388</f>
        <v>36</v>
      </c>
      <c r="AU388" s="5">
        <v>0</v>
      </c>
      <c r="AV388" s="5">
        <v>1</v>
      </c>
      <c r="AW388" s="6">
        <v>1</v>
      </c>
      <c r="AX388" s="6">
        <v>1</v>
      </c>
      <c r="AY388" s="6">
        <v>1</v>
      </c>
      <c r="AZ388" s="5">
        <v>201386</v>
      </c>
      <c r="BA388" s="5">
        <v>203040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f t="shared" si="1026"/>
        <v>1</v>
      </c>
      <c r="BM388" s="5">
        <v>0</v>
      </c>
      <c r="BN388" s="5">
        <v>0</v>
      </c>
      <c r="BO388" s="5">
        <v>0</v>
      </c>
      <c r="BP388" s="5">
        <v>0</v>
      </c>
      <c r="BQ388" s="5"/>
      <c r="BR388" s="5"/>
      <c r="BS388" s="4">
        <v>0</v>
      </c>
      <c r="BT388" s="4">
        <f t="shared" si="1023"/>
        <v>6</v>
      </c>
      <c r="BU388" s="4">
        <v>0</v>
      </c>
      <c r="BV388" s="4">
        <f t="shared" si="1013"/>
        <v>6</v>
      </c>
      <c r="BW388" s="4">
        <f t="shared" si="1014"/>
        <v>6</v>
      </c>
      <c r="BX388" s="14">
        <f t="shared" si="1015"/>
        <v>0.49999999999999994</v>
      </c>
      <c r="BY388" s="14">
        <f t="shared" si="1006"/>
        <v>0.30000000000000004</v>
      </c>
      <c r="BZ388" s="27" t="s">
        <v>713</v>
      </c>
      <c r="CA388" s="27" t="s">
        <v>713</v>
      </c>
      <c r="CB388" s="27" t="s">
        <v>713</v>
      </c>
      <c r="CC388" s="5">
        <v>1</v>
      </c>
      <c r="CD388" s="5">
        <v>1</v>
      </c>
      <c r="CE388" s="5">
        <f t="shared" si="1007"/>
        <v>18</v>
      </c>
      <c r="CF388" s="5">
        <v>3</v>
      </c>
      <c r="CG388" s="6" t="str">
        <f t="shared" si="1008"/>
        <v>6级工蚁</v>
      </c>
      <c r="CH388" s="5">
        <v>3</v>
      </c>
      <c r="CI388" s="5">
        <v>0</v>
      </c>
      <c r="CJ388" s="4">
        <v>0</v>
      </c>
      <c r="CK388" s="5">
        <v>0</v>
      </c>
      <c r="CL388" s="5">
        <v>0</v>
      </c>
      <c r="CM388" s="20">
        <v>0</v>
      </c>
      <c r="CN388" s="5">
        <v>0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10">
        <v>0.8</v>
      </c>
      <c r="CW388" s="10">
        <v>0.7</v>
      </c>
      <c r="CX388" s="10">
        <v>1</v>
      </c>
      <c r="CY388" s="10">
        <v>1</v>
      </c>
      <c r="CZ388" s="8">
        <v>1</v>
      </c>
      <c r="DA388" s="6">
        <f t="shared" si="1016"/>
        <v>150</v>
      </c>
      <c r="DB388" s="5">
        <v>0</v>
      </c>
      <c r="DC388" s="5">
        <f t="shared" ref="DC388:DC402" si="1037">DD388</f>
        <v>0.75</v>
      </c>
      <c r="DD388" s="6">
        <f t="shared" si="1027"/>
        <v>0.75</v>
      </c>
      <c r="DE388" s="6">
        <v>1.2</v>
      </c>
      <c r="DF388" s="5">
        <v>0</v>
      </c>
      <c r="DG388" s="6">
        <f t="shared" si="1018"/>
        <v>2.5</v>
      </c>
      <c r="DH388" s="5">
        <v>1.5</v>
      </c>
      <c r="DI388" s="8">
        <v>0</v>
      </c>
      <c r="DJ388" s="5">
        <f t="shared" si="1031"/>
        <v>0</v>
      </c>
      <c r="DK388" s="8">
        <v>0</v>
      </c>
      <c r="DL388" s="5">
        <f t="shared" si="1034"/>
        <v>0</v>
      </c>
      <c r="DM388" s="27" t="str">
        <f t="shared" si="1002"/>
        <v>6级工蚁</v>
      </c>
      <c r="DN388" s="5">
        <v>6</v>
      </c>
      <c r="DO388" s="5">
        <v>0</v>
      </c>
      <c r="DP388" s="5">
        <v>0</v>
      </c>
      <c r="DQ388" s="5">
        <v>0</v>
      </c>
      <c r="DR388" s="5">
        <f t="shared" si="1028"/>
        <v>0.9</v>
      </c>
      <c r="DS388" s="6">
        <v>1</v>
      </c>
      <c r="DT388" s="5">
        <v>-0.5</v>
      </c>
      <c r="DU388" s="5">
        <v>0.5</v>
      </c>
      <c r="DV388" s="6">
        <v>0.5</v>
      </c>
      <c r="DW388" s="5">
        <f t="shared" si="1032"/>
        <v>0</v>
      </c>
      <c r="DX388" s="5">
        <f t="shared" si="1033"/>
        <v>0</v>
      </c>
      <c r="DY388" s="5">
        <v>0</v>
      </c>
      <c r="DZ388" s="5">
        <v>0</v>
      </c>
    </row>
    <row r="389" spans="1:130" x14ac:dyDescent="0.15">
      <c r="A389" s="5">
        <v>201387</v>
      </c>
      <c r="B389" s="27" t="s">
        <v>699</v>
      </c>
      <c r="C389" s="27"/>
      <c r="D389" s="27"/>
      <c r="E389" s="27"/>
      <c r="F389" s="5">
        <v>3</v>
      </c>
      <c r="G389" s="45"/>
      <c r="H389" s="5"/>
      <c r="I389" s="5"/>
      <c r="J389" s="5"/>
      <c r="K389" s="5"/>
      <c r="L389" s="10"/>
      <c r="M389" s="5"/>
      <c r="N389" s="10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20"/>
      <c r="AF389" s="5"/>
      <c r="AG389" s="5"/>
      <c r="AH389" s="5"/>
      <c r="AI389" s="5"/>
      <c r="AJ389" s="5"/>
      <c r="AK389" s="5"/>
      <c r="AL389" s="5"/>
      <c r="AM389" s="5"/>
      <c r="AN389" s="8"/>
      <c r="AO389" s="5">
        <v>0</v>
      </c>
      <c r="AP389" s="27" t="s">
        <v>699</v>
      </c>
      <c r="AQ389" s="5">
        <v>0</v>
      </c>
      <c r="AR389" s="8">
        <v>1</v>
      </c>
      <c r="AS389" s="6">
        <f t="shared" si="1035"/>
        <v>21</v>
      </c>
      <c r="AT389" s="6">
        <f t="shared" si="1036"/>
        <v>42</v>
      </c>
      <c r="AU389" s="5">
        <v>0</v>
      </c>
      <c r="AV389" s="5">
        <v>1</v>
      </c>
      <c r="AW389" s="6">
        <v>1</v>
      </c>
      <c r="AX389" s="6">
        <v>1</v>
      </c>
      <c r="AY389" s="6">
        <v>1</v>
      </c>
      <c r="AZ389" s="5">
        <v>201387</v>
      </c>
      <c r="BA389" s="5">
        <v>203040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f t="shared" si="1026"/>
        <v>1</v>
      </c>
      <c r="BM389" s="5">
        <v>0</v>
      </c>
      <c r="BN389" s="5">
        <v>0</v>
      </c>
      <c r="BO389" s="5">
        <v>0</v>
      </c>
      <c r="BP389" s="5">
        <v>0</v>
      </c>
      <c r="BQ389" s="5"/>
      <c r="BR389" s="5"/>
      <c r="BS389" s="4">
        <v>0</v>
      </c>
      <c r="BT389" s="4">
        <f t="shared" si="1023"/>
        <v>7</v>
      </c>
      <c r="BU389" s="4">
        <v>0</v>
      </c>
      <c r="BV389" s="4">
        <f t="shared" si="1013"/>
        <v>7</v>
      </c>
      <c r="BW389" s="4">
        <f t="shared" si="1014"/>
        <v>7</v>
      </c>
      <c r="BX389" s="14">
        <f t="shared" si="1015"/>
        <v>0.42999999999999994</v>
      </c>
      <c r="BY389" s="14">
        <f t="shared" si="1006"/>
        <v>0.25</v>
      </c>
      <c r="BZ389" s="27" t="s">
        <v>713</v>
      </c>
      <c r="CA389" s="27" t="s">
        <v>713</v>
      </c>
      <c r="CB389" s="27" t="s">
        <v>713</v>
      </c>
      <c r="CC389" s="5">
        <v>1</v>
      </c>
      <c r="CD389" s="5">
        <v>1</v>
      </c>
      <c r="CE389" s="5">
        <f t="shared" si="1007"/>
        <v>21</v>
      </c>
      <c r="CF389" s="5">
        <v>3</v>
      </c>
      <c r="CG389" s="6" t="str">
        <f t="shared" si="1008"/>
        <v>7级工蚁</v>
      </c>
      <c r="CH389" s="5">
        <v>3</v>
      </c>
      <c r="CI389" s="5">
        <v>0</v>
      </c>
      <c r="CJ389" s="4">
        <v>0</v>
      </c>
      <c r="CK389" s="5">
        <v>0</v>
      </c>
      <c r="CL389" s="5">
        <v>0</v>
      </c>
      <c r="CM389" s="20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10">
        <v>0.8</v>
      </c>
      <c r="CW389" s="10">
        <v>0.7</v>
      </c>
      <c r="CX389" s="10">
        <v>1</v>
      </c>
      <c r="CY389" s="10">
        <v>1</v>
      </c>
      <c r="CZ389" s="8">
        <v>1</v>
      </c>
      <c r="DA389" s="6">
        <f t="shared" si="1016"/>
        <v>175</v>
      </c>
      <c r="DB389" s="5">
        <v>0</v>
      </c>
      <c r="DC389" s="5">
        <f t="shared" si="1037"/>
        <v>0.78</v>
      </c>
      <c r="DD389" s="6">
        <f t="shared" si="1027"/>
        <v>0.78</v>
      </c>
      <c r="DE389" s="6">
        <v>1.2</v>
      </c>
      <c r="DF389" s="5">
        <v>0</v>
      </c>
      <c r="DG389" s="6">
        <f t="shared" si="1018"/>
        <v>2.5</v>
      </c>
      <c r="DH389" s="5">
        <v>1.5</v>
      </c>
      <c r="DI389" s="8">
        <v>0</v>
      </c>
      <c r="DJ389" s="5">
        <f t="shared" si="1031"/>
        <v>0</v>
      </c>
      <c r="DK389" s="8">
        <v>0</v>
      </c>
      <c r="DL389" s="5">
        <f t="shared" si="1034"/>
        <v>0</v>
      </c>
      <c r="DM389" s="27" t="str">
        <f t="shared" si="1002"/>
        <v>7级工蚁</v>
      </c>
      <c r="DN389" s="5">
        <v>6</v>
      </c>
      <c r="DO389" s="5">
        <v>0</v>
      </c>
      <c r="DP389" s="5">
        <v>0</v>
      </c>
      <c r="DQ389" s="5">
        <v>0</v>
      </c>
      <c r="DR389" s="5">
        <f t="shared" si="1028"/>
        <v>0.9</v>
      </c>
      <c r="DS389" s="6">
        <v>1</v>
      </c>
      <c r="DT389" s="5">
        <v>-0.5</v>
      </c>
      <c r="DU389" s="5">
        <v>0.5</v>
      </c>
      <c r="DV389" s="6">
        <v>0.5</v>
      </c>
      <c r="DW389" s="5">
        <f t="shared" si="1032"/>
        <v>0</v>
      </c>
      <c r="DX389" s="5">
        <f t="shared" si="1033"/>
        <v>0</v>
      </c>
      <c r="DY389" s="5">
        <v>0</v>
      </c>
      <c r="DZ389" s="5">
        <v>0</v>
      </c>
    </row>
    <row r="390" spans="1:130" x14ac:dyDescent="0.15">
      <c r="A390" s="5">
        <v>201388</v>
      </c>
      <c r="B390" s="27" t="s">
        <v>700</v>
      </c>
      <c r="C390" s="27"/>
      <c r="D390" s="27"/>
      <c r="E390" s="27"/>
      <c r="F390" s="5">
        <v>3</v>
      </c>
      <c r="G390" s="45"/>
      <c r="H390" s="5"/>
      <c r="I390" s="5"/>
      <c r="J390" s="5"/>
      <c r="K390" s="5"/>
      <c r="L390" s="10"/>
      <c r="M390" s="5"/>
      <c r="N390" s="10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20"/>
      <c r="AF390" s="5"/>
      <c r="AG390" s="5"/>
      <c r="AH390" s="5"/>
      <c r="AI390" s="5"/>
      <c r="AJ390" s="5"/>
      <c r="AK390" s="5"/>
      <c r="AL390" s="5"/>
      <c r="AM390" s="5"/>
      <c r="AN390" s="8"/>
      <c r="AO390" s="5">
        <v>0</v>
      </c>
      <c r="AP390" s="27" t="s">
        <v>700</v>
      </c>
      <c r="AQ390" s="5">
        <v>0</v>
      </c>
      <c r="AR390" s="8">
        <v>1</v>
      </c>
      <c r="AS390" s="6">
        <f t="shared" si="1035"/>
        <v>24</v>
      </c>
      <c r="AT390" s="6">
        <f t="shared" si="1036"/>
        <v>48</v>
      </c>
      <c r="AU390" s="5">
        <v>0</v>
      </c>
      <c r="AV390" s="5">
        <v>1</v>
      </c>
      <c r="AW390" s="6">
        <v>1</v>
      </c>
      <c r="AX390" s="6">
        <v>1</v>
      </c>
      <c r="AY390" s="6">
        <v>1</v>
      </c>
      <c r="AZ390" s="5">
        <v>201388</v>
      </c>
      <c r="BA390" s="5">
        <v>203040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f t="shared" si="1026"/>
        <v>1</v>
      </c>
      <c r="BM390" s="5">
        <v>0</v>
      </c>
      <c r="BN390" s="5">
        <v>0</v>
      </c>
      <c r="BO390" s="5">
        <v>0</v>
      </c>
      <c r="BP390" s="5">
        <v>0</v>
      </c>
      <c r="BQ390" s="5"/>
      <c r="BR390" s="5"/>
      <c r="BS390" s="4">
        <v>0</v>
      </c>
      <c r="BT390" s="4">
        <f t="shared" si="1023"/>
        <v>8</v>
      </c>
      <c r="BU390" s="4">
        <v>0</v>
      </c>
      <c r="BV390" s="4">
        <f t="shared" si="1013"/>
        <v>8</v>
      </c>
      <c r="BW390" s="4">
        <f t="shared" si="1014"/>
        <v>8</v>
      </c>
      <c r="BX390" s="14">
        <f t="shared" si="1015"/>
        <v>0.35999999999999993</v>
      </c>
      <c r="BY390" s="14">
        <f t="shared" si="1006"/>
        <v>0.2</v>
      </c>
      <c r="BZ390" s="27" t="s">
        <v>713</v>
      </c>
      <c r="CA390" s="27" t="s">
        <v>713</v>
      </c>
      <c r="CB390" s="27" t="s">
        <v>713</v>
      </c>
      <c r="CC390" s="5">
        <v>1</v>
      </c>
      <c r="CD390" s="5">
        <v>1</v>
      </c>
      <c r="CE390" s="5">
        <f t="shared" si="1007"/>
        <v>24</v>
      </c>
      <c r="CF390" s="5">
        <v>3</v>
      </c>
      <c r="CG390" s="6" t="str">
        <f t="shared" si="1008"/>
        <v>8级工蚁</v>
      </c>
      <c r="CH390" s="5">
        <v>3</v>
      </c>
      <c r="CI390" s="5">
        <v>0</v>
      </c>
      <c r="CJ390" s="4">
        <v>0</v>
      </c>
      <c r="CK390" s="5">
        <v>0</v>
      </c>
      <c r="CL390" s="5">
        <v>0</v>
      </c>
      <c r="CM390" s="20">
        <v>0</v>
      </c>
      <c r="CN390" s="5">
        <v>0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10">
        <v>0.8</v>
      </c>
      <c r="CW390" s="10">
        <v>0.7</v>
      </c>
      <c r="CX390" s="10">
        <v>1</v>
      </c>
      <c r="CY390" s="10">
        <v>1</v>
      </c>
      <c r="CZ390" s="8">
        <v>1</v>
      </c>
      <c r="DA390" s="6">
        <f t="shared" si="1016"/>
        <v>200</v>
      </c>
      <c r="DB390" s="5">
        <v>0</v>
      </c>
      <c r="DC390" s="5">
        <f t="shared" si="1037"/>
        <v>0.81</v>
      </c>
      <c r="DD390" s="6">
        <f t="shared" si="1027"/>
        <v>0.81</v>
      </c>
      <c r="DE390" s="6">
        <v>1.2</v>
      </c>
      <c r="DF390" s="5">
        <v>0</v>
      </c>
      <c r="DG390" s="6">
        <f t="shared" si="1018"/>
        <v>2.5</v>
      </c>
      <c r="DH390" s="5">
        <v>1.5</v>
      </c>
      <c r="DI390" s="8">
        <v>0</v>
      </c>
      <c r="DJ390" s="5">
        <f t="shared" si="1031"/>
        <v>0</v>
      </c>
      <c r="DK390" s="8">
        <v>0</v>
      </c>
      <c r="DL390" s="5">
        <f t="shared" si="1034"/>
        <v>0</v>
      </c>
      <c r="DM390" s="27" t="str">
        <f t="shared" si="1002"/>
        <v>8级工蚁</v>
      </c>
      <c r="DN390" s="5">
        <v>6</v>
      </c>
      <c r="DO390" s="5">
        <v>0</v>
      </c>
      <c r="DP390" s="5">
        <v>0</v>
      </c>
      <c r="DQ390" s="5">
        <v>0</v>
      </c>
      <c r="DR390" s="5">
        <f t="shared" si="1028"/>
        <v>0.9</v>
      </c>
      <c r="DS390" s="6">
        <v>1</v>
      </c>
      <c r="DT390" s="5">
        <v>-0.5</v>
      </c>
      <c r="DU390" s="5">
        <v>0.5</v>
      </c>
      <c r="DV390" s="6">
        <v>0.5</v>
      </c>
      <c r="DW390" s="5">
        <f t="shared" si="1032"/>
        <v>0</v>
      </c>
      <c r="DX390" s="5">
        <f t="shared" si="1033"/>
        <v>0</v>
      </c>
      <c r="DY390" s="5">
        <v>0</v>
      </c>
      <c r="DZ390" s="5">
        <v>0</v>
      </c>
    </row>
    <row r="391" spans="1:130" x14ac:dyDescent="0.15">
      <c r="A391" s="5">
        <v>201389</v>
      </c>
      <c r="B391" s="27" t="s">
        <v>701</v>
      </c>
      <c r="C391" s="27"/>
      <c r="D391" s="27"/>
      <c r="E391" s="27"/>
      <c r="F391" s="5">
        <v>3</v>
      </c>
      <c r="G391" s="45"/>
      <c r="H391" s="5"/>
      <c r="I391" s="5"/>
      <c r="J391" s="5"/>
      <c r="K391" s="5"/>
      <c r="L391" s="10"/>
      <c r="M391" s="5"/>
      <c r="N391" s="10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20"/>
      <c r="AF391" s="5"/>
      <c r="AG391" s="5"/>
      <c r="AH391" s="5"/>
      <c r="AI391" s="5"/>
      <c r="AJ391" s="5"/>
      <c r="AK391" s="5"/>
      <c r="AL391" s="5"/>
      <c r="AM391" s="5"/>
      <c r="AN391" s="8"/>
      <c r="AO391" s="5">
        <v>0</v>
      </c>
      <c r="AP391" s="27" t="s">
        <v>701</v>
      </c>
      <c r="AQ391" s="5">
        <v>0</v>
      </c>
      <c r="AR391" s="8">
        <v>1</v>
      </c>
      <c r="AS391" s="6">
        <f t="shared" si="1035"/>
        <v>27</v>
      </c>
      <c r="AT391" s="6">
        <f t="shared" si="1036"/>
        <v>54</v>
      </c>
      <c r="AU391" s="5">
        <v>0</v>
      </c>
      <c r="AV391" s="5">
        <v>1</v>
      </c>
      <c r="AW391" s="6">
        <v>1</v>
      </c>
      <c r="AX391" s="6">
        <v>1</v>
      </c>
      <c r="AY391" s="6">
        <v>1</v>
      </c>
      <c r="AZ391" s="5">
        <v>201389</v>
      </c>
      <c r="BA391" s="5">
        <v>203040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f t="shared" si="1026"/>
        <v>1</v>
      </c>
      <c r="BM391" s="5">
        <v>0</v>
      </c>
      <c r="BN391" s="5">
        <v>0</v>
      </c>
      <c r="BO391" s="5">
        <v>0</v>
      </c>
      <c r="BP391" s="5">
        <v>0</v>
      </c>
      <c r="BQ391" s="5"/>
      <c r="BR391" s="5"/>
      <c r="BS391" s="4">
        <v>0</v>
      </c>
      <c r="BT391" s="4">
        <f t="shared" si="1023"/>
        <v>9</v>
      </c>
      <c r="BU391" s="4">
        <v>0</v>
      </c>
      <c r="BV391" s="4">
        <f t="shared" si="1013"/>
        <v>9</v>
      </c>
      <c r="BW391" s="4">
        <f t="shared" si="1014"/>
        <v>9</v>
      </c>
      <c r="BX391" s="14">
        <f t="shared" si="1015"/>
        <v>0.28999999999999992</v>
      </c>
      <c r="BY391" s="14">
        <f t="shared" si="1006"/>
        <v>0.15000000000000002</v>
      </c>
      <c r="BZ391" s="27" t="s">
        <v>713</v>
      </c>
      <c r="CA391" s="27" t="s">
        <v>713</v>
      </c>
      <c r="CB391" s="27" t="s">
        <v>713</v>
      </c>
      <c r="CC391" s="5">
        <v>1</v>
      </c>
      <c r="CD391" s="5">
        <v>1</v>
      </c>
      <c r="CE391" s="5">
        <f t="shared" si="1007"/>
        <v>27</v>
      </c>
      <c r="CF391" s="5">
        <v>3</v>
      </c>
      <c r="CG391" s="6" t="str">
        <f t="shared" si="1008"/>
        <v>9级工蚁</v>
      </c>
      <c r="CH391" s="5">
        <v>3</v>
      </c>
      <c r="CI391" s="5">
        <v>0</v>
      </c>
      <c r="CJ391" s="4">
        <v>0</v>
      </c>
      <c r="CK391" s="5">
        <v>0</v>
      </c>
      <c r="CL391" s="5">
        <v>0</v>
      </c>
      <c r="CM391" s="20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10">
        <v>0.8</v>
      </c>
      <c r="CW391" s="10">
        <v>0.7</v>
      </c>
      <c r="CX391" s="10">
        <v>1</v>
      </c>
      <c r="CY391" s="10">
        <v>1</v>
      </c>
      <c r="CZ391" s="8">
        <v>1</v>
      </c>
      <c r="DA391" s="6">
        <f t="shared" si="1016"/>
        <v>225</v>
      </c>
      <c r="DB391" s="5">
        <v>0</v>
      </c>
      <c r="DC391" s="5">
        <f t="shared" si="1037"/>
        <v>0.84</v>
      </c>
      <c r="DD391" s="6">
        <f t="shared" si="1027"/>
        <v>0.84</v>
      </c>
      <c r="DE391" s="6">
        <v>1.2</v>
      </c>
      <c r="DF391" s="5">
        <v>0</v>
      </c>
      <c r="DG391" s="6">
        <f t="shared" si="1018"/>
        <v>2.5</v>
      </c>
      <c r="DH391" s="5">
        <v>1.5</v>
      </c>
      <c r="DI391" s="8">
        <v>0</v>
      </c>
      <c r="DJ391" s="5">
        <f t="shared" si="1031"/>
        <v>0</v>
      </c>
      <c r="DK391" s="8">
        <v>0</v>
      </c>
      <c r="DL391" s="5">
        <f t="shared" si="1034"/>
        <v>0</v>
      </c>
      <c r="DM391" s="27" t="str">
        <f t="shared" si="1002"/>
        <v>9级工蚁</v>
      </c>
      <c r="DN391" s="5">
        <v>6</v>
      </c>
      <c r="DO391" s="5">
        <v>0</v>
      </c>
      <c r="DP391" s="5">
        <v>0</v>
      </c>
      <c r="DQ391" s="5">
        <v>0</v>
      </c>
      <c r="DR391" s="5">
        <f t="shared" si="1028"/>
        <v>0.9</v>
      </c>
      <c r="DS391" s="6">
        <v>1</v>
      </c>
      <c r="DT391" s="5">
        <v>-0.5</v>
      </c>
      <c r="DU391" s="5">
        <v>0.5</v>
      </c>
      <c r="DV391" s="6">
        <v>0.5</v>
      </c>
      <c r="DW391" s="5">
        <f t="shared" si="1032"/>
        <v>0</v>
      </c>
      <c r="DX391" s="5">
        <f t="shared" si="1033"/>
        <v>0</v>
      </c>
      <c r="DY391" s="5">
        <v>0</v>
      </c>
      <c r="DZ391" s="5">
        <v>0</v>
      </c>
    </row>
    <row r="392" spans="1:130" x14ac:dyDescent="0.15">
      <c r="A392" s="5">
        <v>201390</v>
      </c>
      <c r="B392" s="27" t="s">
        <v>702</v>
      </c>
      <c r="C392" s="27"/>
      <c r="D392" s="27"/>
      <c r="E392" s="27"/>
      <c r="F392" s="5">
        <v>3</v>
      </c>
      <c r="G392" s="45"/>
      <c r="H392" s="5"/>
      <c r="I392" s="5"/>
      <c r="J392" s="5"/>
      <c r="K392" s="5"/>
      <c r="L392" s="10"/>
      <c r="M392" s="5"/>
      <c r="N392" s="10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20"/>
      <c r="AF392" s="5"/>
      <c r="AG392" s="5"/>
      <c r="AH392" s="5"/>
      <c r="AI392" s="5"/>
      <c r="AJ392" s="5"/>
      <c r="AK392" s="5"/>
      <c r="AL392" s="5"/>
      <c r="AM392" s="5"/>
      <c r="AN392" s="8"/>
      <c r="AO392" s="5">
        <v>0</v>
      </c>
      <c r="AP392" s="27" t="s">
        <v>702</v>
      </c>
      <c r="AQ392" s="5">
        <v>0</v>
      </c>
      <c r="AR392" s="8">
        <v>1</v>
      </c>
      <c r="AS392" s="6">
        <f t="shared" si="1035"/>
        <v>30</v>
      </c>
      <c r="AT392" s="6">
        <f t="shared" si="1036"/>
        <v>60</v>
      </c>
      <c r="AU392" s="5">
        <v>0</v>
      </c>
      <c r="AV392" s="5">
        <v>1</v>
      </c>
      <c r="AW392" s="6">
        <v>1</v>
      </c>
      <c r="AX392" s="6">
        <v>1</v>
      </c>
      <c r="AY392" s="6">
        <v>1</v>
      </c>
      <c r="AZ392" s="5">
        <v>201390</v>
      </c>
      <c r="BA392" s="5">
        <v>203040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f t="shared" si="1026"/>
        <v>1</v>
      </c>
      <c r="BM392" s="5">
        <v>0</v>
      </c>
      <c r="BN392" s="5">
        <v>0</v>
      </c>
      <c r="BO392" s="5">
        <v>0</v>
      </c>
      <c r="BP392" s="5">
        <v>0</v>
      </c>
      <c r="BQ392" s="5"/>
      <c r="BR392" s="5"/>
      <c r="BS392" s="4">
        <v>0</v>
      </c>
      <c r="BT392" s="4">
        <f t="shared" si="1023"/>
        <v>10</v>
      </c>
      <c r="BU392" s="4">
        <v>0</v>
      </c>
      <c r="BV392" s="4">
        <f t="shared" si="1013"/>
        <v>10</v>
      </c>
      <c r="BW392" s="4">
        <f t="shared" si="1014"/>
        <v>10</v>
      </c>
      <c r="BX392" s="14">
        <f t="shared" si="1015"/>
        <v>0.21999999999999986</v>
      </c>
      <c r="BY392" s="14">
        <f t="shared" si="1006"/>
        <v>0.10000000000000003</v>
      </c>
      <c r="BZ392" s="27" t="s">
        <v>713</v>
      </c>
      <c r="CA392" s="27" t="s">
        <v>713</v>
      </c>
      <c r="CB392" s="27" t="s">
        <v>713</v>
      </c>
      <c r="CC392" s="5">
        <v>1</v>
      </c>
      <c r="CD392" s="5">
        <v>1</v>
      </c>
      <c r="CE392" s="5">
        <f t="shared" si="1007"/>
        <v>30</v>
      </c>
      <c r="CF392" s="5">
        <v>3</v>
      </c>
      <c r="CG392" s="6" t="str">
        <f t="shared" si="1008"/>
        <v>10级工蚁</v>
      </c>
      <c r="CH392" s="5">
        <v>3</v>
      </c>
      <c r="CI392" s="5">
        <v>0</v>
      </c>
      <c r="CJ392" s="4">
        <v>0</v>
      </c>
      <c r="CK392" s="5">
        <v>0</v>
      </c>
      <c r="CL392" s="5">
        <v>0</v>
      </c>
      <c r="CM392" s="20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10">
        <v>0.8</v>
      </c>
      <c r="CW392" s="10">
        <v>0.7</v>
      </c>
      <c r="CX392" s="10">
        <v>1</v>
      </c>
      <c r="CY392" s="10">
        <v>1</v>
      </c>
      <c r="CZ392" s="8">
        <v>1</v>
      </c>
      <c r="DA392" s="6">
        <f t="shared" si="1016"/>
        <v>250</v>
      </c>
      <c r="DB392" s="5">
        <v>0</v>
      </c>
      <c r="DC392" s="5">
        <f t="shared" si="1037"/>
        <v>0.87</v>
      </c>
      <c r="DD392" s="6">
        <f t="shared" si="1027"/>
        <v>0.87</v>
      </c>
      <c r="DE392" s="6">
        <v>1.2</v>
      </c>
      <c r="DF392" s="5">
        <v>0</v>
      </c>
      <c r="DG392" s="6">
        <f t="shared" si="1018"/>
        <v>2.5</v>
      </c>
      <c r="DH392" s="5">
        <v>1.5</v>
      </c>
      <c r="DI392" s="8">
        <v>0</v>
      </c>
      <c r="DJ392" s="5">
        <f t="shared" si="1031"/>
        <v>0</v>
      </c>
      <c r="DK392" s="8">
        <v>0</v>
      </c>
      <c r="DL392" s="5">
        <f t="shared" si="1034"/>
        <v>0</v>
      </c>
      <c r="DM392" s="27" t="str">
        <f t="shared" si="1002"/>
        <v>10级工蚁</v>
      </c>
      <c r="DN392" s="5">
        <v>6</v>
      </c>
      <c r="DO392" s="5">
        <v>0</v>
      </c>
      <c r="DP392" s="5">
        <v>0</v>
      </c>
      <c r="DQ392" s="5">
        <v>0</v>
      </c>
      <c r="DR392" s="5">
        <f t="shared" si="1028"/>
        <v>0.9</v>
      </c>
      <c r="DS392" s="6">
        <v>1</v>
      </c>
      <c r="DT392" s="5">
        <v>-0.5</v>
      </c>
      <c r="DU392" s="5">
        <v>0.5</v>
      </c>
      <c r="DV392" s="6">
        <v>0.5</v>
      </c>
      <c r="DW392" s="5">
        <f t="shared" si="1029"/>
        <v>0</v>
      </c>
      <c r="DX392" s="5">
        <f t="shared" ref="DX392" si="1038">DY392/12</f>
        <v>0</v>
      </c>
      <c r="DY392" s="5">
        <v>0</v>
      </c>
      <c r="DZ392" s="5">
        <v>0</v>
      </c>
    </row>
    <row r="393" spans="1:130" s="3" customFormat="1" x14ac:dyDescent="0.15">
      <c r="A393" s="6">
        <v>201391</v>
      </c>
      <c r="B393" s="28" t="s">
        <v>703</v>
      </c>
      <c r="C393" s="28"/>
      <c r="D393" s="28"/>
      <c r="E393" s="28"/>
      <c r="F393" s="6">
        <v>3</v>
      </c>
      <c r="G393" s="4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8"/>
      <c r="AO393" s="6">
        <v>0</v>
      </c>
      <c r="AP393" s="28" t="s">
        <v>703</v>
      </c>
      <c r="AQ393" s="5">
        <v>0</v>
      </c>
      <c r="AR393" s="6">
        <v>1</v>
      </c>
      <c r="AS393" s="6">
        <f t="shared" si="1035"/>
        <v>3</v>
      </c>
      <c r="AT393" s="6">
        <f t="shared" si="1036"/>
        <v>6</v>
      </c>
      <c r="AU393" s="6">
        <v>0</v>
      </c>
      <c r="AV393" s="6">
        <v>1</v>
      </c>
      <c r="AW393" s="6">
        <v>1</v>
      </c>
      <c r="AX393" s="6">
        <v>1</v>
      </c>
      <c r="AY393" s="6">
        <v>1</v>
      </c>
      <c r="AZ393" s="6">
        <v>201391</v>
      </c>
      <c r="BA393" s="6">
        <v>203041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f t="shared" si="1026"/>
        <v>1</v>
      </c>
      <c r="BM393" s="6">
        <v>0</v>
      </c>
      <c r="BN393" s="6">
        <v>0</v>
      </c>
      <c r="BO393" s="6">
        <v>0</v>
      </c>
      <c r="BP393" s="6">
        <v>0</v>
      </c>
      <c r="BQ393" s="6"/>
      <c r="BR393" s="6"/>
      <c r="BS393" s="12">
        <v>0</v>
      </c>
      <c r="BT393" s="12">
        <f t="shared" si="1023"/>
        <v>1</v>
      </c>
      <c r="BU393" s="12">
        <v>0</v>
      </c>
      <c r="BV393" s="12">
        <f t="shared" si="1013"/>
        <v>1</v>
      </c>
      <c r="BW393" s="12">
        <f t="shared" si="1014"/>
        <v>1</v>
      </c>
      <c r="BX393" s="42">
        <f t="shared" si="1015"/>
        <v>0.85</v>
      </c>
      <c r="BY393" s="42">
        <f t="shared" si="1006"/>
        <v>0.55000000000000004</v>
      </c>
      <c r="BZ393" s="28" t="s">
        <v>714</v>
      </c>
      <c r="CA393" s="28" t="s">
        <v>714</v>
      </c>
      <c r="CB393" s="28" t="s">
        <v>714</v>
      </c>
      <c r="CC393" s="6">
        <v>1</v>
      </c>
      <c r="CD393" s="6">
        <v>1</v>
      </c>
      <c r="CE393" s="6">
        <v>0</v>
      </c>
      <c r="CF393" s="6">
        <v>0</v>
      </c>
      <c r="CG393" s="6" t="str">
        <f t="shared" si="1008"/>
        <v>1级兵蚁</v>
      </c>
      <c r="CH393" s="6">
        <v>0</v>
      </c>
      <c r="CI393" s="6">
        <v>0</v>
      </c>
      <c r="CJ393" s="12">
        <v>0</v>
      </c>
      <c r="CK393" s="6">
        <v>0</v>
      </c>
      <c r="CL393" s="6">
        <v>0</v>
      </c>
      <c r="CM393" s="6">
        <v>0</v>
      </c>
      <c r="CN393" s="6">
        <v>0</v>
      </c>
      <c r="CO393" s="6">
        <v>0</v>
      </c>
      <c r="CP393" s="6">
        <v>0</v>
      </c>
      <c r="CQ393" s="6">
        <v>0</v>
      </c>
      <c r="CR393" s="6">
        <v>0</v>
      </c>
      <c r="CS393" s="6">
        <v>0</v>
      </c>
      <c r="CT393" s="6">
        <v>0</v>
      </c>
      <c r="CU393" s="6">
        <v>0</v>
      </c>
      <c r="CV393" s="6">
        <v>0.9</v>
      </c>
      <c r="CW393" s="6">
        <v>0.7</v>
      </c>
      <c r="CX393" s="6">
        <v>1</v>
      </c>
      <c r="CY393" s="6">
        <v>1</v>
      </c>
      <c r="CZ393" s="6">
        <v>1</v>
      </c>
      <c r="DA393" s="6">
        <f t="shared" si="1016"/>
        <v>25</v>
      </c>
      <c r="DB393" s="6">
        <v>0</v>
      </c>
      <c r="DC393" s="6">
        <f t="shared" si="1037"/>
        <v>0.6</v>
      </c>
      <c r="DD393" s="6">
        <f t="shared" si="1027"/>
        <v>0.6</v>
      </c>
      <c r="DE393" s="6">
        <v>1.2</v>
      </c>
      <c r="DF393" s="6">
        <v>0</v>
      </c>
      <c r="DG393" s="6">
        <f t="shared" si="1018"/>
        <v>2.5</v>
      </c>
      <c r="DH393" s="6">
        <v>1.5</v>
      </c>
      <c r="DI393" s="6">
        <v>0</v>
      </c>
      <c r="DJ393" s="6">
        <f t="shared" si="1031"/>
        <v>0</v>
      </c>
      <c r="DK393" s="6">
        <v>0</v>
      </c>
      <c r="DL393" s="6">
        <f t="shared" si="1034"/>
        <v>0</v>
      </c>
      <c r="DM393" s="28" t="str">
        <f t="shared" si="1002"/>
        <v>1级兵蚁</v>
      </c>
      <c r="DN393" s="6">
        <v>6</v>
      </c>
      <c r="DO393" s="6">
        <v>0</v>
      </c>
      <c r="DP393" s="6">
        <v>0</v>
      </c>
      <c r="DQ393" s="6">
        <v>0</v>
      </c>
      <c r="DR393" s="6">
        <f t="shared" si="1028"/>
        <v>0.9</v>
      </c>
      <c r="DS393" s="6">
        <v>1</v>
      </c>
      <c r="DT393" s="6">
        <v>-0.5</v>
      </c>
      <c r="DU393" s="6">
        <v>0.5</v>
      </c>
      <c r="DV393" s="6">
        <v>0.9</v>
      </c>
      <c r="DW393" s="6">
        <f t="shared" si="1029"/>
        <v>0.25</v>
      </c>
      <c r="DX393" s="6">
        <v>3</v>
      </c>
      <c r="DY393" s="6">
        <v>0</v>
      </c>
      <c r="DZ393" s="6">
        <v>0</v>
      </c>
    </row>
    <row r="394" spans="1:130" x14ac:dyDescent="0.15">
      <c r="A394" s="5">
        <v>201392</v>
      </c>
      <c r="B394" s="27" t="s">
        <v>704</v>
      </c>
      <c r="C394" s="27"/>
      <c r="D394" s="27"/>
      <c r="E394" s="27"/>
      <c r="F394" s="5">
        <v>3</v>
      </c>
      <c r="G394" s="45"/>
      <c r="H394" s="5"/>
      <c r="I394" s="5"/>
      <c r="J394" s="5"/>
      <c r="K394" s="5"/>
      <c r="L394" s="10"/>
      <c r="M394" s="5"/>
      <c r="N394" s="10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20"/>
      <c r="AF394" s="5"/>
      <c r="AG394" s="5"/>
      <c r="AH394" s="5"/>
      <c r="AI394" s="5"/>
      <c r="AJ394" s="5"/>
      <c r="AK394" s="5"/>
      <c r="AL394" s="5"/>
      <c r="AM394" s="5"/>
      <c r="AN394" s="8"/>
      <c r="AO394" s="5">
        <v>0</v>
      </c>
      <c r="AP394" s="27" t="s">
        <v>704</v>
      </c>
      <c r="AQ394" s="5">
        <v>0</v>
      </c>
      <c r="AR394" s="8">
        <v>1</v>
      </c>
      <c r="AS394" s="6">
        <f t="shared" si="1035"/>
        <v>6</v>
      </c>
      <c r="AT394" s="6">
        <f t="shared" si="1036"/>
        <v>12</v>
      </c>
      <c r="AU394" s="5">
        <v>0</v>
      </c>
      <c r="AV394" s="5">
        <v>1</v>
      </c>
      <c r="AW394" s="6">
        <v>1</v>
      </c>
      <c r="AX394" s="6">
        <v>1</v>
      </c>
      <c r="AY394" s="6">
        <v>1</v>
      </c>
      <c r="AZ394" s="5">
        <v>201392</v>
      </c>
      <c r="BA394" s="5">
        <v>203041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f t="shared" si="1026"/>
        <v>1</v>
      </c>
      <c r="BM394" s="5">
        <v>0</v>
      </c>
      <c r="BN394" s="5">
        <v>0</v>
      </c>
      <c r="BO394" s="5">
        <v>0</v>
      </c>
      <c r="BP394" s="5">
        <v>0</v>
      </c>
      <c r="BQ394" s="5"/>
      <c r="BR394" s="5"/>
      <c r="BS394" s="4">
        <v>0</v>
      </c>
      <c r="BT394" s="4">
        <f t="shared" si="1023"/>
        <v>2</v>
      </c>
      <c r="BU394" s="4">
        <v>0</v>
      </c>
      <c r="BV394" s="4">
        <f t="shared" si="1013"/>
        <v>2</v>
      </c>
      <c r="BW394" s="4">
        <f t="shared" si="1014"/>
        <v>2</v>
      </c>
      <c r="BX394" s="14">
        <f t="shared" si="1015"/>
        <v>0.78</v>
      </c>
      <c r="BY394" s="14">
        <f t="shared" si="1006"/>
        <v>0.5</v>
      </c>
      <c r="BZ394" s="27" t="s">
        <v>714</v>
      </c>
      <c r="CA394" s="27" t="s">
        <v>714</v>
      </c>
      <c r="CB394" s="27" t="s">
        <v>714</v>
      </c>
      <c r="CC394" s="5">
        <v>1</v>
      </c>
      <c r="CD394" s="5">
        <v>1</v>
      </c>
      <c r="CE394" s="5">
        <v>0</v>
      </c>
      <c r="CF394" s="5">
        <v>0</v>
      </c>
      <c r="CG394" s="6" t="str">
        <f t="shared" si="1008"/>
        <v>2级兵蚁</v>
      </c>
      <c r="CH394" s="5">
        <v>0</v>
      </c>
      <c r="CI394" s="5">
        <v>0</v>
      </c>
      <c r="CJ394" s="4">
        <v>0</v>
      </c>
      <c r="CK394" s="5">
        <v>0</v>
      </c>
      <c r="CL394" s="5">
        <v>0</v>
      </c>
      <c r="CM394" s="20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10">
        <v>0.9</v>
      </c>
      <c r="CW394" s="10">
        <v>0.7</v>
      </c>
      <c r="CX394" s="10">
        <v>1</v>
      </c>
      <c r="CY394" s="10">
        <v>1</v>
      </c>
      <c r="CZ394" s="8">
        <v>1</v>
      </c>
      <c r="DA394" s="6">
        <f t="shared" si="1016"/>
        <v>50</v>
      </c>
      <c r="DB394" s="5">
        <v>0</v>
      </c>
      <c r="DC394" s="5">
        <f t="shared" si="1037"/>
        <v>0.63</v>
      </c>
      <c r="DD394" s="6">
        <f t="shared" si="1027"/>
        <v>0.63</v>
      </c>
      <c r="DE394" s="6">
        <v>1.2</v>
      </c>
      <c r="DF394" s="5">
        <v>0</v>
      </c>
      <c r="DG394" s="6">
        <f t="shared" si="1018"/>
        <v>2.5</v>
      </c>
      <c r="DH394" s="5">
        <v>1.5</v>
      </c>
      <c r="DI394" s="8">
        <v>0</v>
      </c>
      <c r="DJ394" s="5">
        <f t="shared" si="1031"/>
        <v>0</v>
      </c>
      <c r="DK394" s="8">
        <v>0</v>
      </c>
      <c r="DL394" s="5">
        <f t="shared" si="1034"/>
        <v>0</v>
      </c>
      <c r="DM394" s="27" t="str">
        <f t="shared" si="1002"/>
        <v>2级兵蚁</v>
      </c>
      <c r="DN394" s="5">
        <v>6</v>
      </c>
      <c r="DO394" s="5">
        <v>0</v>
      </c>
      <c r="DP394" s="5">
        <v>0</v>
      </c>
      <c r="DQ394" s="5">
        <v>0</v>
      </c>
      <c r="DR394" s="5">
        <f t="shared" si="1028"/>
        <v>0.9</v>
      </c>
      <c r="DS394" s="6">
        <v>1</v>
      </c>
      <c r="DT394" s="5">
        <v>-0.5</v>
      </c>
      <c r="DU394" s="5">
        <v>0.5</v>
      </c>
      <c r="DV394" s="6">
        <v>0.9</v>
      </c>
      <c r="DW394" s="5">
        <f t="shared" si="1029"/>
        <v>0.25</v>
      </c>
      <c r="DX394" s="5">
        <v>3</v>
      </c>
      <c r="DY394" s="5">
        <v>0</v>
      </c>
      <c r="DZ394" s="5">
        <v>0</v>
      </c>
    </row>
    <row r="395" spans="1:130" x14ac:dyDescent="0.15">
      <c r="A395" s="5">
        <v>201393</v>
      </c>
      <c r="B395" s="27" t="s">
        <v>705</v>
      </c>
      <c r="C395" s="27"/>
      <c r="D395" s="27"/>
      <c r="E395" s="27"/>
      <c r="F395" s="5">
        <v>3</v>
      </c>
      <c r="G395" s="45"/>
      <c r="H395" s="5"/>
      <c r="I395" s="5"/>
      <c r="J395" s="5"/>
      <c r="K395" s="5"/>
      <c r="L395" s="10"/>
      <c r="M395" s="5"/>
      <c r="N395" s="10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20"/>
      <c r="AF395" s="5"/>
      <c r="AG395" s="5"/>
      <c r="AH395" s="5"/>
      <c r="AI395" s="5"/>
      <c r="AJ395" s="5"/>
      <c r="AK395" s="5"/>
      <c r="AL395" s="5"/>
      <c r="AM395" s="5"/>
      <c r="AN395" s="8"/>
      <c r="AO395" s="5">
        <v>0</v>
      </c>
      <c r="AP395" s="27" t="s">
        <v>705</v>
      </c>
      <c r="AQ395" s="5">
        <v>0</v>
      </c>
      <c r="AR395" s="8">
        <v>1</v>
      </c>
      <c r="AS395" s="6">
        <f t="shared" si="1035"/>
        <v>9</v>
      </c>
      <c r="AT395" s="6">
        <f t="shared" si="1036"/>
        <v>18</v>
      </c>
      <c r="AU395" s="5">
        <v>0</v>
      </c>
      <c r="AV395" s="5">
        <v>1</v>
      </c>
      <c r="AW395" s="6">
        <v>1</v>
      </c>
      <c r="AX395" s="6">
        <v>1</v>
      </c>
      <c r="AY395" s="6">
        <v>1</v>
      </c>
      <c r="AZ395" s="5">
        <v>201393</v>
      </c>
      <c r="BA395" s="5">
        <v>203041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f t="shared" si="1026"/>
        <v>1</v>
      </c>
      <c r="BM395" s="5">
        <v>0</v>
      </c>
      <c r="BN395" s="5">
        <v>0</v>
      </c>
      <c r="BO395" s="5">
        <v>0</v>
      </c>
      <c r="BP395" s="5">
        <v>0</v>
      </c>
      <c r="BQ395" s="5"/>
      <c r="BR395" s="5"/>
      <c r="BS395" s="4">
        <v>0</v>
      </c>
      <c r="BT395" s="4">
        <f t="shared" si="1023"/>
        <v>3</v>
      </c>
      <c r="BU395" s="4">
        <v>0</v>
      </c>
      <c r="BV395" s="4">
        <f t="shared" si="1013"/>
        <v>3</v>
      </c>
      <c r="BW395" s="4">
        <f t="shared" si="1014"/>
        <v>3</v>
      </c>
      <c r="BX395" s="14">
        <f t="shared" si="1015"/>
        <v>0.71</v>
      </c>
      <c r="BY395" s="14">
        <f t="shared" si="1006"/>
        <v>0.45000000000000007</v>
      </c>
      <c r="BZ395" s="27" t="s">
        <v>714</v>
      </c>
      <c r="CA395" s="27" t="s">
        <v>714</v>
      </c>
      <c r="CB395" s="27" t="s">
        <v>714</v>
      </c>
      <c r="CC395" s="5">
        <v>1</v>
      </c>
      <c r="CD395" s="5">
        <v>1</v>
      </c>
      <c r="CE395" s="5">
        <v>0</v>
      </c>
      <c r="CF395" s="5">
        <v>0</v>
      </c>
      <c r="CG395" s="6" t="str">
        <f t="shared" si="1008"/>
        <v>3级兵蚁</v>
      </c>
      <c r="CH395" s="5">
        <v>0</v>
      </c>
      <c r="CI395" s="5">
        <v>0</v>
      </c>
      <c r="CJ395" s="4">
        <v>0</v>
      </c>
      <c r="CK395" s="5">
        <v>0</v>
      </c>
      <c r="CL395" s="5">
        <v>0</v>
      </c>
      <c r="CM395" s="20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10">
        <v>0.9</v>
      </c>
      <c r="CW395" s="10">
        <v>0.7</v>
      </c>
      <c r="CX395" s="10">
        <v>1</v>
      </c>
      <c r="CY395" s="10">
        <v>1</v>
      </c>
      <c r="CZ395" s="8">
        <v>1</v>
      </c>
      <c r="DA395" s="6">
        <f t="shared" si="1016"/>
        <v>75</v>
      </c>
      <c r="DB395" s="5">
        <v>0</v>
      </c>
      <c r="DC395" s="5">
        <f t="shared" si="1037"/>
        <v>0.66</v>
      </c>
      <c r="DD395" s="6">
        <f t="shared" si="1027"/>
        <v>0.66</v>
      </c>
      <c r="DE395" s="6">
        <v>1.2</v>
      </c>
      <c r="DF395" s="5">
        <v>0</v>
      </c>
      <c r="DG395" s="6">
        <f t="shared" si="1018"/>
        <v>2.5</v>
      </c>
      <c r="DH395" s="5">
        <v>1.5</v>
      </c>
      <c r="DI395" s="8">
        <v>0</v>
      </c>
      <c r="DJ395" s="5">
        <f t="shared" si="1031"/>
        <v>0</v>
      </c>
      <c r="DK395" s="8">
        <v>0</v>
      </c>
      <c r="DL395" s="5">
        <f t="shared" si="1034"/>
        <v>0</v>
      </c>
      <c r="DM395" s="27" t="str">
        <f t="shared" si="1002"/>
        <v>3级兵蚁</v>
      </c>
      <c r="DN395" s="5">
        <v>6</v>
      </c>
      <c r="DO395" s="5">
        <v>0</v>
      </c>
      <c r="DP395" s="5">
        <v>0</v>
      </c>
      <c r="DQ395" s="5">
        <v>0</v>
      </c>
      <c r="DR395" s="5">
        <f t="shared" si="1028"/>
        <v>0.9</v>
      </c>
      <c r="DS395" s="6">
        <v>1</v>
      </c>
      <c r="DT395" s="5">
        <v>-0.5</v>
      </c>
      <c r="DU395" s="5">
        <v>0.5</v>
      </c>
      <c r="DV395" s="6">
        <v>0.9</v>
      </c>
      <c r="DW395" s="5">
        <f t="shared" si="1029"/>
        <v>0.25</v>
      </c>
      <c r="DX395" s="5">
        <v>3</v>
      </c>
      <c r="DY395" s="5">
        <v>0</v>
      </c>
      <c r="DZ395" s="5">
        <v>0</v>
      </c>
    </row>
    <row r="396" spans="1:130" x14ac:dyDescent="0.15">
      <c r="A396" s="5">
        <v>201394</v>
      </c>
      <c r="B396" s="27" t="s">
        <v>706</v>
      </c>
      <c r="C396" s="27"/>
      <c r="D396" s="27"/>
      <c r="E396" s="27"/>
      <c r="F396" s="5">
        <v>3</v>
      </c>
      <c r="G396" s="45"/>
      <c r="H396" s="5"/>
      <c r="I396" s="5"/>
      <c r="J396" s="5"/>
      <c r="K396" s="5"/>
      <c r="L396" s="10"/>
      <c r="M396" s="5"/>
      <c r="N396" s="10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20"/>
      <c r="AF396" s="5"/>
      <c r="AG396" s="5"/>
      <c r="AH396" s="5"/>
      <c r="AI396" s="5"/>
      <c r="AJ396" s="5"/>
      <c r="AK396" s="5"/>
      <c r="AL396" s="5"/>
      <c r="AM396" s="5"/>
      <c r="AN396" s="8"/>
      <c r="AO396" s="5">
        <v>0</v>
      </c>
      <c r="AP396" s="27" t="s">
        <v>706</v>
      </c>
      <c r="AQ396" s="5">
        <v>0</v>
      </c>
      <c r="AR396" s="8">
        <v>1</v>
      </c>
      <c r="AS396" s="6">
        <f t="shared" si="1035"/>
        <v>12</v>
      </c>
      <c r="AT396" s="6">
        <f t="shared" si="1036"/>
        <v>24</v>
      </c>
      <c r="AU396" s="5">
        <v>0</v>
      </c>
      <c r="AV396" s="5">
        <v>1</v>
      </c>
      <c r="AW396" s="6">
        <v>1</v>
      </c>
      <c r="AX396" s="6">
        <v>1</v>
      </c>
      <c r="AY396" s="6">
        <v>1</v>
      </c>
      <c r="AZ396" s="5">
        <v>201394</v>
      </c>
      <c r="BA396" s="5">
        <v>203041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f t="shared" si="1026"/>
        <v>1</v>
      </c>
      <c r="BM396" s="5">
        <v>0</v>
      </c>
      <c r="BN396" s="5">
        <v>0</v>
      </c>
      <c r="BO396" s="5">
        <v>0</v>
      </c>
      <c r="BP396" s="5">
        <v>0</v>
      </c>
      <c r="BQ396" s="5"/>
      <c r="BR396" s="5"/>
      <c r="BS396" s="4">
        <v>0</v>
      </c>
      <c r="BT396" s="4">
        <f t="shared" si="1023"/>
        <v>4</v>
      </c>
      <c r="BU396" s="4">
        <v>0</v>
      </c>
      <c r="BV396" s="4">
        <f t="shared" si="1013"/>
        <v>4</v>
      </c>
      <c r="BW396" s="4">
        <f t="shared" si="1014"/>
        <v>4</v>
      </c>
      <c r="BX396" s="14">
        <f t="shared" si="1015"/>
        <v>0.6399999999999999</v>
      </c>
      <c r="BY396" s="14">
        <f t="shared" si="1006"/>
        <v>0.4</v>
      </c>
      <c r="BZ396" s="27" t="s">
        <v>714</v>
      </c>
      <c r="CA396" s="27" t="s">
        <v>714</v>
      </c>
      <c r="CB396" s="27" t="s">
        <v>714</v>
      </c>
      <c r="CC396" s="5">
        <v>1</v>
      </c>
      <c r="CD396" s="5">
        <v>1</v>
      </c>
      <c r="CE396" s="5">
        <v>0</v>
      </c>
      <c r="CF396" s="5">
        <v>0</v>
      </c>
      <c r="CG396" s="6" t="str">
        <f t="shared" si="1008"/>
        <v>4级兵蚁</v>
      </c>
      <c r="CH396" s="5">
        <v>0</v>
      </c>
      <c r="CI396" s="5">
        <v>0</v>
      </c>
      <c r="CJ396" s="4">
        <v>0</v>
      </c>
      <c r="CK396" s="5">
        <v>0</v>
      </c>
      <c r="CL396" s="5">
        <v>0</v>
      </c>
      <c r="CM396" s="20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10">
        <v>0.9</v>
      </c>
      <c r="CW396" s="10">
        <v>0.7</v>
      </c>
      <c r="CX396" s="10">
        <v>1</v>
      </c>
      <c r="CY396" s="10">
        <v>1</v>
      </c>
      <c r="CZ396" s="8">
        <v>1</v>
      </c>
      <c r="DA396" s="6">
        <f t="shared" si="1016"/>
        <v>100</v>
      </c>
      <c r="DB396" s="5">
        <v>0</v>
      </c>
      <c r="DC396" s="5">
        <f t="shared" si="1037"/>
        <v>0.69</v>
      </c>
      <c r="DD396" s="6">
        <f t="shared" si="1027"/>
        <v>0.69</v>
      </c>
      <c r="DE396" s="6">
        <v>1.2</v>
      </c>
      <c r="DF396" s="5">
        <v>0</v>
      </c>
      <c r="DG396" s="6">
        <f t="shared" si="1018"/>
        <v>2.5</v>
      </c>
      <c r="DH396" s="5">
        <v>1.5</v>
      </c>
      <c r="DI396" s="8">
        <v>0</v>
      </c>
      <c r="DJ396" s="5">
        <f t="shared" si="1031"/>
        <v>0</v>
      </c>
      <c r="DK396" s="8">
        <v>0</v>
      </c>
      <c r="DL396" s="5">
        <f t="shared" si="1034"/>
        <v>0</v>
      </c>
      <c r="DM396" s="27" t="str">
        <f t="shared" si="1002"/>
        <v>4级兵蚁</v>
      </c>
      <c r="DN396" s="5">
        <v>6</v>
      </c>
      <c r="DO396" s="5">
        <v>0</v>
      </c>
      <c r="DP396" s="5">
        <v>0</v>
      </c>
      <c r="DQ396" s="5">
        <v>0</v>
      </c>
      <c r="DR396" s="5">
        <f t="shared" si="1028"/>
        <v>0.9</v>
      </c>
      <c r="DS396" s="6">
        <v>1</v>
      </c>
      <c r="DT396" s="5">
        <v>-0.5</v>
      </c>
      <c r="DU396" s="5">
        <v>0.5</v>
      </c>
      <c r="DV396" s="6">
        <v>0.9</v>
      </c>
      <c r="DW396" s="5">
        <f t="shared" si="1029"/>
        <v>0.25</v>
      </c>
      <c r="DX396" s="5">
        <v>3</v>
      </c>
      <c r="DY396" s="5">
        <v>0</v>
      </c>
      <c r="DZ396" s="5">
        <v>0</v>
      </c>
    </row>
    <row r="397" spans="1:130" x14ac:dyDescent="0.15">
      <c r="A397" s="5">
        <v>201395</v>
      </c>
      <c r="B397" s="27" t="s">
        <v>707</v>
      </c>
      <c r="C397" s="27"/>
      <c r="D397" s="27"/>
      <c r="E397" s="27"/>
      <c r="F397" s="5">
        <v>3</v>
      </c>
      <c r="G397" s="45"/>
      <c r="H397" s="5"/>
      <c r="I397" s="5"/>
      <c r="J397" s="5"/>
      <c r="K397" s="5"/>
      <c r="L397" s="10"/>
      <c r="M397" s="5"/>
      <c r="N397" s="10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20"/>
      <c r="AF397" s="5"/>
      <c r="AG397" s="5"/>
      <c r="AH397" s="5"/>
      <c r="AI397" s="5"/>
      <c r="AJ397" s="5"/>
      <c r="AK397" s="5"/>
      <c r="AL397" s="5"/>
      <c r="AM397" s="5"/>
      <c r="AN397" s="8"/>
      <c r="AO397" s="5">
        <v>0</v>
      </c>
      <c r="AP397" s="27" t="s">
        <v>707</v>
      </c>
      <c r="AQ397" s="5">
        <v>0</v>
      </c>
      <c r="AR397" s="8">
        <v>1</v>
      </c>
      <c r="AS397" s="6">
        <f t="shared" si="1035"/>
        <v>15</v>
      </c>
      <c r="AT397" s="6">
        <f t="shared" si="1036"/>
        <v>30</v>
      </c>
      <c r="AU397" s="5">
        <v>0</v>
      </c>
      <c r="AV397" s="5">
        <v>1</v>
      </c>
      <c r="AW397" s="6">
        <v>1</v>
      </c>
      <c r="AX397" s="6">
        <v>1</v>
      </c>
      <c r="AY397" s="6">
        <v>1</v>
      </c>
      <c r="AZ397" s="5">
        <v>201395</v>
      </c>
      <c r="BA397" s="5">
        <v>203041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f t="shared" si="1026"/>
        <v>1</v>
      </c>
      <c r="BM397" s="5">
        <v>0</v>
      </c>
      <c r="BN397" s="5">
        <v>0</v>
      </c>
      <c r="BO397" s="5">
        <v>0</v>
      </c>
      <c r="BP397" s="5">
        <v>0</v>
      </c>
      <c r="BQ397" s="5"/>
      <c r="BR397" s="5"/>
      <c r="BS397" s="4">
        <v>0</v>
      </c>
      <c r="BT397" s="4">
        <f t="shared" si="1023"/>
        <v>5</v>
      </c>
      <c r="BU397" s="4">
        <v>0</v>
      </c>
      <c r="BV397" s="4">
        <f t="shared" si="1013"/>
        <v>5</v>
      </c>
      <c r="BW397" s="4">
        <f t="shared" si="1014"/>
        <v>5</v>
      </c>
      <c r="BX397" s="14">
        <f t="shared" si="1015"/>
        <v>0.56999999999999995</v>
      </c>
      <c r="BY397" s="14">
        <f t="shared" si="1006"/>
        <v>0.35000000000000003</v>
      </c>
      <c r="BZ397" s="27" t="s">
        <v>714</v>
      </c>
      <c r="CA397" s="27" t="s">
        <v>714</v>
      </c>
      <c r="CB397" s="27" t="s">
        <v>714</v>
      </c>
      <c r="CC397" s="5">
        <v>1</v>
      </c>
      <c r="CD397" s="5">
        <v>1</v>
      </c>
      <c r="CE397" s="5">
        <v>0</v>
      </c>
      <c r="CF397" s="5">
        <v>0</v>
      </c>
      <c r="CG397" s="6" t="str">
        <f t="shared" si="1008"/>
        <v>5级兵蚁</v>
      </c>
      <c r="CH397" s="5">
        <v>0</v>
      </c>
      <c r="CI397" s="5">
        <v>0</v>
      </c>
      <c r="CJ397" s="4">
        <v>0</v>
      </c>
      <c r="CK397" s="5">
        <v>0</v>
      </c>
      <c r="CL397" s="5">
        <v>0</v>
      </c>
      <c r="CM397" s="20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10">
        <v>0.9</v>
      </c>
      <c r="CW397" s="10">
        <v>0.7</v>
      </c>
      <c r="CX397" s="10">
        <v>1</v>
      </c>
      <c r="CY397" s="10">
        <v>1</v>
      </c>
      <c r="CZ397" s="8">
        <v>1</v>
      </c>
      <c r="DA397" s="6">
        <f t="shared" si="1016"/>
        <v>125</v>
      </c>
      <c r="DB397" s="5">
        <v>0</v>
      </c>
      <c r="DC397" s="5">
        <f t="shared" si="1037"/>
        <v>0.72</v>
      </c>
      <c r="DD397" s="6">
        <f t="shared" si="1027"/>
        <v>0.72</v>
      </c>
      <c r="DE397" s="6">
        <v>1.2</v>
      </c>
      <c r="DF397" s="5">
        <v>0</v>
      </c>
      <c r="DG397" s="6">
        <f t="shared" si="1018"/>
        <v>2.5</v>
      </c>
      <c r="DH397" s="5">
        <v>1.5</v>
      </c>
      <c r="DI397" s="8">
        <v>0</v>
      </c>
      <c r="DJ397" s="5">
        <f t="shared" si="1031"/>
        <v>0</v>
      </c>
      <c r="DK397" s="8">
        <v>0</v>
      </c>
      <c r="DL397" s="5">
        <f t="shared" si="1034"/>
        <v>0</v>
      </c>
      <c r="DM397" s="27" t="str">
        <f t="shared" si="1002"/>
        <v>5级兵蚁</v>
      </c>
      <c r="DN397" s="5">
        <v>6</v>
      </c>
      <c r="DO397" s="5">
        <v>0</v>
      </c>
      <c r="DP397" s="5">
        <v>0</v>
      </c>
      <c r="DQ397" s="5">
        <v>0</v>
      </c>
      <c r="DR397" s="5">
        <f t="shared" si="1028"/>
        <v>0.9</v>
      </c>
      <c r="DS397" s="6">
        <v>1</v>
      </c>
      <c r="DT397" s="5">
        <v>-0.5</v>
      </c>
      <c r="DU397" s="5">
        <v>0.5</v>
      </c>
      <c r="DV397" s="6">
        <v>0.9</v>
      </c>
      <c r="DW397" s="5">
        <f t="shared" si="1029"/>
        <v>0.25</v>
      </c>
      <c r="DX397" s="5">
        <v>3</v>
      </c>
      <c r="DY397" s="5">
        <v>0</v>
      </c>
      <c r="DZ397" s="5">
        <v>0</v>
      </c>
    </row>
    <row r="398" spans="1:130" x14ac:dyDescent="0.15">
      <c r="A398" s="5">
        <v>201396</v>
      </c>
      <c r="B398" s="27" t="s">
        <v>708</v>
      </c>
      <c r="C398" s="27"/>
      <c r="D398" s="27"/>
      <c r="E398" s="27"/>
      <c r="F398" s="5">
        <v>3</v>
      </c>
      <c r="G398" s="45"/>
      <c r="H398" s="5"/>
      <c r="I398" s="5"/>
      <c r="J398" s="5"/>
      <c r="K398" s="5"/>
      <c r="L398" s="10"/>
      <c r="M398" s="5"/>
      <c r="N398" s="10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20"/>
      <c r="AF398" s="5"/>
      <c r="AG398" s="5"/>
      <c r="AH398" s="5"/>
      <c r="AI398" s="5"/>
      <c r="AJ398" s="5"/>
      <c r="AK398" s="5"/>
      <c r="AL398" s="5"/>
      <c r="AM398" s="5"/>
      <c r="AN398" s="8"/>
      <c r="AO398" s="5">
        <v>0</v>
      </c>
      <c r="AP398" s="27" t="s">
        <v>708</v>
      </c>
      <c r="AQ398" s="5">
        <v>0</v>
      </c>
      <c r="AR398" s="8">
        <v>1</v>
      </c>
      <c r="AS398" s="6">
        <f t="shared" si="1035"/>
        <v>18</v>
      </c>
      <c r="AT398" s="6">
        <f t="shared" si="1036"/>
        <v>36</v>
      </c>
      <c r="AU398" s="5">
        <v>0</v>
      </c>
      <c r="AV398" s="5">
        <v>1</v>
      </c>
      <c r="AW398" s="6">
        <v>1</v>
      </c>
      <c r="AX398" s="6">
        <v>1</v>
      </c>
      <c r="AY398" s="6">
        <v>1</v>
      </c>
      <c r="AZ398" s="5">
        <v>201396</v>
      </c>
      <c r="BA398" s="5">
        <v>203041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f t="shared" si="1026"/>
        <v>1</v>
      </c>
      <c r="BM398" s="5">
        <v>0</v>
      </c>
      <c r="BN398" s="5">
        <v>0</v>
      </c>
      <c r="BO398" s="5">
        <v>0</v>
      </c>
      <c r="BP398" s="5">
        <v>0</v>
      </c>
      <c r="BQ398" s="5"/>
      <c r="BR398" s="5"/>
      <c r="BS398" s="4">
        <v>0</v>
      </c>
      <c r="BT398" s="4">
        <f t="shared" si="1023"/>
        <v>6</v>
      </c>
      <c r="BU398" s="4">
        <v>0</v>
      </c>
      <c r="BV398" s="4">
        <f t="shared" si="1013"/>
        <v>6</v>
      </c>
      <c r="BW398" s="4">
        <f t="shared" si="1014"/>
        <v>6</v>
      </c>
      <c r="BX398" s="14">
        <f t="shared" si="1015"/>
        <v>0.49999999999999994</v>
      </c>
      <c r="BY398" s="14">
        <f t="shared" si="1006"/>
        <v>0.30000000000000004</v>
      </c>
      <c r="BZ398" s="27" t="s">
        <v>714</v>
      </c>
      <c r="CA398" s="27" t="s">
        <v>714</v>
      </c>
      <c r="CB398" s="27" t="s">
        <v>714</v>
      </c>
      <c r="CC398" s="5">
        <v>1</v>
      </c>
      <c r="CD398" s="5">
        <v>1</v>
      </c>
      <c r="CE398" s="5">
        <v>0</v>
      </c>
      <c r="CF398" s="5">
        <v>0</v>
      </c>
      <c r="CG398" s="6" t="str">
        <f t="shared" si="1008"/>
        <v>6级兵蚁</v>
      </c>
      <c r="CH398" s="5">
        <v>0</v>
      </c>
      <c r="CI398" s="5">
        <v>0</v>
      </c>
      <c r="CJ398" s="4">
        <v>0</v>
      </c>
      <c r="CK398" s="5">
        <v>0</v>
      </c>
      <c r="CL398" s="5">
        <v>0</v>
      </c>
      <c r="CM398" s="20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10">
        <v>0.9</v>
      </c>
      <c r="CW398" s="10">
        <v>0.7</v>
      </c>
      <c r="CX398" s="10">
        <v>1</v>
      </c>
      <c r="CY398" s="10">
        <v>1</v>
      </c>
      <c r="CZ398" s="8">
        <v>1</v>
      </c>
      <c r="DA398" s="6">
        <f t="shared" si="1016"/>
        <v>150</v>
      </c>
      <c r="DB398" s="5">
        <v>0</v>
      </c>
      <c r="DC398" s="5">
        <f t="shared" si="1037"/>
        <v>0.75</v>
      </c>
      <c r="DD398" s="6">
        <f t="shared" si="1027"/>
        <v>0.75</v>
      </c>
      <c r="DE398" s="6">
        <v>1.2</v>
      </c>
      <c r="DF398" s="5">
        <v>0</v>
      </c>
      <c r="DG398" s="6">
        <f t="shared" si="1018"/>
        <v>2.5</v>
      </c>
      <c r="DH398" s="5">
        <v>1.5</v>
      </c>
      <c r="DI398" s="8">
        <v>0</v>
      </c>
      <c r="DJ398" s="5">
        <f t="shared" si="1031"/>
        <v>0</v>
      </c>
      <c r="DK398" s="8">
        <v>0</v>
      </c>
      <c r="DL398" s="5">
        <f t="shared" si="1034"/>
        <v>0</v>
      </c>
      <c r="DM398" s="27" t="str">
        <f t="shared" si="1002"/>
        <v>6级兵蚁</v>
      </c>
      <c r="DN398" s="5">
        <v>6</v>
      </c>
      <c r="DO398" s="5">
        <v>0</v>
      </c>
      <c r="DP398" s="5">
        <v>0</v>
      </c>
      <c r="DQ398" s="5">
        <v>0</v>
      </c>
      <c r="DR398" s="5">
        <f t="shared" si="1028"/>
        <v>0.9</v>
      </c>
      <c r="DS398" s="6">
        <v>1</v>
      </c>
      <c r="DT398" s="5">
        <v>-0.5</v>
      </c>
      <c r="DU398" s="5">
        <v>0.5</v>
      </c>
      <c r="DV398" s="6">
        <v>0.9</v>
      </c>
      <c r="DW398" s="5">
        <f t="shared" si="1029"/>
        <v>0.25</v>
      </c>
      <c r="DX398" s="5">
        <v>3</v>
      </c>
      <c r="DY398" s="5">
        <v>0</v>
      </c>
      <c r="DZ398" s="5">
        <v>0</v>
      </c>
    </row>
    <row r="399" spans="1:130" x14ac:dyDescent="0.15">
      <c r="A399" s="5">
        <v>201397</v>
      </c>
      <c r="B399" s="27" t="s">
        <v>709</v>
      </c>
      <c r="C399" s="27"/>
      <c r="D399" s="27"/>
      <c r="E399" s="27"/>
      <c r="F399" s="5">
        <v>3</v>
      </c>
      <c r="G399" s="45"/>
      <c r="H399" s="5"/>
      <c r="I399" s="5"/>
      <c r="J399" s="5"/>
      <c r="K399" s="5"/>
      <c r="L399" s="10"/>
      <c r="M399" s="5"/>
      <c r="N399" s="10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20"/>
      <c r="AF399" s="5"/>
      <c r="AG399" s="5"/>
      <c r="AH399" s="5"/>
      <c r="AI399" s="5"/>
      <c r="AJ399" s="5"/>
      <c r="AK399" s="5"/>
      <c r="AL399" s="5"/>
      <c r="AM399" s="5"/>
      <c r="AN399" s="8"/>
      <c r="AO399" s="5">
        <v>0</v>
      </c>
      <c r="AP399" s="27" t="s">
        <v>709</v>
      </c>
      <c r="AQ399" s="5">
        <v>0</v>
      </c>
      <c r="AR399" s="8">
        <v>1</v>
      </c>
      <c r="AS399" s="6">
        <f t="shared" si="1035"/>
        <v>21</v>
      </c>
      <c r="AT399" s="6">
        <f t="shared" si="1036"/>
        <v>42</v>
      </c>
      <c r="AU399" s="5">
        <v>0</v>
      </c>
      <c r="AV399" s="5">
        <v>1</v>
      </c>
      <c r="AW399" s="6">
        <v>1</v>
      </c>
      <c r="AX399" s="6">
        <v>1</v>
      </c>
      <c r="AY399" s="6">
        <v>1</v>
      </c>
      <c r="AZ399" s="5">
        <v>201397</v>
      </c>
      <c r="BA399" s="5">
        <v>203041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f t="shared" si="1026"/>
        <v>1</v>
      </c>
      <c r="BM399" s="5">
        <v>0</v>
      </c>
      <c r="BN399" s="5">
        <v>0</v>
      </c>
      <c r="BO399" s="5">
        <v>0</v>
      </c>
      <c r="BP399" s="5">
        <v>0</v>
      </c>
      <c r="BQ399" s="5"/>
      <c r="BR399" s="5"/>
      <c r="BS399" s="4">
        <v>0</v>
      </c>
      <c r="BT399" s="4">
        <f t="shared" si="1023"/>
        <v>7</v>
      </c>
      <c r="BU399" s="4">
        <v>0</v>
      </c>
      <c r="BV399" s="4">
        <f t="shared" si="1013"/>
        <v>7</v>
      </c>
      <c r="BW399" s="4">
        <f t="shared" si="1014"/>
        <v>7</v>
      </c>
      <c r="BX399" s="14">
        <f t="shared" si="1015"/>
        <v>0.42999999999999994</v>
      </c>
      <c r="BY399" s="14">
        <f t="shared" si="1006"/>
        <v>0.25</v>
      </c>
      <c r="BZ399" s="27" t="s">
        <v>714</v>
      </c>
      <c r="CA399" s="27" t="s">
        <v>714</v>
      </c>
      <c r="CB399" s="27" t="s">
        <v>714</v>
      </c>
      <c r="CC399" s="5">
        <v>1</v>
      </c>
      <c r="CD399" s="5">
        <v>1</v>
      </c>
      <c r="CE399" s="5">
        <v>0</v>
      </c>
      <c r="CF399" s="5">
        <v>0</v>
      </c>
      <c r="CG399" s="6" t="str">
        <f t="shared" si="1008"/>
        <v>7级兵蚁</v>
      </c>
      <c r="CH399" s="5">
        <v>0</v>
      </c>
      <c r="CI399" s="5">
        <v>0</v>
      </c>
      <c r="CJ399" s="4">
        <v>0</v>
      </c>
      <c r="CK399" s="5">
        <v>0</v>
      </c>
      <c r="CL399" s="5">
        <v>0</v>
      </c>
      <c r="CM399" s="20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10">
        <v>0.9</v>
      </c>
      <c r="CW399" s="10">
        <v>0.7</v>
      </c>
      <c r="CX399" s="10">
        <v>1</v>
      </c>
      <c r="CY399" s="10">
        <v>1</v>
      </c>
      <c r="CZ399" s="8">
        <v>1</v>
      </c>
      <c r="DA399" s="6">
        <f t="shared" si="1016"/>
        <v>175</v>
      </c>
      <c r="DB399" s="5">
        <v>0</v>
      </c>
      <c r="DC399" s="5">
        <f t="shared" si="1037"/>
        <v>0.78</v>
      </c>
      <c r="DD399" s="6">
        <f t="shared" si="1027"/>
        <v>0.78</v>
      </c>
      <c r="DE399" s="6">
        <v>1.2</v>
      </c>
      <c r="DF399" s="5">
        <v>0</v>
      </c>
      <c r="DG399" s="6">
        <f t="shared" si="1018"/>
        <v>2.5</v>
      </c>
      <c r="DH399" s="5">
        <v>1.5</v>
      </c>
      <c r="DI399" s="8">
        <v>0</v>
      </c>
      <c r="DJ399" s="5">
        <f t="shared" si="1031"/>
        <v>0</v>
      </c>
      <c r="DK399" s="8">
        <v>0</v>
      </c>
      <c r="DL399" s="5">
        <f t="shared" si="1034"/>
        <v>0</v>
      </c>
      <c r="DM399" s="27" t="str">
        <f t="shared" si="1002"/>
        <v>7级兵蚁</v>
      </c>
      <c r="DN399" s="5">
        <v>6</v>
      </c>
      <c r="DO399" s="5">
        <v>0</v>
      </c>
      <c r="DP399" s="5">
        <v>0</v>
      </c>
      <c r="DQ399" s="5">
        <v>0</v>
      </c>
      <c r="DR399" s="5">
        <f t="shared" si="1028"/>
        <v>0.9</v>
      </c>
      <c r="DS399" s="6">
        <v>1</v>
      </c>
      <c r="DT399" s="5">
        <v>-0.5</v>
      </c>
      <c r="DU399" s="5">
        <v>0.5</v>
      </c>
      <c r="DV399" s="6">
        <v>0.9</v>
      </c>
      <c r="DW399" s="5">
        <f t="shared" si="1029"/>
        <v>0.25</v>
      </c>
      <c r="DX399" s="5">
        <v>3</v>
      </c>
      <c r="DY399" s="5">
        <v>0</v>
      </c>
      <c r="DZ399" s="5">
        <v>0</v>
      </c>
    </row>
    <row r="400" spans="1:130" x14ac:dyDescent="0.15">
      <c r="A400" s="5">
        <v>201398</v>
      </c>
      <c r="B400" s="27" t="s">
        <v>710</v>
      </c>
      <c r="C400" s="27"/>
      <c r="D400" s="27"/>
      <c r="E400" s="27"/>
      <c r="F400" s="5">
        <v>3</v>
      </c>
      <c r="G400" s="45"/>
      <c r="H400" s="5"/>
      <c r="I400" s="5"/>
      <c r="J400" s="5"/>
      <c r="K400" s="5"/>
      <c r="L400" s="10"/>
      <c r="M400" s="5"/>
      <c r="N400" s="10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20"/>
      <c r="AF400" s="5"/>
      <c r="AG400" s="5"/>
      <c r="AH400" s="5"/>
      <c r="AI400" s="5"/>
      <c r="AJ400" s="5"/>
      <c r="AK400" s="5"/>
      <c r="AL400" s="5"/>
      <c r="AM400" s="5"/>
      <c r="AN400" s="8"/>
      <c r="AO400" s="5">
        <v>0</v>
      </c>
      <c r="AP400" s="27" t="s">
        <v>710</v>
      </c>
      <c r="AQ400" s="5">
        <v>0</v>
      </c>
      <c r="AR400" s="8">
        <v>1</v>
      </c>
      <c r="AS400" s="6">
        <f t="shared" si="1035"/>
        <v>24</v>
      </c>
      <c r="AT400" s="6">
        <f t="shared" si="1036"/>
        <v>48</v>
      </c>
      <c r="AU400" s="5">
        <v>0</v>
      </c>
      <c r="AV400" s="5">
        <v>1</v>
      </c>
      <c r="AW400" s="6">
        <v>1</v>
      </c>
      <c r="AX400" s="6">
        <v>1</v>
      </c>
      <c r="AY400" s="6">
        <v>1</v>
      </c>
      <c r="AZ400" s="5">
        <v>201398</v>
      </c>
      <c r="BA400" s="5">
        <v>203041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f t="shared" si="1026"/>
        <v>1</v>
      </c>
      <c r="BM400" s="5">
        <v>0</v>
      </c>
      <c r="BN400" s="5">
        <v>0</v>
      </c>
      <c r="BO400" s="5">
        <v>0</v>
      </c>
      <c r="BP400" s="5">
        <v>0</v>
      </c>
      <c r="BQ400" s="5"/>
      <c r="BR400" s="5"/>
      <c r="BS400" s="4">
        <v>0</v>
      </c>
      <c r="BT400" s="4">
        <f t="shared" si="1023"/>
        <v>8</v>
      </c>
      <c r="BU400" s="4">
        <v>0</v>
      </c>
      <c r="BV400" s="4">
        <f t="shared" si="1013"/>
        <v>8</v>
      </c>
      <c r="BW400" s="4">
        <f t="shared" si="1014"/>
        <v>8</v>
      </c>
      <c r="BX400" s="14">
        <f t="shared" si="1015"/>
        <v>0.35999999999999993</v>
      </c>
      <c r="BY400" s="14">
        <f t="shared" si="1006"/>
        <v>0.2</v>
      </c>
      <c r="BZ400" s="27" t="s">
        <v>714</v>
      </c>
      <c r="CA400" s="27" t="s">
        <v>714</v>
      </c>
      <c r="CB400" s="27" t="s">
        <v>714</v>
      </c>
      <c r="CC400" s="5">
        <v>1</v>
      </c>
      <c r="CD400" s="5">
        <v>1</v>
      </c>
      <c r="CE400" s="5">
        <v>0</v>
      </c>
      <c r="CF400" s="5">
        <v>0</v>
      </c>
      <c r="CG400" s="6" t="str">
        <f t="shared" si="1008"/>
        <v>8级兵蚁</v>
      </c>
      <c r="CH400" s="5">
        <v>0</v>
      </c>
      <c r="CI400" s="5">
        <v>0</v>
      </c>
      <c r="CJ400" s="4">
        <v>0</v>
      </c>
      <c r="CK400" s="5">
        <v>0</v>
      </c>
      <c r="CL400" s="5">
        <v>0</v>
      </c>
      <c r="CM400" s="20">
        <v>0</v>
      </c>
      <c r="CN400" s="5">
        <v>0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10">
        <v>0.9</v>
      </c>
      <c r="CW400" s="10">
        <v>0.7</v>
      </c>
      <c r="CX400" s="10">
        <v>1</v>
      </c>
      <c r="CY400" s="10">
        <v>1</v>
      </c>
      <c r="CZ400" s="8">
        <v>1</v>
      </c>
      <c r="DA400" s="6">
        <f t="shared" si="1016"/>
        <v>200</v>
      </c>
      <c r="DB400" s="5">
        <v>0</v>
      </c>
      <c r="DC400" s="5">
        <f t="shared" si="1037"/>
        <v>0.81</v>
      </c>
      <c r="DD400" s="6">
        <f t="shared" si="1027"/>
        <v>0.81</v>
      </c>
      <c r="DE400" s="6">
        <v>1.2</v>
      </c>
      <c r="DF400" s="5">
        <v>0</v>
      </c>
      <c r="DG400" s="6">
        <f t="shared" si="1018"/>
        <v>2.5</v>
      </c>
      <c r="DH400" s="5">
        <v>1.5</v>
      </c>
      <c r="DI400" s="8">
        <v>0</v>
      </c>
      <c r="DJ400" s="5">
        <f t="shared" si="1031"/>
        <v>0</v>
      </c>
      <c r="DK400" s="8">
        <v>0</v>
      </c>
      <c r="DL400" s="5">
        <f t="shared" si="1034"/>
        <v>0</v>
      </c>
      <c r="DM400" s="27" t="str">
        <f t="shared" si="1002"/>
        <v>8级兵蚁</v>
      </c>
      <c r="DN400" s="5">
        <v>6</v>
      </c>
      <c r="DO400" s="5">
        <v>0</v>
      </c>
      <c r="DP400" s="5">
        <v>0</v>
      </c>
      <c r="DQ400" s="5">
        <v>0</v>
      </c>
      <c r="DR400" s="5">
        <f t="shared" si="1028"/>
        <v>0.9</v>
      </c>
      <c r="DS400" s="6">
        <v>1</v>
      </c>
      <c r="DT400" s="5">
        <v>-0.5</v>
      </c>
      <c r="DU400" s="5">
        <v>0.5</v>
      </c>
      <c r="DV400" s="6">
        <v>0.9</v>
      </c>
      <c r="DW400" s="5">
        <f t="shared" si="1029"/>
        <v>0.25</v>
      </c>
      <c r="DX400" s="5">
        <v>3</v>
      </c>
      <c r="DY400" s="5">
        <v>0</v>
      </c>
      <c r="DZ400" s="5">
        <v>0</v>
      </c>
    </row>
    <row r="401" spans="1:130" x14ac:dyDescent="0.15">
      <c r="A401" s="5">
        <v>201399</v>
      </c>
      <c r="B401" s="27" t="s">
        <v>711</v>
      </c>
      <c r="C401" s="27"/>
      <c r="D401" s="27"/>
      <c r="E401" s="27"/>
      <c r="F401" s="5">
        <v>3</v>
      </c>
      <c r="G401" s="45"/>
      <c r="H401" s="5"/>
      <c r="I401" s="5"/>
      <c r="J401" s="5"/>
      <c r="K401" s="5"/>
      <c r="L401" s="10"/>
      <c r="M401" s="5"/>
      <c r="N401" s="10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20"/>
      <c r="AF401" s="5"/>
      <c r="AG401" s="5"/>
      <c r="AH401" s="5"/>
      <c r="AI401" s="5"/>
      <c r="AJ401" s="5"/>
      <c r="AK401" s="5"/>
      <c r="AL401" s="5"/>
      <c r="AM401" s="5"/>
      <c r="AN401" s="8"/>
      <c r="AO401" s="5">
        <v>0</v>
      </c>
      <c r="AP401" s="27" t="s">
        <v>711</v>
      </c>
      <c r="AQ401" s="5">
        <v>0</v>
      </c>
      <c r="AR401" s="8">
        <v>1</v>
      </c>
      <c r="AS401" s="6">
        <f t="shared" si="1035"/>
        <v>27</v>
      </c>
      <c r="AT401" s="6">
        <f t="shared" si="1036"/>
        <v>54</v>
      </c>
      <c r="AU401" s="5">
        <v>0</v>
      </c>
      <c r="AV401" s="5">
        <v>1</v>
      </c>
      <c r="AW401" s="6">
        <v>1</v>
      </c>
      <c r="AX401" s="6">
        <v>1</v>
      </c>
      <c r="AY401" s="6">
        <v>1</v>
      </c>
      <c r="AZ401" s="5">
        <v>201399</v>
      </c>
      <c r="BA401" s="5">
        <v>203041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f t="shared" si="1026"/>
        <v>1</v>
      </c>
      <c r="BM401" s="5">
        <v>0</v>
      </c>
      <c r="BN401" s="5">
        <v>0</v>
      </c>
      <c r="BO401" s="5">
        <v>0</v>
      </c>
      <c r="BP401" s="5">
        <v>0</v>
      </c>
      <c r="BQ401" s="5"/>
      <c r="BR401" s="5"/>
      <c r="BS401" s="4">
        <v>0</v>
      </c>
      <c r="BT401" s="4">
        <f t="shared" si="1023"/>
        <v>9</v>
      </c>
      <c r="BU401" s="4">
        <v>0</v>
      </c>
      <c r="BV401" s="4">
        <f t="shared" si="1013"/>
        <v>9</v>
      </c>
      <c r="BW401" s="4">
        <f t="shared" si="1014"/>
        <v>9</v>
      </c>
      <c r="BX401" s="14">
        <f t="shared" si="1015"/>
        <v>0.28999999999999992</v>
      </c>
      <c r="BY401" s="14">
        <f t="shared" si="1006"/>
        <v>0.15000000000000002</v>
      </c>
      <c r="BZ401" s="27" t="s">
        <v>714</v>
      </c>
      <c r="CA401" s="27" t="s">
        <v>714</v>
      </c>
      <c r="CB401" s="27" t="s">
        <v>714</v>
      </c>
      <c r="CC401" s="5">
        <v>1</v>
      </c>
      <c r="CD401" s="5">
        <v>1</v>
      </c>
      <c r="CE401" s="5">
        <v>0</v>
      </c>
      <c r="CF401" s="5">
        <v>0</v>
      </c>
      <c r="CG401" s="6" t="str">
        <f t="shared" si="1008"/>
        <v>9级兵蚁</v>
      </c>
      <c r="CH401" s="5">
        <v>0</v>
      </c>
      <c r="CI401" s="5">
        <v>0</v>
      </c>
      <c r="CJ401" s="4">
        <v>0</v>
      </c>
      <c r="CK401" s="5">
        <v>0</v>
      </c>
      <c r="CL401" s="5">
        <v>0</v>
      </c>
      <c r="CM401" s="20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10">
        <v>0.9</v>
      </c>
      <c r="CW401" s="10">
        <v>0.7</v>
      </c>
      <c r="CX401" s="10">
        <v>1</v>
      </c>
      <c r="CY401" s="10">
        <v>1</v>
      </c>
      <c r="CZ401" s="8">
        <v>1</v>
      </c>
      <c r="DA401" s="6">
        <f t="shared" si="1016"/>
        <v>225</v>
      </c>
      <c r="DB401" s="5">
        <v>0</v>
      </c>
      <c r="DC401" s="5">
        <f t="shared" si="1037"/>
        <v>0.84</v>
      </c>
      <c r="DD401" s="6">
        <f t="shared" si="1027"/>
        <v>0.84</v>
      </c>
      <c r="DE401" s="6">
        <v>1.2</v>
      </c>
      <c r="DF401" s="5">
        <v>0</v>
      </c>
      <c r="DG401" s="6">
        <f t="shared" si="1018"/>
        <v>2.5</v>
      </c>
      <c r="DH401" s="5">
        <v>1.5</v>
      </c>
      <c r="DI401" s="8">
        <v>0</v>
      </c>
      <c r="DJ401" s="5">
        <f t="shared" si="1031"/>
        <v>0</v>
      </c>
      <c r="DK401" s="8">
        <v>0</v>
      </c>
      <c r="DL401" s="5">
        <f t="shared" si="1034"/>
        <v>0</v>
      </c>
      <c r="DM401" s="27" t="str">
        <f t="shared" si="1002"/>
        <v>9级兵蚁</v>
      </c>
      <c r="DN401" s="5">
        <v>6</v>
      </c>
      <c r="DO401" s="5">
        <v>0</v>
      </c>
      <c r="DP401" s="5">
        <v>0</v>
      </c>
      <c r="DQ401" s="5">
        <v>0</v>
      </c>
      <c r="DR401" s="5">
        <f t="shared" si="1028"/>
        <v>0.9</v>
      </c>
      <c r="DS401" s="6">
        <v>1</v>
      </c>
      <c r="DT401" s="5">
        <v>-0.5</v>
      </c>
      <c r="DU401" s="5">
        <v>0.5</v>
      </c>
      <c r="DV401" s="6">
        <v>0.9</v>
      </c>
      <c r="DW401" s="5">
        <f t="shared" si="1029"/>
        <v>0.25</v>
      </c>
      <c r="DX401" s="5">
        <v>3</v>
      </c>
      <c r="DY401" s="5">
        <v>0</v>
      </c>
      <c r="DZ401" s="5">
        <v>0</v>
      </c>
    </row>
    <row r="402" spans="1:130" x14ac:dyDescent="0.15">
      <c r="A402" s="5">
        <v>201400</v>
      </c>
      <c r="B402" s="27" t="s">
        <v>712</v>
      </c>
      <c r="C402" s="27"/>
      <c r="D402" s="27"/>
      <c r="E402" s="27"/>
      <c r="F402" s="5">
        <v>3</v>
      </c>
      <c r="G402" s="45"/>
      <c r="H402" s="5"/>
      <c r="I402" s="5"/>
      <c r="J402" s="5"/>
      <c r="K402" s="5"/>
      <c r="L402" s="10"/>
      <c r="M402" s="5"/>
      <c r="N402" s="10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20"/>
      <c r="AF402" s="5"/>
      <c r="AG402" s="5"/>
      <c r="AH402" s="5"/>
      <c r="AI402" s="5"/>
      <c r="AJ402" s="5"/>
      <c r="AK402" s="5"/>
      <c r="AL402" s="5"/>
      <c r="AM402" s="5"/>
      <c r="AN402" s="8"/>
      <c r="AO402" s="5">
        <v>0</v>
      </c>
      <c r="AP402" s="27" t="s">
        <v>712</v>
      </c>
      <c r="AQ402" s="5">
        <v>0</v>
      </c>
      <c r="AR402" s="8">
        <v>1</v>
      </c>
      <c r="AS402" s="6">
        <f t="shared" si="1035"/>
        <v>30</v>
      </c>
      <c r="AT402" s="6">
        <f t="shared" si="1036"/>
        <v>60</v>
      </c>
      <c r="AU402" s="5">
        <v>0</v>
      </c>
      <c r="AV402" s="5">
        <v>1</v>
      </c>
      <c r="AW402" s="6">
        <v>1</v>
      </c>
      <c r="AX402" s="6">
        <v>1</v>
      </c>
      <c r="AY402" s="6">
        <v>1</v>
      </c>
      <c r="AZ402" s="5">
        <v>201400</v>
      </c>
      <c r="BA402" s="5">
        <v>203041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f t="shared" si="1026"/>
        <v>1</v>
      </c>
      <c r="BM402" s="5">
        <v>0</v>
      </c>
      <c r="BN402" s="5">
        <v>0</v>
      </c>
      <c r="BO402" s="5">
        <v>0</v>
      </c>
      <c r="BP402" s="5">
        <v>0</v>
      </c>
      <c r="BQ402" s="5"/>
      <c r="BR402" s="5"/>
      <c r="BS402" s="4">
        <v>0</v>
      </c>
      <c r="BT402" s="4">
        <f t="shared" si="1023"/>
        <v>10</v>
      </c>
      <c r="BU402" s="4">
        <v>0</v>
      </c>
      <c r="BV402" s="4">
        <f t="shared" si="1013"/>
        <v>10</v>
      </c>
      <c r="BW402" s="4">
        <f t="shared" si="1014"/>
        <v>10</v>
      </c>
      <c r="BX402" s="14">
        <f t="shared" si="1015"/>
        <v>0.21999999999999986</v>
      </c>
      <c r="BY402" s="14">
        <f t="shared" si="1006"/>
        <v>0.10000000000000003</v>
      </c>
      <c r="BZ402" s="27" t="s">
        <v>714</v>
      </c>
      <c r="CA402" s="27" t="s">
        <v>714</v>
      </c>
      <c r="CB402" s="27" t="s">
        <v>714</v>
      </c>
      <c r="CC402" s="5">
        <v>1</v>
      </c>
      <c r="CD402" s="5">
        <v>1</v>
      </c>
      <c r="CE402" s="5">
        <v>0</v>
      </c>
      <c r="CF402" s="5">
        <v>0</v>
      </c>
      <c r="CG402" s="6" t="str">
        <f t="shared" si="1008"/>
        <v>10级兵蚁</v>
      </c>
      <c r="CH402" s="5">
        <v>0</v>
      </c>
      <c r="CI402" s="5">
        <v>0</v>
      </c>
      <c r="CJ402" s="4">
        <v>0</v>
      </c>
      <c r="CK402" s="5">
        <v>0</v>
      </c>
      <c r="CL402" s="5">
        <v>0</v>
      </c>
      <c r="CM402" s="20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10">
        <v>0.9</v>
      </c>
      <c r="CW402" s="10">
        <v>0.7</v>
      </c>
      <c r="CX402" s="10">
        <v>1</v>
      </c>
      <c r="CY402" s="10">
        <v>1</v>
      </c>
      <c r="CZ402" s="8">
        <v>1</v>
      </c>
      <c r="DA402" s="6">
        <f t="shared" si="1016"/>
        <v>250</v>
      </c>
      <c r="DB402" s="5">
        <v>0</v>
      </c>
      <c r="DC402" s="5">
        <f t="shared" si="1037"/>
        <v>0.87</v>
      </c>
      <c r="DD402" s="6">
        <f t="shared" si="1027"/>
        <v>0.87</v>
      </c>
      <c r="DE402" s="6">
        <v>1.2</v>
      </c>
      <c r="DF402" s="5">
        <v>0</v>
      </c>
      <c r="DG402" s="6">
        <f t="shared" si="1018"/>
        <v>2.5</v>
      </c>
      <c r="DH402" s="5">
        <v>1.5</v>
      </c>
      <c r="DI402" s="8">
        <v>0</v>
      </c>
      <c r="DJ402" s="5">
        <f t="shared" si="1031"/>
        <v>0</v>
      </c>
      <c r="DK402" s="8">
        <v>0</v>
      </c>
      <c r="DL402" s="5">
        <f t="shared" si="1034"/>
        <v>0</v>
      </c>
      <c r="DM402" s="27" t="str">
        <f t="shared" si="1002"/>
        <v>10级兵蚁</v>
      </c>
      <c r="DN402" s="5">
        <v>6</v>
      </c>
      <c r="DO402" s="5">
        <v>0</v>
      </c>
      <c r="DP402" s="5">
        <v>0</v>
      </c>
      <c r="DQ402" s="5">
        <v>0</v>
      </c>
      <c r="DR402" s="5">
        <f t="shared" si="1028"/>
        <v>0.9</v>
      </c>
      <c r="DS402" s="6">
        <v>1</v>
      </c>
      <c r="DT402" s="5">
        <v>-0.5</v>
      </c>
      <c r="DU402" s="5">
        <v>0.5</v>
      </c>
      <c r="DV402" s="6">
        <v>0.9</v>
      </c>
      <c r="DW402" s="5">
        <f t="shared" si="1029"/>
        <v>0.25</v>
      </c>
      <c r="DX402" s="5">
        <v>3</v>
      </c>
      <c r="DY402" s="5">
        <v>0</v>
      </c>
      <c r="DZ402" s="5">
        <v>0</v>
      </c>
    </row>
    <row r="403" spans="1:130" x14ac:dyDescent="0.15">
      <c r="A403" s="5">
        <v>201401</v>
      </c>
      <c r="B403" s="28" t="s">
        <v>726</v>
      </c>
      <c r="C403" s="28">
        <v>20</v>
      </c>
      <c r="D403" s="28">
        <v>1</v>
      </c>
      <c r="E403" s="28">
        <v>3</v>
      </c>
      <c r="F403" s="6">
        <v>2</v>
      </c>
      <c r="G403" s="46">
        <v>-0.46479999999999999</v>
      </c>
      <c r="H403" s="28"/>
      <c r="I403" s="28" t="s">
        <v>975</v>
      </c>
      <c r="J403" s="28"/>
      <c r="K403" s="5">
        <f t="shared" ref="K403:K434" si="1039">L403*5/100 + 0.01*(BT403-1)</f>
        <v>0.35</v>
      </c>
      <c r="L403" s="10">
        <v>7</v>
      </c>
      <c r="M403" s="5">
        <f t="shared" ref="M403:M434" si="1040">N403*5/100 + 0.01*(BT403-1)</f>
        <v>0.15</v>
      </c>
      <c r="N403" s="10">
        <v>3</v>
      </c>
      <c r="O403" s="5">
        <v>0</v>
      </c>
      <c r="P403" s="5">
        <f>Q403/10</f>
        <v>0.2</v>
      </c>
      <c r="Q403" s="5">
        <v>2</v>
      </c>
      <c r="R403" s="5">
        <v>903920</v>
      </c>
      <c r="S403" s="5">
        <v>30</v>
      </c>
      <c r="T403" s="5">
        <v>10</v>
      </c>
      <c r="U403" s="5">
        <v>0.3</v>
      </c>
      <c r="V403" s="5">
        <v>0.15</v>
      </c>
      <c r="W403" s="5">
        <v>9</v>
      </c>
      <c r="X403" s="5">
        <v>-0.6</v>
      </c>
      <c r="Y403" s="5">
        <v>1.8</v>
      </c>
      <c r="Z403" s="27" t="s">
        <v>1018</v>
      </c>
      <c r="AA403" s="5">
        <v>3</v>
      </c>
      <c r="AB403" s="5">
        <v>2</v>
      </c>
      <c r="AC403" s="5">
        <v>6</v>
      </c>
      <c r="AD403" s="27" t="s">
        <v>1058</v>
      </c>
      <c r="AE403" s="10">
        <v>120</v>
      </c>
      <c r="AF403" s="5">
        <v>903936</v>
      </c>
      <c r="AG403" s="5">
        <v>60</v>
      </c>
      <c r="AH403" s="5">
        <f>0.1*AJ403</f>
        <v>0.1</v>
      </c>
      <c r="AI403" s="5">
        <v>2</v>
      </c>
      <c r="AJ403" s="5">
        <v>1</v>
      </c>
      <c r="AK403" s="5">
        <v>5</v>
      </c>
      <c r="AL403" s="5">
        <f>AN403*3*BV403</f>
        <v>0</v>
      </c>
      <c r="AM403" s="5">
        <f>(AN403+1)*3*BV403</f>
        <v>3</v>
      </c>
      <c r="AN403" s="8">
        <v>0</v>
      </c>
      <c r="AO403" s="5">
        <v>0</v>
      </c>
      <c r="AP403" s="28" t="s">
        <v>726</v>
      </c>
      <c r="AQ403" s="5">
        <v>0</v>
      </c>
      <c r="AR403" s="8">
        <v>11</v>
      </c>
      <c r="AS403" s="6">
        <f t="shared" si="1035"/>
        <v>33</v>
      </c>
      <c r="AT403" s="6">
        <f t="shared" si="1036"/>
        <v>36</v>
      </c>
      <c r="AU403" s="5">
        <v>0</v>
      </c>
      <c r="AV403" s="5">
        <v>0</v>
      </c>
      <c r="AW403" s="5">
        <v>0</v>
      </c>
      <c r="AX403" s="5">
        <v>1</v>
      </c>
      <c r="AY403" s="5">
        <v>0</v>
      </c>
      <c r="AZ403" s="5">
        <v>201401</v>
      </c>
      <c r="BA403" s="5">
        <f>BA393+1</f>
        <v>203042</v>
      </c>
      <c r="BB403" s="5">
        <v>10</v>
      </c>
      <c r="BC403" s="5">
        <v>0</v>
      </c>
      <c r="BD403" s="5">
        <v>1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f t="shared" si="1026"/>
        <v>1</v>
      </c>
      <c r="BM403" s="5">
        <v>0</v>
      </c>
      <c r="BN403" s="5">
        <v>0</v>
      </c>
      <c r="BO403" s="5">
        <v>0</v>
      </c>
      <c r="BP403" s="5">
        <v>0</v>
      </c>
      <c r="BQ403" s="5"/>
      <c r="BR403" s="5"/>
      <c r="BS403" s="4">
        <v>0</v>
      </c>
      <c r="BT403" s="4">
        <f>BT393</f>
        <v>1</v>
      </c>
      <c r="BU403" s="17">
        <v>0</v>
      </c>
      <c r="BV403" s="4">
        <f>BV393</f>
        <v>1</v>
      </c>
      <c r="BW403" s="4">
        <f>BW393</f>
        <v>1</v>
      </c>
      <c r="BX403" s="4">
        <f>BX393</f>
        <v>0.85</v>
      </c>
      <c r="BY403" s="4">
        <f>BY393</f>
        <v>0.55000000000000004</v>
      </c>
      <c r="BZ403" s="27" t="s">
        <v>1001</v>
      </c>
      <c r="CA403" s="41" t="s">
        <v>990</v>
      </c>
      <c r="CB403" s="30" t="s">
        <v>917</v>
      </c>
      <c r="CC403" s="5">
        <v>0</v>
      </c>
      <c r="CD403" s="8">
        <v>3</v>
      </c>
      <c r="CE403" s="5">
        <f t="shared" ref="CE403" si="1041">CF403*BT403</f>
        <v>1</v>
      </c>
      <c r="CF403" s="5">
        <v>1</v>
      </c>
      <c r="CG403" s="27" t="str">
        <f t="shared" si="1008"/>
        <v>1级岩龙</v>
      </c>
      <c r="CH403" s="5">
        <v>0</v>
      </c>
      <c r="CI403" s="5">
        <v>0</v>
      </c>
      <c r="CJ403" s="4">
        <v>0</v>
      </c>
      <c r="CK403" s="20">
        <v>0</v>
      </c>
      <c r="CL403" s="5">
        <v>0</v>
      </c>
      <c r="CM403" s="20">
        <v>114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20">
        <v>2.5</v>
      </c>
      <c r="CW403" s="20">
        <v>3</v>
      </c>
      <c r="CX403" s="20">
        <v>2.5</v>
      </c>
      <c r="CY403" s="20">
        <v>3.5</v>
      </c>
      <c r="CZ403" s="8">
        <v>200</v>
      </c>
      <c r="DA403" s="6">
        <f t="shared" si="1016"/>
        <v>5000</v>
      </c>
      <c r="DB403" s="5">
        <v>1</v>
      </c>
      <c r="DC403" s="20">
        <f>DD403*3</f>
        <v>1.5</v>
      </c>
      <c r="DD403" s="6">
        <f t="shared" si="1027"/>
        <v>0.5</v>
      </c>
      <c r="DE403" s="6">
        <v>1</v>
      </c>
      <c r="DF403" s="5">
        <v>0</v>
      </c>
      <c r="DG403" s="6">
        <v>2.5</v>
      </c>
      <c r="DH403" s="5">
        <v>0</v>
      </c>
      <c r="DI403" s="8">
        <v>0</v>
      </c>
      <c r="DJ403" s="5">
        <v>0</v>
      </c>
      <c r="DK403" s="8">
        <v>0</v>
      </c>
      <c r="DL403" s="5">
        <f t="shared" si="1034"/>
        <v>0</v>
      </c>
      <c r="DM403" s="5" t="str">
        <f t="shared" si="1002"/>
        <v>1级岩龙</v>
      </c>
      <c r="DN403" s="5">
        <v>6</v>
      </c>
      <c r="DO403" s="5">
        <v>0</v>
      </c>
      <c r="DP403" s="5">
        <v>1</v>
      </c>
      <c r="DQ403" s="5">
        <v>1</v>
      </c>
      <c r="DR403" s="5">
        <v>2.5</v>
      </c>
      <c r="DS403" s="6">
        <v>3.5</v>
      </c>
      <c r="DT403" s="5">
        <v>-0.6</v>
      </c>
      <c r="DU403" s="5">
        <v>0.8</v>
      </c>
      <c r="DV403" s="6">
        <v>0.5</v>
      </c>
      <c r="DW403" s="5">
        <f t="shared" si="1029"/>
        <v>0.66666666666666663</v>
      </c>
      <c r="DX403" s="5">
        <v>8</v>
      </c>
      <c r="DY403" s="5">
        <f t="shared" ref="DY403:DY412" si="1042">DZ403/12</f>
        <v>0</v>
      </c>
      <c r="DZ403" s="5">
        <v>0</v>
      </c>
    </row>
    <row r="404" spans="1:130" x14ac:dyDescent="0.15">
      <c r="A404" s="5">
        <v>201402</v>
      </c>
      <c r="B404" s="28" t="s">
        <v>727</v>
      </c>
      <c r="C404" s="27">
        <v>20</v>
      </c>
      <c r="D404" s="27">
        <v>1</v>
      </c>
      <c r="E404" s="27">
        <v>3</v>
      </c>
      <c r="F404" s="5">
        <v>2</v>
      </c>
      <c r="G404" s="46">
        <v>-0.46479999999999999</v>
      </c>
      <c r="H404" s="27"/>
      <c r="I404" s="27" t="s">
        <v>975</v>
      </c>
      <c r="J404" s="27"/>
      <c r="K404" s="5">
        <f t="shared" si="1039"/>
        <v>0.36</v>
      </c>
      <c r="L404" s="10">
        <f>L403</f>
        <v>7</v>
      </c>
      <c r="M404" s="5">
        <f t="shared" si="1040"/>
        <v>0.16</v>
      </c>
      <c r="N404" s="10">
        <v>3</v>
      </c>
      <c r="O404" s="5">
        <v>0</v>
      </c>
      <c r="P404" s="5">
        <f t="shared" ref="P404:P467" si="1043">Q404/10</f>
        <v>0.2</v>
      </c>
      <c r="Q404" s="5">
        <v>2</v>
      </c>
      <c r="R404" s="5">
        <v>903920</v>
      </c>
      <c r="S404" s="5">
        <v>30</v>
      </c>
      <c r="T404" s="5">
        <v>10</v>
      </c>
      <c r="U404" s="5">
        <v>0.3</v>
      </c>
      <c r="V404" s="5">
        <v>0.15</v>
      </c>
      <c r="W404" s="5">
        <v>9</v>
      </c>
      <c r="X404" s="5">
        <v>-0.6</v>
      </c>
      <c r="Y404" s="5">
        <v>1.8</v>
      </c>
      <c r="Z404" s="27" t="s">
        <v>1018</v>
      </c>
      <c r="AA404" s="5">
        <v>3</v>
      </c>
      <c r="AB404" s="5">
        <v>2</v>
      </c>
      <c r="AC404" s="5">
        <v>6</v>
      </c>
      <c r="AD404" s="27" t="s">
        <v>1019</v>
      </c>
      <c r="AE404" s="10">
        <v>120</v>
      </c>
      <c r="AF404" s="5">
        <v>903936</v>
      </c>
      <c r="AG404" s="5">
        <v>60</v>
      </c>
      <c r="AH404" s="5">
        <f t="shared" ref="AH404:AH467" si="1044">0.1*AJ404</f>
        <v>0.1</v>
      </c>
      <c r="AI404" s="5">
        <v>2</v>
      </c>
      <c r="AJ404" s="5">
        <v>1</v>
      </c>
      <c r="AK404" s="5">
        <v>10</v>
      </c>
      <c r="AL404" s="5">
        <f t="shared" ref="AL404:AL467" si="1045">AN404*3*BV404</f>
        <v>0</v>
      </c>
      <c r="AM404" s="5">
        <f t="shared" ref="AM404:AM467" si="1046">(AN404+1)*3*BV404</f>
        <v>6</v>
      </c>
      <c r="AN404" s="8">
        <v>0</v>
      </c>
      <c r="AO404" s="5">
        <v>0</v>
      </c>
      <c r="AP404" s="28" t="s">
        <v>727</v>
      </c>
      <c r="AQ404" s="5">
        <v>0</v>
      </c>
      <c r="AR404" s="8">
        <v>11</v>
      </c>
      <c r="AS404" s="6">
        <f t="shared" si="1035"/>
        <v>66</v>
      </c>
      <c r="AT404" s="6">
        <f t="shared" si="1036"/>
        <v>72</v>
      </c>
      <c r="AU404" s="5">
        <v>0</v>
      </c>
      <c r="AV404" s="5">
        <v>0</v>
      </c>
      <c r="AW404" s="5">
        <v>0</v>
      </c>
      <c r="AX404" s="5">
        <v>1</v>
      </c>
      <c r="AY404" s="5">
        <v>0</v>
      </c>
      <c r="AZ404" s="5">
        <v>201402</v>
      </c>
      <c r="BA404" s="5">
        <f t="shared" ref="BA404:BA412" si="1047">BA394+1</f>
        <v>203042</v>
      </c>
      <c r="BB404" s="5">
        <v>10</v>
      </c>
      <c r="BC404" s="5">
        <v>0</v>
      </c>
      <c r="BD404" s="5">
        <v>1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f t="shared" si="1026"/>
        <v>1</v>
      </c>
      <c r="BM404" s="5">
        <v>0</v>
      </c>
      <c r="BN404" s="5">
        <v>0</v>
      </c>
      <c r="BO404" s="5">
        <v>0</v>
      </c>
      <c r="BP404" s="5">
        <v>0</v>
      </c>
      <c r="BQ404" s="5"/>
      <c r="BR404" s="5"/>
      <c r="BS404" s="4">
        <v>0</v>
      </c>
      <c r="BT404" s="4">
        <f t="shared" ref="BT404:BT467" si="1048">BT394</f>
        <v>2</v>
      </c>
      <c r="BU404" s="17">
        <v>0</v>
      </c>
      <c r="BV404" s="4">
        <f t="shared" ref="BV404:BY404" si="1049">BV394</f>
        <v>2</v>
      </c>
      <c r="BW404" s="4">
        <f t="shared" si="1049"/>
        <v>2</v>
      </c>
      <c r="BX404" s="4">
        <f t="shared" si="1049"/>
        <v>0.78</v>
      </c>
      <c r="BY404" s="4">
        <f t="shared" si="1049"/>
        <v>0.5</v>
      </c>
      <c r="BZ404" s="27" t="s">
        <v>1001</v>
      </c>
      <c r="CA404" s="41" t="s">
        <v>991</v>
      </c>
      <c r="CB404" s="30" t="s">
        <v>917</v>
      </c>
      <c r="CC404" s="5">
        <v>0</v>
      </c>
      <c r="CD404" s="8">
        <v>3</v>
      </c>
      <c r="CE404" s="5">
        <f t="shared" ref="CE404:CE467" si="1050">CF404*BT404</f>
        <v>2</v>
      </c>
      <c r="CF404" s="5">
        <v>1</v>
      </c>
      <c r="CG404" s="27" t="str">
        <f t="shared" si="1008"/>
        <v>2级岩龙</v>
      </c>
      <c r="CH404" s="5">
        <v>0</v>
      </c>
      <c r="CI404" s="5">
        <v>0</v>
      </c>
      <c r="CJ404" s="4">
        <v>0</v>
      </c>
      <c r="CK404" s="20">
        <v>0</v>
      </c>
      <c r="CL404" s="5">
        <v>0</v>
      </c>
      <c r="CM404" s="20">
        <v>114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20">
        <v>2.5</v>
      </c>
      <c r="CW404" s="20">
        <v>3</v>
      </c>
      <c r="CX404" s="20">
        <v>2.5</v>
      </c>
      <c r="CY404" s="20">
        <v>3.5</v>
      </c>
      <c r="CZ404" s="8">
        <v>200</v>
      </c>
      <c r="DA404" s="6">
        <f t="shared" si="1016"/>
        <v>10000</v>
      </c>
      <c r="DB404" s="5">
        <v>1</v>
      </c>
      <c r="DC404" s="20">
        <f t="shared" ref="DC404:DC467" si="1051">DD404*3</f>
        <v>1.5750000000000002</v>
      </c>
      <c r="DD404" s="6">
        <f t="shared" si="1027"/>
        <v>0.52500000000000002</v>
      </c>
      <c r="DE404" s="6">
        <v>1</v>
      </c>
      <c r="DF404" s="5">
        <v>0</v>
      </c>
      <c r="DG404" s="6">
        <v>2.5</v>
      </c>
      <c r="DH404" s="5">
        <v>0</v>
      </c>
      <c r="DI404" s="8">
        <v>0</v>
      </c>
      <c r="DJ404" s="5">
        <v>0</v>
      </c>
      <c r="DK404" s="8">
        <v>0</v>
      </c>
      <c r="DL404" s="5">
        <f t="shared" si="1034"/>
        <v>0</v>
      </c>
      <c r="DM404" s="5" t="str">
        <f t="shared" si="1002"/>
        <v>2级岩龙</v>
      </c>
      <c r="DN404" s="5">
        <v>6</v>
      </c>
      <c r="DO404" s="5">
        <v>0</v>
      </c>
      <c r="DP404" s="5">
        <v>1</v>
      </c>
      <c r="DQ404" s="5">
        <v>1</v>
      </c>
      <c r="DR404" s="5">
        <v>2.5</v>
      </c>
      <c r="DS404" s="6">
        <v>3.5</v>
      </c>
      <c r="DT404" s="5">
        <v>-0.6</v>
      </c>
      <c r="DU404" s="5">
        <v>0.8</v>
      </c>
      <c r="DV404" s="6">
        <v>0.5</v>
      </c>
      <c r="DW404" s="5">
        <f t="shared" si="1029"/>
        <v>0.66666666666666663</v>
      </c>
      <c r="DX404" s="5">
        <v>8</v>
      </c>
      <c r="DY404" s="5">
        <f t="shared" si="1042"/>
        <v>0</v>
      </c>
      <c r="DZ404" s="5">
        <v>0</v>
      </c>
    </row>
    <row r="405" spans="1:130" x14ac:dyDescent="0.15">
      <c r="A405" s="5">
        <v>201403</v>
      </c>
      <c r="B405" s="28" t="s">
        <v>728</v>
      </c>
      <c r="C405" s="27">
        <v>20</v>
      </c>
      <c r="D405" s="27">
        <v>1</v>
      </c>
      <c r="E405" s="27">
        <v>3</v>
      </c>
      <c r="F405" s="5">
        <v>2</v>
      </c>
      <c r="G405" s="46">
        <v>-0.46479999999999999</v>
      </c>
      <c r="H405" s="27"/>
      <c r="I405" s="27" t="s">
        <v>975</v>
      </c>
      <c r="J405" s="27"/>
      <c r="K405" s="5">
        <f t="shared" si="1039"/>
        <v>0.37</v>
      </c>
      <c r="L405" s="10">
        <f t="shared" ref="L405:L412" si="1052">L404</f>
        <v>7</v>
      </c>
      <c r="M405" s="5">
        <f t="shared" si="1040"/>
        <v>0.16999999999999998</v>
      </c>
      <c r="N405" s="10">
        <v>3</v>
      </c>
      <c r="O405" s="5">
        <v>0</v>
      </c>
      <c r="P405" s="5">
        <f t="shared" si="1043"/>
        <v>0.2</v>
      </c>
      <c r="Q405" s="5">
        <v>2</v>
      </c>
      <c r="R405" s="5">
        <v>903920</v>
      </c>
      <c r="S405" s="5">
        <v>30</v>
      </c>
      <c r="T405" s="5">
        <v>10</v>
      </c>
      <c r="U405" s="5">
        <v>0.3</v>
      </c>
      <c r="V405" s="5">
        <v>0.15</v>
      </c>
      <c r="W405" s="5">
        <v>9</v>
      </c>
      <c r="X405" s="5">
        <v>-0.6</v>
      </c>
      <c r="Y405" s="5">
        <v>1.8</v>
      </c>
      <c r="Z405" s="27" t="s">
        <v>1018</v>
      </c>
      <c r="AA405" s="5">
        <v>3</v>
      </c>
      <c r="AB405" s="5">
        <v>2</v>
      </c>
      <c r="AC405" s="5">
        <v>6</v>
      </c>
      <c r="AD405" s="27" t="s">
        <v>1019</v>
      </c>
      <c r="AE405" s="10">
        <v>120</v>
      </c>
      <c r="AF405" s="5">
        <v>903936</v>
      </c>
      <c r="AG405" s="5">
        <v>60</v>
      </c>
      <c r="AH405" s="5">
        <f t="shared" si="1044"/>
        <v>0.1</v>
      </c>
      <c r="AI405" s="5">
        <v>2</v>
      </c>
      <c r="AJ405" s="5">
        <v>1</v>
      </c>
      <c r="AK405" s="5">
        <v>15</v>
      </c>
      <c r="AL405" s="5">
        <f t="shared" si="1045"/>
        <v>0</v>
      </c>
      <c r="AM405" s="5">
        <f t="shared" si="1046"/>
        <v>9</v>
      </c>
      <c r="AN405" s="8">
        <v>0</v>
      </c>
      <c r="AO405" s="5">
        <v>0</v>
      </c>
      <c r="AP405" s="28" t="s">
        <v>728</v>
      </c>
      <c r="AQ405" s="5">
        <v>0</v>
      </c>
      <c r="AR405" s="8">
        <v>11</v>
      </c>
      <c r="AS405" s="6">
        <f t="shared" si="1035"/>
        <v>99</v>
      </c>
      <c r="AT405" s="6">
        <f t="shared" si="1036"/>
        <v>108</v>
      </c>
      <c r="AU405" s="5">
        <v>0</v>
      </c>
      <c r="AV405" s="5">
        <v>0</v>
      </c>
      <c r="AW405" s="5">
        <v>0</v>
      </c>
      <c r="AX405" s="5">
        <v>1</v>
      </c>
      <c r="AY405" s="5">
        <v>0</v>
      </c>
      <c r="AZ405" s="5">
        <v>201403</v>
      </c>
      <c r="BA405" s="5">
        <f t="shared" si="1047"/>
        <v>203042</v>
      </c>
      <c r="BB405" s="5">
        <v>10</v>
      </c>
      <c r="BC405" s="5">
        <v>0</v>
      </c>
      <c r="BD405" s="5">
        <v>1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f t="shared" si="1026"/>
        <v>1</v>
      </c>
      <c r="BM405" s="5">
        <v>0</v>
      </c>
      <c r="BN405" s="5">
        <v>0</v>
      </c>
      <c r="BO405" s="5">
        <v>0</v>
      </c>
      <c r="BP405" s="5">
        <v>0</v>
      </c>
      <c r="BQ405" s="5"/>
      <c r="BR405" s="5"/>
      <c r="BS405" s="4">
        <v>0</v>
      </c>
      <c r="BT405" s="4">
        <f t="shared" si="1048"/>
        <v>3</v>
      </c>
      <c r="BU405" s="17">
        <v>0</v>
      </c>
      <c r="BV405" s="4">
        <f t="shared" ref="BV405:BY405" si="1053">BV395</f>
        <v>3</v>
      </c>
      <c r="BW405" s="4">
        <f t="shared" si="1053"/>
        <v>3</v>
      </c>
      <c r="BX405" s="4">
        <f t="shared" si="1053"/>
        <v>0.71</v>
      </c>
      <c r="BY405" s="4">
        <f t="shared" si="1053"/>
        <v>0.45000000000000007</v>
      </c>
      <c r="BZ405" s="27" t="s">
        <v>1000</v>
      </c>
      <c r="CA405" s="41" t="s">
        <v>992</v>
      </c>
      <c r="CB405" s="30" t="s">
        <v>917</v>
      </c>
      <c r="CC405" s="5">
        <v>0</v>
      </c>
      <c r="CD405" s="8">
        <v>3</v>
      </c>
      <c r="CE405" s="5">
        <f t="shared" si="1050"/>
        <v>3</v>
      </c>
      <c r="CF405" s="5">
        <v>1</v>
      </c>
      <c r="CG405" s="27" t="str">
        <f t="shared" si="1008"/>
        <v>3级岩龙</v>
      </c>
      <c r="CH405" s="5">
        <v>0</v>
      </c>
      <c r="CI405" s="5">
        <v>0</v>
      </c>
      <c r="CJ405" s="4">
        <v>0</v>
      </c>
      <c r="CK405" s="20">
        <v>0</v>
      </c>
      <c r="CL405" s="5">
        <v>0</v>
      </c>
      <c r="CM405" s="20">
        <v>114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20">
        <v>2.5</v>
      </c>
      <c r="CW405" s="20">
        <v>3</v>
      </c>
      <c r="CX405" s="20">
        <v>2.5</v>
      </c>
      <c r="CY405" s="20">
        <v>3.5</v>
      </c>
      <c r="CZ405" s="8">
        <v>200</v>
      </c>
      <c r="DA405" s="6">
        <f t="shared" si="1016"/>
        <v>15000</v>
      </c>
      <c r="DB405" s="5">
        <v>1</v>
      </c>
      <c r="DC405" s="20">
        <f t="shared" si="1051"/>
        <v>1.6500000000000001</v>
      </c>
      <c r="DD405" s="6">
        <f t="shared" si="1027"/>
        <v>0.55000000000000004</v>
      </c>
      <c r="DE405" s="6">
        <v>1</v>
      </c>
      <c r="DF405" s="5">
        <v>0</v>
      </c>
      <c r="DG405" s="6">
        <v>2.5</v>
      </c>
      <c r="DH405" s="5">
        <v>0</v>
      </c>
      <c r="DI405" s="8">
        <v>0</v>
      </c>
      <c r="DJ405" s="5">
        <v>0</v>
      </c>
      <c r="DK405" s="8">
        <v>0</v>
      </c>
      <c r="DL405" s="5">
        <f t="shared" si="1034"/>
        <v>0</v>
      </c>
      <c r="DM405" s="5" t="str">
        <f t="shared" ref="DM405:DM468" si="1054">B405</f>
        <v>3级岩龙</v>
      </c>
      <c r="DN405" s="5">
        <v>6</v>
      </c>
      <c r="DO405" s="5">
        <v>0</v>
      </c>
      <c r="DP405" s="5">
        <v>1</v>
      </c>
      <c r="DQ405" s="5">
        <v>1</v>
      </c>
      <c r="DR405" s="5">
        <v>2.5</v>
      </c>
      <c r="DS405" s="6">
        <v>3.5</v>
      </c>
      <c r="DT405" s="5">
        <v>-0.6</v>
      </c>
      <c r="DU405" s="5">
        <v>0.8</v>
      </c>
      <c r="DV405" s="6">
        <v>0.5</v>
      </c>
      <c r="DW405" s="5">
        <f t="shared" si="1029"/>
        <v>0.66666666666666663</v>
      </c>
      <c r="DX405" s="5">
        <v>8</v>
      </c>
      <c r="DY405" s="5">
        <f t="shared" si="1042"/>
        <v>0</v>
      </c>
      <c r="DZ405" s="5">
        <v>0</v>
      </c>
    </row>
    <row r="406" spans="1:130" x14ac:dyDescent="0.15">
      <c r="A406" s="5">
        <v>201404</v>
      </c>
      <c r="B406" s="28" t="s">
        <v>729</v>
      </c>
      <c r="C406" s="27">
        <v>20</v>
      </c>
      <c r="D406" s="27">
        <v>1</v>
      </c>
      <c r="E406" s="27">
        <v>3</v>
      </c>
      <c r="F406" s="5">
        <v>2</v>
      </c>
      <c r="G406" s="46">
        <v>-0.46479999999999999</v>
      </c>
      <c r="H406" s="27"/>
      <c r="I406" s="27" t="s">
        <v>975</v>
      </c>
      <c r="J406" s="27"/>
      <c r="K406" s="5">
        <f t="shared" si="1039"/>
        <v>0.38</v>
      </c>
      <c r="L406" s="10">
        <f t="shared" si="1052"/>
        <v>7</v>
      </c>
      <c r="M406" s="5">
        <f t="shared" si="1040"/>
        <v>0.18</v>
      </c>
      <c r="N406" s="10">
        <v>3</v>
      </c>
      <c r="O406" s="5">
        <v>0</v>
      </c>
      <c r="P406" s="5">
        <f t="shared" si="1043"/>
        <v>0.2</v>
      </c>
      <c r="Q406" s="5">
        <v>2</v>
      </c>
      <c r="R406" s="5">
        <v>903920</v>
      </c>
      <c r="S406" s="5">
        <v>30</v>
      </c>
      <c r="T406" s="5">
        <v>10</v>
      </c>
      <c r="U406" s="5">
        <v>0.3</v>
      </c>
      <c r="V406" s="5">
        <v>0.15</v>
      </c>
      <c r="W406" s="5">
        <v>9</v>
      </c>
      <c r="X406" s="5">
        <v>-0.6</v>
      </c>
      <c r="Y406" s="5">
        <v>1.8</v>
      </c>
      <c r="Z406" s="27" t="s">
        <v>1018</v>
      </c>
      <c r="AA406" s="5">
        <v>3</v>
      </c>
      <c r="AB406" s="5">
        <v>2</v>
      </c>
      <c r="AC406" s="5">
        <v>6</v>
      </c>
      <c r="AD406" s="27" t="s">
        <v>1019</v>
      </c>
      <c r="AE406" s="10">
        <v>120</v>
      </c>
      <c r="AF406" s="5">
        <v>903936</v>
      </c>
      <c r="AG406" s="5">
        <v>60</v>
      </c>
      <c r="AH406" s="5">
        <f t="shared" si="1044"/>
        <v>0.1</v>
      </c>
      <c r="AI406" s="5">
        <v>2</v>
      </c>
      <c r="AJ406" s="5">
        <v>1</v>
      </c>
      <c r="AK406" s="5">
        <v>20</v>
      </c>
      <c r="AL406" s="5">
        <f t="shared" si="1045"/>
        <v>0</v>
      </c>
      <c r="AM406" s="5">
        <f t="shared" si="1046"/>
        <v>12</v>
      </c>
      <c r="AN406" s="8">
        <v>0</v>
      </c>
      <c r="AO406" s="5">
        <v>0</v>
      </c>
      <c r="AP406" s="28" t="s">
        <v>729</v>
      </c>
      <c r="AQ406" s="5">
        <v>0</v>
      </c>
      <c r="AR406" s="8">
        <v>11</v>
      </c>
      <c r="AS406" s="6">
        <f t="shared" si="1035"/>
        <v>132</v>
      </c>
      <c r="AT406" s="6">
        <f t="shared" si="1036"/>
        <v>144</v>
      </c>
      <c r="AU406" s="5">
        <v>0</v>
      </c>
      <c r="AV406" s="5">
        <v>0</v>
      </c>
      <c r="AW406" s="5">
        <v>0</v>
      </c>
      <c r="AX406" s="5">
        <v>1</v>
      </c>
      <c r="AY406" s="5">
        <v>0</v>
      </c>
      <c r="AZ406" s="5">
        <v>201404</v>
      </c>
      <c r="BA406" s="5">
        <f t="shared" si="1047"/>
        <v>203042</v>
      </c>
      <c r="BB406" s="5">
        <v>10</v>
      </c>
      <c r="BC406" s="5">
        <v>0</v>
      </c>
      <c r="BD406" s="5">
        <v>1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f t="shared" si="1026"/>
        <v>1</v>
      </c>
      <c r="BM406" s="5">
        <v>0</v>
      </c>
      <c r="BN406" s="5">
        <v>0</v>
      </c>
      <c r="BO406" s="5">
        <v>0</v>
      </c>
      <c r="BP406" s="5">
        <v>0</v>
      </c>
      <c r="BQ406" s="5"/>
      <c r="BR406" s="5"/>
      <c r="BS406" s="4">
        <v>0</v>
      </c>
      <c r="BT406" s="4">
        <f t="shared" si="1048"/>
        <v>4</v>
      </c>
      <c r="BU406" s="17">
        <v>0</v>
      </c>
      <c r="BV406" s="4">
        <f t="shared" ref="BV406:BY406" si="1055">BV396</f>
        <v>4</v>
      </c>
      <c r="BW406" s="4">
        <f t="shared" si="1055"/>
        <v>4</v>
      </c>
      <c r="BX406" s="4">
        <f t="shared" si="1055"/>
        <v>0.6399999999999999</v>
      </c>
      <c r="BY406" s="4">
        <f t="shared" si="1055"/>
        <v>0.4</v>
      </c>
      <c r="BZ406" s="27" t="s">
        <v>1000</v>
      </c>
      <c r="CA406" s="41" t="s">
        <v>993</v>
      </c>
      <c r="CB406" s="30" t="s">
        <v>917</v>
      </c>
      <c r="CC406" s="5">
        <v>0</v>
      </c>
      <c r="CD406" s="8">
        <v>3</v>
      </c>
      <c r="CE406" s="5">
        <f t="shared" si="1050"/>
        <v>4</v>
      </c>
      <c r="CF406" s="5">
        <v>1</v>
      </c>
      <c r="CG406" s="27" t="str">
        <f t="shared" si="1008"/>
        <v>4级岩龙</v>
      </c>
      <c r="CH406" s="5">
        <v>0</v>
      </c>
      <c r="CI406" s="5">
        <v>0</v>
      </c>
      <c r="CJ406" s="4">
        <v>0</v>
      </c>
      <c r="CK406" s="20">
        <v>0</v>
      </c>
      <c r="CL406" s="5">
        <v>0</v>
      </c>
      <c r="CM406" s="20">
        <v>114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20">
        <v>2.5</v>
      </c>
      <c r="CW406" s="20">
        <v>3</v>
      </c>
      <c r="CX406" s="20">
        <v>2.5</v>
      </c>
      <c r="CY406" s="20">
        <v>3.5</v>
      </c>
      <c r="CZ406" s="8">
        <v>200</v>
      </c>
      <c r="DA406" s="6">
        <f t="shared" si="1016"/>
        <v>20000</v>
      </c>
      <c r="DB406" s="5">
        <v>1</v>
      </c>
      <c r="DC406" s="20">
        <f t="shared" si="1051"/>
        <v>1.7249999999999999</v>
      </c>
      <c r="DD406" s="6">
        <f t="shared" si="1027"/>
        <v>0.57499999999999996</v>
      </c>
      <c r="DE406" s="6">
        <v>1</v>
      </c>
      <c r="DF406" s="5">
        <v>0</v>
      </c>
      <c r="DG406" s="6">
        <v>2.5</v>
      </c>
      <c r="DH406" s="5">
        <v>0</v>
      </c>
      <c r="DI406" s="8">
        <v>0</v>
      </c>
      <c r="DJ406" s="5">
        <v>0</v>
      </c>
      <c r="DK406" s="8">
        <v>0</v>
      </c>
      <c r="DL406" s="5">
        <f t="shared" si="1034"/>
        <v>0</v>
      </c>
      <c r="DM406" s="5" t="str">
        <f t="shared" si="1054"/>
        <v>4级岩龙</v>
      </c>
      <c r="DN406" s="5">
        <v>6</v>
      </c>
      <c r="DO406" s="5">
        <v>0</v>
      </c>
      <c r="DP406" s="5">
        <v>1</v>
      </c>
      <c r="DQ406" s="5">
        <v>1</v>
      </c>
      <c r="DR406" s="5">
        <v>2.5</v>
      </c>
      <c r="DS406" s="6">
        <v>3.5</v>
      </c>
      <c r="DT406" s="5">
        <v>-0.6</v>
      </c>
      <c r="DU406" s="5">
        <v>0.8</v>
      </c>
      <c r="DV406" s="6">
        <v>0.5</v>
      </c>
      <c r="DW406" s="5">
        <f t="shared" si="1029"/>
        <v>0.66666666666666663</v>
      </c>
      <c r="DX406" s="5">
        <v>8</v>
      </c>
      <c r="DY406" s="5">
        <f t="shared" si="1042"/>
        <v>0</v>
      </c>
      <c r="DZ406" s="5">
        <v>0</v>
      </c>
    </row>
    <row r="407" spans="1:130" x14ac:dyDescent="0.15">
      <c r="A407" s="5">
        <v>201405</v>
      </c>
      <c r="B407" s="28" t="s">
        <v>730</v>
      </c>
      <c r="C407" s="27">
        <v>20</v>
      </c>
      <c r="D407" s="27">
        <v>1</v>
      </c>
      <c r="E407" s="27">
        <v>3</v>
      </c>
      <c r="F407" s="5">
        <v>2</v>
      </c>
      <c r="G407" s="46">
        <v>-0.46479999999999999</v>
      </c>
      <c r="H407" s="27"/>
      <c r="I407" s="27" t="s">
        <v>975</v>
      </c>
      <c r="J407" s="27"/>
      <c r="K407" s="5">
        <f t="shared" si="1039"/>
        <v>0.38999999999999996</v>
      </c>
      <c r="L407" s="10">
        <f t="shared" si="1052"/>
        <v>7</v>
      </c>
      <c r="M407" s="5">
        <f t="shared" si="1040"/>
        <v>0.19</v>
      </c>
      <c r="N407" s="10">
        <v>3</v>
      </c>
      <c r="O407" s="5">
        <v>0</v>
      </c>
      <c r="P407" s="5">
        <f t="shared" si="1043"/>
        <v>0.2</v>
      </c>
      <c r="Q407" s="5">
        <v>2</v>
      </c>
      <c r="R407" s="5">
        <v>903920</v>
      </c>
      <c r="S407" s="5">
        <v>30</v>
      </c>
      <c r="T407" s="5">
        <v>10</v>
      </c>
      <c r="U407" s="5">
        <v>0.3</v>
      </c>
      <c r="V407" s="5">
        <v>0.15</v>
      </c>
      <c r="W407" s="5">
        <v>9</v>
      </c>
      <c r="X407" s="5">
        <v>-0.6</v>
      </c>
      <c r="Y407" s="5">
        <v>1.8</v>
      </c>
      <c r="Z407" s="27" t="s">
        <v>1018</v>
      </c>
      <c r="AA407" s="5">
        <v>3</v>
      </c>
      <c r="AB407" s="5">
        <v>2</v>
      </c>
      <c r="AC407" s="5">
        <v>6</v>
      </c>
      <c r="AD407" s="27" t="s">
        <v>1019</v>
      </c>
      <c r="AE407" s="10">
        <v>120</v>
      </c>
      <c r="AF407" s="5">
        <v>903936</v>
      </c>
      <c r="AG407" s="5">
        <v>60</v>
      </c>
      <c r="AH407" s="5">
        <f t="shared" si="1044"/>
        <v>0.1</v>
      </c>
      <c r="AI407" s="5">
        <v>2</v>
      </c>
      <c r="AJ407" s="5">
        <v>1</v>
      </c>
      <c r="AK407" s="5">
        <v>25</v>
      </c>
      <c r="AL407" s="5">
        <f t="shared" si="1045"/>
        <v>0</v>
      </c>
      <c r="AM407" s="5">
        <f t="shared" si="1046"/>
        <v>15</v>
      </c>
      <c r="AN407" s="8">
        <v>0</v>
      </c>
      <c r="AO407" s="5">
        <v>0</v>
      </c>
      <c r="AP407" s="28" t="s">
        <v>730</v>
      </c>
      <c r="AQ407" s="5">
        <v>0</v>
      </c>
      <c r="AR407" s="8">
        <v>11</v>
      </c>
      <c r="AS407" s="6">
        <f t="shared" si="1035"/>
        <v>165</v>
      </c>
      <c r="AT407" s="6">
        <f t="shared" si="1036"/>
        <v>180</v>
      </c>
      <c r="AU407" s="5">
        <v>0</v>
      </c>
      <c r="AV407" s="5">
        <v>0</v>
      </c>
      <c r="AW407" s="5">
        <v>0</v>
      </c>
      <c r="AX407" s="5">
        <v>1</v>
      </c>
      <c r="AY407" s="5">
        <v>0</v>
      </c>
      <c r="AZ407" s="5">
        <v>201405</v>
      </c>
      <c r="BA407" s="5">
        <f t="shared" si="1047"/>
        <v>203042</v>
      </c>
      <c r="BB407" s="5">
        <v>10</v>
      </c>
      <c r="BC407" s="5">
        <v>0</v>
      </c>
      <c r="BD407" s="5">
        <v>1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f t="shared" si="1026"/>
        <v>1</v>
      </c>
      <c r="BM407" s="5">
        <v>0</v>
      </c>
      <c r="BN407" s="5">
        <v>0</v>
      </c>
      <c r="BO407" s="5">
        <v>0</v>
      </c>
      <c r="BP407" s="5">
        <v>0</v>
      </c>
      <c r="BQ407" s="5"/>
      <c r="BR407" s="5"/>
      <c r="BS407" s="4">
        <v>0</v>
      </c>
      <c r="BT407" s="4">
        <f t="shared" si="1048"/>
        <v>5</v>
      </c>
      <c r="BU407" s="17">
        <v>0</v>
      </c>
      <c r="BV407" s="4">
        <f t="shared" ref="BV407:BY407" si="1056">BV397</f>
        <v>5</v>
      </c>
      <c r="BW407" s="4">
        <f t="shared" si="1056"/>
        <v>5</v>
      </c>
      <c r="BX407" s="4">
        <f t="shared" si="1056"/>
        <v>0.56999999999999995</v>
      </c>
      <c r="BY407" s="4">
        <f t="shared" si="1056"/>
        <v>0.35000000000000003</v>
      </c>
      <c r="BZ407" s="27" t="s">
        <v>1000</v>
      </c>
      <c r="CA407" s="41" t="s">
        <v>994</v>
      </c>
      <c r="CB407" s="30" t="s">
        <v>917</v>
      </c>
      <c r="CC407" s="5">
        <v>0</v>
      </c>
      <c r="CD407" s="8">
        <v>3</v>
      </c>
      <c r="CE407" s="5">
        <f t="shared" si="1050"/>
        <v>5</v>
      </c>
      <c r="CF407" s="5">
        <v>1</v>
      </c>
      <c r="CG407" s="27" t="str">
        <f t="shared" ref="CG407:CG470" si="1057">B407</f>
        <v>5级岩龙</v>
      </c>
      <c r="CH407" s="5">
        <v>0</v>
      </c>
      <c r="CI407" s="5">
        <v>0</v>
      </c>
      <c r="CJ407" s="4">
        <v>0</v>
      </c>
      <c r="CK407" s="20">
        <v>0</v>
      </c>
      <c r="CL407" s="5">
        <v>0</v>
      </c>
      <c r="CM407" s="20">
        <v>114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0</v>
      </c>
      <c r="CV407" s="20">
        <v>2.5</v>
      </c>
      <c r="CW407" s="20">
        <v>3</v>
      </c>
      <c r="CX407" s="20">
        <v>2.5</v>
      </c>
      <c r="CY407" s="20">
        <v>3.5</v>
      </c>
      <c r="CZ407" s="8">
        <v>200</v>
      </c>
      <c r="DA407" s="6">
        <f t="shared" si="1016"/>
        <v>25000</v>
      </c>
      <c r="DB407" s="5">
        <v>1</v>
      </c>
      <c r="DC407" s="20">
        <f t="shared" si="1051"/>
        <v>1.7999999999999998</v>
      </c>
      <c r="DD407" s="6">
        <f t="shared" si="1027"/>
        <v>0.6</v>
      </c>
      <c r="DE407" s="6">
        <v>1</v>
      </c>
      <c r="DF407" s="5">
        <v>0</v>
      </c>
      <c r="DG407" s="6">
        <v>2.5</v>
      </c>
      <c r="DH407" s="5">
        <v>0</v>
      </c>
      <c r="DI407" s="8">
        <v>0</v>
      </c>
      <c r="DJ407" s="5">
        <v>0</v>
      </c>
      <c r="DK407" s="8">
        <v>0</v>
      </c>
      <c r="DL407" s="5">
        <f t="shared" si="1034"/>
        <v>0</v>
      </c>
      <c r="DM407" s="5" t="str">
        <f t="shared" si="1054"/>
        <v>5级岩龙</v>
      </c>
      <c r="DN407" s="5">
        <v>6</v>
      </c>
      <c r="DO407" s="5">
        <v>0</v>
      </c>
      <c r="DP407" s="5">
        <v>1</v>
      </c>
      <c r="DQ407" s="5">
        <v>1</v>
      </c>
      <c r="DR407" s="5">
        <v>2.5</v>
      </c>
      <c r="DS407" s="6">
        <v>3.5</v>
      </c>
      <c r="DT407" s="5">
        <v>-0.6</v>
      </c>
      <c r="DU407" s="5">
        <v>0.8</v>
      </c>
      <c r="DV407" s="6">
        <v>0.5</v>
      </c>
      <c r="DW407" s="5">
        <f t="shared" si="1029"/>
        <v>0.66666666666666663</v>
      </c>
      <c r="DX407" s="5">
        <v>8</v>
      </c>
      <c r="DY407" s="5">
        <f t="shared" si="1042"/>
        <v>0</v>
      </c>
      <c r="DZ407" s="5">
        <v>0</v>
      </c>
    </row>
    <row r="408" spans="1:130" x14ac:dyDescent="0.15">
      <c r="A408" s="5">
        <v>201406</v>
      </c>
      <c r="B408" s="28" t="s">
        <v>731</v>
      </c>
      <c r="C408" s="27">
        <v>20</v>
      </c>
      <c r="D408" s="27">
        <v>1</v>
      </c>
      <c r="E408" s="27">
        <v>3</v>
      </c>
      <c r="F408" s="5">
        <v>2</v>
      </c>
      <c r="G408" s="46">
        <v>-0.46479999999999999</v>
      </c>
      <c r="H408" s="27"/>
      <c r="I408" s="27" t="s">
        <v>975</v>
      </c>
      <c r="J408" s="27"/>
      <c r="K408" s="5">
        <f t="shared" si="1039"/>
        <v>0.39999999999999997</v>
      </c>
      <c r="L408" s="10">
        <f t="shared" si="1052"/>
        <v>7</v>
      </c>
      <c r="M408" s="5">
        <f t="shared" si="1040"/>
        <v>0.2</v>
      </c>
      <c r="N408" s="10">
        <v>3</v>
      </c>
      <c r="O408" s="5">
        <v>0</v>
      </c>
      <c r="P408" s="5">
        <f t="shared" si="1043"/>
        <v>0.2</v>
      </c>
      <c r="Q408" s="5">
        <v>2</v>
      </c>
      <c r="R408" s="5">
        <v>903920</v>
      </c>
      <c r="S408" s="5">
        <v>30</v>
      </c>
      <c r="T408" s="5">
        <v>10</v>
      </c>
      <c r="U408" s="5">
        <v>0.3</v>
      </c>
      <c r="V408" s="5">
        <v>0.15</v>
      </c>
      <c r="W408" s="5">
        <v>9</v>
      </c>
      <c r="X408" s="5">
        <v>-0.6</v>
      </c>
      <c r="Y408" s="5">
        <v>1.8</v>
      </c>
      <c r="Z408" s="27" t="s">
        <v>1018</v>
      </c>
      <c r="AA408" s="5">
        <v>3</v>
      </c>
      <c r="AB408" s="5">
        <v>2</v>
      </c>
      <c r="AC408" s="5">
        <v>6</v>
      </c>
      <c r="AD408" s="27" t="s">
        <v>1019</v>
      </c>
      <c r="AE408" s="10">
        <v>120</v>
      </c>
      <c r="AF408" s="5">
        <v>903936</v>
      </c>
      <c r="AG408" s="5">
        <v>60</v>
      </c>
      <c r="AH408" s="5">
        <f t="shared" si="1044"/>
        <v>0.1</v>
      </c>
      <c r="AI408" s="5">
        <v>2</v>
      </c>
      <c r="AJ408" s="5">
        <v>1</v>
      </c>
      <c r="AK408" s="5">
        <v>30</v>
      </c>
      <c r="AL408" s="5">
        <f t="shared" si="1045"/>
        <v>0</v>
      </c>
      <c r="AM408" s="5">
        <f t="shared" si="1046"/>
        <v>18</v>
      </c>
      <c r="AN408" s="8">
        <v>0</v>
      </c>
      <c r="AO408" s="5">
        <v>0</v>
      </c>
      <c r="AP408" s="28" t="s">
        <v>731</v>
      </c>
      <c r="AQ408" s="5">
        <v>0</v>
      </c>
      <c r="AR408" s="8">
        <v>11</v>
      </c>
      <c r="AS408" s="6">
        <f t="shared" si="1035"/>
        <v>198</v>
      </c>
      <c r="AT408" s="6">
        <f t="shared" si="1036"/>
        <v>216</v>
      </c>
      <c r="AU408" s="5">
        <v>0</v>
      </c>
      <c r="AV408" s="5">
        <v>0</v>
      </c>
      <c r="AW408" s="5">
        <v>0</v>
      </c>
      <c r="AX408" s="5">
        <v>1</v>
      </c>
      <c r="AY408" s="5">
        <v>0</v>
      </c>
      <c r="AZ408" s="5">
        <v>201406</v>
      </c>
      <c r="BA408" s="5">
        <f t="shared" si="1047"/>
        <v>203042</v>
      </c>
      <c r="BB408" s="5">
        <v>10</v>
      </c>
      <c r="BC408" s="5">
        <v>0</v>
      </c>
      <c r="BD408" s="5">
        <v>1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f t="shared" si="1026"/>
        <v>1</v>
      </c>
      <c r="BM408" s="5">
        <v>0</v>
      </c>
      <c r="BN408" s="5">
        <v>0</v>
      </c>
      <c r="BO408" s="5">
        <v>0</v>
      </c>
      <c r="BP408" s="5">
        <v>0</v>
      </c>
      <c r="BQ408" s="5"/>
      <c r="BR408" s="5"/>
      <c r="BS408" s="4">
        <v>0</v>
      </c>
      <c r="BT408" s="4">
        <f t="shared" si="1048"/>
        <v>6</v>
      </c>
      <c r="BU408" s="17">
        <v>0</v>
      </c>
      <c r="BV408" s="4">
        <f t="shared" ref="BV408:BY408" si="1058">BV398</f>
        <v>6</v>
      </c>
      <c r="BW408" s="4">
        <f t="shared" si="1058"/>
        <v>6</v>
      </c>
      <c r="BX408" s="4">
        <f t="shared" si="1058"/>
        <v>0.49999999999999994</v>
      </c>
      <c r="BY408" s="4">
        <f t="shared" si="1058"/>
        <v>0.30000000000000004</v>
      </c>
      <c r="BZ408" s="27" t="s">
        <v>1000</v>
      </c>
      <c r="CA408" s="41" t="s">
        <v>995</v>
      </c>
      <c r="CB408" s="30" t="s">
        <v>917</v>
      </c>
      <c r="CC408" s="5">
        <v>0</v>
      </c>
      <c r="CD408" s="8">
        <v>3</v>
      </c>
      <c r="CE408" s="5">
        <f t="shared" si="1050"/>
        <v>6</v>
      </c>
      <c r="CF408" s="5">
        <v>1</v>
      </c>
      <c r="CG408" s="27" t="str">
        <f t="shared" si="1057"/>
        <v>6级岩龙</v>
      </c>
      <c r="CH408" s="5">
        <v>0</v>
      </c>
      <c r="CI408" s="5">
        <v>0</v>
      </c>
      <c r="CJ408" s="4">
        <v>0</v>
      </c>
      <c r="CK408" s="20">
        <v>0</v>
      </c>
      <c r="CL408" s="5">
        <v>0</v>
      </c>
      <c r="CM408" s="20">
        <v>114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20">
        <v>2.5</v>
      </c>
      <c r="CW408" s="20">
        <v>3</v>
      </c>
      <c r="CX408" s="20">
        <v>2.5</v>
      </c>
      <c r="CY408" s="20">
        <v>3.5</v>
      </c>
      <c r="CZ408" s="8">
        <v>200</v>
      </c>
      <c r="DA408" s="6">
        <f t="shared" ref="DA408:DA412" si="1059">CZ408*25*BV408</f>
        <v>30000</v>
      </c>
      <c r="DB408" s="5">
        <v>1</v>
      </c>
      <c r="DC408" s="20">
        <f t="shared" si="1051"/>
        <v>1.875</v>
      </c>
      <c r="DD408" s="6">
        <f t="shared" si="1027"/>
        <v>0.625</v>
      </c>
      <c r="DE408" s="6">
        <v>1</v>
      </c>
      <c r="DF408" s="5">
        <v>0</v>
      </c>
      <c r="DG408" s="6">
        <v>2.5</v>
      </c>
      <c r="DH408" s="5">
        <v>0</v>
      </c>
      <c r="DI408" s="8">
        <v>0</v>
      </c>
      <c r="DJ408" s="5">
        <v>0</v>
      </c>
      <c r="DK408" s="8">
        <v>0</v>
      </c>
      <c r="DL408" s="5">
        <f t="shared" si="1034"/>
        <v>0</v>
      </c>
      <c r="DM408" s="5" t="str">
        <f t="shared" si="1054"/>
        <v>6级岩龙</v>
      </c>
      <c r="DN408" s="5">
        <v>6</v>
      </c>
      <c r="DO408" s="5">
        <v>0</v>
      </c>
      <c r="DP408" s="5">
        <v>1</v>
      </c>
      <c r="DQ408" s="5">
        <v>1</v>
      </c>
      <c r="DR408" s="5">
        <v>2.5</v>
      </c>
      <c r="DS408" s="6">
        <v>3.5</v>
      </c>
      <c r="DT408" s="5">
        <v>-0.6</v>
      </c>
      <c r="DU408" s="5">
        <v>0.8</v>
      </c>
      <c r="DV408" s="6">
        <v>0.5</v>
      </c>
      <c r="DW408" s="5">
        <f t="shared" si="1029"/>
        <v>0.66666666666666663</v>
      </c>
      <c r="DX408" s="5">
        <v>8</v>
      </c>
      <c r="DY408" s="5">
        <f t="shared" si="1042"/>
        <v>0</v>
      </c>
      <c r="DZ408" s="5">
        <v>0</v>
      </c>
    </row>
    <row r="409" spans="1:130" x14ac:dyDescent="0.15">
      <c r="A409" s="5">
        <v>201407</v>
      </c>
      <c r="B409" s="28" t="s">
        <v>732</v>
      </c>
      <c r="C409" s="27">
        <v>20</v>
      </c>
      <c r="D409" s="27">
        <v>1</v>
      </c>
      <c r="E409" s="27">
        <v>3</v>
      </c>
      <c r="F409" s="5">
        <v>2</v>
      </c>
      <c r="G409" s="46">
        <v>-0.46479999999999999</v>
      </c>
      <c r="H409" s="27"/>
      <c r="I409" s="27" t="s">
        <v>975</v>
      </c>
      <c r="J409" s="27"/>
      <c r="K409" s="5">
        <f t="shared" si="1039"/>
        <v>0.41</v>
      </c>
      <c r="L409" s="10">
        <f t="shared" si="1052"/>
        <v>7</v>
      </c>
      <c r="M409" s="5">
        <f t="shared" si="1040"/>
        <v>0.21</v>
      </c>
      <c r="N409" s="10">
        <v>3</v>
      </c>
      <c r="O409" s="5">
        <v>0</v>
      </c>
      <c r="P409" s="5">
        <f t="shared" si="1043"/>
        <v>0.2</v>
      </c>
      <c r="Q409" s="5">
        <v>2</v>
      </c>
      <c r="R409" s="5">
        <v>903920</v>
      </c>
      <c r="S409" s="5">
        <v>30</v>
      </c>
      <c r="T409" s="5">
        <v>10</v>
      </c>
      <c r="U409" s="5">
        <v>0.3</v>
      </c>
      <c r="V409" s="5">
        <v>0.15</v>
      </c>
      <c r="W409" s="5">
        <v>9</v>
      </c>
      <c r="X409" s="5">
        <v>-0.6</v>
      </c>
      <c r="Y409" s="5">
        <v>1.8</v>
      </c>
      <c r="Z409" s="27" t="s">
        <v>1018</v>
      </c>
      <c r="AA409" s="5">
        <v>3</v>
      </c>
      <c r="AB409" s="5">
        <v>2</v>
      </c>
      <c r="AC409" s="5">
        <v>6</v>
      </c>
      <c r="AD409" s="27" t="s">
        <v>1019</v>
      </c>
      <c r="AE409" s="10">
        <v>120</v>
      </c>
      <c r="AF409" s="5">
        <v>903936</v>
      </c>
      <c r="AG409" s="5">
        <v>60</v>
      </c>
      <c r="AH409" s="5">
        <f t="shared" si="1044"/>
        <v>0.1</v>
      </c>
      <c r="AI409" s="5">
        <v>2</v>
      </c>
      <c r="AJ409" s="5">
        <v>1</v>
      </c>
      <c r="AK409" s="5">
        <v>35</v>
      </c>
      <c r="AL409" s="5">
        <f t="shared" si="1045"/>
        <v>0</v>
      </c>
      <c r="AM409" s="5">
        <f t="shared" si="1046"/>
        <v>21</v>
      </c>
      <c r="AN409" s="8">
        <v>0</v>
      </c>
      <c r="AO409" s="5">
        <v>0</v>
      </c>
      <c r="AP409" s="28" t="s">
        <v>732</v>
      </c>
      <c r="AQ409" s="5">
        <v>0</v>
      </c>
      <c r="AR409" s="8">
        <v>11</v>
      </c>
      <c r="AS409" s="6">
        <f t="shared" si="1035"/>
        <v>231</v>
      </c>
      <c r="AT409" s="6">
        <f t="shared" si="1036"/>
        <v>252</v>
      </c>
      <c r="AU409" s="5">
        <v>0</v>
      </c>
      <c r="AV409" s="5">
        <v>0</v>
      </c>
      <c r="AW409" s="5">
        <v>0</v>
      </c>
      <c r="AX409" s="5">
        <v>1</v>
      </c>
      <c r="AY409" s="5">
        <v>0</v>
      </c>
      <c r="AZ409" s="5">
        <v>201407</v>
      </c>
      <c r="BA409" s="5">
        <f t="shared" si="1047"/>
        <v>203042</v>
      </c>
      <c r="BB409" s="5">
        <v>10</v>
      </c>
      <c r="BC409" s="5">
        <v>0</v>
      </c>
      <c r="BD409" s="5">
        <v>1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f t="shared" si="1026"/>
        <v>1</v>
      </c>
      <c r="BM409" s="5">
        <v>0</v>
      </c>
      <c r="BN409" s="5">
        <v>0</v>
      </c>
      <c r="BO409" s="5">
        <v>0</v>
      </c>
      <c r="BP409" s="5">
        <v>0</v>
      </c>
      <c r="BQ409" s="5"/>
      <c r="BR409" s="5"/>
      <c r="BS409" s="4">
        <v>0</v>
      </c>
      <c r="BT409" s="4">
        <f t="shared" si="1048"/>
        <v>7</v>
      </c>
      <c r="BU409" s="17">
        <v>0</v>
      </c>
      <c r="BV409" s="4">
        <f t="shared" ref="BV409:BY409" si="1060">BV399</f>
        <v>7</v>
      </c>
      <c r="BW409" s="4">
        <f t="shared" si="1060"/>
        <v>7</v>
      </c>
      <c r="BX409" s="4">
        <f t="shared" si="1060"/>
        <v>0.42999999999999994</v>
      </c>
      <c r="BY409" s="4">
        <f t="shared" si="1060"/>
        <v>0.25</v>
      </c>
      <c r="BZ409" s="27" t="s">
        <v>1000</v>
      </c>
      <c r="CA409" s="41" t="s">
        <v>996</v>
      </c>
      <c r="CB409" s="30" t="s">
        <v>917</v>
      </c>
      <c r="CC409" s="5">
        <v>0</v>
      </c>
      <c r="CD409" s="8">
        <v>3</v>
      </c>
      <c r="CE409" s="5">
        <f t="shared" si="1050"/>
        <v>7</v>
      </c>
      <c r="CF409" s="5">
        <v>1</v>
      </c>
      <c r="CG409" s="27" t="str">
        <f t="shared" si="1057"/>
        <v>7级岩龙</v>
      </c>
      <c r="CH409" s="5">
        <v>0</v>
      </c>
      <c r="CI409" s="5">
        <v>0</v>
      </c>
      <c r="CJ409" s="4">
        <v>0</v>
      </c>
      <c r="CK409" s="20">
        <v>0</v>
      </c>
      <c r="CL409" s="5">
        <v>0</v>
      </c>
      <c r="CM409" s="20">
        <v>114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20">
        <v>2.5</v>
      </c>
      <c r="CW409" s="20">
        <v>3</v>
      </c>
      <c r="CX409" s="20">
        <v>2.5</v>
      </c>
      <c r="CY409" s="20">
        <v>3.5</v>
      </c>
      <c r="CZ409" s="8">
        <v>200</v>
      </c>
      <c r="DA409" s="6">
        <f t="shared" si="1059"/>
        <v>35000</v>
      </c>
      <c r="DB409" s="5">
        <v>1</v>
      </c>
      <c r="DC409" s="20">
        <f t="shared" si="1051"/>
        <v>1.9500000000000002</v>
      </c>
      <c r="DD409" s="6">
        <f t="shared" si="1027"/>
        <v>0.65</v>
      </c>
      <c r="DE409" s="6">
        <v>1</v>
      </c>
      <c r="DF409" s="5">
        <v>0</v>
      </c>
      <c r="DG409" s="6">
        <v>2.5</v>
      </c>
      <c r="DH409" s="5">
        <v>0</v>
      </c>
      <c r="DI409" s="8">
        <v>0</v>
      </c>
      <c r="DJ409" s="5">
        <v>0</v>
      </c>
      <c r="DK409" s="8">
        <v>0</v>
      </c>
      <c r="DL409" s="5">
        <f t="shared" si="1034"/>
        <v>0</v>
      </c>
      <c r="DM409" s="5" t="str">
        <f t="shared" si="1054"/>
        <v>7级岩龙</v>
      </c>
      <c r="DN409" s="5">
        <v>6</v>
      </c>
      <c r="DO409" s="5">
        <v>0</v>
      </c>
      <c r="DP409" s="5">
        <v>1</v>
      </c>
      <c r="DQ409" s="5">
        <v>1</v>
      </c>
      <c r="DR409" s="5">
        <v>2.5</v>
      </c>
      <c r="DS409" s="6">
        <v>3.5</v>
      </c>
      <c r="DT409" s="5">
        <v>-0.6</v>
      </c>
      <c r="DU409" s="5">
        <v>0.8</v>
      </c>
      <c r="DV409" s="6">
        <v>0.5</v>
      </c>
      <c r="DW409" s="5">
        <f t="shared" si="1029"/>
        <v>0.66666666666666663</v>
      </c>
      <c r="DX409" s="5">
        <v>8</v>
      </c>
      <c r="DY409" s="5">
        <f t="shared" si="1042"/>
        <v>0</v>
      </c>
      <c r="DZ409" s="5">
        <v>0</v>
      </c>
    </row>
    <row r="410" spans="1:130" x14ac:dyDescent="0.15">
      <c r="A410" s="5">
        <v>201408</v>
      </c>
      <c r="B410" s="28" t="s">
        <v>733</v>
      </c>
      <c r="C410" s="27">
        <v>20</v>
      </c>
      <c r="D410" s="27">
        <v>1</v>
      </c>
      <c r="E410" s="27">
        <v>3</v>
      </c>
      <c r="F410" s="5">
        <v>2</v>
      </c>
      <c r="G410" s="46">
        <v>-0.46479999999999999</v>
      </c>
      <c r="H410" s="27"/>
      <c r="I410" s="27" t="s">
        <v>975</v>
      </c>
      <c r="J410" s="27"/>
      <c r="K410" s="5">
        <f t="shared" si="1039"/>
        <v>0.42</v>
      </c>
      <c r="L410" s="10">
        <f t="shared" si="1052"/>
        <v>7</v>
      </c>
      <c r="M410" s="5">
        <f t="shared" si="1040"/>
        <v>0.22</v>
      </c>
      <c r="N410" s="10">
        <v>3</v>
      </c>
      <c r="O410" s="5">
        <v>0</v>
      </c>
      <c r="P410" s="5">
        <f t="shared" si="1043"/>
        <v>0.2</v>
      </c>
      <c r="Q410" s="5">
        <v>2</v>
      </c>
      <c r="R410" s="5">
        <v>903920</v>
      </c>
      <c r="S410" s="5">
        <v>30</v>
      </c>
      <c r="T410" s="5">
        <v>10</v>
      </c>
      <c r="U410" s="5">
        <v>0.3</v>
      </c>
      <c r="V410" s="5">
        <v>0.15</v>
      </c>
      <c r="W410" s="5">
        <v>9</v>
      </c>
      <c r="X410" s="5">
        <v>-0.6</v>
      </c>
      <c r="Y410" s="5">
        <v>1.8</v>
      </c>
      <c r="Z410" s="27" t="s">
        <v>1018</v>
      </c>
      <c r="AA410" s="5">
        <v>3</v>
      </c>
      <c r="AB410" s="5">
        <v>2</v>
      </c>
      <c r="AC410" s="5">
        <v>6</v>
      </c>
      <c r="AD410" s="27" t="s">
        <v>1019</v>
      </c>
      <c r="AE410" s="10">
        <v>120</v>
      </c>
      <c r="AF410" s="5">
        <v>903936</v>
      </c>
      <c r="AG410" s="5">
        <v>60</v>
      </c>
      <c r="AH410" s="5">
        <f t="shared" si="1044"/>
        <v>0.1</v>
      </c>
      <c r="AI410" s="5">
        <v>2</v>
      </c>
      <c r="AJ410" s="5">
        <v>1</v>
      </c>
      <c r="AK410" s="5">
        <v>40</v>
      </c>
      <c r="AL410" s="5">
        <f t="shared" si="1045"/>
        <v>0</v>
      </c>
      <c r="AM410" s="5">
        <f t="shared" si="1046"/>
        <v>24</v>
      </c>
      <c r="AN410" s="8">
        <v>0</v>
      </c>
      <c r="AO410" s="5">
        <v>0</v>
      </c>
      <c r="AP410" s="28" t="s">
        <v>733</v>
      </c>
      <c r="AQ410" s="5">
        <v>0</v>
      </c>
      <c r="AR410" s="8">
        <v>11</v>
      </c>
      <c r="AS410" s="6">
        <f t="shared" si="1035"/>
        <v>264</v>
      </c>
      <c r="AT410" s="6">
        <f t="shared" si="1036"/>
        <v>288</v>
      </c>
      <c r="AU410" s="5">
        <v>0</v>
      </c>
      <c r="AV410" s="5">
        <v>0</v>
      </c>
      <c r="AW410" s="5">
        <v>0</v>
      </c>
      <c r="AX410" s="5">
        <v>1</v>
      </c>
      <c r="AY410" s="5">
        <v>0</v>
      </c>
      <c r="AZ410" s="5">
        <v>201408</v>
      </c>
      <c r="BA410" s="5">
        <f t="shared" si="1047"/>
        <v>203042</v>
      </c>
      <c r="BB410" s="5">
        <v>10</v>
      </c>
      <c r="BC410" s="5">
        <v>0</v>
      </c>
      <c r="BD410" s="5">
        <v>1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f t="shared" si="1026"/>
        <v>1</v>
      </c>
      <c r="BM410" s="5">
        <v>0</v>
      </c>
      <c r="BN410" s="5">
        <v>0</v>
      </c>
      <c r="BO410" s="5">
        <v>0</v>
      </c>
      <c r="BP410" s="5">
        <v>0</v>
      </c>
      <c r="BQ410" s="5"/>
      <c r="BR410" s="5"/>
      <c r="BS410" s="4">
        <v>0</v>
      </c>
      <c r="BT410" s="4">
        <f t="shared" si="1048"/>
        <v>8</v>
      </c>
      <c r="BU410" s="17">
        <v>0</v>
      </c>
      <c r="BV410" s="4">
        <f t="shared" ref="BV410:BY410" si="1061">BV400</f>
        <v>8</v>
      </c>
      <c r="BW410" s="4">
        <f t="shared" si="1061"/>
        <v>8</v>
      </c>
      <c r="BX410" s="4">
        <f t="shared" si="1061"/>
        <v>0.35999999999999993</v>
      </c>
      <c r="BY410" s="4">
        <f t="shared" si="1061"/>
        <v>0.2</v>
      </c>
      <c r="BZ410" s="27" t="s">
        <v>1000</v>
      </c>
      <c r="CA410" s="41" t="s">
        <v>997</v>
      </c>
      <c r="CB410" s="30" t="s">
        <v>917</v>
      </c>
      <c r="CC410" s="5">
        <v>0</v>
      </c>
      <c r="CD410" s="8">
        <v>3</v>
      </c>
      <c r="CE410" s="5">
        <f t="shared" si="1050"/>
        <v>8</v>
      </c>
      <c r="CF410" s="5">
        <v>1</v>
      </c>
      <c r="CG410" s="27" t="str">
        <f t="shared" si="1057"/>
        <v>8级岩龙</v>
      </c>
      <c r="CH410" s="5">
        <v>0</v>
      </c>
      <c r="CI410" s="5">
        <v>0</v>
      </c>
      <c r="CJ410" s="4">
        <v>0</v>
      </c>
      <c r="CK410" s="20">
        <v>0</v>
      </c>
      <c r="CL410" s="5">
        <v>0</v>
      </c>
      <c r="CM410" s="20">
        <v>114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20">
        <v>2.5</v>
      </c>
      <c r="CW410" s="20">
        <v>3</v>
      </c>
      <c r="CX410" s="20">
        <v>2.5</v>
      </c>
      <c r="CY410" s="20">
        <v>3.5</v>
      </c>
      <c r="CZ410" s="8">
        <v>200</v>
      </c>
      <c r="DA410" s="6">
        <f t="shared" si="1059"/>
        <v>40000</v>
      </c>
      <c r="DB410" s="5">
        <v>1</v>
      </c>
      <c r="DC410" s="20">
        <f t="shared" si="1051"/>
        <v>2.0250000000000004</v>
      </c>
      <c r="DD410" s="6">
        <f t="shared" si="1027"/>
        <v>0.67500000000000004</v>
      </c>
      <c r="DE410" s="6">
        <v>1</v>
      </c>
      <c r="DF410" s="5">
        <v>0</v>
      </c>
      <c r="DG410" s="6">
        <v>2.5</v>
      </c>
      <c r="DH410" s="5">
        <v>0</v>
      </c>
      <c r="DI410" s="8">
        <v>0</v>
      </c>
      <c r="DJ410" s="5">
        <v>0</v>
      </c>
      <c r="DK410" s="8">
        <v>0</v>
      </c>
      <c r="DL410" s="5">
        <f t="shared" si="1034"/>
        <v>0</v>
      </c>
      <c r="DM410" s="5" t="str">
        <f t="shared" si="1054"/>
        <v>8级岩龙</v>
      </c>
      <c r="DN410" s="5">
        <v>6</v>
      </c>
      <c r="DO410" s="5">
        <v>0</v>
      </c>
      <c r="DP410" s="5">
        <v>1</v>
      </c>
      <c r="DQ410" s="5">
        <v>1</v>
      </c>
      <c r="DR410" s="5">
        <v>2.5</v>
      </c>
      <c r="DS410" s="6">
        <v>3.5</v>
      </c>
      <c r="DT410" s="5">
        <v>-0.6</v>
      </c>
      <c r="DU410" s="5">
        <v>0.8</v>
      </c>
      <c r="DV410" s="6">
        <v>0.5</v>
      </c>
      <c r="DW410" s="5">
        <f t="shared" si="1029"/>
        <v>0.66666666666666663</v>
      </c>
      <c r="DX410" s="5">
        <v>8</v>
      </c>
      <c r="DY410" s="5">
        <f t="shared" si="1042"/>
        <v>0</v>
      </c>
      <c r="DZ410" s="5">
        <v>0</v>
      </c>
    </row>
    <row r="411" spans="1:130" x14ac:dyDescent="0.15">
      <c r="A411" s="5">
        <v>201409</v>
      </c>
      <c r="B411" s="28" t="s">
        <v>734</v>
      </c>
      <c r="C411" s="27">
        <v>20</v>
      </c>
      <c r="D411" s="27">
        <v>1</v>
      </c>
      <c r="E411" s="27">
        <v>3</v>
      </c>
      <c r="F411" s="5">
        <v>2</v>
      </c>
      <c r="G411" s="46">
        <v>-0.46479999999999999</v>
      </c>
      <c r="H411" s="27"/>
      <c r="I411" s="27" t="s">
        <v>975</v>
      </c>
      <c r="J411" s="27"/>
      <c r="K411" s="5">
        <f t="shared" si="1039"/>
        <v>0.43</v>
      </c>
      <c r="L411" s="10">
        <f t="shared" si="1052"/>
        <v>7</v>
      </c>
      <c r="M411" s="5">
        <f t="shared" si="1040"/>
        <v>0.22999999999999998</v>
      </c>
      <c r="N411" s="10">
        <v>3</v>
      </c>
      <c r="O411" s="5">
        <v>0</v>
      </c>
      <c r="P411" s="5">
        <f t="shared" si="1043"/>
        <v>0.2</v>
      </c>
      <c r="Q411" s="5">
        <v>2</v>
      </c>
      <c r="R411" s="5">
        <v>903920</v>
      </c>
      <c r="S411" s="5">
        <v>30</v>
      </c>
      <c r="T411" s="5">
        <v>10</v>
      </c>
      <c r="U411" s="5">
        <v>0.3</v>
      </c>
      <c r="V411" s="5">
        <v>0.15</v>
      </c>
      <c r="W411" s="5">
        <v>9</v>
      </c>
      <c r="X411" s="5">
        <v>-0.6</v>
      </c>
      <c r="Y411" s="5">
        <v>1.8</v>
      </c>
      <c r="Z411" s="27" t="s">
        <v>1018</v>
      </c>
      <c r="AA411" s="5">
        <v>3</v>
      </c>
      <c r="AB411" s="5">
        <v>2</v>
      </c>
      <c r="AC411" s="5">
        <v>6</v>
      </c>
      <c r="AD411" s="27" t="s">
        <v>1019</v>
      </c>
      <c r="AE411" s="10">
        <v>120</v>
      </c>
      <c r="AF411" s="5">
        <v>903936</v>
      </c>
      <c r="AG411" s="5">
        <v>60</v>
      </c>
      <c r="AH411" s="5">
        <f t="shared" si="1044"/>
        <v>0.1</v>
      </c>
      <c r="AI411" s="5">
        <v>2</v>
      </c>
      <c r="AJ411" s="5">
        <v>1</v>
      </c>
      <c r="AK411" s="5">
        <v>45</v>
      </c>
      <c r="AL411" s="5">
        <f t="shared" si="1045"/>
        <v>0</v>
      </c>
      <c r="AM411" s="5">
        <f t="shared" si="1046"/>
        <v>27</v>
      </c>
      <c r="AN411" s="8">
        <v>0</v>
      </c>
      <c r="AO411" s="5">
        <v>0</v>
      </c>
      <c r="AP411" s="28" t="s">
        <v>734</v>
      </c>
      <c r="AQ411" s="5">
        <v>0</v>
      </c>
      <c r="AR411" s="8">
        <v>11</v>
      </c>
      <c r="AS411" s="6">
        <f t="shared" si="1035"/>
        <v>297</v>
      </c>
      <c r="AT411" s="6">
        <f t="shared" si="1036"/>
        <v>324</v>
      </c>
      <c r="AU411" s="5">
        <v>0</v>
      </c>
      <c r="AV411" s="5">
        <v>0</v>
      </c>
      <c r="AW411" s="5">
        <v>0</v>
      </c>
      <c r="AX411" s="5">
        <v>1</v>
      </c>
      <c r="AY411" s="5">
        <v>0</v>
      </c>
      <c r="AZ411" s="5">
        <v>201409</v>
      </c>
      <c r="BA411" s="5">
        <f t="shared" si="1047"/>
        <v>203042</v>
      </c>
      <c r="BB411" s="5">
        <v>10</v>
      </c>
      <c r="BC411" s="5">
        <v>0</v>
      </c>
      <c r="BD411" s="5">
        <v>1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f t="shared" si="1026"/>
        <v>1</v>
      </c>
      <c r="BM411" s="5">
        <v>0</v>
      </c>
      <c r="BN411" s="5">
        <v>0</v>
      </c>
      <c r="BO411" s="5">
        <v>0</v>
      </c>
      <c r="BP411" s="5">
        <v>0</v>
      </c>
      <c r="BQ411" s="5"/>
      <c r="BR411" s="5"/>
      <c r="BS411" s="4">
        <v>0</v>
      </c>
      <c r="BT411" s="4">
        <f t="shared" si="1048"/>
        <v>9</v>
      </c>
      <c r="BU411" s="17">
        <v>0</v>
      </c>
      <c r="BV411" s="4">
        <f t="shared" ref="BV411:BY411" si="1062">BV401</f>
        <v>9</v>
      </c>
      <c r="BW411" s="4">
        <f t="shared" si="1062"/>
        <v>9</v>
      </c>
      <c r="BX411" s="4">
        <f t="shared" si="1062"/>
        <v>0.28999999999999992</v>
      </c>
      <c r="BY411" s="4">
        <f t="shared" si="1062"/>
        <v>0.15000000000000002</v>
      </c>
      <c r="BZ411" s="27" t="s">
        <v>1000</v>
      </c>
      <c r="CA411" s="41" t="s">
        <v>998</v>
      </c>
      <c r="CB411" s="30" t="s">
        <v>917</v>
      </c>
      <c r="CC411" s="5">
        <v>0</v>
      </c>
      <c r="CD411" s="8">
        <v>3</v>
      </c>
      <c r="CE411" s="5">
        <f t="shared" si="1050"/>
        <v>9</v>
      </c>
      <c r="CF411" s="5">
        <v>1</v>
      </c>
      <c r="CG411" s="27" t="str">
        <f t="shared" si="1057"/>
        <v>9级岩龙</v>
      </c>
      <c r="CH411" s="5">
        <v>0</v>
      </c>
      <c r="CI411" s="5">
        <v>0</v>
      </c>
      <c r="CJ411" s="4">
        <v>0</v>
      </c>
      <c r="CK411" s="20">
        <v>0</v>
      </c>
      <c r="CL411" s="5">
        <v>0</v>
      </c>
      <c r="CM411" s="20">
        <v>114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20">
        <v>2.5</v>
      </c>
      <c r="CW411" s="20">
        <v>3</v>
      </c>
      <c r="CX411" s="20">
        <v>2.5</v>
      </c>
      <c r="CY411" s="20">
        <v>3.5</v>
      </c>
      <c r="CZ411" s="8">
        <v>200</v>
      </c>
      <c r="DA411" s="6">
        <f t="shared" si="1059"/>
        <v>45000</v>
      </c>
      <c r="DB411" s="5">
        <v>1</v>
      </c>
      <c r="DC411" s="20">
        <f t="shared" si="1051"/>
        <v>2.0999999999999996</v>
      </c>
      <c r="DD411" s="6">
        <f t="shared" si="1027"/>
        <v>0.7</v>
      </c>
      <c r="DE411" s="6">
        <v>1</v>
      </c>
      <c r="DF411" s="5">
        <v>0</v>
      </c>
      <c r="DG411" s="6">
        <v>2.5</v>
      </c>
      <c r="DH411" s="5">
        <v>0</v>
      </c>
      <c r="DI411" s="8">
        <v>0</v>
      </c>
      <c r="DJ411" s="5">
        <v>0</v>
      </c>
      <c r="DK411" s="8">
        <v>0</v>
      </c>
      <c r="DL411" s="5">
        <f t="shared" si="1034"/>
        <v>0</v>
      </c>
      <c r="DM411" s="5" t="str">
        <f t="shared" si="1054"/>
        <v>9级岩龙</v>
      </c>
      <c r="DN411" s="5">
        <v>6</v>
      </c>
      <c r="DO411" s="5">
        <v>0</v>
      </c>
      <c r="DP411" s="5">
        <v>1</v>
      </c>
      <c r="DQ411" s="5">
        <v>1</v>
      </c>
      <c r="DR411" s="5">
        <v>2.5</v>
      </c>
      <c r="DS411" s="6">
        <v>3.5</v>
      </c>
      <c r="DT411" s="5">
        <v>-0.6</v>
      </c>
      <c r="DU411" s="5">
        <v>0.8</v>
      </c>
      <c r="DV411" s="6">
        <v>0.5</v>
      </c>
      <c r="DW411" s="5">
        <f t="shared" si="1029"/>
        <v>0.66666666666666663</v>
      </c>
      <c r="DX411" s="5">
        <v>8</v>
      </c>
      <c r="DY411" s="5">
        <f t="shared" si="1042"/>
        <v>0</v>
      </c>
      <c r="DZ411" s="5">
        <v>0</v>
      </c>
    </row>
    <row r="412" spans="1:130" x14ac:dyDescent="0.15">
      <c r="A412" s="5">
        <v>201410</v>
      </c>
      <c r="B412" s="28" t="s">
        <v>735</v>
      </c>
      <c r="C412" s="27">
        <v>20</v>
      </c>
      <c r="D412" s="27">
        <v>1</v>
      </c>
      <c r="E412" s="27">
        <v>3</v>
      </c>
      <c r="F412" s="5">
        <v>2</v>
      </c>
      <c r="G412" s="46">
        <v>-0.46479999999999999</v>
      </c>
      <c r="H412" s="27"/>
      <c r="I412" s="27" t="s">
        <v>975</v>
      </c>
      <c r="J412" s="27"/>
      <c r="K412" s="5">
        <f t="shared" si="1039"/>
        <v>0.43999999999999995</v>
      </c>
      <c r="L412" s="10">
        <f t="shared" si="1052"/>
        <v>7</v>
      </c>
      <c r="M412" s="5">
        <f t="shared" si="1040"/>
        <v>0.24</v>
      </c>
      <c r="N412" s="10">
        <v>3</v>
      </c>
      <c r="O412" s="5">
        <v>0</v>
      </c>
      <c r="P412" s="5">
        <f t="shared" si="1043"/>
        <v>0.2</v>
      </c>
      <c r="Q412" s="5">
        <v>2</v>
      </c>
      <c r="R412" s="5">
        <v>903920</v>
      </c>
      <c r="S412" s="5">
        <v>30</v>
      </c>
      <c r="T412" s="5">
        <v>10</v>
      </c>
      <c r="U412" s="5">
        <v>0.3</v>
      </c>
      <c r="V412" s="5">
        <v>0.15</v>
      </c>
      <c r="W412" s="5">
        <v>9</v>
      </c>
      <c r="X412" s="5">
        <v>-0.6</v>
      </c>
      <c r="Y412" s="5">
        <v>1.8</v>
      </c>
      <c r="Z412" s="27" t="s">
        <v>1018</v>
      </c>
      <c r="AA412" s="5">
        <v>3</v>
      </c>
      <c r="AB412" s="5">
        <v>2</v>
      </c>
      <c r="AC412" s="5">
        <v>6</v>
      </c>
      <c r="AD412" s="27" t="s">
        <v>1019</v>
      </c>
      <c r="AE412" s="10">
        <v>120</v>
      </c>
      <c r="AF412" s="5">
        <v>903936</v>
      </c>
      <c r="AG412" s="5">
        <v>60</v>
      </c>
      <c r="AH412" s="5">
        <f t="shared" si="1044"/>
        <v>0.1</v>
      </c>
      <c r="AI412" s="5">
        <v>2</v>
      </c>
      <c r="AJ412" s="5">
        <v>1</v>
      </c>
      <c r="AK412" s="5">
        <v>50</v>
      </c>
      <c r="AL412" s="5">
        <f t="shared" si="1045"/>
        <v>0</v>
      </c>
      <c r="AM412" s="5">
        <f t="shared" si="1046"/>
        <v>30</v>
      </c>
      <c r="AN412" s="8">
        <v>0</v>
      </c>
      <c r="AO412" s="5">
        <v>0</v>
      </c>
      <c r="AP412" s="28" t="s">
        <v>735</v>
      </c>
      <c r="AQ412" s="5">
        <v>0</v>
      </c>
      <c r="AR412" s="8">
        <v>11</v>
      </c>
      <c r="AS412" s="6">
        <f t="shared" si="1035"/>
        <v>330</v>
      </c>
      <c r="AT412" s="6">
        <f t="shared" si="1036"/>
        <v>360</v>
      </c>
      <c r="AU412" s="5">
        <v>0</v>
      </c>
      <c r="AV412" s="5">
        <v>0</v>
      </c>
      <c r="AW412" s="5">
        <v>0</v>
      </c>
      <c r="AX412" s="5">
        <v>1</v>
      </c>
      <c r="AY412" s="5">
        <v>0</v>
      </c>
      <c r="AZ412" s="5">
        <v>201410</v>
      </c>
      <c r="BA412" s="5">
        <f t="shared" si="1047"/>
        <v>203042</v>
      </c>
      <c r="BB412" s="5">
        <v>10</v>
      </c>
      <c r="BC412" s="5">
        <v>0</v>
      </c>
      <c r="BD412" s="5">
        <v>1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f t="shared" si="1026"/>
        <v>1</v>
      </c>
      <c r="BM412" s="5">
        <v>0</v>
      </c>
      <c r="BN412" s="5">
        <v>0</v>
      </c>
      <c r="BO412" s="5">
        <v>0</v>
      </c>
      <c r="BP412" s="5">
        <v>0</v>
      </c>
      <c r="BQ412" s="5"/>
      <c r="BR412" s="5"/>
      <c r="BS412" s="4">
        <v>0</v>
      </c>
      <c r="BT412" s="4">
        <f t="shared" si="1048"/>
        <v>10</v>
      </c>
      <c r="BU412" s="17">
        <v>0</v>
      </c>
      <c r="BV412" s="4">
        <f t="shared" ref="BV412:BY412" si="1063">BV402</f>
        <v>10</v>
      </c>
      <c r="BW412" s="4">
        <f t="shared" si="1063"/>
        <v>10</v>
      </c>
      <c r="BX412" s="4">
        <f t="shared" si="1063"/>
        <v>0.21999999999999986</v>
      </c>
      <c r="BY412" s="4">
        <f t="shared" si="1063"/>
        <v>0.10000000000000003</v>
      </c>
      <c r="BZ412" s="27" t="s">
        <v>1000</v>
      </c>
      <c r="CA412" s="41" t="s">
        <v>999</v>
      </c>
      <c r="CB412" s="30" t="s">
        <v>917</v>
      </c>
      <c r="CC412" s="5">
        <v>0</v>
      </c>
      <c r="CD412" s="8">
        <v>3</v>
      </c>
      <c r="CE412" s="5">
        <f t="shared" si="1050"/>
        <v>10</v>
      </c>
      <c r="CF412" s="5">
        <v>1</v>
      </c>
      <c r="CG412" s="27" t="str">
        <f t="shared" si="1057"/>
        <v>10级岩龙</v>
      </c>
      <c r="CH412" s="5">
        <v>0</v>
      </c>
      <c r="CI412" s="5">
        <v>0</v>
      </c>
      <c r="CJ412" s="4">
        <v>0</v>
      </c>
      <c r="CK412" s="20">
        <v>0</v>
      </c>
      <c r="CL412" s="5">
        <v>0</v>
      </c>
      <c r="CM412" s="20">
        <v>114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20">
        <v>2.5</v>
      </c>
      <c r="CW412" s="20">
        <v>3</v>
      </c>
      <c r="CX412" s="20">
        <v>2.5</v>
      </c>
      <c r="CY412" s="20">
        <v>3.5</v>
      </c>
      <c r="CZ412" s="8">
        <v>200</v>
      </c>
      <c r="DA412" s="6">
        <f t="shared" si="1059"/>
        <v>50000</v>
      </c>
      <c r="DB412" s="5">
        <v>1</v>
      </c>
      <c r="DC412" s="20">
        <f t="shared" si="1051"/>
        <v>2.1749999999999998</v>
      </c>
      <c r="DD412" s="6">
        <f t="shared" si="1027"/>
        <v>0.72499999999999998</v>
      </c>
      <c r="DE412" s="6">
        <v>1</v>
      </c>
      <c r="DF412" s="5">
        <v>0</v>
      </c>
      <c r="DG412" s="6">
        <v>2.5</v>
      </c>
      <c r="DH412" s="5">
        <v>0</v>
      </c>
      <c r="DI412" s="8">
        <v>0</v>
      </c>
      <c r="DJ412" s="5">
        <v>0</v>
      </c>
      <c r="DK412" s="8">
        <v>0</v>
      </c>
      <c r="DL412" s="5">
        <f t="shared" si="1034"/>
        <v>0</v>
      </c>
      <c r="DM412" s="5" t="str">
        <f t="shared" si="1054"/>
        <v>10级岩龙</v>
      </c>
      <c r="DN412" s="5">
        <v>6</v>
      </c>
      <c r="DO412" s="5">
        <v>0</v>
      </c>
      <c r="DP412" s="5">
        <v>1</v>
      </c>
      <c r="DQ412" s="5">
        <v>1</v>
      </c>
      <c r="DR412" s="5">
        <v>2.5</v>
      </c>
      <c r="DS412" s="6">
        <v>3.5</v>
      </c>
      <c r="DT412" s="5">
        <v>-0.6</v>
      </c>
      <c r="DU412" s="5">
        <v>0.8</v>
      </c>
      <c r="DV412" s="6">
        <v>0.5</v>
      </c>
      <c r="DW412" s="5">
        <f t="shared" si="1029"/>
        <v>0.66666666666666663</v>
      </c>
      <c r="DX412" s="5">
        <v>8</v>
      </c>
      <c r="DY412" s="5">
        <f t="shared" si="1042"/>
        <v>0</v>
      </c>
      <c r="DZ412" s="5">
        <v>0</v>
      </c>
    </row>
    <row r="413" spans="1:130" x14ac:dyDescent="0.15">
      <c r="A413" s="5">
        <v>201411</v>
      </c>
      <c r="B413" s="28" t="s">
        <v>736</v>
      </c>
      <c r="C413" s="28">
        <v>20</v>
      </c>
      <c r="D413" s="28">
        <v>1</v>
      </c>
      <c r="E413" s="28">
        <v>3</v>
      </c>
      <c r="F413" s="6">
        <v>2</v>
      </c>
      <c r="G413" s="46">
        <f>G403+0.0581</f>
        <v>-0.40670000000000001</v>
      </c>
      <c r="H413" s="28"/>
      <c r="I413" s="28" t="s">
        <v>975</v>
      </c>
      <c r="J413" s="28"/>
      <c r="K413" s="5">
        <f t="shared" si="1039"/>
        <v>0.1</v>
      </c>
      <c r="L413" s="10">
        <v>2</v>
      </c>
      <c r="M413" s="5">
        <f t="shared" si="1040"/>
        <v>0.4</v>
      </c>
      <c r="N413" s="10">
        <v>8</v>
      </c>
      <c r="O413" s="5">
        <v>0</v>
      </c>
      <c r="P413" s="5">
        <f t="shared" si="1043"/>
        <v>0.2</v>
      </c>
      <c r="Q413" s="5">
        <v>2</v>
      </c>
      <c r="R413" s="5">
        <f>R403+1</f>
        <v>903921</v>
      </c>
      <c r="S413" s="5">
        <v>30</v>
      </c>
      <c r="T413" s="5">
        <v>10</v>
      </c>
      <c r="U413" s="5">
        <v>0.3</v>
      </c>
      <c r="V413" s="5">
        <v>0.15</v>
      </c>
      <c r="W413" s="5">
        <v>9</v>
      </c>
      <c r="X413" s="5">
        <v>-0.6</v>
      </c>
      <c r="Y413" s="5">
        <v>1.8</v>
      </c>
      <c r="Z413" s="27" t="s">
        <v>1020</v>
      </c>
      <c r="AA413" s="5">
        <v>3</v>
      </c>
      <c r="AB413" s="5">
        <v>2</v>
      </c>
      <c r="AC413" s="5">
        <v>6</v>
      </c>
      <c r="AD413" s="27" t="s">
        <v>1021</v>
      </c>
      <c r="AE413" s="20">
        <v>0</v>
      </c>
      <c r="AF413" s="5">
        <f>AF403+1</f>
        <v>903937</v>
      </c>
      <c r="AG413" s="5">
        <v>60</v>
      </c>
      <c r="AH413" s="5">
        <f t="shared" si="1044"/>
        <v>0.1</v>
      </c>
      <c r="AI413" s="5">
        <v>2</v>
      </c>
      <c r="AJ413" s="5">
        <v>1</v>
      </c>
      <c r="AK413" s="5">
        <f>AK403</f>
        <v>5</v>
      </c>
      <c r="AL413" s="5">
        <f t="shared" si="1045"/>
        <v>33</v>
      </c>
      <c r="AM413" s="5">
        <f t="shared" si="1046"/>
        <v>36</v>
      </c>
      <c r="AN413" s="8">
        <v>11</v>
      </c>
      <c r="AO413" s="5">
        <v>1</v>
      </c>
      <c r="AP413" s="28" t="s">
        <v>736</v>
      </c>
      <c r="AQ413" s="5">
        <v>0</v>
      </c>
      <c r="AR413" s="8">
        <v>0</v>
      </c>
      <c r="AS413" s="6">
        <f t="shared" si="1035"/>
        <v>0</v>
      </c>
      <c r="AT413" s="6">
        <f t="shared" si="1036"/>
        <v>3</v>
      </c>
      <c r="AU413" s="5">
        <v>0</v>
      </c>
      <c r="AV413" s="5">
        <v>0</v>
      </c>
      <c r="AW413" s="5">
        <v>0</v>
      </c>
      <c r="AX413" s="5">
        <v>1</v>
      </c>
      <c r="AY413" s="5">
        <v>0</v>
      </c>
      <c r="AZ413" s="5">
        <v>201411</v>
      </c>
      <c r="BA413" s="5">
        <f>BA403+1</f>
        <v>203043</v>
      </c>
      <c r="BB413" s="5">
        <v>10</v>
      </c>
      <c r="BC413" s="5">
        <v>0</v>
      </c>
      <c r="BD413" s="5">
        <v>1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f t="shared" si="1026"/>
        <v>1</v>
      </c>
      <c r="BM413" s="5">
        <v>0</v>
      </c>
      <c r="BN413" s="5">
        <v>0</v>
      </c>
      <c r="BO413" s="5">
        <v>0</v>
      </c>
      <c r="BP413" s="5">
        <v>0</v>
      </c>
      <c r="BQ413" s="5"/>
      <c r="BR413" s="5"/>
      <c r="BS413" s="4">
        <v>0</v>
      </c>
      <c r="BT413" s="4">
        <f t="shared" si="1048"/>
        <v>1</v>
      </c>
      <c r="BU413" s="17">
        <v>1</v>
      </c>
      <c r="BV413" s="4">
        <f t="shared" ref="BV413:BY413" si="1064">BV403</f>
        <v>1</v>
      </c>
      <c r="BW413" s="4">
        <f t="shared" si="1064"/>
        <v>1</v>
      </c>
      <c r="BX413" s="4">
        <f t="shared" si="1064"/>
        <v>0.85</v>
      </c>
      <c r="BY413" s="4">
        <f t="shared" si="1064"/>
        <v>0.55000000000000004</v>
      </c>
      <c r="BZ413" s="27" t="s">
        <v>1002</v>
      </c>
      <c r="CA413" s="30" t="str">
        <f>CA403</f>
        <v>1</v>
      </c>
      <c r="CB413" s="30" t="s">
        <v>917</v>
      </c>
      <c r="CC413" s="5">
        <v>0</v>
      </c>
      <c r="CD413" s="8">
        <v>3</v>
      </c>
      <c r="CE413" s="5">
        <f t="shared" si="1050"/>
        <v>1</v>
      </c>
      <c r="CF413" s="5">
        <v>1</v>
      </c>
      <c r="CG413" s="27" t="str">
        <f t="shared" si="1057"/>
        <v>1级熔岩龙</v>
      </c>
      <c r="CH413" s="5">
        <v>0</v>
      </c>
      <c r="CI413" s="5">
        <v>0</v>
      </c>
      <c r="CJ413" s="4">
        <v>0</v>
      </c>
      <c r="CK413" s="20">
        <v>0</v>
      </c>
      <c r="CL413" s="5">
        <v>0</v>
      </c>
      <c r="CM413" s="20">
        <v>114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20">
        <v>2.5</v>
      </c>
      <c r="CW413" s="20">
        <v>3</v>
      </c>
      <c r="CX413" s="20">
        <v>2.5</v>
      </c>
      <c r="CY413" s="20">
        <v>3.5</v>
      </c>
      <c r="CZ413" s="8">
        <v>200</v>
      </c>
      <c r="DA413" s="6">
        <f t="shared" ref="DA413:DA476" si="1065">CZ413*25*BV413</f>
        <v>5000</v>
      </c>
      <c r="DB413" s="5">
        <v>1</v>
      </c>
      <c r="DC413" s="20">
        <f t="shared" si="1051"/>
        <v>1.5</v>
      </c>
      <c r="DD413" s="6">
        <f t="shared" ref="DD413:DD476" si="1066">(1+(BT413-1)*0.05)*DE413*0.5</f>
        <v>0.5</v>
      </c>
      <c r="DE413" s="6">
        <v>1</v>
      </c>
      <c r="DF413" s="5">
        <v>0</v>
      </c>
      <c r="DG413" s="6">
        <v>2.5</v>
      </c>
      <c r="DH413" s="5">
        <v>0</v>
      </c>
      <c r="DI413" s="8">
        <v>0</v>
      </c>
      <c r="DJ413" s="5">
        <v>0</v>
      </c>
      <c r="DK413" s="8">
        <v>0</v>
      </c>
      <c r="DL413" s="5">
        <f t="shared" si="1034"/>
        <v>0</v>
      </c>
      <c r="DM413" s="5" t="str">
        <f t="shared" si="1054"/>
        <v>1级熔岩龙</v>
      </c>
      <c r="DN413" s="5">
        <v>6</v>
      </c>
      <c r="DO413" s="5">
        <v>0</v>
      </c>
      <c r="DP413" s="5">
        <v>1</v>
      </c>
      <c r="DQ413" s="5">
        <v>1</v>
      </c>
      <c r="DR413" s="5">
        <v>2.5</v>
      </c>
      <c r="DS413" s="6">
        <v>3.5</v>
      </c>
      <c r="DT413" s="5">
        <v>-0.6</v>
      </c>
      <c r="DU413" s="5">
        <v>0.8</v>
      </c>
      <c r="DV413" s="6">
        <v>0.5</v>
      </c>
      <c r="DW413" s="5">
        <f t="shared" ref="DW413:DW476" si="1067">DX413/12</f>
        <v>0.66666666666666663</v>
      </c>
      <c r="DX413" s="5">
        <v>8</v>
      </c>
      <c r="DY413" s="5">
        <f t="shared" ref="DY413:DY476" si="1068">DZ413/12</f>
        <v>0</v>
      </c>
      <c r="DZ413" s="5">
        <v>0</v>
      </c>
    </row>
    <row r="414" spans="1:130" x14ac:dyDescent="0.15">
      <c r="A414" s="5">
        <v>201412</v>
      </c>
      <c r="B414" s="28" t="s">
        <v>737</v>
      </c>
      <c r="C414" s="27">
        <v>20</v>
      </c>
      <c r="D414" s="27">
        <v>1</v>
      </c>
      <c r="E414" s="27">
        <v>3</v>
      </c>
      <c r="F414" s="5">
        <v>2</v>
      </c>
      <c r="G414" s="46">
        <f t="shared" ref="G414:G477" si="1069">G404+0.0581</f>
        <v>-0.40670000000000001</v>
      </c>
      <c r="H414" s="27"/>
      <c r="I414" s="27" t="s">
        <v>975</v>
      </c>
      <c r="J414" s="27"/>
      <c r="K414" s="5">
        <f t="shared" si="1039"/>
        <v>0.11</v>
      </c>
      <c r="L414" s="10">
        <v>2</v>
      </c>
      <c r="M414" s="5">
        <f t="shared" si="1040"/>
        <v>0.41000000000000003</v>
      </c>
      <c r="N414" s="10">
        <v>8</v>
      </c>
      <c r="O414" s="5">
        <v>0</v>
      </c>
      <c r="P414" s="5">
        <f t="shared" si="1043"/>
        <v>0.2</v>
      </c>
      <c r="Q414" s="5">
        <v>2</v>
      </c>
      <c r="R414" s="5">
        <f t="shared" ref="R414:R477" si="1070">R404+1</f>
        <v>903921</v>
      </c>
      <c r="S414" s="5">
        <v>30</v>
      </c>
      <c r="T414" s="5">
        <v>10</v>
      </c>
      <c r="U414" s="5">
        <v>0.3</v>
      </c>
      <c r="V414" s="5">
        <v>0.15</v>
      </c>
      <c r="W414" s="5">
        <v>9</v>
      </c>
      <c r="X414" s="5">
        <v>-0.6</v>
      </c>
      <c r="Y414" s="5">
        <v>1.8</v>
      </c>
      <c r="Z414" s="27" t="s">
        <v>1020</v>
      </c>
      <c r="AA414" s="5">
        <v>3</v>
      </c>
      <c r="AB414" s="5">
        <v>2</v>
      </c>
      <c r="AC414" s="5">
        <v>6</v>
      </c>
      <c r="AD414" s="27" t="s">
        <v>1021</v>
      </c>
      <c r="AE414" s="20">
        <v>0</v>
      </c>
      <c r="AF414" s="5">
        <f t="shared" ref="AF414:AF477" si="1071">AF404+1</f>
        <v>903937</v>
      </c>
      <c r="AG414" s="5">
        <v>60</v>
      </c>
      <c r="AH414" s="5">
        <f t="shared" si="1044"/>
        <v>0.1</v>
      </c>
      <c r="AI414" s="5">
        <v>2</v>
      </c>
      <c r="AJ414" s="5">
        <v>1</v>
      </c>
      <c r="AK414" s="5">
        <f t="shared" ref="AK414:AK477" si="1072">AK404</f>
        <v>10</v>
      </c>
      <c r="AL414" s="5">
        <f t="shared" si="1045"/>
        <v>66</v>
      </c>
      <c r="AM414" s="5">
        <f t="shared" si="1046"/>
        <v>72</v>
      </c>
      <c r="AN414" s="8">
        <v>11</v>
      </c>
      <c r="AO414" s="5">
        <v>1</v>
      </c>
      <c r="AP414" s="28" t="s">
        <v>737</v>
      </c>
      <c r="AQ414" s="5">
        <v>0</v>
      </c>
      <c r="AR414" s="8">
        <v>0</v>
      </c>
      <c r="AS414" s="6">
        <f t="shared" si="1035"/>
        <v>0</v>
      </c>
      <c r="AT414" s="6">
        <f t="shared" si="1036"/>
        <v>6</v>
      </c>
      <c r="AU414" s="5">
        <v>0</v>
      </c>
      <c r="AV414" s="5">
        <v>0</v>
      </c>
      <c r="AW414" s="5">
        <v>0</v>
      </c>
      <c r="AX414" s="5">
        <v>1</v>
      </c>
      <c r="AY414" s="5">
        <v>0</v>
      </c>
      <c r="AZ414" s="5">
        <v>201412</v>
      </c>
      <c r="BA414" s="5">
        <f t="shared" ref="BA414:BA477" si="1073">BA404+1</f>
        <v>203043</v>
      </c>
      <c r="BB414" s="5">
        <v>10</v>
      </c>
      <c r="BC414" s="5">
        <v>0</v>
      </c>
      <c r="BD414" s="5">
        <v>1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f t="shared" si="1026"/>
        <v>1</v>
      </c>
      <c r="BM414" s="5">
        <v>0</v>
      </c>
      <c r="BN414" s="5">
        <v>0</v>
      </c>
      <c r="BO414" s="5">
        <v>0</v>
      </c>
      <c r="BP414" s="5">
        <v>0</v>
      </c>
      <c r="BQ414" s="5"/>
      <c r="BR414" s="5"/>
      <c r="BS414" s="4">
        <v>0</v>
      </c>
      <c r="BT414" s="4">
        <f t="shared" si="1048"/>
        <v>2</v>
      </c>
      <c r="BU414" s="17">
        <v>2</v>
      </c>
      <c r="BV414" s="4">
        <f t="shared" ref="BV414:BY414" si="1074">BV404</f>
        <v>2</v>
      </c>
      <c r="BW414" s="4">
        <f t="shared" si="1074"/>
        <v>2</v>
      </c>
      <c r="BX414" s="4">
        <f t="shared" si="1074"/>
        <v>0.78</v>
      </c>
      <c r="BY414" s="4">
        <f t="shared" si="1074"/>
        <v>0.5</v>
      </c>
      <c r="BZ414" s="27" t="s">
        <v>1002</v>
      </c>
      <c r="CA414" s="30" t="str">
        <f t="shared" ref="CA414:CA477" si="1075">CA404</f>
        <v>2</v>
      </c>
      <c r="CB414" s="30" t="s">
        <v>917</v>
      </c>
      <c r="CC414" s="5">
        <v>0</v>
      </c>
      <c r="CD414" s="8">
        <v>3</v>
      </c>
      <c r="CE414" s="5">
        <f t="shared" si="1050"/>
        <v>2</v>
      </c>
      <c r="CF414" s="5">
        <v>1</v>
      </c>
      <c r="CG414" s="27" t="str">
        <f t="shared" si="1057"/>
        <v>2级熔岩龙</v>
      </c>
      <c r="CH414" s="5">
        <v>0</v>
      </c>
      <c r="CI414" s="5">
        <v>0</v>
      </c>
      <c r="CJ414" s="4">
        <v>0</v>
      </c>
      <c r="CK414" s="20">
        <v>0</v>
      </c>
      <c r="CL414" s="5">
        <v>0</v>
      </c>
      <c r="CM414" s="20">
        <v>114</v>
      </c>
      <c r="CN414" s="5">
        <v>0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20">
        <v>2.5</v>
      </c>
      <c r="CW414" s="20">
        <v>3</v>
      </c>
      <c r="CX414" s="20">
        <v>2.5</v>
      </c>
      <c r="CY414" s="20">
        <v>3.5</v>
      </c>
      <c r="CZ414" s="8">
        <v>200</v>
      </c>
      <c r="DA414" s="6">
        <f t="shared" si="1065"/>
        <v>10000</v>
      </c>
      <c r="DB414" s="5">
        <v>1</v>
      </c>
      <c r="DC414" s="20">
        <f t="shared" si="1051"/>
        <v>1.5750000000000002</v>
      </c>
      <c r="DD414" s="6">
        <f t="shared" si="1066"/>
        <v>0.52500000000000002</v>
      </c>
      <c r="DE414" s="6">
        <v>1</v>
      </c>
      <c r="DF414" s="5">
        <v>0</v>
      </c>
      <c r="DG414" s="6">
        <v>2.5</v>
      </c>
      <c r="DH414" s="5">
        <v>0</v>
      </c>
      <c r="DI414" s="8">
        <v>0</v>
      </c>
      <c r="DJ414" s="5">
        <v>0</v>
      </c>
      <c r="DK414" s="8">
        <v>0</v>
      </c>
      <c r="DL414" s="5">
        <f t="shared" si="1034"/>
        <v>0</v>
      </c>
      <c r="DM414" s="5" t="str">
        <f t="shared" si="1054"/>
        <v>2级熔岩龙</v>
      </c>
      <c r="DN414" s="5">
        <v>6</v>
      </c>
      <c r="DO414" s="5">
        <v>0</v>
      </c>
      <c r="DP414" s="5">
        <v>1</v>
      </c>
      <c r="DQ414" s="5">
        <v>1</v>
      </c>
      <c r="DR414" s="5">
        <v>2.5</v>
      </c>
      <c r="DS414" s="6">
        <v>3.5</v>
      </c>
      <c r="DT414" s="5">
        <v>-0.6</v>
      </c>
      <c r="DU414" s="5">
        <v>0.8</v>
      </c>
      <c r="DV414" s="6">
        <v>0.5</v>
      </c>
      <c r="DW414" s="5">
        <f t="shared" si="1067"/>
        <v>0.66666666666666663</v>
      </c>
      <c r="DX414" s="5">
        <v>8</v>
      </c>
      <c r="DY414" s="5">
        <f t="shared" si="1068"/>
        <v>0</v>
      </c>
      <c r="DZ414" s="5">
        <v>0</v>
      </c>
    </row>
    <row r="415" spans="1:130" x14ac:dyDescent="0.15">
      <c r="A415" s="5">
        <v>201413</v>
      </c>
      <c r="B415" s="28" t="s">
        <v>738</v>
      </c>
      <c r="C415" s="27">
        <v>20</v>
      </c>
      <c r="D415" s="27">
        <v>1</v>
      </c>
      <c r="E415" s="27">
        <v>3</v>
      </c>
      <c r="F415" s="5">
        <v>2</v>
      </c>
      <c r="G415" s="46">
        <f t="shared" si="1069"/>
        <v>-0.40670000000000001</v>
      </c>
      <c r="H415" s="27"/>
      <c r="I415" s="27" t="s">
        <v>975</v>
      </c>
      <c r="J415" s="27"/>
      <c r="K415" s="5">
        <f t="shared" si="1039"/>
        <v>0.12000000000000001</v>
      </c>
      <c r="L415" s="10">
        <v>2</v>
      </c>
      <c r="M415" s="5">
        <f t="shared" si="1040"/>
        <v>0.42000000000000004</v>
      </c>
      <c r="N415" s="10">
        <v>8</v>
      </c>
      <c r="O415" s="5">
        <v>0</v>
      </c>
      <c r="P415" s="5">
        <f t="shared" si="1043"/>
        <v>0.2</v>
      </c>
      <c r="Q415" s="5">
        <v>2</v>
      </c>
      <c r="R415" s="5">
        <f t="shared" si="1070"/>
        <v>903921</v>
      </c>
      <c r="S415" s="5">
        <v>30</v>
      </c>
      <c r="T415" s="5">
        <v>10</v>
      </c>
      <c r="U415" s="5">
        <v>0.3</v>
      </c>
      <c r="V415" s="5">
        <v>0.15</v>
      </c>
      <c r="W415" s="5">
        <v>9</v>
      </c>
      <c r="X415" s="5">
        <v>-0.6</v>
      </c>
      <c r="Y415" s="5">
        <v>1.8</v>
      </c>
      <c r="Z415" s="27" t="s">
        <v>1020</v>
      </c>
      <c r="AA415" s="5">
        <v>3</v>
      </c>
      <c r="AB415" s="5">
        <v>2</v>
      </c>
      <c r="AC415" s="5">
        <v>6</v>
      </c>
      <c r="AD415" s="27" t="s">
        <v>1021</v>
      </c>
      <c r="AE415" s="20">
        <v>0</v>
      </c>
      <c r="AF415" s="5">
        <f t="shared" si="1071"/>
        <v>903937</v>
      </c>
      <c r="AG415" s="5">
        <v>60</v>
      </c>
      <c r="AH415" s="5">
        <f t="shared" si="1044"/>
        <v>0.1</v>
      </c>
      <c r="AI415" s="5">
        <v>2</v>
      </c>
      <c r="AJ415" s="5">
        <v>1</v>
      </c>
      <c r="AK415" s="5">
        <f t="shared" si="1072"/>
        <v>15</v>
      </c>
      <c r="AL415" s="5">
        <f t="shared" si="1045"/>
        <v>99</v>
      </c>
      <c r="AM415" s="5">
        <f t="shared" si="1046"/>
        <v>108</v>
      </c>
      <c r="AN415" s="8">
        <v>11</v>
      </c>
      <c r="AO415" s="5">
        <v>1</v>
      </c>
      <c r="AP415" s="28" t="s">
        <v>738</v>
      </c>
      <c r="AQ415" s="5">
        <v>0</v>
      </c>
      <c r="AR415" s="8">
        <v>0</v>
      </c>
      <c r="AS415" s="6">
        <f t="shared" si="1035"/>
        <v>0</v>
      </c>
      <c r="AT415" s="6">
        <f t="shared" si="1036"/>
        <v>9</v>
      </c>
      <c r="AU415" s="5">
        <v>0</v>
      </c>
      <c r="AV415" s="5">
        <v>0</v>
      </c>
      <c r="AW415" s="5">
        <v>0</v>
      </c>
      <c r="AX415" s="5">
        <v>1</v>
      </c>
      <c r="AY415" s="5">
        <v>0</v>
      </c>
      <c r="AZ415" s="5">
        <v>201413</v>
      </c>
      <c r="BA415" s="5">
        <f t="shared" si="1073"/>
        <v>203043</v>
      </c>
      <c r="BB415" s="5">
        <v>10</v>
      </c>
      <c r="BC415" s="5">
        <v>0</v>
      </c>
      <c r="BD415" s="5">
        <v>1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f t="shared" si="1026"/>
        <v>1</v>
      </c>
      <c r="BM415" s="5">
        <v>0</v>
      </c>
      <c r="BN415" s="5">
        <v>0</v>
      </c>
      <c r="BO415" s="5">
        <v>0</v>
      </c>
      <c r="BP415" s="5">
        <v>0</v>
      </c>
      <c r="BQ415" s="5"/>
      <c r="BR415" s="5"/>
      <c r="BS415" s="4">
        <v>0</v>
      </c>
      <c r="BT415" s="4">
        <f t="shared" si="1048"/>
        <v>3</v>
      </c>
      <c r="BU415" s="17">
        <v>3</v>
      </c>
      <c r="BV415" s="4">
        <f t="shared" ref="BV415:BY415" si="1076">BV405</f>
        <v>3</v>
      </c>
      <c r="BW415" s="4">
        <f t="shared" si="1076"/>
        <v>3</v>
      </c>
      <c r="BX415" s="4">
        <f t="shared" si="1076"/>
        <v>0.71</v>
      </c>
      <c r="BY415" s="4">
        <f t="shared" si="1076"/>
        <v>0.45000000000000007</v>
      </c>
      <c r="BZ415" s="27" t="s">
        <v>1002</v>
      </c>
      <c r="CA415" s="30" t="str">
        <f t="shared" si="1075"/>
        <v>3</v>
      </c>
      <c r="CB415" s="30" t="s">
        <v>917</v>
      </c>
      <c r="CC415" s="5">
        <v>0</v>
      </c>
      <c r="CD415" s="8">
        <v>3</v>
      </c>
      <c r="CE415" s="5">
        <f t="shared" si="1050"/>
        <v>3</v>
      </c>
      <c r="CF415" s="5">
        <v>1</v>
      </c>
      <c r="CG415" s="27" t="str">
        <f t="shared" si="1057"/>
        <v>3级熔岩龙</v>
      </c>
      <c r="CH415" s="5">
        <v>0</v>
      </c>
      <c r="CI415" s="5">
        <v>0</v>
      </c>
      <c r="CJ415" s="4">
        <v>0</v>
      </c>
      <c r="CK415" s="20">
        <v>0</v>
      </c>
      <c r="CL415" s="5">
        <v>0</v>
      </c>
      <c r="CM415" s="20">
        <v>114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20">
        <v>2.5</v>
      </c>
      <c r="CW415" s="20">
        <v>3</v>
      </c>
      <c r="CX415" s="20">
        <v>2.5</v>
      </c>
      <c r="CY415" s="20">
        <v>3.5</v>
      </c>
      <c r="CZ415" s="8">
        <v>200</v>
      </c>
      <c r="DA415" s="6">
        <f t="shared" si="1065"/>
        <v>15000</v>
      </c>
      <c r="DB415" s="5">
        <v>1</v>
      </c>
      <c r="DC415" s="20">
        <f t="shared" si="1051"/>
        <v>1.6500000000000001</v>
      </c>
      <c r="DD415" s="6">
        <f t="shared" si="1066"/>
        <v>0.55000000000000004</v>
      </c>
      <c r="DE415" s="6">
        <v>1</v>
      </c>
      <c r="DF415" s="5">
        <v>0</v>
      </c>
      <c r="DG415" s="6">
        <v>2.5</v>
      </c>
      <c r="DH415" s="5">
        <v>0</v>
      </c>
      <c r="DI415" s="8">
        <v>0</v>
      </c>
      <c r="DJ415" s="5">
        <v>0</v>
      </c>
      <c r="DK415" s="8">
        <v>0</v>
      </c>
      <c r="DL415" s="5">
        <f t="shared" si="1034"/>
        <v>0</v>
      </c>
      <c r="DM415" s="5" t="str">
        <f t="shared" si="1054"/>
        <v>3级熔岩龙</v>
      </c>
      <c r="DN415" s="5">
        <v>6</v>
      </c>
      <c r="DO415" s="5">
        <v>0</v>
      </c>
      <c r="DP415" s="5">
        <v>1</v>
      </c>
      <c r="DQ415" s="5">
        <v>1</v>
      </c>
      <c r="DR415" s="5">
        <v>2.5</v>
      </c>
      <c r="DS415" s="6">
        <v>3.5</v>
      </c>
      <c r="DT415" s="5">
        <v>-0.6</v>
      </c>
      <c r="DU415" s="5">
        <v>0.8</v>
      </c>
      <c r="DV415" s="6">
        <v>0.5</v>
      </c>
      <c r="DW415" s="5">
        <f t="shared" si="1067"/>
        <v>0.66666666666666663</v>
      </c>
      <c r="DX415" s="5">
        <v>8</v>
      </c>
      <c r="DY415" s="5">
        <f t="shared" si="1068"/>
        <v>0</v>
      </c>
      <c r="DZ415" s="5">
        <v>0</v>
      </c>
    </row>
    <row r="416" spans="1:130" x14ac:dyDescent="0.15">
      <c r="A416" s="5">
        <v>201414</v>
      </c>
      <c r="B416" s="28" t="s">
        <v>739</v>
      </c>
      <c r="C416" s="27">
        <v>20</v>
      </c>
      <c r="D416" s="27">
        <v>1</v>
      </c>
      <c r="E416" s="27">
        <v>3</v>
      </c>
      <c r="F416" s="5">
        <v>2</v>
      </c>
      <c r="G416" s="46">
        <f t="shared" si="1069"/>
        <v>-0.40670000000000001</v>
      </c>
      <c r="H416" s="27"/>
      <c r="I416" s="27" t="s">
        <v>975</v>
      </c>
      <c r="J416" s="27"/>
      <c r="K416" s="5">
        <f t="shared" si="1039"/>
        <v>0.13</v>
      </c>
      <c r="L416" s="10">
        <v>2</v>
      </c>
      <c r="M416" s="5">
        <f t="shared" si="1040"/>
        <v>0.43000000000000005</v>
      </c>
      <c r="N416" s="10">
        <v>8</v>
      </c>
      <c r="O416" s="5">
        <v>0</v>
      </c>
      <c r="P416" s="5">
        <f t="shared" si="1043"/>
        <v>0.2</v>
      </c>
      <c r="Q416" s="5">
        <v>2</v>
      </c>
      <c r="R416" s="5">
        <f t="shared" si="1070"/>
        <v>903921</v>
      </c>
      <c r="S416" s="5">
        <v>30</v>
      </c>
      <c r="T416" s="5">
        <v>10</v>
      </c>
      <c r="U416" s="5">
        <v>0.3</v>
      </c>
      <c r="V416" s="5">
        <v>0.15</v>
      </c>
      <c r="W416" s="5">
        <v>9</v>
      </c>
      <c r="X416" s="5">
        <v>-0.6</v>
      </c>
      <c r="Y416" s="5">
        <v>1.8</v>
      </c>
      <c r="Z416" s="27" t="s">
        <v>1020</v>
      </c>
      <c r="AA416" s="5">
        <v>3</v>
      </c>
      <c r="AB416" s="5">
        <v>2</v>
      </c>
      <c r="AC416" s="5">
        <v>6</v>
      </c>
      <c r="AD416" s="27" t="s">
        <v>1021</v>
      </c>
      <c r="AE416" s="20">
        <v>0</v>
      </c>
      <c r="AF416" s="5">
        <f t="shared" si="1071"/>
        <v>903937</v>
      </c>
      <c r="AG416" s="5">
        <v>60</v>
      </c>
      <c r="AH416" s="5">
        <f t="shared" si="1044"/>
        <v>0.1</v>
      </c>
      <c r="AI416" s="5">
        <v>2</v>
      </c>
      <c r="AJ416" s="5">
        <v>1</v>
      </c>
      <c r="AK416" s="5">
        <f t="shared" si="1072"/>
        <v>20</v>
      </c>
      <c r="AL416" s="5">
        <f t="shared" si="1045"/>
        <v>132</v>
      </c>
      <c r="AM416" s="5">
        <f t="shared" si="1046"/>
        <v>144</v>
      </c>
      <c r="AN416" s="8">
        <v>11</v>
      </c>
      <c r="AO416" s="5">
        <v>1</v>
      </c>
      <c r="AP416" s="28" t="s">
        <v>739</v>
      </c>
      <c r="AQ416" s="5">
        <v>0</v>
      </c>
      <c r="AR416" s="8">
        <v>0</v>
      </c>
      <c r="AS416" s="6">
        <f t="shared" si="1035"/>
        <v>0</v>
      </c>
      <c r="AT416" s="6">
        <f t="shared" si="1036"/>
        <v>12</v>
      </c>
      <c r="AU416" s="5">
        <v>0</v>
      </c>
      <c r="AV416" s="5">
        <v>0</v>
      </c>
      <c r="AW416" s="5">
        <v>0</v>
      </c>
      <c r="AX416" s="5">
        <v>1</v>
      </c>
      <c r="AY416" s="5">
        <v>0</v>
      </c>
      <c r="AZ416" s="5">
        <v>201414</v>
      </c>
      <c r="BA416" s="5">
        <f t="shared" si="1073"/>
        <v>203043</v>
      </c>
      <c r="BB416" s="5">
        <v>10</v>
      </c>
      <c r="BC416" s="5">
        <v>0</v>
      </c>
      <c r="BD416" s="5">
        <v>1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f t="shared" si="1026"/>
        <v>1</v>
      </c>
      <c r="BM416" s="5">
        <v>0</v>
      </c>
      <c r="BN416" s="5">
        <v>0</v>
      </c>
      <c r="BO416" s="5">
        <v>0</v>
      </c>
      <c r="BP416" s="5">
        <v>0</v>
      </c>
      <c r="BQ416" s="5"/>
      <c r="BR416" s="5"/>
      <c r="BS416" s="4">
        <v>0</v>
      </c>
      <c r="BT416" s="4">
        <f t="shared" si="1048"/>
        <v>4</v>
      </c>
      <c r="BU416" s="17">
        <v>4</v>
      </c>
      <c r="BV416" s="4">
        <f t="shared" ref="BV416:BY416" si="1077">BV406</f>
        <v>4</v>
      </c>
      <c r="BW416" s="4">
        <f t="shared" si="1077"/>
        <v>4</v>
      </c>
      <c r="BX416" s="4">
        <f t="shared" si="1077"/>
        <v>0.6399999999999999</v>
      </c>
      <c r="BY416" s="4">
        <f t="shared" si="1077"/>
        <v>0.4</v>
      </c>
      <c r="BZ416" s="27" t="s">
        <v>1002</v>
      </c>
      <c r="CA416" s="30" t="str">
        <f t="shared" si="1075"/>
        <v>4</v>
      </c>
      <c r="CB416" s="30" t="s">
        <v>917</v>
      </c>
      <c r="CC416" s="5">
        <v>0</v>
      </c>
      <c r="CD416" s="8">
        <v>3</v>
      </c>
      <c r="CE416" s="5">
        <f t="shared" si="1050"/>
        <v>4</v>
      </c>
      <c r="CF416" s="5">
        <v>1</v>
      </c>
      <c r="CG416" s="27" t="str">
        <f t="shared" si="1057"/>
        <v>4级熔岩龙</v>
      </c>
      <c r="CH416" s="5">
        <v>0</v>
      </c>
      <c r="CI416" s="5">
        <v>0</v>
      </c>
      <c r="CJ416" s="4">
        <v>0</v>
      </c>
      <c r="CK416" s="20">
        <v>0</v>
      </c>
      <c r="CL416" s="5">
        <v>0</v>
      </c>
      <c r="CM416" s="20">
        <v>114</v>
      </c>
      <c r="CN416" s="5">
        <v>0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20">
        <v>2.5</v>
      </c>
      <c r="CW416" s="20">
        <v>3</v>
      </c>
      <c r="CX416" s="20">
        <v>2.5</v>
      </c>
      <c r="CY416" s="20">
        <v>3.5</v>
      </c>
      <c r="CZ416" s="8">
        <v>200</v>
      </c>
      <c r="DA416" s="6">
        <f t="shared" si="1065"/>
        <v>20000</v>
      </c>
      <c r="DB416" s="5">
        <v>1</v>
      </c>
      <c r="DC416" s="20">
        <f t="shared" si="1051"/>
        <v>1.7249999999999999</v>
      </c>
      <c r="DD416" s="6">
        <f t="shared" si="1066"/>
        <v>0.57499999999999996</v>
      </c>
      <c r="DE416" s="6">
        <v>1</v>
      </c>
      <c r="DF416" s="5">
        <v>0</v>
      </c>
      <c r="DG416" s="6">
        <v>2.5</v>
      </c>
      <c r="DH416" s="5">
        <v>0</v>
      </c>
      <c r="DI416" s="8">
        <v>0</v>
      </c>
      <c r="DJ416" s="5">
        <v>0</v>
      </c>
      <c r="DK416" s="8">
        <v>0</v>
      </c>
      <c r="DL416" s="5">
        <f t="shared" si="1034"/>
        <v>0</v>
      </c>
      <c r="DM416" s="5" t="str">
        <f t="shared" si="1054"/>
        <v>4级熔岩龙</v>
      </c>
      <c r="DN416" s="5">
        <v>6</v>
      </c>
      <c r="DO416" s="5">
        <v>0</v>
      </c>
      <c r="DP416" s="5">
        <v>1</v>
      </c>
      <c r="DQ416" s="5">
        <v>1</v>
      </c>
      <c r="DR416" s="5">
        <v>2.5</v>
      </c>
      <c r="DS416" s="6">
        <v>3.5</v>
      </c>
      <c r="DT416" s="5">
        <v>-0.6</v>
      </c>
      <c r="DU416" s="5">
        <v>0.8</v>
      </c>
      <c r="DV416" s="6">
        <v>0.5</v>
      </c>
      <c r="DW416" s="5">
        <f t="shared" si="1067"/>
        <v>0.66666666666666663</v>
      </c>
      <c r="DX416" s="5">
        <v>8</v>
      </c>
      <c r="DY416" s="5">
        <f t="shared" si="1068"/>
        <v>0</v>
      </c>
      <c r="DZ416" s="5">
        <v>0</v>
      </c>
    </row>
    <row r="417" spans="1:130" x14ac:dyDescent="0.15">
      <c r="A417" s="5">
        <v>201415</v>
      </c>
      <c r="B417" s="28" t="s">
        <v>740</v>
      </c>
      <c r="C417" s="27">
        <v>20</v>
      </c>
      <c r="D417" s="27">
        <v>1</v>
      </c>
      <c r="E417" s="27">
        <v>3</v>
      </c>
      <c r="F417" s="5">
        <v>2</v>
      </c>
      <c r="G417" s="46">
        <f t="shared" si="1069"/>
        <v>-0.40670000000000001</v>
      </c>
      <c r="H417" s="27"/>
      <c r="I417" s="27" t="s">
        <v>975</v>
      </c>
      <c r="J417" s="27"/>
      <c r="K417" s="5">
        <f t="shared" si="1039"/>
        <v>0.14000000000000001</v>
      </c>
      <c r="L417" s="10">
        <v>2</v>
      </c>
      <c r="M417" s="5">
        <f t="shared" si="1040"/>
        <v>0.44</v>
      </c>
      <c r="N417" s="10">
        <v>8</v>
      </c>
      <c r="O417" s="5">
        <v>0</v>
      </c>
      <c r="P417" s="5">
        <f t="shared" si="1043"/>
        <v>0.2</v>
      </c>
      <c r="Q417" s="5">
        <v>2</v>
      </c>
      <c r="R417" s="5">
        <f t="shared" si="1070"/>
        <v>903921</v>
      </c>
      <c r="S417" s="5">
        <v>30</v>
      </c>
      <c r="T417" s="5">
        <v>10</v>
      </c>
      <c r="U417" s="5">
        <v>0.3</v>
      </c>
      <c r="V417" s="5">
        <v>0.15</v>
      </c>
      <c r="W417" s="5">
        <v>9</v>
      </c>
      <c r="X417" s="5">
        <v>-0.6</v>
      </c>
      <c r="Y417" s="5">
        <v>1.8</v>
      </c>
      <c r="Z417" s="27" t="s">
        <v>1020</v>
      </c>
      <c r="AA417" s="5">
        <v>3</v>
      </c>
      <c r="AB417" s="5">
        <v>2</v>
      </c>
      <c r="AC417" s="5">
        <v>6</v>
      </c>
      <c r="AD417" s="27" t="s">
        <v>1021</v>
      </c>
      <c r="AE417" s="20">
        <v>0</v>
      </c>
      <c r="AF417" s="5">
        <f t="shared" si="1071"/>
        <v>903937</v>
      </c>
      <c r="AG417" s="5">
        <v>60</v>
      </c>
      <c r="AH417" s="5">
        <f t="shared" si="1044"/>
        <v>0.1</v>
      </c>
      <c r="AI417" s="5">
        <v>2</v>
      </c>
      <c r="AJ417" s="5">
        <v>1</v>
      </c>
      <c r="AK417" s="5">
        <f t="shared" si="1072"/>
        <v>25</v>
      </c>
      <c r="AL417" s="5">
        <f t="shared" si="1045"/>
        <v>165</v>
      </c>
      <c r="AM417" s="5">
        <f t="shared" si="1046"/>
        <v>180</v>
      </c>
      <c r="AN417" s="8">
        <v>11</v>
      </c>
      <c r="AO417" s="5">
        <v>1</v>
      </c>
      <c r="AP417" s="28" t="s">
        <v>740</v>
      </c>
      <c r="AQ417" s="5">
        <v>0</v>
      </c>
      <c r="AR417" s="8">
        <v>0</v>
      </c>
      <c r="AS417" s="6">
        <f t="shared" si="1035"/>
        <v>0</v>
      </c>
      <c r="AT417" s="6">
        <f t="shared" si="1036"/>
        <v>15</v>
      </c>
      <c r="AU417" s="5">
        <v>0</v>
      </c>
      <c r="AV417" s="5">
        <v>0</v>
      </c>
      <c r="AW417" s="5">
        <v>0</v>
      </c>
      <c r="AX417" s="5">
        <v>1</v>
      </c>
      <c r="AY417" s="5">
        <v>0</v>
      </c>
      <c r="AZ417" s="5">
        <v>201415</v>
      </c>
      <c r="BA417" s="5">
        <f t="shared" si="1073"/>
        <v>203043</v>
      </c>
      <c r="BB417" s="5">
        <v>10</v>
      </c>
      <c r="BC417" s="5">
        <v>0</v>
      </c>
      <c r="BD417" s="5">
        <v>1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f t="shared" si="1026"/>
        <v>1</v>
      </c>
      <c r="BM417" s="5">
        <v>0</v>
      </c>
      <c r="BN417" s="5">
        <v>0</v>
      </c>
      <c r="BO417" s="5">
        <v>0</v>
      </c>
      <c r="BP417" s="5">
        <v>0</v>
      </c>
      <c r="BQ417" s="5"/>
      <c r="BR417" s="5"/>
      <c r="BS417" s="4">
        <v>0</v>
      </c>
      <c r="BT417" s="4">
        <f t="shared" si="1048"/>
        <v>5</v>
      </c>
      <c r="BU417" s="17">
        <v>5</v>
      </c>
      <c r="BV417" s="4">
        <f t="shared" ref="BV417:BY417" si="1078">BV407</f>
        <v>5</v>
      </c>
      <c r="BW417" s="4">
        <f t="shared" si="1078"/>
        <v>5</v>
      </c>
      <c r="BX417" s="4">
        <f t="shared" si="1078"/>
        <v>0.56999999999999995</v>
      </c>
      <c r="BY417" s="4">
        <f t="shared" si="1078"/>
        <v>0.35000000000000003</v>
      </c>
      <c r="BZ417" s="27" t="s">
        <v>1002</v>
      </c>
      <c r="CA417" s="30" t="str">
        <f t="shared" si="1075"/>
        <v>5</v>
      </c>
      <c r="CB417" s="30" t="s">
        <v>917</v>
      </c>
      <c r="CC417" s="5">
        <v>0</v>
      </c>
      <c r="CD417" s="8">
        <v>3</v>
      </c>
      <c r="CE417" s="5">
        <f t="shared" si="1050"/>
        <v>5</v>
      </c>
      <c r="CF417" s="5">
        <v>1</v>
      </c>
      <c r="CG417" s="27" t="str">
        <f t="shared" si="1057"/>
        <v>5级熔岩龙</v>
      </c>
      <c r="CH417" s="5">
        <v>0</v>
      </c>
      <c r="CI417" s="5">
        <v>0</v>
      </c>
      <c r="CJ417" s="4">
        <v>0</v>
      </c>
      <c r="CK417" s="20">
        <v>0</v>
      </c>
      <c r="CL417" s="5">
        <v>0</v>
      </c>
      <c r="CM417" s="20">
        <v>114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20">
        <v>2.5</v>
      </c>
      <c r="CW417" s="20">
        <v>3</v>
      </c>
      <c r="CX417" s="20">
        <v>2.5</v>
      </c>
      <c r="CY417" s="20">
        <v>3.5</v>
      </c>
      <c r="CZ417" s="8">
        <v>200</v>
      </c>
      <c r="DA417" s="6">
        <f t="shared" si="1065"/>
        <v>25000</v>
      </c>
      <c r="DB417" s="5">
        <v>1</v>
      </c>
      <c r="DC417" s="20">
        <f t="shared" si="1051"/>
        <v>1.7999999999999998</v>
      </c>
      <c r="DD417" s="6">
        <f t="shared" si="1066"/>
        <v>0.6</v>
      </c>
      <c r="DE417" s="6">
        <v>1</v>
      </c>
      <c r="DF417" s="5">
        <v>0</v>
      </c>
      <c r="DG417" s="6">
        <v>2.5</v>
      </c>
      <c r="DH417" s="5">
        <v>0</v>
      </c>
      <c r="DI417" s="8">
        <v>0</v>
      </c>
      <c r="DJ417" s="5">
        <v>0</v>
      </c>
      <c r="DK417" s="8">
        <v>0</v>
      </c>
      <c r="DL417" s="5">
        <f t="shared" si="1034"/>
        <v>0</v>
      </c>
      <c r="DM417" s="5" t="str">
        <f t="shared" si="1054"/>
        <v>5级熔岩龙</v>
      </c>
      <c r="DN417" s="5">
        <v>6</v>
      </c>
      <c r="DO417" s="5">
        <v>0</v>
      </c>
      <c r="DP417" s="5">
        <v>1</v>
      </c>
      <c r="DQ417" s="5">
        <v>1</v>
      </c>
      <c r="DR417" s="5">
        <v>2.5</v>
      </c>
      <c r="DS417" s="6">
        <v>3.5</v>
      </c>
      <c r="DT417" s="5">
        <v>-0.6</v>
      </c>
      <c r="DU417" s="5">
        <v>0.8</v>
      </c>
      <c r="DV417" s="6">
        <v>0.5</v>
      </c>
      <c r="DW417" s="5">
        <f t="shared" si="1067"/>
        <v>0.66666666666666663</v>
      </c>
      <c r="DX417" s="5">
        <v>8</v>
      </c>
      <c r="DY417" s="5">
        <f t="shared" si="1068"/>
        <v>0</v>
      </c>
      <c r="DZ417" s="5">
        <v>0</v>
      </c>
    </row>
    <row r="418" spans="1:130" x14ac:dyDescent="0.15">
      <c r="A418" s="5">
        <v>201416</v>
      </c>
      <c r="B418" s="28" t="s">
        <v>741</v>
      </c>
      <c r="C418" s="27">
        <v>20</v>
      </c>
      <c r="D418" s="27">
        <v>1</v>
      </c>
      <c r="E418" s="27">
        <v>3</v>
      </c>
      <c r="F418" s="5">
        <v>2</v>
      </c>
      <c r="G418" s="46">
        <f t="shared" si="1069"/>
        <v>-0.40670000000000001</v>
      </c>
      <c r="H418" s="27"/>
      <c r="I418" s="27" t="s">
        <v>975</v>
      </c>
      <c r="J418" s="27"/>
      <c r="K418" s="5">
        <f t="shared" si="1039"/>
        <v>0.15000000000000002</v>
      </c>
      <c r="L418" s="10">
        <v>2</v>
      </c>
      <c r="M418" s="5">
        <f t="shared" si="1040"/>
        <v>0.45</v>
      </c>
      <c r="N418" s="10">
        <v>8</v>
      </c>
      <c r="O418" s="5">
        <v>0</v>
      </c>
      <c r="P418" s="5">
        <f t="shared" si="1043"/>
        <v>0.2</v>
      </c>
      <c r="Q418" s="5">
        <v>2</v>
      </c>
      <c r="R418" s="5">
        <f t="shared" si="1070"/>
        <v>903921</v>
      </c>
      <c r="S418" s="5">
        <v>30</v>
      </c>
      <c r="T418" s="5">
        <v>10</v>
      </c>
      <c r="U418" s="5">
        <v>0.3</v>
      </c>
      <c r="V418" s="5">
        <v>0.15</v>
      </c>
      <c r="W418" s="5">
        <v>9</v>
      </c>
      <c r="X418" s="5">
        <v>-0.6</v>
      </c>
      <c r="Y418" s="5">
        <v>1.8</v>
      </c>
      <c r="Z418" s="27" t="s">
        <v>1020</v>
      </c>
      <c r="AA418" s="5">
        <v>3</v>
      </c>
      <c r="AB418" s="5">
        <v>2</v>
      </c>
      <c r="AC418" s="5">
        <v>6</v>
      </c>
      <c r="AD418" s="27" t="s">
        <v>1021</v>
      </c>
      <c r="AE418" s="20">
        <v>0</v>
      </c>
      <c r="AF418" s="5">
        <f t="shared" si="1071"/>
        <v>903937</v>
      </c>
      <c r="AG418" s="5">
        <v>60</v>
      </c>
      <c r="AH418" s="5">
        <f t="shared" si="1044"/>
        <v>0.1</v>
      </c>
      <c r="AI418" s="5">
        <v>2</v>
      </c>
      <c r="AJ418" s="5">
        <v>1</v>
      </c>
      <c r="AK418" s="5">
        <f t="shared" si="1072"/>
        <v>30</v>
      </c>
      <c r="AL418" s="5">
        <f t="shared" si="1045"/>
        <v>198</v>
      </c>
      <c r="AM418" s="5">
        <f t="shared" si="1046"/>
        <v>216</v>
      </c>
      <c r="AN418" s="8">
        <v>11</v>
      </c>
      <c r="AO418" s="5">
        <v>1</v>
      </c>
      <c r="AP418" s="28" t="s">
        <v>741</v>
      </c>
      <c r="AQ418" s="5">
        <v>0</v>
      </c>
      <c r="AR418" s="8">
        <v>0</v>
      </c>
      <c r="AS418" s="6">
        <f t="shared" si="1035"/>
        <v>0</v>
      </c>
      <c r="AT418" s="6">
        <f t="shared" si="1036"/>
        <v>18</v>
      </c>
      <c r="AU418" s="5">
        <v>0</v>
      </c>
      <c r="AV418" s="5">
        <v>0</v>
      </c>
      <c r="AW418" s="5">
        <v>0</v>
      </c>
      <c r="AX418" s="5">
        <v>1</v>
      </c>
      <c r="AY418" s="5">
        <v>0</v>
      </c>
      <c r="AZ418" s="5">
        <v>201416</v>
      </c>
      <c r="BA418" s="5">
        <f t="shared" si="1073"/>
        <v>203043</v>
      </c>
      <c r="BB418" s="5">
        <v>10</v>
      </c>
      <c r="BC418" s="5">
        <v>0</v>
      </c>
      <c r="BD418" s="5">
        <v>1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f t="shared" si="1026"/>
        <v>1</v>
      </c>
      <c r="BM418" s="5">
        <v>0</v>
      </c>
      <c r="BN418" s="5">
        <v>0</v>
      </c>
      <c r="BO418" s="5">
        <v>0</v>
      </c>
      <c r="BP418" s="5">
        <v>0</v>
      </c>
      <c r="BQ418" s="5"/>
      <c r="BR418" s="5"/>
      <c r="BS418" s="4">
        <v>0</v>
      </c>
      <c r="BT418" s="4">
        <f t="shared" si="1048"/>
        <v>6</v>
      </c>
      <c r="BU418" s="17">
        <v>6</v>
      </c>
      <c r="BV418" s="4">
        <f t="shared" ref="BV418:BY418" si="1079">BV408</f>
        <v>6</v>
      </c>
      <c r="BW418" s="4">
        <f t="shared" si="1079"/>
        <v>6</v>
      </c>
      <c r="BX418" s="4">
        <f t="shared" si="1079"/>
        <v>0.49999999999999994</v>
      </c>
      <c r="BY418" s="4">
        <f t="shared" si="1079"/>
        <v>0.30000000000000004</v>
      </c>
      <c r="BZ418" s="27" t="s">
        <v>1002</v>
      </c>
      <c r="CA418" s="30" t="str">
        <f t="shared" si="1075"/>
        <v>6</v>
      </c>
      <c r="CB418" s="30" t="s">
        <v>917</v>
      </c>
      <c r="CC418" s="5">
        <v>0</v>
      </c>
      <c r="CD418" s="8">
        <v>3</v>
      </c>
      <c r="CE418" s="5">
        <f t="shared" si="1050"/>
        <v>6</v>
      </c>
      <c r="CF418" s="5">
        <v>1</v>
      </c>
      <c r="CG418" s="27" t="str">
        <f t="shared" si="1057"/>
        <v>6级熔岩龙</v>
      </c>
      <c r="CH418" s="5">
        <v>0</v>
      </c>
      <c r="CI418" s="5">
        <v>0</v>
      </c>
      <c r="CJ418" s="4">
        <v>0</v>
      </c>
      <c r="CK418" s="20">
        <v>0</v>
      </c>
      <c r="CL418" s="5">
        <v>0</v>
      </c>
      <c r="CM418" s="20">
        <v>114</v>
      </c>
      <c r="CN418" s="5">
        <v>0</v>
      </c>
      <c r="CO418" s="5">
        <v>0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20">
        <v>2.5</v>
      </c>
      <c r="CW418" s="20">
        <v>3</v>
      </c>
      <c r="CX418" s="20">
        <v>2.5</v>
      </c>
      <c r="CY418" s="20">
        <v>3.5</v>
      </c>
      <c r="CZ418" s="8">
        <v>200</v>
      </c>
      <c r="DA418" s="6">
        <f t="shared" si="1065"/>
        <v>30000</v>
      </c>
      <c r="DB418" s="5">
        <v>1</v>
      </c>
      <c r="DC418" s="20">
        <f t="shared" si="1051"/>
        <v>1.875</v>
      </c>
      <c r="DD418" s="6">
        <f t="shared" si="1066"/>
        <v>0.625</v>
      </c>
      <c r="DE418" s="6">
        <v>1</v>
      </c>
      <c r="DF418" s="5">
        <v>0</v>
      </c>
      <c r="DG418" s="6">
        <v>2.5</v>
      </c>
      <c r="DH418" s="5">
        <v>0</v>
      </c>
      <c r="DI418" s="8">
        <v>0</v>
      </c>
      <c r="DJ418" s="5">
        <v>0</v>
      </c>
      <c r="DK418" s="8">
        <v>0</v>
      </c>
      <c r="DL418" s="5">
        <f t="shared" si="1034"/>
        <v>0</v>
      </c>
      <c r="DM418" s="5" t="str">
        <f t="shared" si="1054"/>
        <v>6级熔岩龙</v>
      </c>
      <c r="DN418" s="5">
        <v>6</v>
      </c>
      <c r="DO418" s="5">
        <v>0</v>
      </c>
      <c r="DP418" s="5">
        <v>1</v>
      </c>
      <c r="DQ418" s="5">
        <v>1</v>
      </c>
      <c r="DR418" s="5">
        <v>2.5</v>
      </c>
      <c r="DS418" s="6">
        <v>3.5</v>
      </c>
      <c r="DT418" s="5">
        <v>-0.6</v>
      </c>
      <c r="DU418" s="5">
        <v>0.8</v>
      </c>
      <c r="DV418" s="6">
        <v>0.5</v>
      </c>
      <c r="DW418" s="5">
        <f t="shared" si="1067"/>
        <v>0.66666666666666663</v>
      </c>
      <c r="DX418" s="5">
        <v>8</v>
      </c>
      <c r="DY418" s="5">
        <f t="shared" si="1068"/>
        <v>0</v>
      </c>
      <c r="DZ418" s="5">
        <v>0</v>
      </c>
    </row>
    <row r="419" spans="1:130" x14ac:dyDescent="0.15">
      <c r="A419" s="5">
        <v>201417</v>
      </c>
      <c r="B419" s="28" t="s">
        <v>742</v>
      </c>
      <c r="C419" s="27">
        <v>20</v>
      </c>
      <c r="D419" s="27">
        <v>1</v>
      </c>
      <c r="E419" s="27">
        <v>3</v>
      </c>
      <c r="F419" s="5">
        <v>2</v>
      </c>
      <c r="G419" s="46">
        <f t="shared" si="1069"/>
        <v>-0.40670000000000001</v>
      </c>
      <c r="H419" s="27"/>
      <c r="I419" s="27" t="s">
        <v>975</v>
      </c>
      <c r="J419" s="27"/>
      <c r="K419" s="5">
        <f t="shared" si="1039"/>
        <v>0.16</v>
      </c>
      <c r="L419" s="10">
        <v>2</v>
      </c>
      <c r="M419" s="5">
        <f t="shared" si="1040"/>
        <v>0.46</v>
      </c>
      <c r="N419" s="10">
        <v>8</v>
      </c>
      <c r="O419" s="5">
        <v>0</v>
      </c>
      <c r="P419" s="5">
        <f t="shared" si="1043"/>
        <v>0.2</v>
      </c>
      <c r="Q419" s="5">
        <v>2</v>
      </c>
      <c r="R419" s="5">
        <f t="shared" si="1070"/>
        <v>903921</v>
      </c>
      <c r="S419" s="5">
        <v>30</v>
      </c>
      <c r="T419" s="5">
        <v>10</v>
      </c>
      <c r="U419" s="5">
        <v>0.3</v>
      </c>
      <c r="V419" s="5">
        <v>0.15</v>
      </c>
      <c r="W419" s="5">
        <v>9</v>
      </c>
      <c r="X419" s="5">
        <v>-0.6</v>
      </c>
      <c r="Y419" s="5">
        <v>1.8</v>
      </c>
      <c r="Z419" s="27" t="s">
        <v>1020</v>
      </c>
      <c r="AA419" s="5">
        <v>3</v>
      </c>
      <c r="AB419" s="5">
        <v>2</v>
      </c>
      <c r="AC419" s="5">
        <v>6</v>
      </c>
      <c r="AD419" s="27" t="s">
        <v>1021</v>
      </c>
      <c r="AE419" s="20">
        <v>0</v>
      </c>
      <c r="AF419" s="5">
        <f t="shared" si="1071"/>
        <v>903937</v>
      </c>
      <c r="AG419" s="5">
        <v>60</v>
      </c>
      <c r="AH419" s="5">
        <f t="shared" si="1044"/>
        <v>0.1</v>
      </c>
      <c r="AI419" s="5">
        <v>2</v>
      </c>
      <c r="AJ419" s="5">
        <v>1</v>
      </c>
      <c r="AK419" s="5">
        <f t="shared" si="1072"/>
        <v>35</v>
      </c>
      <c r="AL419" s="5">
        <f t="shared" si="1045"/>
        <v>231</v>
      </c>
      <c r="AM419" s="5">
        <f t="shared" si="1046"/>
        <v>252</v>
      </c>
      <c r="AN419" s="8">
        <v>11</v>
      </c>
      <c r="AO419" s="5">
        <v>1</v>
      </c>
      <c r="AP419" s="28" t="s">
        <v>742</v>
      </c>
      <c r="AQ419" s="5">
        <v>0</v>
      </c>
      <c r="AR419" s="8">
        <v>0</v>
      </c>
      <c r="AS419" s="6">
        <f t="shared" si="1035"/>
        <v>0</v>
      </c>
      <c r="AT419" s="6">
        <f t="shared" si="1036"/>
        <v>21</v>
      </c>
      <c r="AU419" s="5">
        <v>0</v>
      </c>
      <c r="AV419" s="5">
        <v>0</v>
      </c>
      <c r="AW419" s="5">
        <v>0</v>
      </c>
      <c r="AX419" s="5">
        <v>1</v>
      </c>
      <c r="AY419" s="5">
        <v>0</v>
      </c>
      <c r="AZ419" s="5">
        <v>201417</v>
      </c>
      <c r="BA419" s="5">
        <f t="shared" si="1073"/>
        <v>203043</v>
      </c>
      <c r="BB419" s="5">
        <v>10</v>
      </c>
      <c r="BC419" s="5">
        <v>0</v>
      </c>
      <c r="BD419" s="5">
        <v>1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f t="shared" si="1026"/>
        <v>1</v>
      </c>
      <c r="BM419" s="5">
        <v>0</v>
      </c>
      <c r="BN419" s="5">
        <v>0</v>
      </c>
      <c r="BO419" s="5">
        <v>0</v>
      </c>
      <c r="BP419" s="5">
        <v>0</v>
      </c>
      <c r="BQ419" s="5"/>
      <c r="BR419" s="5"/>
      <c r="BS419" s="4">
        <v>0</v>
      </c>
      <c r="BT419" s="4">
        <f t="shared" si="1048"/>
        <v>7</v>
      </c>
      <c r="BU419" s="17">
        <v>7</v>
      </c>
      <c r="BV419" s="4">
        <f t="shared" ref="BV419:BY419" si="1080">BV409</f>
        <v>7</v>
      </c>
      <c r="BW419" s="4">
        <f t="shared" si="1080"/>
        <v>7</v>
      </c>
      <c r="BX419" s="4">
        <f t="shared" si="1080"/>
        <v>0.42999999999999994</v>
      </c>
      <c r="BY419" s="4">
        <f t="shared" si="1080"/>
        <v>0.25</v>
      </c>
      <c r="BZ419" s="27" t="s">
        <v>1002</v>
      </c>
      <c r="CA419" s="30" t="str">
        <f t="shared" si="1075"/>
        <v>7</v>
      </c>
      <c r="CB419" s="30" t="s">
        <v>917</v>
      </c>
      <c r="CC419" s="5">
        <v>0</v>
      </c>
      <c r="CD419" s="8">
        <v>3</v>
      </c>
      <c r="CE419" s="5">
        <f t="shared" si="1050"/>
        <v>7</v>
      </c>
      <c r="CF419" s="5">
        <v>1</v>
      </c>
      <c r="CG419" s="27" t="str">
        <f t="shared" si="1057"/>
        <v>7级熔岩龙</v>
      </c>
      <c r="CH419" s="5">
        <v>0</v>
      </c>
      <c r="CI419" s="5">
        <v>0</v>
      </c>
      <c r="CJ419" s="4">
        <v>0</v>
      </c>
      <c r="CK419" s="20">
        <v>0</v>
      </c>
      <c r="CL419" s="5">
        <v>0</v>
      </c>
      <c r="CM419" s="20">
        <v>114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20">
        <v>2.5</v>
      </c>
      <c r="CW419" s="20">
        <v>3</v>
      </c>
      <c r="CX419" s="20">
        <v>2.5</v>
      </c>
      <c r="CY419" s="20">
        <v>3.5</v>
      </c>
      <c r="CZ419" s="8">
        <v>200</v>
      </c>
      <c r="DA419" s="6">
        <f t="shared" si="1065"/>
        <v>35000</v>
      </c>
      <c r="DB419" s="5">
        <v>1</v>
      </c>
      <c r="DC419" s="20">
        <f t="shared" si="1051"/>
        <v>1.9500000000000002</v>
      </c>
      <c r="DD419" s="6">
        <f t="shared" si="1066"/>
        <v>0.65</v>
      </c>
      <c r="DE419" s="6">
        <v>1</v>
      </c>
      <c r="DF419" s="5">
        <v>0</v>
      </c>
      <c r="DG419" s="6">
        <v>2.5</v>
      </c>
      <c r="DH419" s="5">
        <v>0</v>
      </c>
      <c r="DI419" s="8">
        <v>0</v>
      </c>
      <c r="DJ419" s="5">
        <v>0</v>
      </c>
      <c r="DK419" s="8">
        <v>0</v>
      </c>
      <c r="DL419" s="5">
        <f t="shared" si="1034"/>
        <v>0</v>
      </c>
      <c r="DM419" s="5" t="str">
        <f t="shared" si="1054"/>
        <v>7级熔岩龙</v>
      </c>
      <c r="DN419" s="5">
        <v>6</v>
      </c>
      <c r="DO419" s="5">
        <v>0</v>
      </c>
      <c r="DP419" s="5">
        <v>1</v>
      </c>
      <c r="DQ419" s="5">
        <v>1</v>
      </c>
      <c r="DR419" s="5">
        <v>2.5</v>
      </c>
      <c r="DS419" s="6">
        <v>3.5</v>
      </c>
      <c r="DT419" s="5">
        <v>-0.6</v>
      </c>
      <c r="DU419" s="5">
        <v>0.8</v>
      </c>
      <c r="DV419" s="6">
        <v>0.5</v>
      </c>
      <c r="DW419" s="5">
        <f t="shared" si="1067"/>
        <v>0.66666666666666663</v>
      </c>
      <c r="DX419" s="5">
        <v>8</v>
      </c>
      <c r="DY419" s="5">
        <f t="shared" si="1068"/>
        <v>0</v>
      </c>
      <c r="DZ419" s="5">
        <v>0</v>
      </c>
    </row>
    <row r="420" spans="1:130" x14ac:dyDescent="0.15">
      <c r="A420" s="5">
        <v>201418</v>
      </c>
      <c r="B420" s="28" t="s">
        <v>743</v>
      </c>
      <c r="C420" s="27">
        <v>20</v>
      </c>
      <c r="D420" s="27">
        <v>1</v>
      </c>
      <c r="E420" s="27">
        <v>3</v>
      </c>
      <c r="F420" s="5">
        <v>2</v>
      </c>
      <c r="G420" s="46">
        <f t="shared" si="1069"/>
        <v>-0.40670000000000001</v>
      </c>
      <c r="H420" s="27"/>
      <c r="I420" s="27" t="s">
        <v>975</v>
      </c>
      <c r="J420" s="27"/>
      <c r="K420" s="5">
        <f t="shared" si="1039"/>
        <v>0.17</v>
      </c>
      <c r="L420" s="10">
        <v>2</v>
      </c>
      <c r="M420" s="5">
        <f t="shared" si="1040"/>
        <v>0.47000000000000003</v>
      </c>
      <c r="N420" s="10">
        <v>8</v>
      </c>
      <c r="O420" s="5">
        <v>0</v>
      </c>
      <c r="P420" s="5">
        <f t="shared" si="1043"/>
        <v>0.2</v>
      </c>
      <c r="Q420" s="5">
        <v>2</v>
      </c>
      <c r="R420" s="5">
        <f t="shared" si="1070"/>
        <v>903921</v>
      </c>
      <c r="S420" s="5">
        <v>30</v>
      </c>
      <c r="T420" s="5">
        <v>10</v>
      </c>
      <c r="U420" s="5">
        <v>0.3</v>
      </c>
      <c r="V420" s="5">
        <v>0.15</v>
      </c>
      <c r="W420" s="5">
        <v>9</v>
      </c>
      <c r="X420" s="5">
        <v>-0.6</v>
      </c>
      <c r="Y420" s="5">
        <v>1.8</v>
      </c>
      <c r="Z420" s="27" t="s">
        <v>1020</v>
      </c>
      <c r="AA420" s="5">
        <v>3</v>
      </c>
      <c r="AB420" s="5">
        <v>2</v>
      </c>
      <c r="AC420" s="5">
        <v>6</v>
      </c>
      <c r="AD420" s="27" t="s">
        <v>1021</v>
      </c>
      <c r="AE420" s="20">
        <v>0</v>
      </c>
      <c r="AF420" s="5">
        <f t="shared" si="1071"/>
        <v>903937</v>
      </c>
      <c r="AG420" s="5">
        <v>60</v>
      </c>
      <c r="AH420" s="5">
        <f t="shared" si="1044"/>
        <v>0.1</v>
      </c>
      <c r="AI420" s="5">
        <v>2</v>
      </c>
      <c r="AJ420" s="5">
        <v>1</v>
      </c>
      <c r="AK420" s="5">
        <f t="shared" si="1072"/>
        <v>40</v>
      </c>
      <c r="AL420" s="5">
        <f t="shared" si="1045"/>
        <v>264</v>
      </c>
      <c r="AM420" s="5">
        <f t="shared" si="1046"/>
        <v>288</v>
      </c>
      <c r="AN420" s="8">
        <v>11</v>
      </c>
      <c r="AO420" s="5">
        <v>1</v>
      </c>
      <c r="AP420" s="28" t="s">
        <v>743</v>
      </c>
      <c r="AQ420" s="5">
        <v>0</v>
      </c>
      <c r="AR420" s="8">
        <v>0</v>
      </c>
      <c r="AS420" s="6">
        <f t="shared" si="1035"/>
        <v>0</v>
      </c>
      <c r="AT420" s="6">
        <f t="shared" si="1036"/>
        <v>24</v>
      </c>
      <c r="AU420" s="5">
        <v>0</v>
      </c>
      <c r="AV420" s="5">
        <v>0</v>
      </c>
      <c r="AW420" s="5">
        <v>0</v>
      </c>
      <c r="AX420" s="5">
        <v>1</v>
      </c>
      <c r="AY420" s="5">
        <v>0</v>
      </c>
      <c r="AZ420" s="5">
        <v>201418</v>
      </c>
      <c r="BA420" s="5">
        <f t="shared" si="1073"/>
        <v>203043</v>
      </c>
      <c r="BB420" s="5">
        <v>10</v>
      </c>
      <c r="BC420" s="5">
        <v>0</v>
      </c>
      <c r="BD420" s="5">
        <v>1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f t="shared" si="1026"/>
        <v>1</v>
      </c>
      <c r="BM420" s="5">
        <v>0</v>
      </c>
      <c r="BN420" s="5">
        <v>0</v>
      </c>
      <c r="BO420" s="5">
        <v>0</v>
      </c>
      <c r="BP420" s="5">
        <v>0</v>
      </c>
      <c r="BQ420" s="5"/>
      <c r="BR420" s="5"/>
      <c r="BS420" s="4">
        <v>0</v>
      </c>
      <c r="BT420" s="4">
        <f t="shared" si="1048"/>
        <v>8</v>
      </c>
      <c r="BU420" s="17">
        <v>8</v>
      </c>
      <c r="BV420" s="4">
        <f t="shared" ref="BV420:BY420" si="1081">BV410</f>
        <v>8</v>
      </c>
      <c r="BW420" s="4">
        <f t="shared" si="1081"/>
        <v>8</v>
      </c>
      <c r="BX420" s="4">
        <f t="shared" si="1081"/>
        <v>0.35999999999999993</v>
      </c>
      <c r="BY420" s="4">
        <f t="shared" si="1081"/>
        <v>0.2</v>
      </c>
      <c r="BZ420" s="27" t="s">
        <v>1002</v>
      </c>
      <c r="CA420" s="30" t="str">
        <f t="shared" si="1075"/>
        <v>8</v>
      </c>
      <c r="CB420" s="30" t="s">
        <v>917</v>
      </c>
      <c r="CC420" s="5">
        <v>0</v>
      </c>
      <c r="CD420" s="8">
        <v>3</v>
      </c>
      <c r="CE420" s="5">
        <f t="shared" si="1050"/>
        <v>8</v>
      </c>
      <c r="CF420" s="5">
        <v>1</v>
      </c>
      <c r="CG420" s="27" t="str">
        <f t="shared" si="1057"/>
        <v>8级熔岩龙</v>
      </c>
      <c r="CH420" s="5">
        <v>0</v>
      </c>
      <c r="CI420" s="5">
        <v>0</v>
      </c>
      <c r="CJ420" s="4">
        <v>0</v>
      </c>
      <c r="CK420" s="20">
        <v>0</v>
      </c>
      <c r="CL420" s="5">
        <v>0</v>
      </c>
      <c r="CM420" s="20">
        <v>114</v>
      </c>
      <c r="CN420" s="5">
        <v>0</v>
      </c>
      <c r="CO420" s="5">
        <v>0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20">
        <v>2.5</v>
      </c>
      <c r="CW420" s="20">
        <v>3</v>
      </c>
      <c r="CX420" s="20">
        <v>2.5</v>
      </c>
      <c r="CY420" s="20">
        <v>3.5</v>
      </c>
      <c r="CZ420" s="8">
        <v>200</v>
      </c>
      <c r="DA420" s="6">
        <f t="shared" si="1065"/>
        <v>40000</v>
      </c>
      <c r="DB420" s="5">
        <v>1</v>
      </c>
      <c r="DC420" s="20">
        <f t="shared" si="1051"/>
        <v>2.0250000000000004</v>
      </c>
      <c r="DD420" s="6">
        <f t="shared" si="1066"/>
        <v>0.67500000000000004</v>
      </c>
      <c r="DE420" s="6">
        <v>1</v>
      </c>
      <c r="DF420" s="5">
        <v>0</v>
      </c>
      <c r="DG420" s="6">
        <v>2.5</v>
      </c>
      <c r="DH420" s="5">
        <v>0</v>
      </c>
      <c r="DI420" s="8">
        <v>0</v>
      </c>
      <c r="DJ420" s="5">
        <v>0</v>
      </c>
      <c r="DK420" s="8">
        <v>0</v>
      </c>
      <c r="DL420" s="5">
        <f t="shared" si="1034"/>
        <v>0</v>
      </c>
      <c r="DM420" s="5" t="str">
        <f t="shared" si="1054"/>
        <v>8级熔岩龙</v>
      </c>
      <c r="DN420" s="5">
        <v>6</v>
      </c>
      <c r="DO420" s="5">
        <v>0</v>
      </c>
      <c r="DP420" s="5">
        <v>1</v>
      </c>
      <c r="DQ420" s="5">
        <v>1</v>
      </c>
      <c r="DR420" s="5">
        <v>2.5</v>
      </c>
      <c r="DS420" s="6">
        <v>3.5</v>
      </c>
      <c r="DT420" s="5">
        <v>-0.6</v>
      </c>
      <c r="DU420" s="5">
        <v>0.8</v>
      </c>
      <c r="DV420" s="6">
        <v>0.5</v>
      </c>
      <c r="DW420" s="5">
        <f t="shared" si="1067"/>
        <v>0.66666666666666663</v>
      </c>
      <c r="DX420" s="5">
        <v>8</v>
      </c>
      <c r="DY420" s="5">
        <f t="shared" si="1068"/>
        <v>0</v>
      </c>
      <c r="DZ420" s="5">
        <v>0</v>
      </c>
    </row>
    <row r="421" spans="1:130" x14ac:dyDescent="0.15">
      <c r="A421" s="5">
        <v>201419</v>
      </c>
      <c r="B421" s="28" t="s">
        <v>744</v>
      </c>
      <c r="C421" s="27">
        <v>20</v>
      </c>
      <c r="D421" s="27">
        <v>1</v>
      </c>
      <c r="E421" s="27">
        <v>3</v>
      </c>
      <c r="F421" s="5">
        <v>2</v>
      </c>
      <c r="G421" s="46">
        <f t="shared" si="1069"/>
        <v>-0.40670000000000001</v>
      </c>
      <c r="H421" s="27"/>
      <c r="I421" s="27" t="s">
        <v>975</v>
      </c>
      <c r="J421" s="27"/>
      <c r="K421" s="5">
        <f t="shared" si="1039"/>
        <v>0.18</v>
      </c>
      <c r="L421" s="10">
        <v>2</v>
      </c>
      <c r="M421" s="5">
        <f t="shared" si="1040"/>
        <v>0.48000000000000004</v>
      </c>
      <c r="N421" s="10">
        <v>8</v>
      </c>
      <c r="O421" s="5">
        <v>0</v>
      </c>
      <c r="P421" s="5">
        <f t="shared" si="1043"/>
        <v>0.2</v>
      </c>
      <c r="Q421" s="5">
        <v>2</v>
      </c>
      <c r="R421" s="5">
        <f t="shared" si="1070"/>
        <v>903921</v>
      </c>
      <c r="S421" s="5">
        <v>30</v>
      </c>
      <c r="T421" s="5">
        <v>10</v>
      </c>
      <c r="U421" s="5">
        <v>0.3</v>
      </c>
      <c r="V421" s="5">
        <v>0.15</v>
      </c>
      <c r="W421" s="5">
        <v>9</v>
      </c>
      <c r="X421" s="5">
        <v>-0.6</v>
      </c>
      <c r="Y421" s="5">
        <v>1.8</v>
      </c>
      <c r="Z421" s="27" t="s">
        <v>1020</v>
      </c>
      <c r="AA421" s="5">
        <v>3</v>
      </c>
      <c r="AB421" s="5">
        <v>2</v>
      </c>
      <c r="AC421" s="5">
        <v>6</v>
      </c>
      <c r="AD421" s="27" t="s">
        <v>1021</v>
      </c>
      <c r="AE421" s="20">
        <v>0</v>
      </c>
      <c r="AF421" s="5">
        <f t="shared" si="1071"/>
        <v>903937</v>
      </c>
      <c r="AG421" s="5">
        <v>60</v>
      </c>
      <c r="AH421" s="5">
        <f t="shared" si="1044"/>
        <v>0.1</v>
      </c>
      <c r="AI421" s="5">
        <v>2</v>
      </c>
      <c r="AJ421" s="5">
        <v>1</v>
      </c>
      <c r="AK421" s="5">
        <f t="shared" si="1072"/>
        <v>45</v>
      </c>
      <c r="AL421" s="5">
        <f t="shared" si="1045"/>
        <v>297</v>
      </c>
      <c r="AM421" s="5">
        <f t="shared" si="1046"/>
        <v>324</v>
      </c>
      <c r="AN421" s="8">
        <v>11</v>
      </c>
      <c r="AO421" s="5">
        <v>1</v>
      </c>
      <c r="AP421" s="28" t="s">
        <v>744</v>
      </c>
      <c r="AQ421" s="5">
        <v>0</v>
      </c>
      <c r="AR421" s="8">
        <v>0</v>
      </c>
      <c r="AS421" s="6">
        <f t="shared" si="1035"/>
        <v>0</v>
      </c>
      <c r="AT421" s="6">
        <f t="shared" si="1036"/>
        <v>27</v>
      </c>
      <c r="AU421" s="5">
        <v>0</v>
      </c>
      <c r="AV421" s="5">
        <v>0</v>
      </c>
      <c r="AW421" s="5">
        <v>0</v>
      </c>
      <c r="AX421" s="5">
        <v>1</v>
      </c>
      <c r="AY421" s="5">
        <v>0</v>
      </c>
      <c r="AZ421" s="5">
        <v>201419</v>
      </c>
      <c r="BA421" s="5">
        <f t="shared" si="1073"/>
        <v>203043</v>
      </c>
      <c r="BB421" s="5">
        <v>10</v>
      </c>
      <c r="BC421" s="5">
        <v>0</v>
      </c>
      <c r="BD421" s="5">
        <v>1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f t="shared" si="1026"/>
        <v>1</v>
      </c>
      <c r="BM421" s="5">
        <v>0</v>
      </c>
      <c r="BN421" s="5">
        <v>0</v>
      </c>
      <c r="BO421" s="5">
        <v>0</v>
      </c>
      <c r="BP421" s="5">
        <v>0</v>
      </c>
      <c r="BQ421" s="5"/>
      <c r="BR421" s="5"/>
      <c r="BS421" s="4">
        <v>0</v>
      </c>
      <c r="BT421" s="4">
        <f t="shared" si="1048"/>
        <v>9</v>
      </c>
      <c r="BU421" s="17">
        <v>9</v>
      </c>
      <c r="BV421" s="4">
        <f t="shared" ref="BV421:BY421" si="1082">BV411</f>
        <v>9</v>
      </c>
      <c r="BW421" s="4">
        <f t="shared" si="1082"/>
        <v>9</v>
      </c>
      <c r="BX421" s="4">
        <f t="shared" si="1082"/>
        <v>0.28999999999999992</v>
      </c>
      <c r="BY421" s="4">
        <f t="shared" si="1082"/>
        <v>0.15000000000000002</v>
      </c>
      <c r="BZ421" s="27" t="s">
        <v>1002</v>
      </c>
      <c r="CA421" s="30" t="str">
        <f t="shared" si="1075"/>
        <v>9</v>
      </c>
      <c r="CB421" s="30" t="s">
        <v>917</v>
      </c>
      <c r="CC421" s="5">
        <v>0</v>
      </c>
      <c r="CD421" s="8">
        <v>3</v>
      </c>
      <c r="CE421" s="5">
        <f t="shared" si="1050"/>
        <v>9</v>
      </c>
      <c r="CF421" s="5">
        <v>1</v>
      </c>
      <c r="CG421" s="27" t="str">
        <f t="shared" si="1057"/>
        <v>9级熔岩龙</v>
      </c>
      <c r="CH421" s="5">
        <v>0</v>
      </c>
      <c r="CI421" s="5">
        <v>0</v>
      </c>
      <c r="CJ421" s="4">
        <v>0</v>
      </c>
      <c r="CK421" s="20">
        <v>0</v>
      </c>
      <c r="CL421" s="5">
        <v>0</v>
      </c>
      <c r="CM421" s="20">
        <v>114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20">
        <v>2.5</v>
      </c>
      <c r="CW421" s="20">
        <v>3</v>
      </c>
      <c r="CX421" s="20">
        <v>2.5</v>
      </c>
      <c r="CY421" s="20">
        <v>3.5</v>
      </c>
      <c r="CZ421" s="8">
        <v>200</v>
      </c>
      <c r="DA421" s="6">
        <f t="shared" si="1065"/>
        <v>45000</v>
      </c>
      <c r="DB421" s="5">
        <v>1</v>
      </c>
      <c r="DC421" s="20">
        <f t="shared" si="1051"/>
        <v>2.0999999999999996</v>
      </c>
      <c r="DD421" s="6">
        <f t="shared" si="1066"/>
        <v>0.7</v>
      </c>
      <c r="DE421" s="6">
        <v>1</v>
      </c>
      <c r="DF421" s="5">
        <v>0</v>
      </c>
      <c r="DG421" s="6">
        <v>2.5</v>
      </c>
      <c r="DH421" s="5">
        <v>0</v>
      </c>
      <c r="DI421" s="8">
        <v>0</v>
      </c>
      <c r="DJ421" s="5">
        <v>0</v>
      </c>
      <c r="DK421" s="8">
        <v>0</v>
      </c>
      <c r="DL421" s="5">
        <f t="shared" si="1034"/>
        <v>0</v>
      </c>
      <c r="DM421" s="5" t="str">
        <f t="shared" si="1054"/>
        <v>9级熔岩龙</v>
      </c>
      <c r="DN421" s="5">
        <v>6</v>
      </c>
      <c r="DO421" s="5">
        <v>0</v>
      </c>
      <c r="DP421" s="5">
        <v>1</v>
      </c>
      <c r="DQ421" s="5">
        <v>1</v>
      </c>
      <c r="DR421" s="5">
        <v>2.5</v>
      </c>
      <c r="DS421" s="6">
        <v>3.5</v>
      </c>
      <c r="DT421" s="5">
        <v>-0.6</v>
      </c>
      <c r="DU421" s="5">
        <v>0.8</v>
      </c>
      <c r="DV421" s="6">
        <v>0.5</v>
      </c>
      <c r="DW421" s="5">
        <f t="shared" si="1067"/>
        <v>0.66666666666666663</v>
      </c>
      <c r="DX421" s="5">
        <v>8</v>
      </c>
      <c r="DY421" s="5">
        <f t="shared" si="1068"/>
        <v>0</v>
      </c>
      <c r="DZ421" s="5">
        <v>0</v>
      </c>
    </row>
    <row r="422" spans="1:130" x14ac:dyDescent="0.15">
      <c r="A422" s="5">
        <v>201420</v>
      </c>
      <c r="B422" s="28" t="s">
        <v>745</v>
      </c>
      <c r="C422" s="27">
        <v>20</v>
      </c>
      <c r="D422" s="27">
        <v>1</v>
      </c>
      <c r="E422" s="27">
        <v>3</v>
      </c>
      <c r="F422" s="5">
        <v>2</v>
      </c>
      <c r="G422" s="46">
        <f t="shared" si="1069"/>
        <v>-0.40670000000000001</v>
      </c>
      <c r="H422" s="27"/>
      <c r="I422" s="27" t="s">
        <v>975</v>
      </c>
      <c r="J422" s="27"/>
      <c r="K422" s="5">
        <f t="shared" si="1039"/>
        <v>0.19</v>
      </c>
      <c r="L422" s="10">
        <v>2</v>
      </c>
      <c r="M422" s="5">
        <f t="shared" si="1040"/>
        <v>0.49</v>
      </c>
      <c r="N422" s="10">
        <v>8</v>
      </c>
      <c r="O422" s="5">
        <v>0</v>
      </c>
      <c r="P422" s="5">
        <f t="shared" si="1043"/>
        <v>0.2</v>
      </c>
      <c r="Q422" s="5">
        <v>2</v>
      </c>
      <c r="R422" s="5">
        <f t="shared" si="1070"/>
        <v>903921</v>
      </c>
      <c r="S422" s="5">
        <v>30</v>
      </c>
      <c r="T422" s="5">
        <v>10</v>
      </c>
      <c r="U422" s="5">
        <v>0.3</v>
      </c>
      <c r="V422" s="5">
        <v>0.15</v>
      </c>
      <c r="W422" s="5">
        <v>9</v>
      </c>
      <c r="X422" s="5">
        <v>-0.6</v>
      </c>
      <c r="Y422" s="5">
        <v>1.8</v>
      </c>
      <c r="Z422" s="27" t="s">
        <v>1020</v>
      </c>
      <c r="AA422" s="5">
        <v>3</v>
      </c>
      <c r="AB422" s="5">
        <v>2</v>
      </c>
      <c r="AC422" s="5">
        <v>6</v>
      </c>
      <c r="AD422" s="27" t="s">
        <v>1021</v>
      </c>
      <c r="AE422" s="20">
        <v>0</v>
      </c>
      <c r="AF422" s="5">
        <f t="shared" si="1071"/>
        <v>903937</v>
      </c>
      <c r="AG422" s="5">
        <v>60</v>
      </c>
      <c r="AH422" s="5">
        <f t="shared" si="1044"/>
        <v>0.1</v>
      </c>
      <c r="AI422" s="5">
        <v>2</v>
      </c>
      <c r="AJ422" s="5">
        <v>1</v>
      </c>
      <c r="AK422" s="5">
        <f t="shared" si="1072"/>
        <v>50</v>
      </c>
      <c r="AL422" s="5">
        <f t="shared" si="1045"/>
        <v>330</v>
      </c>
      <c r="AM422" s="5">
        <f t="shared" si="1046"/>
        <v>360</v>
      </c>
      <c r="AN422" s="8">
        <v>11</v>
      </c>
      <c r="AO422" s="5">
        <v>1</v>
      </c>
      <c r="AP422" s="28" t="s">
        <v>745</v>
      </c>
      <c r="AQ422" s="5">
        <v>0</v>
      </c>
      <c r="AR422" s="8">
        <v>0</v>
      </c>
      <c r="AS422" s="6">
        <f t="shared" si="1035"/>
        <v>0</v>
      </c>
      <c r="AT422" s="6">
        <f t="shared" si="1036"/>
        <v>30</v>
      </c>
      <c r="AU422" s="5">
        <v>0</v>
      </c>
      <c r="AV422" s="5">
        <v>0</v>
      </c>
      <c r="AW422" s="5">
        <v>0</v>
      </c>
      <c r="AX422" s="5">
        <v>1</v>
      </c>
      <c r="AY422" s="5">
        <v>0</v>
      </c>
      <c r="AZ422" s="5">
        <v>201420</v>
      </c>
      <c r="BA422" s="5">
        <f t="shared" si="1073"/>
        <v>203043</v>
      </c>
      <c r="BB422" s="5">
        <v>10</v>
      </c>
      <c r="BC422" s="5">
        <v>0</v>
      </c>
      <c r="BD422" s="5">
        <v>1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f t="shared" si="1026"/>
        <v>1</v>
      </c>
      <c r="BM422" s="5">
        <v>0</v>
      </c>
      <c r="BN422" s="5">
        <v>0</v>
      </c>
      <c r="BO422" s="5">
        <v>0</v>
      </c>
      <c r="BP422" s="5">
        <v>0</v>
      </c>
      <c r="BQ422" s="5"/>
      <c r="BR422" s="5"/>
      <c r="BS422" s="4">
        <v>0</v>
      </c>
      <c r="BT422" s="4">
        <f t="shared" si="1048"/>
        <v>10</v>
      </c>
      <c r="BU422" s="17">
        <v>10</v>
      </c>
      <c r="BV422" s="4">
        <f t="shared" ref="BV422:BY422" si="1083">BV412</f>
        <v>10</v>
      </c>
      <c r="BW422" s="4">
        <f t="shared" si="1083"/>
        <v>10</v>
      </c>
      <c r="BX422" s="4">
        <f t="shared" si="1083"/>
        <v>0.21999999999999986</v>
      </c>
      <c r="BY422" s="4">
        <f t="shared" si="1083"/>
        <v>0.10000000000000003</v>
      </c>
      <c r="BZ422" s="27" t="s">
        <v>1002</v>
      </c>
      <c r="CA422" s="30" t="str">
        <f t="shared" si="1075"/>
        <v>10</v>
      </c>
      <c r="CB422" s="30" t="s">
        <v>917</v>
      </c>
      <c r="CC422" s="5">
        <v>0</v>
      </c>
      <c r="CD422" s="8">
        <v>3</v>
      </c>
      <c r="CE422" s="5">
        <f t="shared" si="1050"/>
        <v>10</v>
      </c>
      <c r="CF422" s="5">
        <v>1</v>
      </c>
      <c r="CG422" s="27" t="str">
        <f t="shared" si="1057"/>
        <v>10级熔岩龙</v>
      </c>
      <c r="CH422" s="5">
        <v>0</v>
      </c>
      <c r="CI422" s="5">
        <v>0</v>
      </c>
      <c r="CJ422" s="4">
        <v>0</v>
      </c>
      <c r="CK422" s="20">
        <v>0</v>
      </c>
      <c r="CL422" s="5">
        <v>0</v>
      </c>
      <c r="CM422" s="20">
        <v>114</v>
      </c>
      <c r="CN422" s="5">
        <v>0</v>
      </c>
      <c r="CO422" s="5">
        <v>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20">
        <v>2.5</v>
      </c>
      <c r="CW422" s="20">
        <v>3</v>
      </c>
      <c r="CX422" s="20">
        <v>2.5</v>
      </c>
      <c r="CY422" s="20">
        <v>3.5</v>
      </c>
      <c r="CZ422" s="8">
        <v>200</v>
      </c>
      <c r="DA422" s="6">
        <f t="shared" si="1065"/>
        <v>50000</v>
      </c>
      <c r="DB422" s="5">
        <v>1</v>
      </c>
      <c r="DC422" s="20">
        <f t="shared" si="1051"/>
        <v>2.1749999999999998</v>
      </c>
      <c r="DD422" s="6">
        <f t="shared" si="1066"/>
        <v>0.72499999999999998</v>
      </c>
      <c r="DE422" s="6">
        <v>1</v>
      </c>
      <c r="DF422" s="5">
        <v>0</v>
      </c>
      <c r="DG422" s="6">
        <v>2.5</v>
      </c>
      <c r="DH422" s="5">
        <v>0</v>
      </c>
      <c r="DI422" s="8">
        <v>0</v>
      </c>
      <c r="DJ422" s="5">
        <v>0</v>
      </c>
      <c r="DK422" s="8">
        <v>0</v>
      </c>
      <c r="DL422" s="5">
        <f t="shared" si="1034"/>
        <v>0</v>
      </c>
      <c r="DM422" s="5" t="str">
        <f t="shared" si="1054"/>
        <v>10级熔岩龙</v>
      </c>
      <c r="DN422" s="5">
        <v>6</v>
      </c>
      <c r="DO422" s="5">
        <v>0</v>
      </c>
      <c r="DP422" s="5">
        <v>1</v>
      </c>
      <c r="DQ422" s="5">
        <v>1</v>
      </c>
      <c r="DR422" s="5">
        <v>2.5</v>
      </c>
      <c r="DS422" s="6">
        <v>3.5</v>
      </c>
      <c r="DT422" s="5">
        <v>-0.6</v>
      </c>
      <c r="DU422" s="5">
        <v>0.8</v>
      </c>
      <c r="DV422" s="6">
        <v>0.5</v>
      </c>
      <c r="DW422" s="5">
        <f t="shared" si="1067"/>
        <v>0.66666666666666663</v>
      </c>
      <c r="DX422" s="5">
        <v>8</v>
      </c>
      <c r="DY422" s="5">
        <f t="shared" si="1068"/>
        <v>0</v>
      </c>
      <c r="DZ422" s="5">
        <v>0</v>
      </c>
    </row>
    <row r="423" spans="1:130" x14ac:dyDescent="0.15">
      <c r="A423" s="5">
        <v>201421</v>
      </c>
      <c r="B423" s="28" t="s">
        <v>746</v>
      </c>
      <c r="C423" s="28">
        <v>20</v>
      </c>
      <c r="D423" s="28">
        <v>1</v>
      </c>
      <c r="E423" s="28">
        <v>3</v>
      </c>
      <c r="F423" s="6">
        <v>2</v>
      </c>
      <c r="G423" s="46">
        <f t="shared" si="1069"/>
        <v>-0.34860000000000002</v>
      </c>
      <c r="H423" s="28"/>
      <c r="I423" s="28" t="s">
        <v>975</v>
      </c>
      <c r="J423" s="28"/>
      <c r="K423" s="5">
        <f t="shared" si="1039"/>
        <v>0.4</v>
      </c>
      <c r="L423" s="10">
        <v>8</v>
      </c>
      <c r="M423" s="5">
        <f t="shared" si="1040"/>
        <v>0.1</v>
      </c>
      <c r="N423" s="10">
        <v>2</v>
      </c>
      <c r="O423" s="5">
        <v>0</v>
      </c>
      <c r="P423" s="5">
        <f t="shared" si="1043"/>
        <v>0.2</v>
      </c>
      <c r="Q423" s="5">
        <v>2</v>
      </c>
      <c r="R423" s="5">
        <f t="shared" si="1070"/>
        <v>903922</v>
      </c>
      <c r="S423" s="5">
        <v>30</v>
      </c>
      <c r="T423" s="5">
        <v>10</v>
      </c>
      <c r="U423" s="5">
        <v>0.3</v>
      </c>
      <c r="V423" s="5">
        <v>0.15</v>
      </c>
      <c r="W423" s="5">
        <v>9</v>
      </c>
      <c r="X423" s="5">
        <v>-0.6</v>
      </c>
      <c r="Y423" s="5">
        <v>1.8</v>
      </c>
      <c r="Z423" s="27" t="s">
        <v>1022</v>
      </c>
      <c r="AA423" s="5">
        <v>3</v>
      </c>
      <c r="AB423" s="5">
        <v>2</v>
      </c>
      <c r="AC423" s="5">
        <v>6</v>
      </c>
      <c r="AD423" s="27" t="s">
        <v>1023</v>
      </c>
      <c r="AE423" s="10">
        <v>130</v>
      </c>
      <c r="AF423" s="5">
        <f t="shared" si="1071"/>
        <v>903938</v>
      </c>
      <c r="AG423" s="5">
        <v>60</v>
      </c>
      <c r="AH423" s="5">
        <f t="shared" si="1044"/>
        <v>0.1</v>
      </c>
      <c r="AI423" s="5">
        <v>2</v>
      </c>
      <c r="AJ423" s="5">
        <v>1</v>
      </c>
      <c r="AK423" s="5">
        <f t="shared" si="1072"/>
        <v>5</v>
      </c>
      <c r="AL423" s="5">
        <f t="shared" si="1045"/>
        <v>0</v>
      </c>
      <c r="AM423" s="5">
        <f t="shared" si="1046"/>
        <v>3</v>
      </c>
      <c r="AN423" s="8">
        <v>0</v>
      </c>
      <c r="AO423" s="5">
        <v>0</v>
      </c>
      <c r="AP423" s="28" t="s">
        <v>746</v>
      </c>
      <c r="AQ423" s="5">
        <v>0</v>
      </c>
      <c r="AR423" s="8">
        <v>11</v>
      </c>
      <c r="AS423" s="6">
        <f t="shared" si="1035"/>
        <v>33</v>
      </c>
      <c r="AT423" s="6">
        <f t="shared" si="1036"/>
        <v>36</v>
      </c>
      <c r="AU423" s="5">
        <v>0</v>
      </c>
      <c r="AV423" s="5">
        <v>0</v>
      </c>
      <c r="AW423" s="5">
        <v>0</v>
      </c>
      <c r="AX423" s="5">
        <v>1</v>
      </c>
      <c r="AY423" s="5">
        <v>0</v>
      </c>
      <c r="AZ423" s="5">
        <v>201421</v>
      </c>
      <c r="BA423" s="5">
        <f t="shared" si="1073"/>
        <v>203044</v>
      </c>
      <c r="BB423" s="5">
        <v>10</v>
      </c>
      <c r="BC423" s="5">
        <v>0</v>
      </c>
      <c r="BD423" s="5">
        <v>1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f t="shared" si="1026"/>
        <v>1</v>
      </c>
      <c r="BM423" s="5">
        <v>0</v>
      </c>
      <c r="BN423" s="5">
        <v>0</v>
      </c>
      <c r="BO423" s="5">
        <v>0</v>
      </c>
      <c r="BP423" s="5">
        <v>0</v>
      </c>
      <c r="BQ423" s="5"/>
      <c r="BR423" s="5"/>
      <c r="BS423" s="4">
        <v>0</v>
      </c>
      <c r="BT423" s="4">
        <f t="shared" si="1048"/>
        <v>1</v>
      </c>
      <c r="BU423" s="17">
        <v>11</v>
      </c>
      <c r="BV423" s="4">
        <f t="shared" ref="BV423:BY423" si="1084">BV413</f>
        <v>1</v>
      </c>
      <c r="BW423" s="4">
        <f t="shared" si="1084"/>
        <v>1</v>
      </c>
      <c r="BX423" s="4">
        <f t="shared" si="1084"/>
        <v>0.85</v>
      </c>
      <c r="BY423" s="4">
        <f t="shared" si="1084"/>
        <v>0.55000000000000004</v>
      </c>
      <c r="BZ423" s="27" t="s">
        <v>1003</v>
      </c>
      <c r="CA423" s="30" t="str">
        <f t="shared" si="1075"/>
        <v>1</v>
      </c>
      <c r="CB423" s="30" t="s">
        <v>917</v>
      </c>
      <c r="CC423" s="5">
        <v>0</v>
      </c>
      <c r="CD423" s="8">
        <v>3</v>
      </c>
      <c r="CE423" s="5">
        <f t="shared" si="1050"/>
        <v>1</v>
      </c>
      <c r="CF423" s="5">
        <v>1</v>
      </c>
      <c r="CG423" s="27" t="str">
        <f t="shared" si="1057"/>
        <v>1级铁棘龙</v>
      </c>
      <c r="CH423" s="5">
        <v>0</v>
      </c>
      <c r="CI423" s="5">
        <v>0</v>
      </c>
      <c r="CJ423" s="4">
        <v>0</v>
      </c>
      <c r="CK423" s="20">
        <v>0</v>
      </c>
      <c r="CL423" s="5">
        <v>0</v>
      </c>
      <c r="CM423" s="20">
        <v>114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20">
        <v>2.5</v>
      </c>
      <c r="CW423" s="20">
        <v>3</v>
      </c>
      <c r="CX423" s="20">
        <v>2.5</v>
      </c>
      <c r="CY423" s="20">
        <v>3.5</v>
      </c>
      <c r="CZ423" s="8">
        <v>200</v>
      </c>
      <c r="DA423" s="6">
        <f t="shared" si="1065"/>
        <v>5000</v>
      </c>
      <c r="DB423" s="5">
        <v>1</v>
      </c>
      <c r="DC423" s="20">
        <f t="shared" si="1051"/>
        <v>1.5</v>
      </c>
      <c r="DD423" s="6">
        <f t="shared" si="1066"/>
        <v>0.5</v>
      </c>
      <c r="DE423" s="6">
        <v>1</v>
      </c>
      <c r="DF423" s="5">
        <v>0</v>
      </c>
      <c r="DG423" s="6">
        <v>2.5</v>
      </c>
      <c r="DH423" s="5">
        <v>0</v>
      </c>
      <c r="DI423" s="8">
        <v>0</v>
      </c>
      <c r="DJ423" s="5">
        <v>0</v>
      </c>
      <c r="DK423" s="8">
        <v>0</v>
      </c>
      <c r="DL423" s="5">
        <f t="shared" si="1034"/>
        <v>0</v>
      </c>
      <c r="DM423" s="5" t="str">
        <f t="shared" si="1054"/>
        <v>1级铁棘龙</v>
      </c>
      <c r="DN423" s="5">
        <v>6</v>
      </c>
      <c r="DO423" s="5">
        <v>0</v>
      </c>
      <c r="DP423" s="5">
        <v>1</v>
      </c>
      <c r="DQ423" s="5">
        <v>1</v>
      </c>
      <c r="DR423" s="5">
        <v>2.5</v>
      </c>
      <c r="DS423" s="6">
        <v>3.5</v>
      </c>
      <c r="DT423" s="5">
        <v>-0.6</v>
      </c>
      <c r="DU423" s="5">
        <v>0.8</v>
      </c>
      <c r="DV423" s="6">
        <v>0.5</v>
      </c>
      <c r="DW423" s="5">
        <f t="shared" si="1067"/>
        <v>0.66666666666666663</v>
      </c>
      <c r="DX423" s="5">
        <v>8</v>
      </c>
      <c r="DY423" s="5">
        <f t="shared" si="1068"/>
        <v>0</v>
      </c>
      <c r="DZ423" s="5">
        <v>0</v>
      </c>
    </row>
    <row r="424" spans="1:130" x14ac:dyDescent="0.15">
      <c r="A424" s="5">
        <v>201422</v>
      </c>
      <c r="B424" s="28" t="s">
        <v>747</v>
      </c>
      <c r="C424" s="27">
        <v>20</v>
      </c>
      <c r="D424" s="27">
        <v>1</v>
      </c>
      <c r="E424" s="27">
        <v>3</v>
      </c>
      <c r="F424" s="5">
        <v>2</v>
      </c>
      <c r="G424" s="46">
        <f t="shared" si="1069"/>
        <v>-0.34860000000000002</v>
      </c>
      <c r="H424" s="27"/>
      <c r="I424" s="27" t="s">
        <v>975</v>
      </c>
      <c r="J424" s="27"/>
      <c r="K424" s="5">
        <f t="shared" si="1039"/>
        <v>0.41000000000000003</v>
      </c>
      <c r="L424" s="10">
        <v>8</v>
      </c>
      <c r="M424" s="5">
        <f t="shared" si="1040"/>
        <v>0.11</v>
      </c>
      <c r="N424" s="10">
        <v>2</v>
      </c>
      <c r="O424" s="5">
        <v>0</v>
      </c>
      <c r="P424" s="5">
        <f t="shared" si="1043"/>
        <v>0.2</v>
      </c>
      <c r="Q424" s="5">
        <v>2</v>
      </c>
      <c r="R424" s="5">
        <f t="shared" si="1070"/>
        <v>903922</v>
      </c>
      <c r="S424" s="5">
        <v>30</v>
      </c>
      <c r="T424" s="5">
        <v>10</v>
      </c>
      <c r="U424" s="5">
        <v>0.3</v>
      </c>
      <c r="V424" s="5">
        <v>0.15</v>
      </c>
      <c r="W424" s="5">
        <v>9</v>
      </c>
      <c r="X424" s="5">
        <v>-0.6</v>
      </c>
      <c r="Y424" s="5">
        <v>1.8</v>
      </c>
      <c r="Z424" s="27" t="s">
        <v>1022</v>
      </c>
      <c r="AA424" s="5">
        <v>3</v>
      </c>
      <c r="AB424" s="5">
        <v>2</v>
      </c>
      <c r="AC424" s="5">
        <v>6</v>
      </c>
      <c r="AD424" s="27" t="s">
        <v>1023</v>
      </c>
      <c r="AE424" s="10">
        <v>130</v>
      </c>
      <c r="AF424" s="5">
        <f t="shared" si="1071"/>
        <v>903938</v>
      </c>
      <c r="AG424" s="5">
        <v>60</v>
      </c>
      <c r="AH424" s="5">
        <f t="shared" si="1044"/>
        <v>0.1</v>
      </c>
      <c r="AI424" s="5">
        <v>2</v>
      </c>
      <c r="AJ424" s="5">
        <v>1</v>
      </c>
      <c r="AK424" s="5">
        <f t="shared" si="1072"/>
        <v>10</v>
      </c>
      <c r="AL424" s="5">
        <f t="shared" si="1045"/>
        <v>0</v>
      </c>
      <c r="AM424" s="5">
        <f t="shared" si="1046"/>
        <v>6</v>
      </c>
      <c r="AN424" s="8">
        <v>0</v>
      </c>
      <c r="AO424" s="5">
        <v>0</v>
      </c>
      <c r="AP424" s="28" t="s">
        <v>747</v>
      </c>
      <c r="AQ424" s="5">
        <v>0</v>
      </c>
      <c r="AR424" s="8">
        <v>11</v>
      </c>
      <c r="AS424" s="6">
        <f t="shared" si="1035"/>
        <v>66</v>
      </c>
      <c r="AT424" s="6">
        <f t="shared" si="1036"/>
        <v>72</v>
      </c>
      <c r="AU424" s="5">
        <v>0</v>
      </c>
      <c r="AV424" s="5">
        <v>0</v>
      </c>
      <c r="AW424" s="5">
        <v>0</v>
      </c>
      <c r="AX424" s="5">
        <v>1</v>
      </c>
      <c r="AY424" s="5">
        <v>0</v>
      </c>
      <c r="AZ424" s="5">
        <v>201422</v>
      </c>
      <c r="BA424" s="5">
        <f t="shared" si="1073"/>
        <v>203044</v>
      </c>
      <c r="BB424" s="5">
        <v>10</v>
      </c>
      <c r="BC424" s="5">
        <v>0</v>
      </c>
      <c r="BD424" s="5">
        <v>1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f t="shared" si="1026"/>
        <v>1</v>
      </c>
      <c r="BM424" s="5">
        <v>0</v>
      </c>
      <c r="BN424" s="5">
        <v>0</v>
      </c>
      <c r="BO424" s="5">
        <v>0</v>
      </c>
      <c r="BP424" s="5">
        <v>0</v>
      </c>
      <c r="BQ424" s="5"/>
      <c r="BR424" s="5"/>
      <c r="BS424" s="4">
        <v>0</v>
      </c>
      <c r="BT424" s="4">
        <f t="shared" si="1048"/>
        <v>2</v>
      </c>
      <c r="BU424" s="17">
        <v>12</v>
      </c>
      <c r="BV424" s="4">
        <f t="shared" ref="BV424:BY424" si="1085">BV414</f>
        <v>2</v>
      </c>
      <c r="BW424" s="4">
        <f t="shared" si="1085"/>
        <v>2</v>
      </c>
      <c r="BX424" s="4">
        <f t="shared" si="1085"/>
        <v>0.78</v>
      </c>
      <c r="BY424" s="4">
        <f t="shared" si="1085"/>
        <v>0.5</v>
      </c>
      <c r="BZ424" s="27" t="s">
        <v>1003</v>
      </c>
      <c r="CA424" s="30" t="str">
        <f t="shared" si="1075"/>
        <v>2</v>
      </c>
      <c r="CB424" s="30" t="s">
        <v>917</v>
      </c>
      <c r="CC424" s="5">
        <v>0</v>
      </c>
      <c r="CD424" s="8">
        <v>3</v>
      </c>
      <c r="CE424" s="5">
        <f t="shared" si="1050"/>
        <v>2</v>
      </c>
      <c r="CF424" s="5">
        <v>1</v>
      </c>
      <c r="CG424" s="27" t="str">
        <f t="shared" si="1057"/>
        <v>2级铁棘龙</v>
      </c>
      <c r="CH424" s="5">
        <v>0</v>
      </c>
      <c r="CI424" s="5">
        <v>0</v>
      </c>
      <c r="CJ424" s="4">
        <v>0</v>
      </c>
      <c r="CK424" s="20">
        <v>0</v>
      </c>
      <c r="CL424" s="5">
        <v>0</v>
      </c>
      <c r="CM424" s="20">
        <v>114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20">
        <v>2.5</v>
      </c>
      <c r="CW424" s="20">
        <v>3</v>
      </c>
      <c r="CX424" s="20">
        <v>2.5</v>
      </c>
      <c r="CY424" s="20">
        <v>3.5</v>
      </c>
      <c r="CZ424" s="8">
        <v>200</v>
      </c>
      <c r="DA424" s="6">
        <f t="shared" si="1065"/>
        <v>10000</v>
      </c>
      <c r="DB424" s="5">
        <v>1</v>
      </c>
      <c r="DC424" s="20">
        <f t="shared" si="1051"/>
        <v>1.5750000000000002</v>
      </c>
      <c r="DD424" s="6">
        <f t="shared" si="1066"/>
        <v>0.52500000000000002</v>
      </c>
      <c r="DE424" s="6">
        <v>1</v>
      </c>
      <c r="DF424" s="5">
        <v>0</v>
      </c>
      <c r="DG424" s="6">
        <v>2.5</v>
      </c>
      <c r="DH424" s="5">
        <v>0</v>
      </c>
      <c r="DI424" s="8">
        <v>0</v>
      </c>
      <c r="DJ424" s="5">
        <v>0</v>
      </c>
      <c r="DK424" s="8">
        <v>0</v>
      </c>
      <c r="DL424" s="5">
        <f t="shared" si="1034"/>
        <v>0</v>
      </c>
      <c r="DM424" s="5" t="str">
        <f t="shared" si="1054"/>
        <v>2级铁棘龙</v>
      </c>
      <c r="DN424" s="5">
        <v>6</v>
      </c>
      <c r="DO424" s="5">
        <v>0</v>
      </c>
      <c r="DP424" s="5">
        <v>1</v>
      </c>
      <c r="DQ424" s="5">
        <v>1</v>
      </c>
      <c r="DR424" s="5">
        <v>2.5</v>
      </c>
      <c r="DS424" s="6">
        <v>3.5</v>
      </c>
      <c r="DT424" s="5">
        <v>-0.6</v>
      </c>
      <c r="DU424" s="5">
        <v>0.8</v>
      </c>
      <c r="DV424" s="6">
        <v>0.5</v>
      </c>
      <c r="DW424" s="5">
        <f t="shared" si="1067"/>
        <v>0.66666666666666663</v>
      </c>
      <c r="DX424" s="5">
        <v>8</v>
      </c>
      <c r="DY424" s="5">
        <f t="shared" si="1068"/>
        <v>0</v>
      </c>
      <c r="DZ424" s="5">
        <v>0</v>
      </c>
    </row>
    <row r="425" spans="1:130" x14ac:dyDescent="0.15">
      <c r="A425" s="5">
        <v>201423</v>
      </c>
      <c r="B425" s="28" t="s">
        <v>748</v>
      </c>
      <c r="C425" s="27">
        <v>20</v>
      </c>
      <c r="D425" s="27">
        <v>1</v>
      </c>
      <c r="E425" s="27">
        <v>3</v>
      </c>
      <c r="F425" s="5">
        <v>2</v>
      </c>
      <c r="G425" s="46">
        <f t="shared" si="1069"/>
        <v>-0.34860000000000002</v>
      </c>
      <c r="H425" s="27"/>
      <c r="I425" s="27" t="s">
        <v>975</v>
      </c>
      <c r="J425" s="27"/>
      <c r="K425" s="5">
        <f t="shared" si="1039"/>
        <v>0.42000000000000004</v>
      </c>
      <c r="L425" s="10">
        <v>8</v>
      </c>
      <c r="M425" s="5">
        <f t="shared" si="1040"/>
        <v>0.12000000000000001</v>
      </c>
      <c r="N425" s="10">
        <v>2</v>
      </c>
      <c r="O425" s="5">
        <v>0</v>
      </c>
      <c r="P425" s="5">
        <f t="shared" si="1043"/>
        <v>0.2</v>
      </c>
      <c r="Q425" s="5">
        <v>2</v>
      </c>
      <c r="R425" s="5">
        <f t="shared" si="1070"/>
        <v>903922</v>
      </c>
      <c r="S425" s="5">
        <v>30</v>
      </c>
      <c r="T425" s="5">
        <v>10</v>
      </c>
      <c r="U425" s="5">
        <v>0.3</v>
      </c>
      <c r="V425" s="5">
        <v>0.15</v>
      </c>
      <c r="W425" s="5">
        <v>9</v>
      </c>
      <c r="X425" s="5">
        <v>-0.6</v>
      </c>
      <c r="Y425" s="5">
        <v>1.8</v>
      </c>
      <c r="Z425" s="27" t="s">
        <v>1022</v>
      </c>
      <c r="AA425" s="5">
        <v>3</v>
      </c>
      <c r="AB425" s="5">
        <v>2</v>
      </c>
      <c r="AC425" s="5">
        <v>6</v>
      </c>
      <c r="AD425" s="27" t="s">
        <v>1023</v>
      </c>
      <c r="AE425" s="10">
        <v>130</v>
      </c>
      <c r="AF425" s="5">
        <f t="shared" si="1071"/>
        <v>903938</v>
      </c>
      <c r="AG425" s="5">
        <v>60</v>
      </c>
      <c r="AH425" s="5">
        <f t="shared" si="1044"/>
        <v>0.1</v>
      </c>
      <c r="AI425" s="5">
        <v>2</v>
      </c>
      <c r="AJ425" s="5">
        <v>1</v>
      </c>
      <c r="AK425" s="5">
        <f t="shared" si="1072"/>
        <v>15</v>
      </c>
      <c r="AL425" s="5">
        <f t="shared" si="1045"/>
        <v>0</v>
      </c>
      <c r="AM425" s="5">
        <f t="shared" si="1046"/>
        <v>9</v>
      </c>
      <c r="AN425" s="8">
        <v>0</v>
      </c>
      <c r="AO425" s="5">
        <v>0</v>
      </c>
      <c r="AP425" s="28" t="s">
        <v>748</v>
      </c>
      <c r="AQ425" s="5">
        <v>0</v>
      </c>
      <c r="AR425" s="8">
        <v>11</v>
      </c>
      <c r="AS425" s="6">
        <f t="shared" si="1035"/>
        <v>99</v>
      </c>
      <c r="AT425" s="6">
        <f t="shared" si="1036"/>
        <v>108</v>
      </c>
      <c r="AU425" s="5">
        <v>0</v>
      </c>
      <c r="AV425" s="5">
        <v>0</v>
      </c>
      <c r="AW425" s="5">
        <v>0</v>
      </c>
      <c r="AX425" s="5">
        <v>1</v>
      </c>
      <c r="AY425" s="5">
        <v>0</v>
      </c>
      <c r="AZ425" s="5">
        <v>201423</v>
      </c>
      <c r="BA425" s="5">
        <f t="shared" si="1073"/>
        <v>203044</v>
      </c>
      <c r="BB425" s="5">
        <v>10</v>
      </c>
      <c r="BC425" s="5">
        <v>0</v>
      </c>
      <c r="BD425" s="5">
        <v>1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f t="shared" si="1026"/>
        <v>1</v>
      </c>
      <c r="BM425" s="5">
        <v>0</v>
      </c>
      <c r="BN425" s="5">
        <v>0</v>
      </c>
      <c r="BO425" s="5">
        <v>0</v>
      </c>
      <c r="BP425" s="5">
        <v>0</v>
      </c>
      <c r="BQ425" s="5"/>
      <c r="BR425" s="5"/>
      <c r="BS425" s="4">
        <v>0</v>
      </c>
      <c r="BT425" s="4">
        <f t="shared" si="1048"/>
        <v>3</v>
      </c>
      <c r="BU425" s="17">
        <v>13</v>
      </c>
      <c r="BV425" s="4">
        <f t="shared" ref="BV425:BY425" si="1086">BV415</f>
        <v>3</v>
      </c>
      <c r="BW425" s="4">
        <f t="shared" si="1086"/>
        <v>3</v>
      </c>
      <c r="BX425" s="4">
        <f t="shared" si="1086"/>
        <v>0.71</v>
      </c>
      <c r="BY425" s="4">
        <f t="shared" si="1086"/>
        <v>0.45000000000000007</v>
      </c>
      <c r="BZ425" s="27" t="s">
        <v>1003</v>
      </c>
      <c r="CA425" s="30" t="str">
        <f t="shared" si="1075"/>
        <v>3</v>
      </c>
      <c r="CB425" s="30" t="s">
        <v>917</v>
      </c>
      <c r="CC425" s="5">
        <v>0</v>
      </c>
      <c r="CD425" s="8">
        <v>3</v>
      </c>
      <c r="CE425" s="5">
        <f t="shared" si="1050"/>
        <v>3</v>
      </c>
      <c r="CF425" s="5">
        <v>1</v>
      </c>
      <c r="CG425" s="27" t="str">
        <f t="shared" si="1057"/>
        <v>3级铁棘龙</v>
      </c>
      <c r="CH425" s="5">
        <v>0</v>
      </c>
      <c r="CI425" s="5">
        <v>0</v>
      </c>
      <c r="CJ425" s="4">
        <v>0</v>
      </c>
      <c r="CK425" s="20">
        <v>0</v>
      </c>
      <c r="CL425" s="5">
        <v>0</v>
      </c>
      <c r="CM425" s="20">
        <v>114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20">
        <v>2.5</v>
      </c>
      <c r="CW425" s="20">
        <v>3</v>
      </c>
      <c r="CX425" s="20">
        <v>2.5</v>
      </c>
      <c r="CY425" s="20">
        <v>3.5</v>
      </c>
      <c r="CZ425" s="8">
        <v>200</v>
      </c>
      <c r="DA425" s="6">
        <f t="shared" si="1065"/>
        <v>15000</v>
      </c>
      <c r="DB425" s="5">
        <v>1</v>
      </c>
      <c r="DC425" s="20">
        <f t="shared" si="1051"/>
        <v>1.6500000000000001</v>
      </c>
      <c r="DD425" s="6">
        <f t="shared" si="1066"/>
        <v>0.55000000000000004</v>
      </c>
      <c r="DE425" s="6">
        <v>1</v>
      </c>
      <c r="DF425" s="5">
        <v>0</v>
      </c>
      <c r="DG425" s="6">
        <v>2.5</v>
      </c>
      <c r="DH425" s="5">
        <v>0</v>
      </c>
      <c r="DI425" s="8">
        <v>0</v>
      </c>
      <c r="DJ425" s="5">
        <v>0</v>
      </c>
      <c r="DK425" s="8">
        <v>0</v>
      </c>
      <c r="DL425" s="5">
        <f t="shared" si="1034"/>
        <v>0</v>
      </c>
      <c r="DM425" s="5" t="str">
        <f t="shared" si="1054"/>
        <v>3级铁棘龙</v>
      </c>
      <c r="DN425" s="5">
        <v>6</v>
      </c>
      <c r="DO425" s="5">
        <v>0</v>
      </c>
      <c r="DP425" s="5">
        <v>1</v>
      </c>
      <c r="DQ425" s="5">
        <v>1</v>
      </c>
      <c r="DR425" s="5">
        <v>2.5</v>
      </c>
      <c r="DS425" s="6">
        <v>3.5</v>
      </c>
      <c r="DT425" s="5">
        <v>-0.6</v>
      </c>
      <c r="DU425" s="5">
        <v>0.8</v>
      </c>
      <c r="DV425" s="6">
        <v>0.5</v>
      </c>
      <c r="DW425" s="5">
        <f t="shared" si="1067"/>
        <v>0.66666666666666663</v>
      </c>
      <c r="DX425" s="5">
        <v>8</v>
      </c>
      <c r="DY425" s="5">
        <f t="shared" si="1068"/>
        <v>0</v>
      </c>
      <c r="DZ425" s="5">
        <v>0</v>
      </c>
    </row>
    <row r="426" spans="1:130" x14ac:dyDescent="0.15">
      <c r="A426" s="5">
        <v>201424</v>
      </c>
      <c r="B426" s="28" t="s">
        <v>749</v>
      </c>
      <c r="C426" s="27">
        <v>20</v>
      </c>
      <c r="D426" s="27">
        <v>1</v>
      </c>
      <c r="E426" s="27">
        <v>3</v>
      </c>
      <c r="F426" s="5">
        <v>2</v>
      </c>
      <c r="G426" s="46">
        <f t="shared" si="1069"/>
        <v>-0.34860000000000002</v>
      </c>
      <c r="H426" s="27"/>
      <c r="I426" s="27" t="s">
        <v>975</v>
      </c>
      <c r="J426" s="27"/>
      <c r="K426" s="5">
        <f t="shared" si="1039"/>
        <v>0.43000000000000005</v>
      </c>
      <c r="L426" s="10">
        <v>8</v>
      </c>
      <c r="M426" s="5">
        <f t="shared" si="1040"/>
        <v>0.13</v>
      </c>
      <c r="N426" s="10">
        <v>2</v>
      </c>
      <c r="O426" s="5">
        <v>0</v>
      </c>
      <c r="P426" s="5">
        <f t="shared" si="1043"/>
        <v>0.2</v>
      </c>
      <c r="Q426" s="5">
        <v>2</v>
      </c>
      <c r="R426" s="5">
        <f t="shared" si="1070"/>
        <v>903922</v>
      </c>
      <c r="S426" s="5">
        <v>30</v>
      </c>
      <c r="T426" s="5">
        <v>10</v>
      </c>
      <c r="U426" s="5">
        <v>0.3</v>
      </c>
      <c r="V426" s="5">
        <v>0.15</v>
      </c>
      <c r="W426" s="5">
        <v>9</v>
      </c>
      <c r="X426" s="5">
        <v>-0.6</v>
      </c>
      <c r="Y426" s="5">
        <v>1.8</v>
      </c>
      <c r="Z426" s="27" t="s">
        <v>1022</v>
      </c>
      <c r="AA426" s="5">
        <v>3</v>
      </c>
      <c r="AB426" s="5">
        <v>2</v>
      </c>
      <c r="AC426" s="5">
        <v>6</v>
      </c>
      <c r="AD426" s="27" t="s">
        <v>1023</v>
      </c>
      <c r="AE426" s="10">
        <v>130</v>
      </c>
      <c r="AF426" s="5">
        <f t="shared" si="1071"/>
        <v>903938</v>
      </c>
      <c r="AG426" s="5">
        <v>60</v>
      </c>
      <c r="AH426" s="5">
        <f t="shared" si="1044"/>
        <v>0.1</v>
      </c>
      <c r="AI426" s="5">
        <v>2</v>
      </c>
      <c r="AJ426" s="5">
        <v>1</v>
      </c>
      <c r="AK426" s="5">
        <f t="shared" si="1072"/>
        <v>20</v>
      </c>
      <c r="AL426" s="5">
        <f t="shared" si="1045"/>
        <v>0</v>
      </c>
      <c r="AM426" s="5">
        <f t="shared" si="1046"/>
        <v>12</v>
      </c>
      <c r="AN426" s="8">
        <v>0</v>
      </c>
      <c r="AO426" s="5">
        <v>0</v>
      </c>
      <c r="AP426" s="28" t="s">
        <v>749</v>
      </c>
      <c r="AQ426" s="5">
        <v>0</v>
      </c>
      <c r="AR426" s="8">
        <v>11</v>
      </c>
      <c r="AS426" s="6">
        <f t="shared" si="1035"/>
        <v>132</v>
      </c>
      <c r="AT426" s="6">
        <f t="shared" si="1036"/>
        <v>144</v>
      </c>
      <c r="AU426" s="5">
        <v>0</v>
      </c>
      <c r="AV426" s="5">
        <v>0</v>
      </c>
      <c r="AW426" s="5">
        <v>0</v>
      </c>
      <c r="AX426" s="5">
        <v>1</v>
      </c>
      <c r="AY426" s="5">
        <v>0</v>
      </c>
      <c r="AZ426" s="5">
        <v>201424</v>
      </c>
      <c r="BA426" s="5">
        <f t="shared" si="1073"/>
        <v>203044</v>
      </c>
      <c r="BB426" s="5">
        <v>10</v>
      </c>
      <c r="BC426" s="5">
        <v>0</v>
      </c>
      <c r="BD426" s="5">
        <v>1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f t="shared" si="1026"/>
        <v>1</v>
      </c>
      <c r="BM426" s="5">
        <v>0</v>
      </c>
      <c r="BN426" s="5">
        <v>0</v>
      </c>
      <c r="BO426" s="5">
        <v>0</v>
      </c>
      <c r="BP426" s="5">
        <v>0</v>
      </c>
      <c r="BQ426" s="5"/>
      <c r="BR426" s="5"/>
      <c r="BS426" s="4">
        <v>0</v>
      </c>
      <c r="BT426" s="4">
        <f t="shared" si="1048"/>
        <v>4</v>
      </c>
      <c r="BU426" s="17">
        <v>14</v>
      </c>
      <c r="BV426" s="4">
        <f t="shared" ref="BV426:BY426" si="1087">BV416</f>
        <v>4</v>
      </c>
      <c r="BW426" s="4">
        <f t="shared" si="1087"/>
        <v>4</v>
      </c>
      <c r="BX426" s="4">
        <f t="shared" si="1087"/>
        <v>0.6399999999999999</v>
      </c>
      <c r="BY426" s="4">
        <f t="shared" si="1087"/>
        <v>0.4</v>
      </c>
      <c r="BZ426" s="27" t="s">
        <v>1003</v>
      </c>
      <c r="CA426" s="30" t="str">
        <f t="shared" si="1075"/>
        <v>4</v>
      </c>
      <c r="CB426" s="30" t="s">
        <v>917</v>
      </c>
      <c r="CC426" s="5">
        <v>0</v>
      </c>
      <c r="CD426" s="8">
        <v>3</v>
      </c>
      <c r="CE426" s="5">
        <f t="shared" si="1050"/>
        <v>4</v>
      </c>
      <c r="CF426" s="5">
        <v>1</v>
      </c>
      <c r="CG426" s="27" t="str">
        <f t="shared" si="1057"/>
        <v>4级铁棘龙</v>
      </c>
      <c r="CH426" s="5">
        <v>0</v>
      </c>
      <c r="CI426" s="5">
        <v>0</v>
      </c>
      <c r="CJ426" s="4">
        <v>0</v>
      </c>
      <c r="CK426" s="20">
        <v>0</v>
      </c>
      <c r="CL426" s="5">
        <v>0</v>
      </c>
      <c r="CM426" s="20">
        <v>114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20">
        <v>2.5</v>
      </c>
      <c r="CW426" s="20">
        <v>3</v>
      </c>
      <c r="CX426" s="20">
        <v>2.5</v>
      </c>
      <c r="CY426" s="20">
        <v>3.5</v>
      </c>
      <c r="CZ426" s="8">
        <v>200</v>
      </c>
      <c r="DA426" s="6">
        <f t="shared" si="1065"/>
        <v>20000</v>
      </c>
      <c r="DB426" s="5">
        <v>1</v>
      </c>
      <c r="DC426" s="20">
        <f t="shared" si="1051"/>
        <v>1.7249999999999999</v>
      </c>
      <c r="DD426" s="6">
        <f t="shared" si="1066"/>
        <v>0.57499999999999996</v>
      </c>
      <c r="DE426" s="6">
        <v>1</v>
      </c>
      <c r="DF426" s="5">
        <v>0</v>
      </c>
      <c r="DG426" s="6">
        <v>2.5</v>
      </c>
      <c r="DH426" s="5">
        <v>0</v>
      </c>
      <c r="DI426" s="8">
        <v>0</v>
      </c>
      <c r="DJ426" s="5">
        <v>0</v>
      </c>
      <c r="DK426" s="8">
        <v>0</v>
      </c>
      <c r="DL426" s="5">
        <f t="shared" si="1034"/>
        <v>0</v>
      </c>
      <c r="DM426" s="5" t="str">
        <f t="shared" si="1054"/>
        <v>4级铁棘龙</v>
      </c>
      <c r="DN426" s="5">
        <v>6</v>
      </c>
      <c r="DO426" s="5">
        <v>0</v>
      </c>
      <c r="DP426" s="5">
        <v>1</v>
      </c>
      <c r="DQ426" s="5">
        <v>1</v>
      </c>
      <c r="DR426" s="5">
        <v>2.5</v>
      </c>
      <c r="DS426" s="6">
        <v>3.5</v>
      </c>
      <c r="DT426" s="5">
        <v>-0.6</v>
      </c>
      <c r="DU426" s="5">
        <v>0.8</v>
      </c>
      <c r="DV426" s="6">
        <v>0.5</v>
      </c>
      <c r="DW426" s="5">
        <f t="shared" si="1067"/>
        <v>0.66666666666666663</v>
      </c>
      <c r="DX426" s="5">
        <v>8</v>
      </c>
      <c r="DY426" s="5">
        <f t="shared" si="1068"/>
        <v>0</v>
      </c>
      <c r="DZ426" s="5">
        <v>0</v>
      </c>
    </row>
    <row r="427" spans="1:130" x14ac:dyDescent="0.15">
      <c r="A427" s="5">
        <v>201425</v>
      </c>
      <c r="B427" s="28" t="s">
        <v>750</v>
      </c>
      <c r="C427" s="27">
        <v>20</v>
      </c>
      <c r="D427" s="27">
        <v>1</v>
      </c>
      <c r="E427" s="27">
        <v>3</v>
      </c>
      <c r="F427" s="5">
        <v>2</v>
      </c>
      <c r="G427" s="46">
        <f t="shared" si="1069"/>
        <v>-0.34860000000000002</v>
      </c>
      <c r="H427" s="27"/>
      <c r="I427" s="27" t="s">
        <v>975</v>
      </c>
      <c r="J427" s="27"/>
      <c r="K427" s="5">
        <f t="shared" si="1039"/>
        <v>0.44</v>
      </c>
      <c r="L427" s="10">
        <v>8</v>
      </c>
      <c r="M427" s="5">
        <f t="shared" si="1040"/>
        <v>0.14000000000000001</v>
      </c>
      <c r="N427" s="10">
        <v>2</v>
      </c>
      <c r="O427" s="5">
        <v>0</v>
      </c>
      <c r="P427" s="5">
        <f t="shared" si="1043"/>
        <v>0.2</v>
      </c>
      <c r="Q427" s="5">
        <v>2</v>
      </c>
      <c r="R427" s="5">
        <f t="shared" si="1070"/>
        <v>903922</v>
      </c>
      <c r="S427" s="5">
        <v>30</v>
      </c>
      <c r="T427" s="5">
        <v>10</v>
      </c>
      <c r="U427" s="5">
        <v>0.3</v>
      </c>
      <c r="V427" s="5">
        <v>0.15</v>
      </c>
      <c r="W427" s="5">
        <v>9</v>
      </c>
      <c r="X427" s="5">
        <v>-0.6</v>
      </c>
      <c r="Y427" s="5">
        <v>1.8</v>
      </c>
      <c r="Z427" s="27" t="s">
        <v>1022</v>
      </c>
      <c r="AA427" s="5">
        <v>3</v>
      </c>
      <c r="AB427" s="5">
        <v>2</v>
      </c>
      <c r="AC427" s="5">
        <v>6</v>
      </c>
      <c r="AD427" s="27" t="s">
        <v>1023</v>
      </c>
      <c r="AE427" s="10">
        <v>130</v>
      </c>
      <c r="AF427" s="5">
        <f t="shared" si="1071"/>
        <v>903938</v>
      </c>
      <c r="AG427" s="5">
        <v>60</v>
      </c>
      <c r="AH427" s="5">
        <f t="shared" si="1044"/>
        <v>0.1</v>
      </c>
      <c r="AI427" s="5">
        <v>2</v>
      </c>
      <c r="AJ427" s="5">
        <v>1</v>
      </c>
      <c r="AK427" s="5">
        <f t="shared" si="1072"/>
        <v>25</v>
      </c>
      <c r="AL427" s="5">
        <f t="shared" si="1045"/>
        <v>0</v>
      </c>
      <c r="AM427" s="5">
        <f t="shared" si="1046"/>
        <v>15</v>
      </c>
      <c r="AN427" s="8">
        <v>0</v>
      </c>
      <c r="AO427" s="5">
        <v>0</v>
      </c>
      <c r="AP427" s="28" t="s">
        <v>750</v>
      </c>
      <c r="AQ427" s="5">
        <v>0</v>
      </c>
      <c r="AR427" s="8">
        <v>11</v>
      </c>
      <c r="AS427" s="6">
        <f t="shared" si="1035"/>
        <v>165</v>
      </c>
      <c r="AT427" s="6">
        <f t="shared" si="1036"/>
        <v>180</v>
      </c>
      <c r="AU427" s="5">
        <v>0</v>
      </c>
      <c r="AV427" s="5">
        <v>0</v>
      </c>
      <c r="AW427" s="5">
        <v>0</v>
      </c>
      <c r="AX427" s="5">
        <v>1</v>
      </c>
      <c r="AY427" s="5">
        <v>0</v>
      </c>
      <c r="AZ427" s="5">
        <v>201425</v>
      </c>
      <c r="BA427" s="5">
        <f t="shared" si="1073"/>
        <v>203044</v>
      </c>
      <c r="BB427" s="5">
        <v>10</v>
      </c>
      <c r="BC427" s="5">
        <v>0</v>
      </c>
      <c r="BD427" s="5">
        <v>1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f t="shared" si="1026"/>
        <v>1</v>
      </c>
      <c r="BM427" s="5">
        <v>0</v>
      </c>
      <c r="BN427" s="5">
        <v>0</v>
      </c>
      <c r="BO427" s="5">
        <v>0</v>
      </c>
      <c r="BP427" s="5">
        <v>0</v>
      </c>
      <c r="BQ427" s="5"/>
      <c r="BR427" s="5"/>
      <c r="BS427" s="4">
        <v>0</v>
      </c>
      <c r="BT427" s="4">
        <f t="shared" si="1048"/>
        <v>5</v>
      </c>
      <c r="BU427" s="17">
        <v>15</v>
      </c>
      <c r="BV427" s="4">
        <f t="shared" ref="BV427:BY427" si="1088">BV417</f>
        <v>5</v>
      </c>
      <c r="BW427" s="4">
        <f t="shared" si="1088"/>
        <v>5</v>
      </c>
      <c r="BX427" s="4">
        <f t="shared" si="1088"/>
        <v>0.56999999999999995</v>
      </c>
      <c r="BY427" s="4">
        <f t="shared" si="1088"/>
        <v>0.35000000000000003</v>
      </c>
      <c r="BZ427" s="27" t="s">
        <v>1003</v>
      </c>
      <c r="CA427" s="30" t="str">
        <f t="shared" si="1075"/>
        <v>5</v>
      </c>
      <c r="CB427" s="30" t="s">
        <v>917</v>
      </c>
      <c r="CC427" s="5">
        <v>0</v>
      </c>
      <c r="CD427" s="8">
        <v>3</v>
      </c>
      <c r="CE427" s="5">
        <f t="shared" si="1050"/>
        <v>5</v>
      </c>
      <c r="CF427" s="5">
        <v>1</v>
      </c>
      <c r="CG427" s="27" t="str">
        <f t="shared" si="1057"/>
        <v>5级铁棘龙</v>
      </c>
      <c r="CH427" s="5">
        <v>0</v>
      </c>
      <c r="CI427" s="5">
        <v>0</v>
      </c>
      <c r="CJ427" s="4">
        <v>0</v>
      </c>
      <c r="CK427" s="20">
        <v>0</v>
      </c>
      <c r="CL427" s="5">
        <v>0</v>
      </c>
      <c r="CM427" s="20">
        <v>114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20">
        <v>2.5</v>
      </c>
      <c r="CW427" s="20">
        <v>3</v>
      </c>
      <c r="CX427" s="20">
        <v>2.5</v>
      </c>
      <c r="CY427" s="20">
        <v>3.5</v>
      </c>
      <c r="CZ427" s="8">
        <v>200</v>
      </c>
      <c r="DA427" s="6">
        <f t="shared" si="1065"/>
        <v>25000</v>
      </c>
      <c r="DB427" s="5">
        <v>1</v>
      </c>
      <c r="DC427" s="20">
        <f t="shared" si="1051"/>
        <v>1.7999999999999998</v>
      </c>
      <c r="DD427" s="6">
        <f t="shared" si="1066"/>
        <v>0.6</v>
      </c>
      <c r="DE427" s="6">
        <v>1</v>
      </c>
      <c r="DF427" s="5">
        <v>0</v>
      </c>
      <c r="DG427" s="6">
        <v>2.5</v>
      </c>
      <c r="DH427" s="5">
        <v>0</v>
      </c>
      <c r="DI427" s="8">
        <v>0</v>
      </c>
      <c r="DJ427" s="5">
        <v>0</v>
      </c>
      <c r="DK427" s="8">
        <v>0</v>
      </c>
      <c r="DL427" s="5">
        <f t="shared" si="1034"/>
        <v>0</v>
      </c>
      <c r="DM427" s="5" t="str">
        <f t="shared" si="1054"/>
        <v>5级铁棘龙</v>
      </c>
      <c r="DN427" s="5">
        <v>6</v>
      </c>
      <c r="DO427" s="5">
        <v>0</v>
      </c>
      <c r="DP427" s="5">
        <v>1</v>
      </c>
      <c r="DQ427" s="5">
        <v>1</v>
      </c>
      <c r="DR427" s="5">
        <v>2.5</v>
      </c>
      <c r="DS427" s="6">
        <v>3.5</v>
      </c>
      <c r="DT427" s="5">
        <v>-0.6</v>
      </c>
      <c r="DU427" s="5">
        <v>0.8</v>
      </c>
      <c r="DV427" s="6">
        <v>0.5</v>
      </c>
      <c r="DW427" s="5">
        <f t="shared" si="1067"/>
        <v>0.66666666666666663</v>
      </c>
      <c r="DX427" s="5">
        <v>8</v>
      </c>
      <c r="DY427" s="5">
        <f t="shared" si="1068"/>
        <v>0</v>
      </c>
      <c r="DZ427" s="5">
        <v>0</v>
      </c>
    </row>
    <row r="428" spans="1:130" x14ac:dyDescent="0.15">
      <c r="A428" s="5">
        <v>201426</v>
      </c>
      <c r="B428" s="28" t="s">
        <v>751</v>
      </c>
      <c r="C428" s="27">
        <v>20</v>
      </c>
      <c r="D428" s="27">
        <v>1</v>
      </c>
      <c r="E428" s="27">
        <v>3</v>
      </c>
      <c r="F428" s="5">
        <v>2</v>
      </c>
      <c r="G428" s="46">
        <f t="shared" si="1069"/>
        <v>-0.34860000000000002</v>
      </c>
      <c r="H428" s="27"/>
      <c r="I428" s="27" t="s">
        <v>975</v>
      </c>
      <c r="J428" s="27"/>
      <c r="K428" s="5">
        <f t="shared" si="1039"/>
        <v>0.45</v>
      </c>
      <c r="L428" s="10">
        <v>8</v>
      </c>
      <c r="M428" s="5">
        <f t="shared" si="1040"/>
        <v>0.15000000000000002</v>
      </c>
      <c r="N428" s="10">
        <v>2</v>
      </c>
      <c r="O428" s="5">
        <v>0</v>
      </c>
      <c r="P428" s="5">
        <f t="shared" si="1043"/>
        <v>0.2</v>
      </c>
      <c r="Q428" s="5">
        <v>2</v>
      </c>
      <c r="R428" s="5">
        <f t="shared" si="1070"/>
        <v>903922</v>
      </c>
      <c r="S428" s="5">
        <v>30</v>
      </c>
      <c r="T428" s="5">
        <v>10</v>
      </c>
      <c r="U428" s="5">
        <v>0.3</v>
      </c>
      <c r="V428" s="5">
        <v>0.15</v>
      </c>
      <c r="W428" s="5">
        <v>9</v>
      </c>
      <c r="X428" s="5">
        <v>-0.6</v>
      </c>
      <c r="Y428" s="5">
        <v>1.8</v>
      </c>
      <c r="Z428" s="27" t="s">
        <v>1022</v>
      </c>
      <c r="AA428" s="5">
        <v>3</v>
      </c>
      <c r="AB428" s="5">
        <v>2</v>
      </c>
      <c r="AC428" s="5">
        <v>6</v>
      </c>
      <c r="AD428" s="27" t="s">
        <v>1023</v>
      </c>
      <c r="AE428" s="10">
        <v>130</v>
      </c>
      <c r="AF428" s="5">
        <f t="shared" si="1071"/>
        <v>903938</v>
      </c>
      <c r="AG428" s="5">
        <v>60</v>
      </c>
      <c r="AH428" s="5">
        <f t="shared" si="1044"/>
        <v>0.1</v>
      </c>
      <c r="AI428" s="5">
        <v>2</v>
      </c>
      <c r="AJ428" s="5">
        <v>1</v>
      </c>
      <c r="AK428" s="5">
        <f t="shared" si="1072"/>
        <v>30</v>
      </c>
      <c r="AL428" s="5">
        <f t="shared" si="1045"/>
        <v>0</v>
      </c>
      <c r="AM428" s="5">
        <f t="shared" si="1046"/>
        <v>18</v>
      </c>
      <c r="AN428" s="8">
        <v>0</v>
      </c>
      <c r="AO428" s="5">
        <v>0</v>
      </c>
      <c r="AP428" s="28" t="s">
        <v>751</v>
      </c>
      <c r="AQ428" s="5">
        <v>0</v>
      </c>
      <c r="AR428" s="8">
        <v>11</v>
      </c>
      <c r="AS428" s="6">
        <f t="shared" si="1035"/>
        <v>198</v>
      </c>
      <c r="AT428" s="6">
        <f t="shared" si="1036"/>
        <v>216</v>
      </c>
      <c r="AU428" s="5">
        <v>0</v>
      </c>
      <c r="AV428" s="5">
        <v>0</v>
      </c>
      <c r="AW428" s="5">
        <v>0</v>
      </c>
      <c r="AX428" s="5">
        <v>1</v>
      </c>
      <c r="AY428" s="5">
        <v>0</v>
      </c>
      <c r="AZ428" s="5">
        <v>201426</v>
      </c>
      <c r="BA428" s="5">
        <f t="shared" si="1073"/>
        <v>203044</v>
      </c>
      <c r="BB428" s="5">
        <v>10</v>
      </c>
      <c r="BC428" s="5">
        <v>0</v>
      </c>
      <c r="BD428" s="5">
        <v>1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f t="shared" si="1026"/>
        <v>1</v>
      </c>
      <c r="BM428" s="5">
        <v>0</v>
      </c>
      <c r="BN428" s="5">
        <v>0</v>
      </c>
      <c r="BO428" s="5">
        <v>0</v>
      </c>
      <c r="BP428" s="5">
        <v>0</v>
      </c>
      <c r="BQ428" s="5"/>
      <c r="BR428" s="5"/>
      <c r="BS428" s="4">
        <v>0</v>
      </c>
      <c r="BT428" s="4">
        <f t="shared" si="1048"/>
        <v>6</v>
      </c>
      <c r="BU428" s="17">
        <v>16</v>
      </c>
      <c r="BV428" s="4">
        <f t="shared" ref="BV428:BY428" si="1089">BV418</f>
        <v>6</v>
      </c>
      <c r="BW428" s="4">
        <f t="shared" si="1089"/>
        <v>6</v>
      </c>
      <c r="BX428" s="4">
        <f t="shared" si="1089"/>
        <v>0.49999999999999994</v>
      </c>
      <c r="BY428" s="4">
        <f t="shared" si="1089"/>
        <v>0.30000000000000004</v>
      </c>
      <c r="BZ428" s="27" t="s">
        <v>1003</v>
      </c>
      <c r="CA428" s="30" t="str">
        <f t="shared" si="1075"/>
        <v>6</v>
      </c>
      <c r="CB428" s="30" t="s">
        <v>917</v>
      </c>
      <c r="CC428" s="5">
        <v>0</v>
      </c>
      <c r="CD428" s="8">
        <v>3</v>
      </c>
      <c r="CE428" s="5">
        <f t="shared" si="1050"/>
        <v>6</v>
      </c>
      <c r="CF428" s="5">
        <v>1</v>
      </c>
      <c r="CG428" s="27" t="str">
        <f t="shared" si="1057"/>
        <v>6级铁棘龙</v>
      </c>
      <c r="CH428" s="5">
        <v>0</v>
      </c>
      <c r="CI428" s="5">
        <v>0</v>
      </c>
      <c r="CJ428" s="4">
        <v>0</v>
      </c>
      <c r="CK428" s="20">
        <v>0</v>
      </c>
      <c r="CL428" s="5">
        <v>0</v>
      </c>
      <c r="CM428" s="20">
        <v>114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20">
        <v>2.5</v>
      </c>
      <c r="CW428" s="20">
        <v>3</v>
      </c>
      <c r="CX428" s="20">
        <v>2.5</v>
      </c>
      <c r="CY428" s="20">
        <v>3.5</v>
      </c>
      <c r="CZ428" s="8">
        <v>200</v>
      </c>
      <c r="DA428" s="6">
        <f t="shared" si="1065"/>
        <v>30000</v>
      </c>
      <c r="DB428" s="5">
        <v>1</v>
      </c>
      <c r="DC428" s="20">
        <f t="shared" si="1051"/>
        <v>1.875</v>
      </c>
      <c r="DD428" s="6">
        <f t="shared" si="1066"/>
        <v>0.625</v>
      </c>
      <c r="DE428" s="6">
        <v>1</v>
      </c>
      <c r="DF428" s="5">
        <v>0</v>
      </c>
      <c r="DG428" s="6">
        <v>2.5</v>
      </c>
      <c r="DH428" s="5">
        <v>0</v>
      </c>
      <c r="DI428" s="8">
        <v>0</v>
      </c>
      <c r="DJ428" s="5">
        <v>0</v>
      </c>
      <c r="DK428" s="8">
        <v>0</v>
      </c>
      <c r="DL428" s="5">
        <f t="shared" si="1034"/>
        <v>0</v>
      </c>
      <c r="DM428" s="5" t="str">
        <f t="shared" si="1054"/>
        <v>6级铁棘龙</v>
      </c>
      <c r="DN428" s="5">
        <v>6</v>
      </c>
      <c r="DO428" s="5">
        <v>0</v>
      </c>
      <c r="DP428" s="5">
        <v>1</v>
      </c>
      <c r="DQ428" s="5">
        <v>1</v>
      </c>
      <c r="DR428" s="5">
        <v>2.5</v>
      </c>
      <c r="DS428" s="6">
        <v>3.5</v>
      </c>
      <c r="DT428" s="5">
        <v>-0.6</v>
      </c>
      <c r="DU428" s="5">
        <v>0.8</v>
      </c>
      <c r="DV428" s="6">
        <v>0.5</v>
      </c>
      <c r="DW428" s="5">
        <f t="shared" si="1067"/>
        <v>0.66666666666666663</v>
      </c>
      <c r="DX428" s="5">
        <v>8</v>
      </c>
      <c r="DY428" s="5">
        <f t="shared" si="1068"/>
        <v>0</v>
      </c>
      <c r="DZ428" s="5">
        <v>0</v>
      </c>
    </row>
    <row r="429" spans="1:130" x14ac:dyDescent="0.15">
      <c r="A429" s="5">
        <v>201427</v>
      </c>
      <c r="B429" s="28" t="s">
        <v>752</v>
      </c>
      <c r="C429" s="27">
        <v>20</v>
      </c>
      <c r="D429" s="27">
        <v>1</v>
      </c>
      <c r="E429" s="27">
        <v>3</v>
      </c>
      <c r="F429" s="5">
        <v>2</v>
      </c>
      <c r="G429" s="46">
        <f t="shared" si="1069"/>
        <v>-0.34860000000000002</v>
      </c>
      <c r="H429" s="27"/>
      <c r="I429" s="27" t="s">
        <v>975</v>
      </c>
      <c r="J429" s="27"/>
      <c r="K429" s="5">
        <f t="shared" si="1039"/>
        <v>0.46</v>
      </c>
      <c r="L429" s="10">
        <v>8</v>
      </c>
      <c r="M429" s="5">
        <f t="shared" si="1040"/>
        <v>0.16</v>
      </c>
      <c r="N429" s="10">
        <v>2</v>
      </c>
      <c r="O429" s="5">
        <v>0</v>
      </c>
      <c r="P429" s="5">
        <f t="shared" si="1043"/>
        <v>0.2</v>
      </c>
      <c r="Q429" s="5">
        <v>2</v>
      </c>
      <c r="R429" s="5">
        <f t="shared" si="1070"/>
        <v>903922</v>
      </c>
      <c r="S429" s="5">
        <v>30</v>
      </c>
      <c r="T429" s="5">
        <v>10</v>
      </c>
      <c r="U429" s="5">
        <v>0.3</v>
      </c>
      <c r="V429" s="5">
        <v>0.15</v>
      </c>
      <c r="W429" s="5">
        <v>9</v>
      </c>
      <c r="X429" s="5">
        <v>-0.6</v>
      </c>
      <c r="Y429" s="5">
        <v>1.8</v>
      </c>
      <c r="Z429" s="27" t="s">
        <v>1022</v>
      </c>
      <c r="AA429" s="5">
        <v>3</v>
      </c>
      <c r="AB429" s="5">
        <v>2</v>
      </c>
      <c r="AC429" s="5">
        <v>6</v>
      </c>
      <c r="AD429" s="27" t="s">
        <v>1023</v>
      </c>
      <c r="AE429" s="10">
        <v>130</v>
      </c>
      <c r="AF429" s="5">
        <f t="shared" si="1071"/>
        <v>903938</v>
      </c>
      <c r="AG429" s="5">
        <v>60</v>
      </c>
      <c r="AH429" s="5">
        <f t="shared" si="1044"/>
        <v>0.1</v>
      </c>
      <c r="AI429" s="5">
        <v>2</v>
      </c>
      <c r="AJ429" s="5">
        <v>1</v>
      </c>
      <c r="AK429" s="5">
        <f t="shared" si="1072"/>
        <v>35</v>
      </c>
      <c r="AL429" s="5">
        <f t="shared" si="1045"/>
        <v>0</v>
      </c>
      <c r="AM429" s="5">
        <f t="shared" si="1046"/>
        <v>21</v>
      </c>
      <c r="AN429" s="8">
        <v>0</v>
      </c>
      <c r="AO429" s="5">
        <v>0</v>
      </c>
      <c r="AP429" s="28" t="s">
        <v>752</v>
      </c>
      <c r="AQ429" s="5">
        <v>0</v>
      </c>
      <c r="AR429" s="8">
        <v>11</v>
      </c>
      <c r="AS429" s="6">
        <f t="shared" si="1035"/>
        <v>231</v>
      </c>
      <c r="AT429" s="6">
        <f t="shared" si="1036"/>
        <v>252</v>
      </c>
      <c r="AU429" s="5">
        <v>0</v>
      </c>
      <c r="AV429" s="5">
        <v>0</v>
      </c>
      <c r="AW429" s="5">
        <v>0</v>
      </c>
      <c r="AX429" s="5">
        <v>1</v>
      </c>
      <c r="AY429" s="5">
        <v>0</v>
      </c>
      <c r="AZ429" s="5">
        <v>201427</v>
      </c>
      <c r="BA429" s="5">
        <f t="shared" si="1073"/>
        <v>203044</v>
      </c>
      <c r="BB429" s="5">
        <v>10</v>
      </c>
      <c r="BC429" s="5">
        <v>0</v>
      </c>
      <c r="BD429" s="5">
        <v>1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f t="shared" si="1026"/>
        <v>1</v>
      </c>
      <c r="BM429" s="5">
        <v>0</v>
      </c>
      <c r="BN429" s="5">
        <v>0</v>
      </c>
      <c r="BO429" s="5">
        <v>0</v>
      </c>
      <c r="BP429" s="5">
        <v>0</v>
      </c>
      <c r="BQ429" s="5"/>
      <c r="BR429" s="5"/>
      <c r="BS429" s="4">
        <v>0</v>
      </c>
      <c r="BT429" s="4">
        <f t="shared" si="1048"/>
        <v>7</v>
      </c>
      <c r="BU429" s="17">
        <v>17</v>
      </c>
      <c r="BV429" s="4">
        <f t="shared" ref="BV429:BY429" si="1090">BV419</f>
        <v>7</v>
      </c>
      <c r="BW429" s="4">
        <f t="shared" si="1090"/>
        <v>7</v>
      </c>
      <c r="BX429" s="4">
        <f t="shared" si="1090"/>
        <v>0.42999999999999994</v>
      </c>
      <c r="BY429" s="4">
        <f t="shared" si="1090"/>
        <v>0.25</v>
      </c>
      <c r="BZ429" s="27" t="s">
        <v>1003</v>
      </c>
      <c r="CA429" s="30" t="str">
        <f t="shared" si="1075"/>
        <v>7</v>
      </c>
      <c r="CB429" s="30" t="s">
        <v>917</v>
      </c>
      <c r="CC429" s="5">
        <v>0</v>
      </c>
      <c r="CD429" s="8">
        <v>3</v>
      </c>
      <c r="CE429" s="5">
        <f t="shared" si="1050"/>
        <v>7</v>
      </c>
      <c r="CF429" s="5">
        <v>1</v>
      </c>
      <c r="CG429" s="27" t="str">
        <f t="shared" si="1057"/>
        <v>7级铁棘龙</v>
      </c>
      <c r="CH429" s="5">
        <v>0</v>
      </c>
      <c r="CI429" s="5">
        <v>0</v>
      </c>
      <c r="CJ429" s="4">
        <v>0</v>
      </c>
      <c r="CK429" s="20">
        <v>0</v>
      </c>
      <c r="CL429" s="5">
        <v>0</v>
      </c>
      <c r="CM429" s="20">
        <v>114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20">
        <v>2.5</v>
      </c>
      <c r="CW429" s="20">
        <v>3</v>
      </c>
      <c r="CX429" s="20">
        <v>2.5</v>
      </c>
      <c r="CY429" s="20">
        <v>3.5</v>
      </c>
      <c r="CZ429" s="8">
        <v>200</v>
      </c>
      <c r="DA429" s="6">
        <f t="shared" si="1065"/>
        <v>35000</v>
      </c>
      <c r="DB429" s="5">
        <v>1</v>
      </c>
      <c r="DC429" s="20">
        <f t="shared" si="1051"/>
        <v>1.9500000000000002</v>
      </c>
      <c r="DD429" s="6">
        <f t="shared" si="1066"/>
        <v>0.65</v>
      </c>
      <c r="DE429" s="6">
        <v>1</v>
      </c>
      <c r="DF429" s="5">
        <v>0</v>
      </c>
      <c r="DG429" s="6">
        <v>2.5</v>
      </c>
      <c r="DH429" s="5">
        <v>0</v>
      </c>
      <c r="DI429" s="8">
        <v>0</v>
      </c>
      <c r="DJ429" s="5">
        <v>0</v>
      </c>
      <c r="DK429" s="8">
        <v>0</v>
      </c>
      <c r="DL429" s="5">
        <f t="shared" si="1034"/>
        <v>0</v>
      </c>
      <c r="DM429" s="5" t="str">
        <f t="shared" si="1054"/>
        <v>7级铁棘龙</v>
      </c>
      <c r="DN429" s="5">
        <v>6</v>
      </c>
      <c r="DO429" s="5">
        <v>0</v>
      </c>
      <c r="DP429" s="5">
        <v>1</v>
      </c>
      <c r="DQ429" s="5">
        <v>1</v>
      </c>
      <c r="DR429" s="5">
        <v>2.5</v>
      </c>
      <c r="DS429" s="6">
        <v>3.5</v>
      </c>
      <c r="DT429" s="5">
        <v>-0.6</v>
      </c>
      <c r="DU429" s="5">
        <v>0.8</v>
      </c>
      <c r="DV429" s="6">
        <v>0.5</v>
      </c>
      <c r="DW429" s="5">
        <f t="shared" si="1067"/>
        <v>0.66666666666666663</v>
      </c>
      <c r="DX429" s="5">
        <v>8</v>
      </c>
      <c r="DY429" s="5">
        <f t="shared" si="1068"/>
        <v>0</v>
      </c>
      <c r="DZ429" s="5">
        <v>0</v>
      </c>
    </row>
    <row r="430" spans="1:130" x14ac:dyDescent="0.15">
      <c r="A430" s="5">
        <v>201428</v>
      </c>
      <c r="B430" s="28" t="s">
        <v>753</v>
      </c>
      <c r="C430" s="27">
        <v>20</v>
      </c>
      <c r="D430" s="27">
        <v>1</v>
      </c>
      <c r="E430" s="27">
        <v>3</v>
      </c>
      <c r="F430" s="5">
        <v>2</v>
      </c>
      <c r="G430" s="46">
        <f t="shared" si="1069"/>
        <v>-0.34860000000000002</v>
      </c>
      <c r="H430" s="27"/>
      <c r="I430" s="27" t="s">
        <v>975</v>
      </c>
      <c r="J430" s="27"/>
      <c r="K430" s="5">
        <f t="shared" si="1039"/>
        <v>0.47000000000000003</v>
      </c>
      <c r="L430" s="10">
        <v>8</v>
      </c>
      <c r="M430" s="5">
        <f t="shared" si="1040"/>
        <v>0.17</v>
      </c>
      <c r="N430" s="10">
        <v>2</v>
      </c>
      <c r="O430" s="5">
        <v>0</v>
      </c>
      <c r="P430" s="5">
        <f t="shared" si="1043"/>
        <v>0.2</v>
      </c>
      <c r="Q430" s="5">
        <v>2</v>
      </c>
      <c r="R430" s="5">
        <f t="shared" si="1070"/>
        <v>903922</v>
      </c>
      <c r="S430" s="5">
        <v>30</v>
      </c>
      <c r="T430" s="5">
        <v>10</v>
      </c>
      <c r="U430" s="5">
        <v>0.3</v>
      </c>
      <c r="V430" s="5">
        <v>0.15</v>
      </c>
      <c r="W430" s="5">
        <v>9</v>
      </c>
      <c r="X430" s="5">
        <v>-0.6</v>
      </c>
      <c r="Y430" s="5">
        <v>1.8</v>
      </c>
      <c r="Z430" s="27" t="s">
        <v>1022</v>
      </c>
      <c r="AA430" s="5">
        <v>3</v>
      </c>
      <c r="AB430" s="5">
        <v>2</v>
      </c>
      <c r="AC430" s="5">
        <v>6</v>
      </c>
      <c r="AD430" s="27" t="s">
        <v>1023</v>
      </c>
      <c r="AE430" s="10">
        <v>130</v>
      </c>
      <c r="AF430" s="5">
        <f t="shared" si="1071"/>
        <v>903938</v>
      </c>
      <c r="AG430" s="5">
        <v>60</v>
      </c>
      <c r="AH430" s="5">
        <f t="shared" si="1044"/>
        <v>0.1</v>
      </c>
      <c r="AI430" s="5">
        <v>2</v>
      </c>
      <c r="AJ430" s="5">
        <v>1</v>
      </c>
      <c r="AK430" s="5">
        <f t="shared" si="1072"/>
        <v>40</v>
      </c>
      <c r="AL430" s="5">
        <f t="shared" si="1045"/>
        <v>0</v>
      </c>
      <c r="AM430" s="5">
        <f t="shared" si="1046"/>
        <v>24</v>
      </c>
      <c r="AN430" s="8">
        <v>0</v>
      </c>
      <c r="AO430" s="5">
        <v>0</v>
      </c>
      <c r="AP430" s="28" t="s">
        <v>753</v>
      </c>
      <c r="AQ430" s="5">
        <v>0</v>
      </c>
      <c r="AR430" s="8">
        <v>11</v>
      </c>
      <c r="AS430" s="6">
        <f t="shared" si="1035"/>
        <v>264</v>
      </c>
      <c r="AT430" s="6">
        <f t="shared" si="1036"/>
        <v>288</v>
      </c>
      <c r="AU430" s="5">
        <v>0</v>
      </c>
      <c r="AV430" s="5">
        <v>0</v>
      </c>
      <c r="AW430" s="5">
        <v>0</v>
      </c>
      <c r="AX430" s="5">
        <v>1</v>
      </c>
      <c r="AY430" s="5">
        <v>0</v>
      </c>
      <c r="AZ430" s="5">
        <v>201428</v>
      </c>
      <c r="BA430" s="5">
        <f t="shared" si="1073"/>
        <v>203044</v>
      </c>
      <c r="BB430" s="5">
        <v>10</v>
      </c>
      <c r="BC430" s="5">
        <v>0</v>
      </c>
      <c r="BD430" s="5">
        <v>1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f t="shared" si="1026"/>
        <v>1</v>
      </c>
      <c r="BM430" s="5">
        <v>0</v>
      </c>
      <c r="BN430" s="5">
        <v>0</v>
      </c>
      <c r="BO430" s="5">
        <v>0</v>
      </c>
      <c r="BP430" s="5">
        <v>0</v>
      </c>
      <c r="BQ430" s="5"/>
      <c r="BR430" s="5"/>
      <c r="BS430" s="4">
        <v>0</v>
      </c>
      <c r="BT430" s="4">
        <f t="shared" si="1048"/>
        <v>8</v>
      </c>
      <c r="BU430" s="17">
        <v>18</v>
      </c>
      <c r="BV430" s="4">
        <f t="shared" ref="BV430:BY430" si="1091">BV420</f>
        <v>8</v>
      </c>
      <c r="BW430" s="4">
        <f t="shared" si="1091"/>
        <v>8</v>
      </c>
      <c r="BX430" s="4">
        <f t="shared" si="1091"/>
        <v>0.35999999999999993</v>
      </c>
      <c r="BY430" s="4">
        <f t="shared" si="1091"/>
        <v>0.2</v>
      </c>
      <c r="BZ430" s="27" t="s">
        <v>1003</v>
      </c>
      <c r="CA430" s="30" t="str">
        <f t="shared" si="1075"/>
        <v>8</v>
      </c>
      <c r="CB430" s="30" t="s">
        <v>917</v>
      </c>
      <c r="CC430" s="5">
        <v>0</v>
      </c>
      <c r="CD430" s="8">
        <v>3</v>
      </c>
      <c r="CE430" s="5">
        <f t="shared" si="1050"/>
        <v>8</v>
      </c>
      <c r="CF430" s="5">
        <v>1</v>
      </c>
      <c r="CG430" s="27" t="str">
        <f t="shared" si="1057"/>
        <v>8级铁棘龙</v>
      </c>
      <c r="CH430" s="5">
        <v>0</v>
      </c>
      <c r="CI430" s="5">
        <v>0</v>
      </c>
      <c r="CJ430" s="4">
        <v>0</v>
      </c>
      <c r="CK430" s="20">
        <v>0</v>
      </c>
      <c r="CL430" s="5">
        <v>0</v>
      </c>
      <c r="CM430" s="20">
        <v>114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20">
        <v>2.5</v>
      </c>
      <c r="CW430" s="20">
        <v>3</v>
      </c>
      <c r="CX430" s="20">
        <v>2.5</v>
      </c>
      <c r="CY430" s="20">
        <v>3.5</v>
      </c>
      <c r="CZ430" s="8">
        <v>200</v>
      </c>
      <c r="DA430" s="6">
        <f t="shared" si="1065"/>
        <v>40000</v>
      </c>
      <c r="DB430" s="5">
        <v>1</v>
      </c>
      <c r="DC430" s="20">
        <f t="shared" si="1051"/>
        <v>2.0250000000000004</v>
      </c>
      <c r="DD430" s="6">
        <f t="shared" si="1066"/>
        <v>0.67500000000000004</v>
      </c>
      <c r="DE430" s="6">
        <v>1</v>
      </c>
      <c r="DF430" s="5">
        <v>0</v>
      </c>
      <c r="DG430" s="6">
        <v>2.5</v>
      </c>
      <c r="DH430" s="5">
        <v>0</v>
      </c>
      <c r="DI430" s="8">
        <v>0</v>
      </c>
      <c r="DJ430" s="5">
        <v>0</v>
      </c>
      <c r="DK430" s="8">
        <v>0</v>
      </c>
      <c r="DL430" s="5">
        <f t="shared" si="1034"/>
        <v>0</v>
      </c>
      <c r="DM430" s="5" t="str">
        <f t="shared" si="1054"/>
        <v>8级铁棘龙</v>
      </c>
      <c r="DN430" s="5">
        <v>6</v>
      </c>
      <c r="DO430" s="5">
        <v>0</v>
      </c>
      <c r="DP430" s="5">
        <v>1</v>
      </c>
      <c r="DQ430" s="5">
        <v>1</v>
      </c>
      <c r="DR430" s="5">
        <v>2.5</v>
      </c>
      <c r="DS430" s="6">
        <v>3.5</v>
      </c>
      <c r="DT430" s="5">
        <v>-0.6</v>
      </c>
      <c r="DU430" s="5">
        <v>0.8</v>
      </c>
      <c r="DV430" s="6">
        <v>0.5</v>
      </c>
      <c r="DW430" s="5">
        <f t="shared" si="1067"/>
        <v>0.66666666666666663</v>
      </c>
      <c r="DX430" s="5">
        <v>8</v>
      </c>
      <c r="DY430" s="5">
        <f t="shared" si="1068"/>
        <v>0</v>
      </c>
      <c r="DZ430" s="5">
        <v>0</v>
      </c>
    </row>
    <row r="431" spans="1:130" x14ac:dyDescent="0.15">
      <c r="A431" s="5">
        <v>201429</v>
      </c>
      <c r="B431" s="28" t="s">
        <v>754</v>
      </c>
      <c r="C431" s="27">
        <v>20</v>
      </c>
      <c r="D431" s="27">
        <v>1</v>
      </c>
      <c r="E431" s="27">
        <v>3</v>
      </c>
      <c r="F431" s="5">
        <v>2</v>
      </c>
      <c r="G431" s="46">
        <f t="shared" si="1069"/>
        <v>-0.34860000000000002</v>
      </c>
      <c r="H431" s="27"/>
      <c r="I431" s="27" t="s">
        <v>975</v>
      </c>
      <c r="J431" s="27"/>
      <c r="K431" s="5">
        <f t="shared" si="1039"/>
        <v>0.48000000000000004</v>
      </c>
      <c r="L431" s="10">
        <v>8</v>
      </c>
      <c r="M431" s="5">
        <f t="shared" si="1040"/>
        <v>0.18</v>
      </c>
      <c r="N431" s="10">
        <v>2</v>
      </c>
      <c r="O431" s="5">
        <v>0</v>
      </c>
      <c r="P431" s="5">
        <f t="shared" si="1043"/>
        <v>0.2</v>
      </c>
      <c r="Q431" s="5">
        <v>2</v>
      </c>
      <c r="R431" s="5">
        <f t="shared" si="1070"/>
        <v>903922</v>
      </c>
      <c r="S431" s="5">
        <v>30</v>
      </c>
      <c r="T431" s="5">
        <v>10</v>
      </c>
      <c r="U431" s="5">
        <v>0.3</v>
      </c>
      <c r="V431" s="5">
        <v>0.15</v>
      </c>
      <c r="W431" s="5">
        <v>9</v>
      </c>
      <c r="X431" s="5">
        <v>-0.6</v>
      </c>
      <c r="Y431" s="5">
        <v>1.8</v>
      </c>
      <c r="Z431" s="27" t="s">
        <v>1022</v>
      </c>
      <c r="AA431" s="5">
        <v>3</v>
      </c>
      <c r="AB431" s="5">
        <v>2</v>
      </c>
      <c r="AC431" s="5">
        <v>6</v>
      </c>
      <c r="AD431" s="27" t="s">
        <v>1023</v>
      </c>
      <c r="AE431" s="10">
        <v>130</v>
      </c>
      <c r="AF431" s="5">
        <f t="shared" si="1071"/>
        <v>903938</v>
      </c>
      <c r="AG431" s="5">
        <v>60</v>
      </c>
      <c r="AH431" s="5">
        <f t="shared" si="1044"/>
        <v>0.1</v>
      </c>
      <c r="AI431" s="5">
        <v>2</v>
      </c>
      <c r="AJ431" s="5">
        <v>1</v>
      </c>
      <c r="AK431" s="5">
        <f t="shared" si="1072"/>
        <v>45</v>
      </c>
      <c r="AL431" s="5">
        <f t="shared" si="1045"/>
        <v>0</v>
      </c>
      <c r="AM431" s="5">
        <f t="shared" si="1046"/>
        <v>27</v>
      </c>
      <c r="AN431" s="8">
        <v>0</v>
      </c>
      <c r="AO431" s="5">
        <v>0</v>
      </c>
      <c r="AP431" s="28" t="s">
        <v>754</v>
      </c>
      <c r="AQ431" s="5">
        <v>0</v>
      </c>
      <c r="AR431" s="8">
        <v>11</v>
      </c>
      <c r="AS431" s="6">
        <f t="shared" si="1035"/>
        <v>297</v>
      </c>
      <c r="AT431" s="6">
        <f t="shared" si="1036"/>
        <v>324</v>
      </c>
      <c r="AU431" s="5">
        <v>0</v>
      </c>
      <c r="AV431" s="5">
        <v>0</v>
      </c>
      <c r="AW431" s="5">
        <v>0</v>
      </c>
      <c r="AX431" s="5">
        <v>1</v>
      </c>
      <c r="AY431" s="5">
        <v>0</v>
      </c>
      <c r="AZ431" s="5">
        <v>201429</v>
      </c>
      <c r="BA431" s="5">
        <f t="shared" si="1073"/>
        <v>203044</v>
      </c>
      <c r="BB431" s="5">
        <v>10</v>
      </c>
      <c r="BC431" s="5">
        <v>0</v>
      </c>
      <c r="BD431" s="5">
        <v>1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f t="shared" si="1026"/>
        <v>1</v>
      </c>
      <c r="BM431" s="5">
        <v>0</v>
      </c>
      <c r="BN431" s="5">
        <v>0</v>
      </c>
      <c r="BO431" s="5">
        <v>0</v>
      </c>
      <c r="BP431" s="5">
        <v>0</v>
      </c>
      <c r="BQ431" s="5"/>
      <c r="BR431" s="5"/>
      <c r="BS431" s="4">
        <v>0</v>
      </c>
      <c r="BT431" s="4">
        <f t="shared" si="1048"/>
        <v>9</v>
      </c>
      <c r="BU431" s="17">
        <v>19</v>
      </c>
      <c r="BV431" s="4">
        <f t="shared" ref="BV431:BY431" si="1092">BV421</f>
        <v>9</v>
      </c>
      <c r="BW431" s="4">
        <f t="shared" si="1092"/>
        <v>9</v>
      </c>
      <c r="BX431" s="4">
        <f t="shared" si="1092"/>
        <v>0.28999999999999992</v>
      </c>
      <c r="BY431" s="4">
        <f t="shared" si="1092"/>
        <v>0.15000000000000002</v>
      </c>
      <c r="BZ431" s="27" t="s">
        <v>1003</v>
      </c>
      <c r="CA431" s="30" t="str">
        <f t="shared" si="1075"/>
        <v>9</v>
      </c>
      <c r="CB431" s="30" t="s">
        <v>917</v>
      </c>
      <c r="CC431" s="5">
        <v>0</v>
      </c>
      <c r="CD431" s="8">
        <v>3</v>
      </c>
      <c r="CE431" s="5">
        <f t="shared" si="1050"/>
        <v>9</v>
      </c>
      <c r="CF431" s="5">
        <v>1</v>
      </c>
      <c r="CG431" s="27" t="str">
        <f t="shared" si="1057"/>
        <v>9级铁棘龙</v>
      </c>
      <c r="CH431" s="5">
        <v>0</v>
      </c>
      <c r="CI431" s="5">
        <v>0</v>
      </c>
      <c r="CJ431" s="4">
        <v>0</v>
      </c>
      <c r="CK431" s="20">
        <v>0</v>
      </c>
      <c r="CL431" s="5">
        <v>0</v>
      </c>
      <c r="CM431" s="20">
        <v>114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20">
        <v>2.5</v>
      </c>
      <c r="CW431" s="20">
        <v>3</v>
      </c>
      <c r="CX431" s="20">
        <v>2.5</v>
      </c>
      <c r="CY431" s="20">
        <v>3.5</v>
      </c>
      <c r="CZ431" s="8">
        <v>200</v>
      </c>
      <c r="DA431" s="6">
        <f t="shared" si="1065"/>
        <v>45000</v>
      </c>
      <c r="DB431" s="5">
        <v>1</v>
      </c>
      <c r="DC431" s="20">
        <f t="shared" si="1051"/>
        <v>2.0999999999999996</v>
      </c>
      <c r="DD431" s="6">
        <f t="shared" si="1066"/>
        <v>0.7</v>
      </c>
      <c r="DE431" s="6">
        <v>1</v>
      </c>
      <c r="DF431" s="5">
        <v>0</v>
      </c>
      <c r="DG431" s="6">
        <v>2.5</v>
      </c>
      <c r="DH431" s="5">
        <v>0</v>
      </c>
      <c r="DI431" s="8">
        <v>0</v>
      </c>
      <c r="DJ431" s="5">
        <v>0</v>
      </c>
      <c r="DK431" s="8">
        <v>0</v>
      </c>
      <c r="DL431" s="5">
        <f t="shared" si="1034"/>
        <v>0</v>
      </c>
      <c r="DM431" s="5" t="str">
        <f t="shared" si="1054"/>
        <v>9级铁棘龙</v>
      </c>
      <c r="DN431" s="5">
        <v>6</v>
      </c>
      <c r="DO431" s="5">
        <v>0</v>
      </c>
      <c r="DP431" s="5">
        <v>1</v>
      </c>
      <c r="DQ431" s="5">
        <v>1</v>
      </c>
      <c r="DR431" s="5">
        <v>2.5</v>
      </c>
      <c r="DS431" s="6">
        <v>3.5</v>
      </c>
      <c r="DT431" s="5">
        <v>-0.6</v>
      </c>
      <c r="DU431" s="5">
        <v>0.8</v>
      </c>
      <c r="DV431" s="6">
        <v>0.5</v>
      </c>
      <c r="DW431" s="5">
        <f t="shared" si="1067"/>
        <v>0.66666666666666663</v>
      </c>
      <c r="DX431" s="5">
        <v>8</v>
      </c>
      <c r="DY431" s="5">
        <f t="shared" si="1068"/>
        <v>0</v>
      </c>
      <c r="DZ431" s="5">
        <v>0</v>
      </c>
    </row>
    <row r="432" spans="1:130" x14ac:dyDescent="0.15">
      <c r="A432" s="5">
        <v>201430</v>
      </c>
      <c r="B432" s="28" t="s">
        <v>755</v>
      </c>
      <c r="C432" s="27">
        <v>20</v>
      </c>
      <c r="D432" s="27">
        <v>1</v>
      </c>
      <c r="E432" s="27">
        <v>3</v>
      </c>
      <c r="F432" s="5">
        <v>2</v>
      </c>
      <c r="G432" s="46">
        <f t="shared" si="1069"/>
        <v>-0.34860000000000002</v>
      </c>
      <c r="H432" s="27"/>
      <c r="I432" s="27" t="s">
        <v>975</v>
      </c>
      <c r="J432" s="27"/>
      <c r="K432" s="5">
        <f t="shared" si="1039"/>
        <v>0.49</v>
      </c>
      <c r="L432" s="10">
        <v>8</v>
      </c>
      <c r="M432" s="5">
        <f t="shared" si="1040"/>
        <v>0.19</v>
      </c>
      <c r="N432" s="10">
        <v>2</v>
      </c>
      <c r="O432" s="5">
        <v>0</v>
      </c>
      <c r="P432" s="5">
        <f t="shared" si="1043"/>
        <v>0.2</v>
      </c>
      <c r="Q432" s="5">
        <v>2</v>
      </c>
      <c r="R432" s="5">
        <f t="shared" si="1070"/>
        <v>903922</v>
      </c>
      <c r="S432" s="5">
        <v>30</v>
      </c>
      <c r="T432" s="5">
        <v>10</v>
      </c>
      <c r="U432" s="5">
        <v>0.3</v>
      </c>
      <c r="V432" s="5">
        <v>0.15</v>
      </c>
      <c r="W432" s="5">
        <v>9</v>
      </c>
      <c r="X432" s="5">
        <v>-0.6</v>
      </c>
      <c r="Y432" s="5">
        <v>1.8</v>
      </c>
      <c r="Z432" s="27" t="s">
        <v>1022</v>
      </c>
      <c r="AA432" s="5">
        <v>3</v>
      </c>
      <c r="AB432" s="5">
        <v>2</v>
      </c>
      <c r="AC432" s="5">
        <v>6</v>
      </c>
      <c r="AD432" s="27" t="s">
        <v>1023</v>
      </c>
      <c r="AE432" s="10">
        <v>130</v>
      </c>
      <c r="AF432" s="5">
        <f t="shared" si="1071"/>
        <v>903938</v>
      </c>
      <c r="AG432" s="5">
        <v>60</v>
      </c>
      <c r="AH432" s="5">
        <f t="shared" si="1044"/>
        <v>0.1</v>
      </c>
      <c r="AI432" s="5">
        <v>2</v>
      </c>
      <c r="AJ432" s="5">
        <v>1</v>
      </c>
      <c r="AK432" s="5">
        <f t="shared" si="1072"/>
        <v>50</v>
      </c>
      <c r="AL432" s="5">
        <f t="shared" si="1045"/>
        <v>0</v>
      </c>
      <c r="AM432" s="5">
        <f t="shared" si="1046"/>
        <v>30</v>
      </c>
      <c r="AN432" s="8">
        <v>0</v>
      </c>
      <c r="AO432" s="5">
        <v>0</v>
      </c>
      <c r="AP432" s="28" t="s">
        <v>755</v>
      </c>
      <c r="AQ432" s="5">
        <v>0</v>
      </c>
      <c r="AR432" s="8">
        <v>11</v>
      </c>
      <c r="AS432" s="6">
        <f t="shared" si="1035"/>
        <v>330</v>
      </c>
      <c r="AT432" s="6">
        <f t="shared" si="1036"/>
        <v>360</v>
      </c>
      <c r="AU432" s="5">
        <v>0</v>
      </c>
      <c r="AV432" s="5">
        <v>0</v>
      </c>
      <c r="AW432" s="5">
        <v>0</v>
      </c>
      <c r="AX432" s="5">
        <v>1</v>
      </c>
      <c r="AY432" s="5">
        <v>0</v>
      </c>
      <c r="AZ432" s="5">
        <v>201430</v>
      </c>
      <c r="BA432" s="5">
        <f t="shared" si="1073"/>
        <v>203044</v>
      </c>
      <c r="BB432" s="5">
        <v>10</v>
      </c>
      <c r="BC432" s="5">
        <v>0</v>
      </c>
      <c r="BD432" s="5">
        <v>1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f t="shared" si="1026"/>
        <v>1</v>
      </c>
      <c r="BM432" s="5">
        <v>0</v>
      </c>
      <c r="BN432" s="5">
        <v>0</v>
      </c>
      <c r="BO432" s="5">
        <v>0</v>
      </c>
      <c r="BP432" s="5">
        <v>0</v>
      </c>
      <c r="BQ432" s="5"/>
      <c r="BR432" s="5"/>
      <c r="BS432" s="4">
        <v>0</v>
      </c>
      <c r="BT432" s="4">
        <f t="shared" si="1048"/>
        <v>10</v>
      </c>
      <c r="BU432" s="17">
        <v>20</v>
      </c>
      <c r="BV432" s="4">
        <f t="shared" ref="BV432:BY432" si="1093">BV422</f>
        <v>10</v>
      </c>
      <c r="BW432" s="4">
        <f t="shared" si="1093"/>
        <v>10</v>
      </c>
      <c r="BX432" s="4">
        <f t="shared" si="1093"/>
        <v>0.21999999999999986</v>
      </c>
      <c r="BY432" s="4">
        <f t="shared" si="1093"/>
        <v>0.10000000000000003</v>
      </c>
      <c r="BZ432" s="27" t="s">
        <v>1003</v>
      </c>
      <c r="CA432" s="30" t="str">
        <f t="shared" si="1075"/>
        <v>10</v>
      </c>
      <c r="CB432" s="30" t="s">
        <v>917</v>
      </c>
      <c r="CC432" s="5">
        <v>0</v>
      </c>
      <c r="CD432" s="8">
        <v>3</v>
      </c>
      <c r="CE432" s="5">
        <f t="shared" si="1050"/>
        <v>10</v>
      </c>
      <c r="CF432" s="5">
        <v>1</v>
      </c>
      <c r="CG432" s="27" t="str">
        <f t="shared" si="1057"/>
        <v>10级铁棘龙</v>
      </c>
      <c r="CH432" s="5">
        <v>0</v>
      </c>
      <c r="CI432" s="5">
        <v>0</v>
      </c>
      <c r="CJ432" s="4">
        <v>0</v>
      </c>
      <c r="CK432" s="20">
        <v>0</v>
      </c>
      <c r="CL432" s="5">
        <v>0</v>
      </c>
      <c r="CM432" s="20">
        <v>114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20">
        <v>2.5</v>
      </c>
      <c r="CW432" s="20">
        <v>3</v>
      </c>
      <c r="CX432" s="20">
        <v>2.5</v>
      </c>
      <c r="CY432" s="20">
        <v>3.5</v>
      </c>
      <c r="CZ432" s="8">
        <v>200</v>
      </c>
      <c r="DA432" s="6">
        <f t="shared" si="1065"/>
        <v>50000</v>
      </c>
      <c r="DB432" s="5">
        <v>1</v>
      </c>
      <c r="DC432" s="20">
        <f t="shared" si="1051"/>
        <v>2.1749999999999998</v>
      </c>
      <c r="DD432" s="6">
        <f t="shared" si="1066"/>
        <v>0.72499999999999998</v>
      </c>
      <c r="DE432" s="6">
        <v>1</v>
      </c>
      <c r="DF432" s="5">
        <v>0</v>
      </c>
      <c r="DG432" s="6">
        <v>2.5</v>
      </c>
      <c r="DH432" s="5">
        <v>0</v>
      </c>
      <c r="DI432" s="8">
        <v>0</v>
      </c>
      <c r="DJ432" s="5">
        <v>0</v>
      </c>
      <c r="DK432" s="8">
        <v>0</v>
      </c>
      <c r="DL432" s="5">
        <f t="shared" si="1034"/>
        <v>0</v>
      </c>
      <c r="DM432" s="5" t="str">
        <f t="shared" si="1054"/>
        <v>10级铁棘龙</v>
      </c>
      <c r="DN432" s="5">
        <v>6</v>
      </c>
      <c r="DO432" s="5">
        <v>0</v>
      </c>
      <c r="DP432" s="5">
        <v>1</v>
      </c>
      <c r="DQ432" s="5">
        <v>1</v>
      </c>
      <c r="DR432" s="5">
        <v>2.5</v>
      </c>
      <c r="DS432" s="6">
        <v>3.5</v>
      </c>
      <c r="DT432" s="5">
        <v>-0.6</v>
      </c>
      <c r="DU432" s="5">
        <v>0.8</v>
      </c>
      <c r="DV432" s="6">
        <v>0.5</v>
      </c>
      <c r="DW432" s="5">
        <f t="shared" si="1067"/>
        <v>0.66666666666666663</v>
      </c>
      <c r="DX432" s="5">
        <v>8</v>
      </c>
      <c r="DY432" s="5">
        <f t="shared" si="1068"/>
        <v>0</v>
      </c>
      <c r="DZ432" s="5">
        <v>0</v>
      </c>
    </row>
    <row r="433" spans="1:130" x14ac:dyDescent="0.15">
      <c r="A433" s="5">
        <v>201431</v>
      </c>
      <c r="B433" s="28" t="s">
        <v>756</v>
      </c>
      <c r="C433" s="28">
        <v>20</v>
      </c>
      <c r="D433" s="28">
        <v>1</v>
      </c>
      <c r="E433" s="28">
        <v>3</v>
      </c>
      <c r="F433" s="6">
        <v>2</v>
      </c>
      <c r="G433" s="46">
        <f t="shared" si="1069"/>
        <v>-0.29050000000000004</v>
      </c>
      <c r="H433" s="28"/>
      <c r="I433" s="28" t="s">
        <v>975</v>
      </c>
      <c r="J433" s="28"/>
      <c r="K433" s="5">
        <f t="shared" si="1039"/>
        <v>0.15</v>
      </c>
      <c r="L433" s="10">
        <v>3</v>
      </c>
      <c r="M433" s="5">
        <f t="shared" si="1040"/>
        <v>0.35</v>
      </c>
      <c r="N433" s="10">
        <v>7</v>
      </c>
      <c r="O433" s="5">
        <v>0</v>
      </c>
      <c r="P433" s="5">
        <f t="shared" si="1043"/>
        <v>0.3</v>
      </c>
      <c r="Q433" s="5">
        <v>3</v>
      </c>
      <c r="R433" s="5">
        <f t="shared" si="1070"/>
        <v>903923</v>
      </c>
      <c r="S433" s="5">
        <v>30</v>
      </c>
      <c r="T433" s="5">
        <v>10</v>
      </c>
      <c r="U433" s="5">
        <v>0.3</v>
      </c>
      <c r="V433" s="5">
        <v>0.15</v>
      </c>
      <c r="W433" s="5">
        <v>9</v>
      </c>
      <c r="X433" s="5">
        <v>-0.6</v>
      </c>
      <c r="Y433" s="5">
        <v>1.8</v>
      </c>
      <c r="Z433" s="27" t="s">
        <v>1024</v>
      </c>
      <c r="AA433" s="5">
        <v>3</v>
      </c>
      <c r="AB433" s="5">
        <v>2</v>
      </c>
      <c r="AC433" s="5">
        <v>6</v>
      </c>
      <c r="AD433" s="27" t="s">
        <v>1025</v>
      </c>
      <c r="AE433" s="10">
        <v>121</v>
      </c>
      <c r="AF433" s="5">
        <f t="shared" si="1071"/>
        <v>903939</v>
      </c>
      <c r="AG433" s="5">
        <v>60</v>
      </c>
      <c r="AH433" s="5">
        <f t="shared" si="1044"/>
        <v>0.1</v>
      </c>
      <c r="AI433" s="5">
        <v>2</v>
      </c>
      <c r="AJ433" s="5">
        <v>1</v>
      </c>
      <c r="AK433" s="5">
        <f t="shared" si="1072"/>
        <v>5</v>
      </c>
      <c r="AL433" s="5">
        <f t="shared" si="1045"/>
        <v>33</v>
      </c>
      <c r="AM433" s="5">
        <f t="shared" si="1046"/>
        <v>36</v>
      </c>
      <c r="AN433" s="8">
        <v>11</v>
      </c>
      <c r="AO433" s="5">
        <v>1</v>
      </c>
      <c r="AP433" s="28" t="s">
        <v>756</v>
      </c>
      <c r="AQ433" s="5">
        <v>0</v>
      </c>
      <c r="AR433" s="8">
        <v>0</v>
      </c>
      <c r="AS433" s="6">
        <f t="shared" si="1035"/>
        <v>0</v>
      </c>
      <c r="AT433" s="6">
        <f t="shared" si="1036"/>
        <v>3</v>
      </c>
      <c r="AU433" s="5">
        <v>0</v>
      </c>
      <c r="AV433" s="5">
        <v>0</v>
      </c>
      <c r="AW433" s="5">
        <v>0</v>
      </c>
      <c r="AX433" s="5">
        <v>1</v>
      </c>
      <c r="AY433" s="5">
        <v>0</v>
      </c>
      <c r="AZ433" s="5">
        <v>201431</v>
      </c>
      <c r="BA433" s="5">
        <f t="shared" si="1073"/>
        <v>203045</v>
      </c>
      <c r="BB433" s="5">
        <v>10</v>
      </c>
      <c r="BC433" s="5">
        <v>0</v>
      </c>
      <c r="BD433" s="5">
        <v>1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f t="shared" si="1026"/>
        <v>1</v>
      </c>
      <c r="BM433" s="5">
        <v>0</v>
      </c>
      <c r="BN433" s="5">
        <v>0</v>
      </c>
      <c r="BO433" s="5">
        <v>0</v>
      </c>
      <c r="BP433" s="5">
        <v>0</v>
      </c>
      <c r="BQ433" s="5"/>
      <c r="BR433" s="5"/>
      <c r="BS433" s="4">
        <v>0</v>
      </c>
      <c r="BT433" s="4">
        <f t="shared" si="1048"/>
        <v>1</v>
      </c>
      <c r="BU433" s="17">
        <v>21</v>
      </c>
      <c r="BV433" s="4">
        <f t="shared" ref="BV433:BY433" si="1094">BV423</f>
        <v>1</v>
      </c>
      <c r="BW433" s="4">
        <f t="shared" si="1094"/>
        <v>1</v>
      </c>
      <c r="BX433" s="4">
        <f t="shared" si="1094"/>
        <v>0.85</v>
      </c>
      <c r="BY433" s="4">
        <f t="shared" si="1094"/>
        <v>0.55000000000000004</v>
      </c>
      <c r="BZ433" s="27" t="s">
        <v>1004</v>
      </c>
      <c r="CA433" s="30" t="str">
        <f t="shared" si="1075"/>
        <v>1</v>
      </c>
      <c r="CB433" s="30" t="s">
        <v>917</v>
      </c>
      <c r="CC433" s="5">
        <v>0</v>
      </c>
      <c r="CD433" s="8">
        <v>3</v>
      </c>
      <c r="CE433" s="5">
        <f t="shared" si="1050"/>
        <v>1</v>
      </c>
      <c r="CF433" s="5">
        <v>1</v>
      </c>
      <c r="CG433" s="27" t="str">
        <f t="shared" si="1057"/>
        <v>1级虚空龙</v>
      </c>
      <c r="CH433" s="5">
        <v>0</v>
      </c>
      <c r="CI433" s="5">
        <v>0</v>
      </c>
      <c r="CJ433" s="4">
        <v>0</v>
      </c>
      <c r="CK433" s="20">
        <v>0</v>
      </c>
      <c r="CL433" s="5">
        <v>0</v>
      </c>
      <c r="CM433" s="20">
        <v>114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20">
        <v>2.5</v>
      </c>
      <c r="CW433" s="20">
        <v>3</v>
      </c>
      <c r="CX433" s="20">
        <v>2.5</v>
      </c>
      <c r="CY433" s="20">
        <v>3.5</v>
      </c>
      <c r="CZ433" s="8">
        <v>200</v>
      </c>
      <c r="DA433" s="6">
        <f t="shared" si="1065"/>
        <v>5000</v>
      </c>
      <c r="DB433" s="5">
        <v>1</v>
      </c>
      <c r="DC433" s="20">
        <f t="shared" si="1051"/>
        <v>1.5</v>
      </c>
      <c r="DD433" s="6">
        <f t="shared" si="1066"/>
        <v>0.5</v>
      </c>
      <c r="DE433" s="6">
        <v>1</v>
      </c>
      <c r="DF433" s="5">
        <v>0</v>
      </c>
      <c r="DG433" s="6">
        <v>2.5</v>
      </c>
      <c r="DH433" s="5">
        <v>0</v>
      </c>
      <c r="DI433" s="8">
        <v>0</v>
      </c>
      <c r="DJ433" s="5">
        <v>0</v>
      </c>
      <c r="DK433" s="8">
        <v>0</v>
      </c>
      <c r="DL433" s="5">
        <f t="shared" si="1034"/>
        <v>0</v>
      </c>
      <c r="DM433" s="5" t="str">
        <f t="shared" si="1054"/>
        <v>1级虚空龙</v>
      </c>
      <c r="DN433" s="5">
        <v>6</v>
      </c>
      <c r="DO433" s="5">
        <v>0</v>
      </c>
      <c r="DP433" s="5">
        <v>1</v>
      </c>
      <c r="DQ433" s="5">
        <v>1</v>
      </c>
      <c r="DR433" s="5">
        <v>2.5</v>
      </c>
      <c r="DS433" s="6">
        <v>3.5</v>
      </c>
      <c r="DT433" s="5">
        <v>-0.6</v>
      </c>
      <c r="DU433" s="5">
        <v>0.8</v>
      </c>
      <c r="DV433" s="6">
        <v>0.5</v>
      </c>
      <c r="DW433" s="5">
        <f t="shared" si="1067"/>
        <v>0.66666666666666663</v>
      </c>
      <c r="DX433" s="5">
        <v>8</v>
      </c>
      <c r="DY433" s="5">
        <f t="shared" si="1068"/>
        <v>0</v>
      </c>
      <c r="DZ433" s="5">
        <v>0</v>
      </c>
    </row>
    <row r="434" spans="1:130" x14ac:dyDescent="0.15">
      <c r="A434" s="5">
        <v>201432</v>
      </c>
      <c r="B434" s="28" t="s">
        <v>757</v>
      </c>
      <c r="C434" s="27">
        <v>20</v>
      </c>
      <c r="D434" s="27">
        <v>1</v>
      </c>
      <c r="E434" s="27">
        <v>3</v>
      </c>
      <c r="F434" s="5">
        <v>2</v>
      </c>
      <c r="G434" s="46">
        <f t="shared" si="1069"/>
        <v>-0.29050000000000004</v>
      </c>
      <c r="H434" s="27"/>
      <c r="I434" s="27" t="s">
        <v>975</v>
      </c>
      <c r="J434" s="27"/>
      <c r="K434" s="5">
        <f t="shared" si="1039"/>
        <v>0.16</v>
      </c>
      <c r="L434" s="10">
        <v>3</v>
      </c>
      <c r="M434" s="5">
        <f t="shared" si="1040"/>
        <v>0.36</v>
      </c>
      <c r="N434" s="10">
        <v>7</v>
      </c>
      <c r="O434" s="5">
        <v>0</v>
      </c>
      <c r="P434" s="5">
        <f t="shared" si="1043"/>
        <v>0.3</v>
      </c>
      <c r="Q434" s="5">
        <v>3</v>
      </c>
      <c r="R434" s="5">
        <f t="shared" si="1070"/>
        <v>903923</v>
      </c>
      <c r="S434" s="5">
        <v>30</v>
      </c>
      <c r="T434" s="5">
        <v>10</v>
      </c>
      <c r="U434" s="5">
        <v>0.3</v>
      </c>
      <c r="V434" s="5">
        <v>0.15</v>
      </c>
      <c r="W434" s="5">
        <v>9</v>
      </c>
      <c r="X434" s="5">
        <v>-0.6</v>
      </c>
      <c r="Y434" s="5">
        <v>1.8</v>
      </c>
      <c r="Z434" s="27" t="s">
        <v>1024</v>
      </c>
      <c r="AA434" s="5">
        <v>3</v>
      </c>
      <c r="AB434" s="5">
        <v>2</v>
      </c>
      <c r="AC434" s="5">
        <v>6</v>
      </c>
      <c r="AD434" s="27" t="s">
        <v>1025</v>
      </c>
      <c r="AE434" s="10">
        <v>121</v>
      </c>
      <c r="AF434" s="5">
        <f t="shared" si="1071"/>
        <v>903939</v>
      </c>
      <c r="AG434" s="5">
        <v>60</v>
      </c>
      <c r="AH434" s="5">
        <f t="shared" si="1044"/>
        <v>0.1</v>
      </c>
      <c r="AI434" s="5">
        <v>2</v>
      </c>
      <c r="AJ434" s="5">
        <v>1</v>
      </c>
      <c r="AK434" s="5">
        <f t="shared" si="1072"/>
        <v>10</v>
      </c>
      <c r="AL434" s="5">
        <f t="shared" si="1045"/>
        <v>66</v>
      </c>
      <c r="AM434" s="5">
        <f t="shared" si="1046"/>
        <v>72</v>
      </c>
      <c r="AN434" s="8">
        <v>11</v>
      </c>
      <c r="AO434" s="5">
        <v>1</v>
      </c>
      <c r="AP434" s="28" t="s">
        <v>757</v>
      </c>
      <c r="AQ434" s="5">
        <v>0</v>
      </c>
      <c r="AR434" s="8">
        <v>0</v>
      </c>
      <c r="AS434" s="6">
        <f t="shared" si="1035"/>
        <v>0</v>
      </c>
      <c r="AT434" s="6">
        <f t="shared" si="1036"/>
        <v>6</v>
      </c>
      <c r="AU434" s="5">
        <v>0</v>
      </c>
      <c r="AV434" s="5">
        <v>0</v>
      </c>
      <c r="AW434" s="5">
        <v>0</v>
      </c>
      <c r="AX434" s="5">
        <v>1</v>
      </c>
      <c r="AY434" s="5">
        <v>0</v>
      </c>
      <c r="AZ434" s="5">
        <v>201432</v>
      </c>
      <c r="BA434" s="5">
        <f t="shared" si="1073"/>
        <v>203045</v>
      </c>
      <c r="BB434" s="5">
        <v>10</v>
      </c>
      <c r="BC434" s="5">
        <v>0</v>
      </c>
      <c r="BD434" s="5">
        <v>1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f t="shared" si="1026"/>
        <v>1</v>
      </c>
      <c r="BM434" s="5">
        <v>0</v>
      </c>
      <c r="BN434" s="5">
        <v>0</v>
      </c>
      <c r="BO434" s="5">
        <v>0</v>
      </c>
      <c r="BP434" s="5">
        <v>0</v>
      </c>
      <c r="BQ434" s="5"/>
      <c r="BR434" s="5"/>
      <c r="BS434" s="4">
        <v>0</v>
      </c>
      <c r="BT434" s="4">
        <f t="shared" si="1048"/>
        <v>2</v>
      </c>
      <c r="BU434" s="17">
        <v>22</v>
      </c>
      <c r="BV434" s="4">
        <f t="shared" ref="BV434:BY434" si="1095">BV424</f>
        <v>2</v>
      </c>
      <c r="BW434" s="4">
        <f t="shared" si="1095"/>
        <v>2</v>
      </c>
      <c r="BX434" s="4">
        <f t="shared" si="1095"/>
        <v>0.78</v>
      </c>
      <c r="BY434" s="4">
        <f t="shared" si="1095"/>
        <v>0.5</v>
      </c>
      <c r="BZ434" s="27" t="s">
        <v>1004</v>
      </c>
      <c r="CA434" s="30" t="str">
        <f t="shared" si="1075"/>
        <v>2</v>
      </c>
      <c r="CB434" s="30" t="s">
        <v>917</v>
      </c>
      <c r="CC434" s="5">
        <v>0</v>
      </c>
      <c r="CD434" s="8">
        <v>3</v>
      </c>
      <c r="CE434" s="5">
        <f t="shared" si="1050"/>
        <v>2</v>
      </c>
      <c r="CF434" s="5">
        <v>1</v>
      </c>
      <c r="CG434" s="27" t="str">
        <f t="shared" si="1057"/>
        <v>2级虚空龙</v>
      </c>
      <c r="CH434" s="5">
        <v>0</v>
      </c>
      <c r="CI434" s="5">
        <v>0</v>
      </c>
      <c r="CJ434" s="4">
        <v>0</v>
      </c>
      <c r="CK434" s="20">
        <v>0</v>
      </c>
      <c r="CL434" s="5">
        <v>0</v>
      </c>
      <c r="CM434" s="20">
        <v>114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20">
        <v>2.5</v>
      </c>
      <c r="CW434" s="20">
        <v>3</v>
      </c>
      <c r="CX434" s="20">
        <v>2.5</v>
      </c>
      <c r="CY434" s="20">
        <v>3.5</v>
      </c>
      <c r="CZ434" s="8">
        <v>200</v>
      </c>
      <c r="DA434" s="6">
        <f t="shared" si="1065"/>
        <v>10000</v>
      </c>
      <c r="DB434" s="5">
        <v>1</v>
      </c>
      <c r="DC434" s="20">
        <f t="shared" si="1051"/>
        <v>1.5750000000000002</v>
      </c>
      <c r="DD434" s="6">
        <f t="shared" si="1066"/>
        <v>0.52500000000000002</v>
      </c>
      <c r="DE434" s="6">
        <v>1</v>
      </c>
      <c r="DF434" s="5">
        <v>0</v>
      </c>
      <c r="DG434" s="6">
        <v>2.5</v>
      </c>
      <c r="DH434" s="5">
        <v>0</v>
      </c>
      <c r="DI434" s="8">
        <v>0</v>
      </c>
      <c r="DJ434" s="5">
        <v>0</v>
      </c>
      <c r="DK434" s="8">
        <v>0</v>
      </c>
      <c r="DL434" s="5">
        <f t="shared" si="1034"/>
        <v>0</v>
      </c>
      <c r="DM434" s="5" t="str">
        <f t="shared" si="1054"/>
        <v>2级虚空龙</v>
      </c>
      <c r="DN434" s="5">
        <v>6</v>
      </c>
      <c r="DO434" s="5">
        <v>0</v>
      </c>
      <c r="DP434" s="5">
        <v>1</v>
      </c>
      <c r="DQ434" s="5">
        <v>1</v>
      </c>
      <c r="DR434" s="5">
        <v>2.5</v>
      </c>
      <c r="DS434" s="6">
        <v>3.5</v>
      </c>
      <c r="DT434" s="5">
        <v>-0.6</v>
      </c>
      <c r="DU434" s="5">
        <v>0.8</v>
      </c>
      <c r="DV434" s="6">
        <v>0.5</v>
      </c>
      <c r="DW434" s="5">
        <f t="shared" si="1067"/>
        <v>0.66666666666666663</v>
      </c>
      <c r="DX434" s="5">
        <v>8</v>
      </c>
      <c r="DY434" s="5">
        <f t="shared" si="1068"/>
        <v>0</v>
      </c>
      <c r="DZ434" s="5">
        <v>0</v>
      </c>
    </row>
    <row r="435" spans="1:130" x14ac:dyDescent="0.15">
      <c r="A435" s="5">
        <v>201433</v>
      </c>
      <c r="B435" s="28" t="s">
        <v>758</v>
      </c>
      <c r="C435" s="27">
        <v>20</v>
      </c>
      <c r="D435" s="27">
        <v>1</v>
      </c>
      <c r="E435" s="27">
        <v>3</v>
      </c>
      <c r="F435" s="5">
        <v>2</v>
      </c>
      <c r="G435" s="46">
        <f t="shared" si="1069"/>
        <v>-0.29050000000000004</v>
      </c>
      <c r="H435" s="27"/>
      <c r="I435" s="27" t="s">
        <v>975</v>
      </c>
      <c r="J435" s="27"/>
      <c r="K435" s="5">
        <f t="shared" ref="K435:K466" si="1096">L435*5/100 + 0.01*(BT435-1)</f>
        <v>0.16999999999999998</v>
      </c>
      <c r="L435" s="10">
        <v>3</v>
      </c>
      <c r="M435" s="5">
        <f t="shared" ref="M435:M466" si="1097">N435*5/100 + 0.01*(BT435-1)</f>
        <v>0.37</v>
      </c>
      <c r="N435" s="10">
        <v>7</v>
      </c>
      <c r="O435" s="5">
        <v>0</v>
      </c>
      <c r="P435" s="5">
        <f t="shared" si="1043"/>
        <v>0.3</v>
      </c>
      <c r="Q435" s="5">
        <v>3</v>
      </c>
      <c r="R435" s="5">
        <f t="shared" si="1070"/>
        <v>903923</v>
      </c>
      <c r="S435" s="5">
        <v>30</v>
      </c>
      <c r="T435" s="5">
        <v>10</v>
      </c>
      <c r="U435" s="5">
        <v>0.3</v>
      </c>
      <c r="V435" s="5">
        <v>0.15</v>
      </c>
      <c r="W435" s="5">
        <v>9</v>
      </c>
      <c r="X435" s="5">
        <v>-0.6</v>
      </c>
      <c r="Y435" s="5">
        <v>1.8</v>
      </c>
      <c r="Z435" s="27" t="s">
        <v>1024</v>
      </c>
      <c r="AA435" s="5">
        <v>3</v>
      </c>
      <c r="AB435" s="5">
        <v>2</v>
      </c>
      <c r="AC435" s="5">
        <v>6</v>
      </c>
      <c r="AD435" s="27" t="s">
        <v>1025</v>
      </c>
      <c r="AE435" s="10">
        <v>121</v>
      </c>
      <c r="AF435" s="5">
        <f t="shared" si="1071"/>
        <v>903939</v>
      </c>
      <c r="AG435" s="5">
        <v>60</v>
      </c>
      <c r="AH435" s="5">
        <f t="shared" si="1044"/>
        <v>0.1</v>
      </c>
      <c r="AI435" s="5">
        <v>2</v>
      </c>
      <c r="AJ435" s="5">
        <v>1</v>
      </c>
      <c r="AK435" s="5">
        <f t="shared" si="1072"/>
        <v>15</v>
      </c>
      <c r="AL435" s="5">
        <f t="shared" si="1045"/>
        <v>99</v>
      </c>
      <c r="AM435" s="5">
        <f t="shared" si="1046"/>
        <v>108</v>
      </c>
      <c r="AN435" s="8">
        <v>11</v>
      </c>
      <c r="AO435" s="5">
        <v>1</v>
      </c>
      <c r="AP435" s="28" t="s">
        <v>758</v>
      </c>
      <c r="AQ435" s="5">
        <v>0</v>
      </c>
      <c r="AR435" s="8">
        <v>0</v>
      </c>
      <c r="AS435" s="6">
        <f t="shared" si="1035"/>
        <v>0</v>
      </c>
      <c r="AT435" s="6">
        <f t="shared" si="1036"/>
        <v>9</v>
      </c>
      <c r="AU435" s="5">
        <v>0</v>
      </c>
      <c r="AV435" s="5">
        <v>0</v>
      </c>
      <c r="AW435" s="5">
        <v>0</v>
      </c>
      <c r="AX435" s="5">
        <v>1</v>
      </c>
      <c r="AY435" s="5">
        <v>0</v>
      </c>
      <c r="AZ435" s="5">
        <v>201433</v>
      </c>
      <c r="BA435" s="5">
        <f t="shared" si="1073"/>
        <v>203045</v>
      </c>
      <c r="BB435" s="5">
        <v>10</v>
      </c>
      <c r="BC435" s="5">
        <v>0</v>
      </c>
      <c r="BD435" s="5">
        <v>1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f t="shared" si="1026"/>
        <v>1</v>
      </c>
      <c r="BM435" s="5">
        <v>0</v>
      </c>
      <c r="BN435" s="5">
        <v>0</v>
      </c>
      <c r="BO435" s="5">
        <v>0</v>
      </c>
      <c r="BP435" s="5">
        <v>0</v>
      </c>
      <c r="BQ435" s="5"/>
      <c r="BR435" s="5"/>
      <c r="BS435" s="4">
        <v>0</v>
      </c>
      <c r="BT435" s="4">
        <f t="shared" si="1048"/>
        <v>3</v>
      </c>
      <c r="BU435" s="17">
        <v>23</v>
      </c>
      <c r="BV435" s="4">
        <f t="shared" ref="BV435:BY435" si="1098">BV425</f>
        <v>3</v>
      </c>
      <c r="BW435" s="4">
        <f t="shared" si="1098"/>
        <v>3</v>
      </c>
      <c r="BX435" s="4">
        <f t="shared" si="1098"/>
        <v>0.71</v>
      </c>
      <c r="BY435" s="4">
        <f t="shared" si="1098"/>
        <v>0.45000000000000007</v>
      </c>
      <c r="BZ435" s="27" t="s">
        <v>1004</v>
      </c>
      <c r="CA435" s="30" t="str">
        <f t="shared" si="1075"/>
        <v>3</v>
      </c>
      <c r="CB435" s="30" t="s">
        <v>917</v>
      </c>
      <c r="CC435" s="5">
        <v>0</v>
      </c>
      <c r="CD435" s="8">
        <v>3</v>
      </c>
      <c r="CE435" s="5">
        <f t="shared" si="1050"/>
        <v>3</v>
      </c>
      <c r="CF435" s="5">
        <v>1</v>
      </c>
      <c r="CG435" s="27" t="str">
        <f t="shared" si="1057"/>
        <v>3级虚空龙</v>
      </c>
      <c r="CH435" s="5">
        <v>0</v>
      </c>
      <c r="CI435" s="5">
        <v>0</v>
      </c>
      <c r="CJ435" s="4">
        <v>0</v>
      </c>
      <c r="CK435" s="20">
        <v>0</v>
      </c>
      <c r="CL435" s="5">
        <v>0</v>
      </c>
      <c r="CM435" s="20">
        <v>114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20">
        <v>2.5</v>
      </c>
      <c r="CW435" s="20">
        <v>3</v>
      </c>
      <c r="CX435" s="20">
        <v>2.5</v>
      </c>
      <c r="CY435" s="20">
        <v>3.5</v>
      </c>
      <c r="CZ435" s="8">
        <v>200</v>
      </c>
      <c r="DA435" s="6">
        <f t="shared" si="1065"/>
        <v>15000</v>
      </c>
      <c r="DB435" s="5">
        <v>1</v>
      </c>
      <c r="DC435" s="20">
        <f t="shared" si="1051"/>
        <v>1.6500000000000001</v>
      </c>
      <c r="DD435" s="6">
        <f t="shared" si="1066"/>
        <v>0.55000000000000004</v>
      </c>
      <c r="DE435" s="6">
        <v>1</v>
      </c>
      <c r="DF435" s="5">
        <v>0</v>
      </c>
      <c r="DG435" s="6">
        <v>2.5</v>
      </c>
      <c r="DH435" s="5">
        <v>0</v>
      </c>
      <c r="DI435" s="8">
        <v>0</v>
      </c>
      <c r="DJ435" s="5">
        <v>0</v>
      </c>
      <c r="DK435" s="8">
        <v>0</v>
      </c>
      <c r="DL435" s="5">
        <f t="shared" si="1034"/>
        <v>0</v>
      </c>
      <c r="DM435" s="5" t="str">
        <f t="shared" si="1054"/>
        <v>3级虚空龙</v>
      </c>
      <c r="DN435" s="5">
        <v>6</v>
      </c>
      <c r="DO435" s="5">
        <v>0</v>
      </c>
      <c r="DP435" s="5">
        <v>1</v>
      </c>
      <c r="DQ435" s="5">
        <v>1</v>
      </c>
      <c r="DR435" s="5">
        <v>2.5</v>
      </c>
      <c r="DS435" s="6">
        <v>3.5</v>
      </c>
      <c r="DT435" s="5">
        <v>-0.6</v>
      </c>
      <c r="DU435" s="5">
        <v>0.8</v>
      </c>
      <c r="DV435" s="6">
        <v>0.5</v>
      </c>
      <c r="DW435" s="5">
        <f t="shared" si="1067"/>
        <v>0.66666666666666663</v>
      </c>
      <c r="DX435" s="5">
        <v>8</v>
      </c>
      <c r="DY435" s="5">
        <f t="shared" si="1068"/>
        <v>0</v>
      </c>
      <c r="DZ435" s="5">
        <v>0</v>
      </c>
    </row>
    <row r="436" spans="1:130" x14ac:dyDescent="0.15">
      <c r="A436" s="5">
        <v>201434</v>
      </c>
      <c r="B436" s="28" t="s">
        <v>759</v>
      </c>
      <c r="C436" s="27">
        <v>20</v>
      </c>
      <c r="D436" s="27">
        <v>1</v>
      </c>
      <c r="E436" s="27">
        <v>3</v>
      </c>
      <c r="F436" s="5">
        <v>2</v>
      </c>
      <c r="G436" s="46">
        <f t="shared" si="1069"/>
        <v>-0.29050000000000004</v>
      </c>
      <c r="H436" s="27"/>
      <c r="I436" s="27" t="s">
        <v>975</v>
      </c>
      <c r="J436" s="27"/>
      <c r="K436" s="5">
        <f t="shared" si="1096"/>
        <v>0.18</v>
      </c>
      <c r="L436" s="10">
        <v>3</v>
      </c>
      <c r="M436" s="5">
        <f t="shared" si="1097"/>
        <v>0.38</v>
      </c>
      <c r="N436" s="10">
        <v>7</v>
      </c>
      <c r="O436" s="5">
        <v>0</v>
      </c>
      <c r="P436" s="5">
        <f t="shared" si="1043"/>
        <v>0.3</v>
      </c>
      <c r="Q436" s="5">
        <v>3</v>
      </c>
      <c r="R436" s="5">
        <f t="shared" si="1070"/>
        <v>903923</v>
      </c>
      <c r="S436" s="5">
        <v>30</v>
      </c>
      <c r="T436" s="5">
        <v>10</v>
      </c>
      <c r="U436" s="5">
        <v>0.3</v>
      </c>
      <c r="V436" s="5">
        <v>0.15</v>
      </c>
      <c r="W436" s="5">
        <v>9</v>
      </c>
      <c r="X436" s="5">
        <v>-0.6</v>
      </c>
      <c r="Y436" s="5">
        <v>1.8</v>
      </c>
      <c r="Z436" s="27" t="s">
        <v>1024</v>
      </c>
      <c r="AA436" s="5">
        <v>3</v>
      </c>
      <c r="AB436" s="5">
        <v>2</v>
      </c>
      <c r="AC436" s="5">
        <v>6</v>
      </c>
      <c r="AD436" s="27" t="s">
        <v>1025</v>
      </c>
      <c r="AE436" s="10">
        <v>121</v>
      </c>
      <c r="AF436" s="5">
        <f t="shared" si="1071"/>
        <v>903939</v>
      </c>
      <c r="AG436" s="5">
        <v>60</v>
      </c>
      <c r="AH436" s="5">
        <f t="shared" si="1044"/>
        <v>0.1</v>
      </c>
      <c r="AI436" s="5">
        <v>2</v>
      </c>
      <c r="AJ436" s="5">
        <v>1</v>
      </c>
      <c r="AK436" s="5">
        <f t="shared" si="1072"/>
        <v>20</v>
      </c>
      <c r="AL436" s="5">
        <f t="shared" si="1045"/>
        <v>132</v>
      </c>
      <c r="AM436" s="5">
        <f t="shared" si="1046"/>
        <v>144</v>
      </c>
      <c r="AN436" s="8">
        <v>11</v>
      </c>
      <c r="AO436" s="5">
        <v>1</v>
      </c>
      <c r="AP436" s="28" t="s">
        <v>759</v>
      </c>
      <c r="AQ436" s="5">
        <v>0</v>
      </c>
      <c r="AR436" s="8">
        <v>0</v>
      </c>
      <c r="AS436" s="6">
        <f t="shared" si="1035"/>
        <v>0</v>
      </c>
      <c r="AT436" s="6">
        <f t="shared" si="1036"/>
        <v>12</v>
      </c>
      <c r="AU436" s="5">
        <v>0</v>
      </c>
      <c r="AV436" s="5">
        <v>0</v>
      </c>
      <c r="AW436" s="5">
        <v>0</v>
      </c>
      <c r="AX436" s="5">
        <v>1</v>
      </c>
      <c r="AY436" s="5">
        <v>0</v>
      </c>
      <c r="AZ436" s="5">
        <v>201434</v>
      </c>
      <c r="BA436" s="5">
        <f t="shared" si="1073"/>
        <v>203045</v>
      </c>
      <c r="BB436" s="5">
        <v>10</v>
      </c>
      <c r="BC436" s="5">
        <v>0</v>
      </c>
      <c r="BD436" s="5">
        <v>1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f t="shared" si="1026"/>
        <v>1</v>
      </c>
      <c r="BM436" s="5">
        <v>0</v>
      </c>
      <c r="BN436" s="5">
        <v>0</v>
      </c>
      <c r="BO436" s="5">
        <v>0</v>
      </c>
      <c r="BP436" s="5">
        <v>0</v>
      </c>
      <c r="BQ436" s="5"/>
      <c r="BR436" s="5"/>
      <c r="BS436" s="4">
        <v>0</v>
      </c>
      <c r="BT436" s="4">
        <f t="shared" si="1048"/>
        <v>4</v>
      </c>
      <c r="BU436" s="17">
        <v>24</v>
      </c>
      <c r="BV436" s="4">
        <f t="shared" ref="BV436:BY436" si="1099">BV426</f>
        <v>4</v>
      </c>
      <c r="BW436" s="4">
        <f t="shared" si="1099"/>
        <v>4</v>
      </c>
      <c r="BX436" s="4">
        <f t="shared" si="1099"/>
        <v>0.6399999999999999</v>
      </c>
      <c r="BY436" s="4">
        <f t="shared" si="1099"/>
        <v>0.4</v>
      </c>
      <c r="BZ436" s="27" t="s">
        <v>1004</v>
      </c>
      <c r="CA436" s="30" t="str">
        <f t="shared" si="1075"/>
        <v>4</v>
      </c>
      <c r="CB436" s="30" t="s">
        <v>917</v>
      </c>
      <c r="CC436" s="5">
        <v>0</v>
      </c>
      <c r="CD436" s="8">
        <v>3</v>
      </c>
      <c r="CE436" s="5">
        <f t="shared" si="1050"/>
        <v>4</v>
      </c>
      <c r="CF436" s="5">
        <v>1</v>
      </c>
      <c r="CG436" s="27" t="str">
        <f t="shared" si="1057"/>
        <v>4级虚空龙</v>
      </c>
      <c r="CH436" s="5">
        <v>0</v>
      </c>
      <c r="CI436" s="5">
        <v>0</v>
      </c>
      <c r="CJ436" s="4">
        <v>0</v>
      </c>
      <c r="CK436" s="20">
        <v>0</v>
      </c>
      <c r="CL436" s="5">
        <v>0</v>
      </c>
      <c r="CM436" s="20">
        <v>114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20">
        <v>2.5</v>
      </c>
      <c r="CW436" s="20">
        <v>3</v>
      </c>
      <c r="CX436" s="20">
        <v>2.5</v>
      </c>
      <c r="CY436" s="20">
        <v>3.5</v>
      </c>
      <c r="CZ436" s="8">
        <v>200</v>
      </c>
      <c r="DA436" s="6">
        <f t="shared" si="1065"/>
        <v>20000</v>
      </c>
      <c r="DB436" s="5">
        <v>1</v>
      </c>
      <c r="DC436" s="20">
        <f t="shared" si="1051"/>
        <v>1.7249999999999999</v>
      </c>
      <c r="DD436" s="6">
        <f t="shared" si="1066"/>
        <v>0.57499999999999996</v>
      </c>
      <c r="DE436" s="6">
        <v>1</v>
      </c>
      <c r="DF436" s="5">
        <v>0</v>
      </c>
      <c r="DG436" s="6">
        <v>2.5</v>
      </c>
      <c r="DH436" s="5">
        <v>0</v>
      </c>
      <c r="DI436" s="8">
        <v>0</v>
      </c>
      <c r="DJ436" s="5">
        <v>0</v>
      </c>
      <c r="DK436" s="8">
        <v>0</v>
      </c>
      <c r="DL436" s="5">
        <f t="shared" si="1034"/>
        <v>0</v>
      </c>
      <c r="DM436" s="5" t="str">
        <f t="shared" si="1054"/>
        <v>4级虚空龙</v>
      </c>
      <c r="DN436" s="5">
        <v>6</v>
      </c>
      <c r="DO436" s="5">
        <v>0</v>
      </c>
      <c r="DP436" s="5">
        <v>1</v>
      </c>
      <c r="DQ436" s="5">
        <v>1</v>
      </c>
      <c r="DR436" s="5">
        <v>2.5</v>
      </c>
      <c r="DS436" s="6">
        <v>3.5</v>
      </c>
      <c r="DT436" s="5">
        <v>-0.6</v>
      </c>
      <c r="DU436" s="5">
        <v>0.8</v>
      </c>
      <c r="DV436" s="6">
        <v>0.5</v>
      </c>
      <c r="DW436" s="5">
        <f t="shared" si="1067"/>
        <v>0.66666666666666663</v>
      </c>
      <c r="DX436" s="5">
        <v>8</v>
      </c>
      <c r="DY436" s="5">
        <f t="shared" si="1068"/>
        <v>0</v>
      </c>
      <c r="DZ436" s="5">
        <v>0</v>
      </c>
    </row>
    <row r="437" spans="1:130" x14ac:dyDescent="0.15">
      <c r="A437" s="5">
        <v>201435</v>
      </c>
      <c r="B437" s="28" t="s">
        <v>760</v>
      </c>
      <c r="C437" s="27">
        <v>20</v>
      </c>
      <c r="D437" s="27">
        <v>1</v>
      </c>
      <c r="E437" s="27">
        <v>3</v>
      </c>
      <c r="F437" s="5">
        <v>2</v>
      </c>
      <c r="G437" s="46">
        <f t="shared" si="1069"/>
        <v>-0.29050000000000004</v>
      </c>
      <c r="H437" s="27"/>
      <c r="I437" s="27" t="s">
        <v>975</v>
      </c>
      <c r="J437" s="27"/>
      <c r="K437" s="5">
        <f t="shared" si="1096"/>
        <v>0.19</v>
      </c>
      <c r="L437" s="10">
        <v>3</v>
      </c>
      <c r="M437" s="5">
        <f t="shared" si="1097"/>
        <v>0.38999999999999996</v>
      </c>
      <c r="N437" s="10">
        <v>7</v>
      </c>
      <c r="O437" s="5">
        <v>0</v>
      </c>
      <c r="P437" s="5">
        <f t="shared" si="1043"/>
        <v>0.3</v>
      </c>
      <c r="Q437" s="5">
        <v>3</v>
      </c>
      <c r="R437" s="5">
        <f t="shared" si="1070"/>
        <v>903923</v>
      </c>
      <c r="S437" s="5">
        <v>30</v>
      </c>
      <c r="T437" s="5">
        <v>10</v>
      </c>
      <c r="U437" s="5">
        <v>0.3</v>
      </c>
      <c r="V437" s="5">
        <v>0.15</v>
      </c>
      <c r="W437" s="5">
        <v>9</v>
      </c>
      <c r="X437" s="5">
        <v>-0.6</v>
      </c>
      <c r="Y437" s="5">
        <v>1.8</v>
      </c>
      <c r="Z437" s="27" t="s">
        <v>1024</v>
      </c>
      <c r="AA437" s="5">
        <v>3</v>
      </c>
      <c r="AB437" s="5">
        <v>2</v>
      </c>
      <c r="AC437" s="5">
        <v>6</v>
      </c>
      <c r="AD437" s="27" t="s">
        <v>1025</v>
      </c>
      <c r="AE437" s="10">
        <v>121</v>
      </c>
      <c r="AF437" s="5">
        <f t="shared" si="1071"/>
        <v>903939</v>
      </c>
      <c r="AG437" s="5">
        <v>60</v>
      </c>
      <c r="AH437" s="5">
        <f t="shared" si="1044"/>
        <v>0.1</v>
      </c>
      <c r="AI437" s="5">
        <v>2</v>
      </c>
      <c r="AJ437" s="5">
        <v>1</v>
      </c>
      <c r="AK437" s="5">
        <f t="shared" si="1072"/>
        <v>25</v>
      </c>
      <c r="AL437" s="5">
        <f t="shared" si="1045"/>
        <v>165</v>
      </c>
      <c r="AM437" s="5">
        <f t="shared" si="1046"/>
        <v>180</v>
      </c>
      <c r="AN437" s="8">
        <v>11</v>
      </c>
      <c r="AO437" s="5">
        <v>1</v>
      </c>
      <c r="AP437" s="28" t="s">
        <v>760</v>
      </c>
      <c r="AQ437" s="5">
        <v>0</v>
      </c>
      <c r="AR437" s="8">
        <v>0</v>
      </c>
      <c r="AS437" s="6">
        <f t="shared" si="1035"/>
        <v>0</v>
      </c>
      <c r="AT437" s="6">
        <f t="shared" si="1036"/>
        <v>15</v>
      </c>
      <c r="AU437" s="5">
        <v>0</v>
      </c>
      <c r="AV437" s="5">
        <v>0</v>
      </c>
      <c r="AW437" s="5">
        <v>0</v>
      </c>
      <c r="AX437" s="5">
        <v>1</v>
      </c>
      <c r="AY437" s="5">
        <v>0</v>
      </c>
      <c r="AZ437" s="5">
        <v>201435</v>
      </c>
      <c r="BA437" s="5">
        <f t="shared" si="1073"/>
        <v>203045</v>
      </c>
      <c r="BB437" s="5">
        <v>10</v>
      </c>
      <c r="BC437" s="5">
        <v>0</v>
      </c>
      <c r="BD437" s="5">
        <v>1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f t="shared" si="1026"/>
        <v>1</v>
      </c>
      <c r="BM437" s="5">
        <v>0</v>
      </c>
      <c r="BN437" s="5">
        <v>0</v>
      </c>
      <c r="BO437" s="5">
        <v>0</v>
      </c>
      <c r="BP437" s="5">
        <v>0</v>
      </c>
      <c r="BQ437" s="5"/>
      <c r="BR437" s="5"/>
      <c r="BS437" s="4">
        <v>0</v>
      </c>
      <c r="BT437" s="4">
        <f t="shared" si="1048"/>
        <v>5</v>
      </c>
      <c r="BU437" s="17">
        <v>25</v>
      </c>
      <c r="BV437" s="4">
        <f t="shared" ref="BV437:BY437" si="1100">BV427</f>
        <v>5</v>
      </c>
      <c r="BW437" s="4">
        <f t="shared" si="1100"/>
        <v>5</v>
      </c>
      <c r="BX437" s="4">
        <f t="shared" si="1100"/>
        <v>0.56999999999999995</v>
      </c>
      <c r="BY437" s="4">
        <f t="shared" si="1100"/>
        <v>0.35000000000000003</v>
      </c>
      <c r="BZ437" s="27" t="s">
        <v>1004</v>
      </c>
      <c r="CA437" s="30" t="str">
        <f t="shared" si="1075"/>
        <v>5</v>
      </c>
      <c r="CB437" s="30" t="s">
        <v>917</v>
      </c>
      <c r="CC437" s="5">
        <v>0</v>
      </c>
      <c r="CD437" s="8">
        <v>3</v>
      </c>
      <c r="CE437" s="5">
        <f t="shared" si="1050"/>
        <v>5</v>
      </c>
      <c r="CF437" s="5">
        <v>1</v>
      </c>
      <c r="CG437" s="27" t="str">
        <f t="shared" si="1057"/>
        <v>5级虚空龙</v>
      </c>
      <c r="CH437" s="5">
        <v>0</v>
      </c>
      <c r="CI437" s="5">
        <v>0</v>
      </c>
      <c r="CJ437" s="4">
        <v>0</v>
      </c>
      <c r="CK437" s="20">
        <v>0</v>
      </c>
      <c r="CL437" s="5">
        <v>0</v>
      </c>
      <c r="CM437" s="20">
        <v>114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20">
        <v>2.5</v>
      </c>
      <c r="CW437" s="20">
        <v>3</v>
      </c>
      <c r="CX437" s="20">
        <v>2.5</v>
      </c>
      <c r="CY437" s="20">
        <v>3.5</v>
      </c>
      <c r="CZ437" s="8">
        <v>200</v>
      </c>
      <c r="DA437" s="6">
        <f t="shared" si="1065"/>
        <v>25000</v>
      </c>
      <c r="DB437" s="5">
        <v>1</v>
      </c>
      <c r="DC437" s="20">
        <f t="shared" si="1051"/>
        <v>1.7999999999999998</v>
      </c>
      <c r="DD437" s="6">
        <f t="shared" si="1066"/>
        <v>0.6</v>
      </c>
      <c r="DE437" s="6">
        <v>1</v>
      </c>
      <c r="DF437" s="5">
        <v>0</v>
      </c>
      <c r="DG437" s="6">
        <v>2.5</v>
      </c>
      <c r="DH437" s="5">
        <v>0</v>
      </c>
      <c r="DI437" s="8">
        <v>0</v>
      </c>
      <c r="DJ437" s="5">
        <v>0</v>
      </c>
      <c r="DK437" s="8">
        <v>0</v>
      </c>
      <c r="DL437" s="5">
        <f t="shared" si="1034"/>
        <v>0</v>
      </c>
      <c r="DM437" s="5" t="str">
        <f t="shared" si="1054"/>
        <v>5级虚空龙</v>
      </c>
      <c r="DN437" s="5">
        <v>6</v>
      </c>
      <c r="DO437" s="5">
        <v>0</v>
      </c>
      <c r="DP437" s="5">
        <v>1</v>
      </c>
      <c r="DQ437" s="5">
        <v>1</v>
      </c>
      <c r="DR437" s="5">
        <v>2.5</v>
      </c>
      <c r="DS437" s="6">
        <v>3.5</v>
      </c>
      <c r="DT437" s="5">
        <v>-0.6</v>
      </c>
      <c r="DU437" s="5">
        <v>0.8</v>
      </c>
      <c r="DV437" s="6">
        <v>0.5</v>
      </c>
      <c r="DW437" s="5">
        <f t="shared" si="1067"/>
        <v>0.66666666666666663</v>
      </c>
      <c r="DX437" s="5">
        <v>8</v>
      </c>
      <c r="DY437" s="5">
        <f t="shared" si="1068"/>
        <v>0</v>
      </c>
      <c r="DZ437" s="5">
        <v>0</v>
      </c>
    </row>
    <row r="438" spans="1:130" x14ac:dyDescent="0.15">
      <c r="A438" s="5">
        <v>201436</v>
      </c>
      <c r="B438" s="28" t="s">
        <v>761</v>
      </c>
      <c r="C438" s="27">
        <v>20</v>
      </c>
      <c r="D438" s="27">
        <v>1</v>
      </c>
      <c r="E438" s="27">
        <v>3</v>
      </c>
      <c r="F438" s="5">
        <v>2</v>
      </c>
      <c r="G438" s="46">
        <f t="shared" si="1069"/>
        <v>-0.29050000000000004</v>
      </c>
      <c r="H438" s="27"/>
      <c r="I438" s="27" t="s">
        <v>975</v>
      </c>
      <c r="J438" s="27"/>
      <c r="K438" s="5">
        <f t="shared" si="1096"/>
        <v>0.2</v>
      </c>
      <c r="L438" s="10">
        <v>3</v>
      </c>
      <c r="M438" s="5">
        <f t="shared" si="1097"/>
        <v>0.39999999999999997</v>
      </c>
      <c r="N438" s="10">
        <v>7</v>
      </c>
      <c r="O438" s="5">
        <v>0</v>
      </c>
      <c r="P438" s="5">
        <f t="shared" si="1043"/>
        <v>0.3</v>
      </c>
      <c r="Q438" s="5">
        <v>3</v>
      </c>
      <c r="R438" s="5">
        <f t="shared" si="1070"/>
        <v>903923</v>
      </c>
      <c r="S438" s="5">
        <v>30</v>
      </c>
      <c r="T438" s="5">
        <v>10</v>
      </c>
      <c r="U438" s="5">
        <v>0.3</v>
      </c>
      <c r="V438" s="5">
        <v>0.15</v>
      </c>
      <c r="W438" s="5">
        <v>9</v>
      </c>
      <c r="X438" s="5">
        <v>-0.6</v>
      </c>
      <c r="Y438" s="5">
        <v>1.8</v>
      </c>
      <c r="Z438" s="27" t="s">
        <v>1024</v>
      </c>
      <c r="AA438" s="5">
        <v>3</v>
      </c>
      <c r="AB438" s="5">
        <v>2</v>
      </c>
      <c r="AC438" s="5">
        <v>6</v>
      </c>
      <c r="AD438" s="27" t="s">
        <v>1025</v>
      </c>
      <c r="AE438" s="10">
        <v>121</v>
      </c>
      <c r="AF438" s="5">
        <f t="shared" si="1071"/>
        <v>903939</v>
      </c>
      <c r="AG438" s="5">
        <v>60</v>
      </c>
      <c r="AH438" s="5">
        <f t="shared" si="1044"/>
        <v>0.1</v>
      </c>
      <c r="AI438" s="5">
        <v>2</v>
      </c>
      <c r="AJ438" s="5">
        <v>1</v>
      </c>
      <c r="AK438" s="5">
        <f t="shared" si="1072"/>
        <v>30</v>
      </c>
      <c r="AL438" s="5">
        <f t="shared" si="1045"/>
        <v>198</v>
      </c>
      <c r="AM438" s="5">
        <f t="shared" si="1046"/>
        <v>216</v>
      </c>
      <c r="AN438" s="8">
        <v>11</v>
      </c>
      <c r="AO438" s="5">
        <v>1</v>
      </c>
      <c r="AP438" s="28" t="s">
        <v>761</v>
      </c>
      <c r="AQ438" s="5">
        <v>0</v>
      </c>
      <c r="AR438" s="8">
        <v>0</v>
      </c>
      <c r="AS438" s="6">
        <f t="shared" si="1035"/>
        <v>0</v>
      </c>
      <c r="AT438" s="6">
        <f t="shared" si="1036"/>
        <v>18</v>
      </c>
      <c r="AU438" s="5">
        <v>0</v>
      </c>
      <c r="AV438" s="5">
        <v>0</v>
      </c>
      <c r="AW438" s="5">
        <v>0</v>
      </c>
      <c r="AX438" s="5">
        <v>1</v>
      </c>
      <c r="AY438" s="5">
        <v>0</v>
      </c>
      <c r="AZ438" s="5">
        <v>201436</v>
      </c>
      <c r="BA438" s="5">
        <f t="shared" si="1073"/>
        <v>203045</v>
      </c>
      <c r="BB438" s="5">
        <v>10</v>
      </c>
      <c r="BC438" s="5">
        <v>0</v>
      </c>
      <c r="BD438" s="5">
        <v>1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f t="shared" si="1026"/>
        <v>1</v>
      </c>
      <c r="BM438" s="5">
        <v>0</v>
      </c>
      <c r="BN438" s="5">
        <v>0</v>
      </c>
      <c r="BO438" s="5">
        <v>0</v>
      </c>
      <c r="BP438" s="5">
        <v>0</v>
      </c>
      <c r="BQ438" s="5"/>
      <c r="BR438" s="5"/>
      <c r="BS438" s="4">
        <v>0</v>
      </c>
      <c r="BT438" s="4">
        <f t="shared" si="1048"/>
        <v>6</v>
      </c>
      <c r="BU438" s="17">
        <v>26</v>
      </c>
      <c r="BV438" s="4">
        <f t="shared" ref="BV438:BY438" si="1101">BV428</f>
        <v>6</v>
      </c>
      <c r="BW438" s="4">
        <f t="shared" si="1101"/>
        <v>6</v>
      </c>
      <c r="BX438" s="4">
        <f t="shared" si="1101"/>
        <v>0.49999999999999994</v>
      </c>
      <c r="BY438" s="4">
        <f t="shared" si="1101"/>
        <v>0.30000000000000004</v>
      </c>
      <c r="BZ438" s="27" t="s">
        <v>1004</v>
      </c>
      <c r="CA438" s="30" t="str">
        <f t="shared" si="1075"/>
        <v>6</v>
      </c>
      <c r="CB438" s="30" t="s">
        <v>917</v>
      </c>
      <c r="CC438" s="5">
        <v>0</v>
      </c>
      <c r="CD438" s="8">
        <v>3</v>
      </c>
      <c r="CE438" s="5">
        <f t="shared" si="1050"/>
        <v>6</v>
      </c>
      <c r="CF438" s="5">
        <v>1</v>
      </c>
      <c r="CG438" s="27" t="str">
        <f t="shared" si="1057"/>
        <v>6级虚空龙</v>
      </c>
      <c r="CH438" s="5">
        <v>0</v>
      </c>
      <c r="CI438" s="5">
        <v>0</v>
      </c>
      <c r="CJ438" s="4">
        <v>0</v>
      </c>
      <c r="CK438" s="20">
        <v>0</v>
      </c>
      <c r="CL438" s="5">
        <v>0</v>
      </c>
      <c r="CM438" s="20">
        <v>114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20">
        <v>2.5</v>
      </c>
      <c r="CW438" s="20">
        <v>3</v>
      </c>
      <c r="CX438" s="20">
        <v>2.5</v>
      </c>
      <c r="CY438" s="20">
        <v>3.5</v>
      </c>
      <c r="CZ438" s="8">
        <v>200</v>
      </c>
      <c r="DA438" s="6">
        <f t="shared" si="1065"/>
        <v>30000</v>
      </c>
      <c r="DB438" s="5">
        <v>1</v>
      </c>
      <c r="DC438" s="20">
        <f t="shared" si="1051"/>
        <v>1.875</v>
      </c>
      <c r="DD438" s="6">
        <f t="shared" si="1066"/>
        <v>0.625</v>
      </c>
      <c r="DE438" s="6">
        <v>1</v>
      </c>
      <c r="DF438" s="5">
        <v>0</v>
      </c>
      <c r="DG438" s="6">
        <v>2.5</v>
      </c>
      <c r="DH438" s="5">
        <v>0</v>
      </c>
      <c r="DI438" s="8">
        <v>0</v>
      </c>
      <c r="DJ438" s="5">
        <v>0</v>
      </c>
      <c r="DK438" s="8">
        <v>0</v>
      </c>
      <c r="DL438" s="5">
        <f t="shared" si="1034"/>
        <v>0</v>
      </c>
      <c r="DM438" s="5" t="str">
        <f t="shared" si="1054"/>
        <v>6级虚空龙</v>
      </c>
      <c r="DN438" s="5">
        <v>6</v>
      </c>
      <c r="DO438" s="5">
        <v>0</v>
      </c>
      <c r="DP438" s="5">
        <v>1</v>
      </c>
      <c r="DQ438" s="5">
        <v>1</v>
      </c>
      <c r="DR438" s="5">
        <v>2.5</v>
      </c>
      <c r="DS438" s="6">
        <v>3.5</v>
      </c>
      <c r="DT438" s="5">
        <v>-0.6</v>
      </c>
      <c r="DU438" s="5">
        <v>0.8</v>
      </c>
      <c r="DV438" s="6">
        <v>0.5</v>
      </c>
      <c r="DW438" s="5">
        <f t="shared" si="1067"/>
        <v>0.66666666666666663</v>
      </c>
      <c r="DX438" s="5">
        <v>8</v>
      </c>
      <c r="DY438" s="5">
        <f t="shared" si="1068"/>
        <v>0</v>
      </c>
      <c r="DZ438" s="5">
        <v>0</v>
      </c>
    </row>
    <row r="439" spans="1:130" x14ac:dyDescent="0.15">
      <c r="A439" s="5">
        <v>201437</v>
      </c>
      <c r="B439" s="28" t="s">
        <v>762</v>
      </c>
      <c r="C439" s="27">
        <v>20</v>
      </c>
      <c r="D439" s="27">
        <v>1</v>
      </c>
      <c r="E439" s="27">
        <v>3</v>
      </c>
      <c r="F439" s="5">
        <v>2</v>
      </c>
      <c r="G439" s="46">
        <f t="shared" si="1069"/>
        <v>-0.29050000000000004</v>
      </c>
      <c r="H439" s="27"/>
      <c r="I439" s="27" t="s">
        <v>975</v>
      </c>
      <c r="J439" s="27"/>
      <c r="K439" s="5">
        <f t="shared" si="1096"/>
        <v>0.21</v>
      </c>
      <c r="L439" s="10">
        <v>3</v>
      </c>
      <c r="M439" s="5">
        <f t="shared" si="1097"/>
        <v>0.41</v>
      </c>
      <c r="N439" s="10">
        <v>7</v>
      </c>
      <c r="O439" s="5">
        <v>0</v>
      </c>
      <c r="P439" s="5">
        <f t="shared" si="1043"/>
        <v>0.3</v>
      </c>
      <c r="Q439" s="5">
        <v>3</v>
      </c>
      <c r="R439" s="5">
        <f t="shared" si="1070"/>
        <v>903923</v>
      </c>
      <c r="S439" s="5">
        <v>30</v>
      </c>
      <c r="T439" s="5">
        <v>10</v>
      </c>
      <c r="U439" s="5">
        <v>0.3</v>
      </c>
      <c r="V439" s="5">
        <v>0.15</v>
      </c>
      <c r="W439" s="5">
        <v>9</v>
      </c>
      <c r="X439" s="5">
        <v>-0.6</v>
      </c>
      <c r="Y439" s="5">
        <v>1.8</v>
      </c>
      <c r="Z439" s="27" t="s">
        <v>1024</v>
      </c>
      <c r="AA439" s="5">
        <v>3</v>
      </c>
      <c r="AB439" s="5">
        <v>2</v>
      </c>
      <c r="AC439" s="5">
        <v>6</v>
      </c>
      <c r="AD439" s="27" t="s">
        <v>1025</v>
      </c>
      <c r="AE439" s="10">
        <v>121</v>
      </c>
      <c r="AF439" s="5">
        <f t="shared" si="1071"/>
        <v>903939</v>
      </c>
      <c r="AG439" s="5">
        <v>60</v>
      </c>
      <c r="AH439" s="5">
        <f t="shared" si="1044"/>
        <v>0.1</v>
      </c>
      <c r="AI439" s="5">
        <v>2</v>
      </c>
      <c r="AJ439" s="5">
        <v>1</v>
      </c>
      <c r="AK439" s="5">
        <f t="shared" si="1072"/>
        <v>35</v>
      </c>
      <c r="AL439" s="5">
        <f t="shared" si="1045"/>
        <v>231</v>
      </c>
      <c r="AM439" s="5">
        <f t="shared" si="1046"/>
        <v>252</v>
      </c>
      <c r="AN439" s="8">
        <v>11</v>
      </c>
      <c r="AO439" s="5">
        <v>1</v>
      </c>
      <c r="AP439" s="28" t="s">
        <v>762</v>
      </c>
      <c r="AQ439" s="5">
        <v>0</v>
      </c>
      <c r="AR439" s="8">
        <v>0</v>
      </c>
      <c r="AS439" s="6">
        <f t="shared" si="1035"/>
        <v>0</v>
      </c>
      <c r="AT439" s="6">
        <f t="shared" si="1036"/>
        <v>21</v>
      </c>
      <c r="AU439" s="5">
        <v>0</v>
      </c>
      <c r="AV439" s="5">
        <v>0</v>
      </c>
      <c r="AW439" s="5">
        <v>0</v>
      </c>
      <c r="AX439" s="5">
        <v>1</v>
      </c>
      <c r="AY439" s="5">
        <v>0</v>
      </c>
      <c r="AZ439" s="5">
        <v>201437</v>
      </c>
      <c r="BA439" s="5">
        <f t="shared" si="1073"/>
        <v>203045</v>
      </c>
      <c r="BB439" s="5">
        <v>10</v>
      </c>
      <c r="BC439" s="5">
        <v>0</v>
      </c>
      <c r="BD439" s="5">
        <v>1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f t="shared" si="1026"/>
        <v>1</v>
      </c>
      <c r="BM439" s="5">
        <v>0</v>
      </c>
      <c r="BN439" s="5">
        <v>0</v>
      </c>
      <c r="BO439" s="5">
        <v>0</v>
      </c>
      <c r="BP439" s="5">
        <v>0</v>
      </c>
      <c r="BQ439" s="5"/>
      <c r="BR439" s="5"/>
      <c r="BS439" s="4">
        <v>0</v>
      </c>
      <c r="BT439" s="4">
        <f t="shared" si="1048"/>
        <v>7</v>
      </c>
      <c r="BU439" s="17">
        <v>27</v>
      </c>
      <c r="BV439" s="4">
        <f t="shared" ref="BV439:BY439" si="1102">BV429</f>
        <v>7</v>
      </c>
      <c r="BW439" s="4">
        <f t="shared" si="1102"/>
        <v>7</v>
      </c>
      <c r="BX439" s="4">
        <f t="shared" si="1102"/>
        <v>0.42999999999999994</v>
      </c>
      <c r="BY439" s="4">
        <f t="shared" si="1102"/>
        <v>0.25</v>
      </c>
      <c r="BZ439" s="27" t="s">
        <v>1004</v>
      </c>
      <c r="CA439" s="30" t="str">
        <f t="shared" si="1075"/>
        <v>7</v>
      </c>
      <c r="CB439" s="30" t="s">
        <v>917</v>
      </c>
      <c r="CC439" s="5">
        <v>0</v>
      </c>
      <c r="CD439" s="8">
        <v>3</v>
      </c>
      <c r="CE439" s="5">
        <f t="shared" si="1050"/>
        <v>7</v>
      </c>
      <c r="CF439" s="5">
        <v>1</v>
      </c>
      <c r="CG439" s="27" t="str">
        <f t="shared" si="1057"/>
        <v>7级虚空龙</v>
      </c>
      <c r="CH439" s="5">
        <v>0</v>
      </c>
      <c r="CI439" s="5">
        <v>0</v>
      </c>
      <c r="CJ439" s="4">
        <v>0</v>
      </c>
      <c r="CK439" s="20">
        <v>0</v>
      </c>
      <c r="CL439" s="5">
        <v>0</v>
      </c>
      <c r="CM439" s="20">
        <v>114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20">
        <v>2.5</v>
      </c>
      <c r="CW439" s="20">
        <v>3</v>
      </c>
      <c r="CX439" s="20">
        <v>2.5</v>
      </c>
      <c r="CY439" s="20">
        <v>3.5</v>
      </c>
      <c r="CZ439" s="8">
        <v>200</v>
      </c>
      <c r="DA439" s="6">
        <f t="shared" si="1065"/>
        <v>35000</v>
      </c>
      <c r="DB439" s="5">
        <v>1</v>
      </c>
      <c r="DC439" s="20">
        <f t="shared" si="1051"/>
        <v>1.9500000000000002</v>
      </c>
      <c r="DD439" s="6">
        <f t="shared" si="1066"/>
        <v>0.65</v>
      </c>
      <c r="DE439" s="6">
        <v>1</v>
      </c>
      <c r="DF439" s="5">
        <v>0</v>
      </c>
      <c r="DG439" s="6">
        <v>2.5</v>
      </c>
      <c r="DH439" s="5">
        <v>0</v>
      </c>
      <c r="DI439" s="8">
        <v>0</v>
      </c>
      <c r="DJ439" s="5">
        <v>0</v>
      </c>
      <c r="DK439" s="8">
        <v>0</v>
      </c>
      <c r="DL439" s="5">
        <f t="shared" si="1034"/>
        <v>0</v>
      </c>
      <c r="DM439" s="5" t="str">
        <f t="shared" si="1054"/>
        <v>7级虚空龙</v>
      </c>
      <c r="DN439" s="5">
        <v>6</v>
      </c>
      <c r="DO439" s="5">
        <v>0</v>
      </c>
      <c r="DP439" s="5">
        <v>1</v>
      </c>
      <c r="DQ439" s="5">
        <v>1</v>
      </c>
      <c r="DR439" s="5">
        <v>2.5</v>
      </c>
      <c r="DS439" s="6">
        <v>3.5</v>
      </c>
      <c r="DT439" s="5">
        <v>-0.6</v>
      </c>
      <c r="DU439" s="5">
        <v>0.8</v>
      </c>
      <c r="DV439" s="6">
        <v>0.5</v>
      </c>
      <c r="DW439" s="5">
        <f t="shared" si="1067"/>
        <v>0.66666666666666663</v>
      </c>
      <c r="DX439" s="5">
        <v>8</v>
      </c>
      <c r="DY439" s="5">
        <f t="shared" si="1068"/>
        <v>0</v>
      </c>
      <c r="DZ439" s="5">
        <v>0</v>
      </c>
    </row>
    <row r="440" spans="1:130" x14ac:dyDescent="0.15">
      <c r="A440" s="5">
        <v>201438</v>
      </c>
      <c r="B440" s="28" t="s">
        <v>763</v>
      </c>
      <c r="C440" s="27">
        <v>20</v>
      </c>
      <c r="D440" s="27">
        <v>1</v>
      </c>
      <c r="E440" s="27">
        <v>3</v>
      </c>
      <c r="F440" s="5">
        <v>2</v>
      </c>
      <c r="G440" s="46">
        <f t="shared" si="1069"/>
        <v>-0.29050000000000004</v>
      </c>
      <c r="H440" s="27"/>
      <c r="I440" s="27" t="s">
        <v>975</v>
      </c>
      <c r="J440" s="27"/>
      <c r="K440" s="5">
        <f t="shared" si="1096"/>
        <v>0.22</v>
      </c>
      <c r="L440" s="10">
        <v>3</v>
      </c>
      <c r="M440" s="5">
        <f t="shared" si="1097"/>
        <v>0.42</v>
      </c>
      <c r="N440" s="10">
        <v>7</v>
      </c>
      <c r="O440" s="5">
        <v>0</v>
      </c>
      <c r="P440" s="5">
        <f t="shared" si="1043"/>
        <v>0.3</v>
      </c>
      <c r="Q440" s="5">
        <v>3</v>
      </c>
      <c r="R440" s="5">
        <f t="shared" si="1070"/>
        <v>903923</v>
      </c>
      <c r="S440" s="5">
        <v>30</v>
      </c>
      <c r="T440" s="5">
        <v>10</v>
      </c>
      <c r="U440" s="5">
        <v>0.3</v>
      </c>
      <c r="V440" s="5">
        <v>0.15</v>
      </c>
      <c r="W440" s="5">
        <v>9</v>
      </c>
      <c r="X440" s="5">
        <v>-0.6</v>
      </c>
      <c r="Y440" s="5">
        <v>1.8</v>
      </c>
      <c r="Z440" s="27" t="s">
        <v>1024</v>
      </c>
      <c r="AA440" s="5">
        <v>3</v>
      </c>
      <c r="AB440" s="5">
        <v>2</v>
      </c>
      <c r="AC440" s="5">
        <v>6</v>
      </c>
      <c r="AD440" s="27" t="s">
        <v>1025</v>
      </c>
      <c r="AE440" s="10">
        <v>121</v>
      </c>
      <c r="AF440" s="5">
        <f t="shared" si="1071"/>
        <v>903939</v>
      </c>
      <c r="AG440" s="5">
        <v>60</v>
      </c>
      <c r="AH440" s="5">
        <f t="shared" si="1044"/>
        <v>0.1</v>
      </c>
      <c r="AI440" s="5">
        <v>2</v>
      </c>
      <c r="AJ440" s="5">
        <v>1</v>
      </c>
      <c r="AK440" s="5">
        <f t="shared" si="1072"/>
        <v>40</v>
      </c>
      <c r="AL440" s="5">
        <f t="shared" si="1045"/>
        <v>264</v>
      </c>
      <c r="AM440" s="5">
        <f t="shared" si="1046"/>
        <v>288</v>
      </c>
      <c r="AN440" s="8">
        <v>11</v>
      </c>
      <c r="AO440" s="5">
        <v>1</v>
      </c>
      <c r="AP440" s="28" t="s">
        <v>763</v>
      </c>
      <c r="AQ440" s="5">
        <v>0</v>
      </c>
      <c r="AR440" s="8">
        <v>0</v>
      </c>
      <c r="AS440" s="6">
        <f t="shared" si="1035"/>
        <v>0</v>
      </c>
      <c r="AT440" s="6">
        <f t="shared" si="1036"/>
        <v>24</v>
      </c>
      <c r="AU440" s="5">
        <v>0</v>
      </c>
      <c r="AV440" s="5">
        <v>0</v>
      </c>
      <c r="AW440" s="5">
        <v>0</v>
      </c>
      <c r="AX440" s="5">
        <v>1</v>
      </c>
      <c r="AY440" s="5">
        <v>0</v>
      </c>
      <c r="AZ440" s="5">
        <v>201438</v>
      </c>
      <c r="BA440" s="5">
        <f t="shared" si="1073"/>
        <v>203045</v>
      </c>
      <c r="BB440" s="5">
        <v>10</v>
      </c>
      <c r="BC440" s="5">
        <v>0</v>
      </c>
      <c r="BD440" s="5">
        <v>1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f t="shared" si="1026"/>
        <v>1</v>
      </c>
      <c r="BM440" s="5">
        <v>0</v>
      </c>
      <c r="BN440" s="5">
        <v>0</v>
      </c>
      <c r="BO440" s="5">
        <v>0</v>
      </c>
      <c r="BP440" s="5">
        <v>0</v>
      </c>
      <c r="BQ440" s="5"/>
      <c r="BR440" s="5"/>
      <c r="BS440" s="4">
        <v>0</v>
      </c>
      <c r="BT440" s="4">
        <f t="shared" si="1048"/>
        <v>8</v>
      </c>
      <c r="BU440" s="17">
        <v>28</v>
      </c>
      <c r="BV440" s="4">
        <f t="shared" ref="BV440:BY440" si="1103">BV430</f>
        <v>8</v>
      </c>
      <c r="BW440" s="4">
        <f t="shared" si="1103"/>
        <v>8</v>
      </c>
      <c r="BX440" s="4">
        <f t="shared" si="1103"/>
        <v>0.35999999999999993</v>
      </c>
      <c r="BY440" s="4">
        <f t="shared" si="1103"/>
        <v>0.2</v>
      </c>
      <c r="BZ440" s="27" t="s">
        <v>1004</v>
      </c>
      <c r="CA440" s="30" t="str">
        <f t="shared" si="1075"/>
        <v>8</v>
      </c>
      <c r="CB440" s="30" t="s">
        <v>917</v>
      </c>
      <c r="CC440" s="5">
        <v>0</v>
      </c>
      <c r="CD440" s="8">
        <v>3</v>
      </c>
      <c r="CE440" s="5">
        <f t="shared" si="1050"/>
        <v>8</v>
      </c>
      <c r="CF440" s="5">
        <v>1</v>
      </c>
      <c r="CG440" s="27" t="str">
        <f t="shared" si="1057"/>
        <v>8级虚空龙</v>
      </c>
      <c r="CH440" s="5">
        <v>0</v>
      </c>
      <c r="CI440" s="5">
        <v>0</v>
      </c>
      <c r="CJ440" s="4">
        <v>0</v>
      </c>
      <c r="CK440" s="20">
        <v>0</v>
      </c>
      <c r="CL440" s="5">
        <v>0</v>
      </c>
      <c r="CM440" s="20">
        <v>114</v>
      </c>
      <c r="CN440" s="5">
        <v>0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20">
        <v>2.5</v>
      </c>
      <c r="CW440" s="20">
        <v>3</v>
      </c>
      <c r="CX440" s="20">
        <v>2.5</v>
      </c>
      <c r="CY440" s="20">
        <v>3.5</v>
      </c>
      <c r="CZ440" s="8">
        <v>200</v>
      </c>
      <c r="DA440" s="6">
        <f t="shared" si="1065"/>
        <v>40000</v>
      </c>
      <c r="DB440" s="5">
        <v>1</v>
      </c>
      <c r="DC440" s="20">
        <f t="shared" si="1051"/>
        <v>2.0250000000000004</v>
      </c>
      <c r="DD440" s="6">
        <f t="shared" si="1066"/>
        <v>0.67500000000000004</v>
      </c>
      <c r="DE440" s="6">
        <v>1</v>
      </c>
      <c r="DF440" s="5">
        <v>0</v>
      </c>
      <c r="DG440" s="6">
        <v>2.5</v>
      </c>
      <c r="DH440" s="5">
        <v>0</v>
      </c>
      <c r="DI440" s="8">
        <v>0</v>
      </c>
      <c r="DJ440" s="5">
        <v>0</v>
      </c>
      <c r="DK440" s="8">
        <v>0</v>
      </c>
      <c r="DL440" s="5">
        <f t="shared" si="1034"/>
        <v>0</v>
      </c>
      <c r="DM440" s="5" t="str">
        <f t="shared" si="1054"/>
        <v>8级虚空龙</v>
      </c>
      <c r="DN440" s="5">
        <v>6</v>
      </c>
      <c r="DO440" s="5">
        <v>0</v>
      </c>
      <c r="DP440" s="5">
        <v>1</v>
      </c>
      <c r="DQ440" s="5">
        <v>1</v>
      </c>
      <c r="DR440" s="5">
        <v>2.5</v>
      </c>
      <c r="DS440" s="6">
        <v>3.5</v>
      </c>
      <c r="DT440" s="5">
        <v>-0.6</v>
      </c>
      <c r="DU440" s="5">
        <v>0.8</v>
      </c>
      <c r="DV440" s="6">
        <v>0.5</v>
      </c>
      <c r="DW440" s="5">
        <f t="shared" si="1067"/>
        <v>0.66666666666666663</v>
      </c>
      <c r="DX440" s="5">
        <v>8</v>
      </c>
      <c r="DY440" s="5">
        <f t="shared" si="1068"/>
        <v>0</v>
      </c>
      <c r="DZ440" s="5">
        <v>0</v>
      </c>
    </row>
    <row r="441" spans="1:130" x14ac:dyDescent="0.15">
      <c r="A441" s="5">
        <v>201439</v>
      </c>
      <c r="B441" s="28" t="s">
        <v>764</v>
      </c>
      <c r="C441" s="27">
        <v>20</v>
      </c>
      <c r="D441" s="27">
        <v>1</v>
      </c>
      <c r="E441" s="27">
        <v>3</v>
      </c>
      <c r="F441" s="5">
        <v>2</v>
      </c>
      <c r="G441" s="46">
        <f t="shared" si="1069"/>
        <v>-0.29050000000000004</v>
      </c>
      <c r="H441" s="27"/>
      <c r="I441" s="27" t="s">
        <v>975</v>
      </c>
      <c r="J441" s="27"/>
      <c r="K441" s="5">
        <f t="shared" si="1096"/>
        <v>0.22999999999999998</v>
      </c>
      <c r="L441" s="10">
        <v>3</v>
      </c>
      <c r="M441" s="5">
        <f t="shared" si="1097"/>
        <v>0.43</v>
      </c>
      <c r="N441" s="10">
        <v>7</v>
      </c>
      <c r="O441" s="5">
        <v>0</v>
      </c>
      <c r="P441" s="5">
        <f t="shared" si="1043"/>
        <v>0.3</v>
      </c>
      <c r="Q441" s="5">
        <v>3</v>
      </c>
      <c r="R441" s="5">
        <f t="shared" si="1070"/>
        <v>903923</v>
      </c>
      <c r="S441" s="5">
        <v>30</v>
      </c>
      <c r="T441" s="5">
        <v>10</v>
      </c>
      <c r="U441" s="5">
        <v>0.3</v>
      </c>
      <c r="V441" s="5">
        <v>0.15</v>
      </c>
      <c r="W441" s="5">
        <v>9</v>
      </c>
      <c r="X441" s="5">
        <v>-0.6</v>
      </c>
      <c r="Y441" s="5">
        <v>1.8</v>
      </c>
      <c r="Z441" s="27" t="s">
        <v>1024</v>
      </c>
      <c r="AA441" s="5">
        <v>3</v>
      </c>
      <c r="AB441" s="5">
        <v>2</v>
      </c>
      <c r="AC441" s="5">
        <v>6</v>
      </c>
      <c r="AD441" s="27" t="s">
        <v>1025</v>
      </c>
      <c r="AE441" s="10">
        <v>121</v>
      </c>
      <c r="AF441" s="5">
        <f t="shared" si="1071"/>
        <v>903939</v>
      </c>
      <c r="AG441" s="5">
        <v>60</v>
      </c>
      <c r="AH441" s="5">
        <f t="shared" si="1044"/>
        <v>0.1</v>
      </c>
      <c r="AI441" s="5">
        <v>2</v>
      </c>
      <c r="AJ441" s="5">
        <v>1</v>
      </c>
      <c r="AK441" s="5">
        <f t="shared" si="1072"/>
        <v>45</v>
      </c>
      <c r="AL441" s="5">
        <f t="shared" si="1045"/>
        <v>297</v>
      </c>
      <c r="AM441" s="5">
        <f t="shared" si="1046"/>
        <v>324</v>
      </c>
      <c r="AN441" s="8">
        <v>11</v>
      </c>
      <c r="AO441" s="5">
        <v>1</v>
      </c>
      <c r="AP441" s="28" t="s">
        <v>764</v>
      </c>
      <c r="AQ441" s="5">
        <v>0</v>
      </c>
      <c r="AR441" s="8">
        <v>0</v>
      </c>
      <c r="AS441" s="6">
        <f t="shared" si="1035"/>
        <v>0</v>
      </c>
      <c r="AT441" s="6">
        <f t="shared" si="1036"/>
        <v>27</v>
      </c>
      <c r="AU441" s="5">
        <v>0</v>
      </c>
      <c r="AV441" s="5">
        <v>0</v>
      </c>
      <c r="AW441" s="5">
        <v>0</v>
      </c>
      <c r="AX441" s="5">
        <v>1</v>
      </c>
      <c r="AY441" s="5">
        <v>0</v>
      </c>
      <c r="AZ441" s="5">
        <v>201439</v>
      </c>
      <c r="BA441" s="5">
        <f t="shared" si="1073"/>
        <v>203045</v>
      </c>
      <c r="BB441" s="5">
        <v>10</v>
      </c>
      <c r="BC441" s="5">
        <v>0</v>
      </c>
      <c r="BD441" s="5">
        <v>1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f t="shared" si="1026"/>
        <v>1</v>
      </c>
      <c r="BM441" s="5">
        <v>0</v>
      </c>
      <c r="BN441" s="5">
        <v>0</v>
      </c>
      <c r="BO441" s="5">
        <v>0</v>
      </c>
      <c r="BP441" s="5">
        <v>0</v>
      </c>
      <c r="BQ441" s="5"/>
      <c r="BR441" s="5"/>
      <c r="BS441" s="4">
        <v>0</v>
      </c>
      <c r="BT441" s="4">
        <f t="shared" si="1048"/>
        <v>9</v>
      </c>
      <c r="BU441" s="17">
        <v>29</v>
      </c>
      <c r="BV441" s="4">
        <f t="shared" ref="BV441:BY441" si="1104">BV431</f>
        <v>9</v>
      </c>
      <c r="BW441" s="4">
        <f t="shared" si="1104"/>
        <v>9</v>
      </c>
      <c r="BX441" s="4">
        <f t="shared" si="1104"/>
        <v>0.28999999999999992</v>
      </c>
      <c r="BY441" s="4">
        <f t="shared" si="1104"/>
        <v>0.15000000000000002</v>
      </c>
      <c r="BZ441" s="27" t="s">
        <v>1004</v>
      </c>
      <c r="CA441" s="30" t="str">
        <f t="shared" si="1075"/>
        <v>9</v>
      </c>
      <c r="CB441" s="30" t="s">
        <v>917</v>
      </c>
      <c r="CC441" s="5">
        <v>0</v>
      </c>
      <c r="CD441" s="8">
        <v>3</v>
      </c>
      <c r="CE441" s="5">
        <f t="shared" si="1050"/>
        <v>9</v>
      </c>
      <c r="CF441" s="5">
        <v>1</v>
      </c>
      <c r="CG441" s="27" t="str">
        <f t="shared" si="1057"/>
        <v>9级虚空龙</v>
      </c>
      <c r="CH441" s="5">
        <v>0</v>
      </c>
      <c r="CI441" s="5">
        <v>0</v>
      </c>
      <c r="CJ441" s="4">
        <v>0</v>
      </c>
      <c r="CK441" s="20">
        <v>0</v>
      </c>
      <c r="CL441" s="5">
        <v>0</v>
      </c>
      <c r="CM441" s="20">
        <v>114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20">
        <v>2.5</v>
      </c>
      <c r="CW441" s="20">
        <v>3</v>
      </c>
      <c r="CX441" s="20">
        <v>2.5</v>
      </c>
      <c r="CY441" s="20">
        <v>3.5</v>
      </c>
      <c r="CZ441" s="8">
        <v>200</v>
      </c>
      <c r="DA441" s="6">
        <f t="shared" si="1065"/>
        <v>45000</v>
      </c>
      <c r="DB441" s="5">
        <v>1</v>
      </c>
      <c r="DC441" s="20">
        <f t="shared" si="1051"/>
        <v>2.0999999999999996</v>
      </c>
      <c r="DD441" s="6">
        <f t="shared" si="1066"/>
        <v>0.7</v>
      </c>
      <c r="DE441" s="6">
        <v>1</v>
      </c>
      <c r="DF441" s="5">
        <v>0</v>
      </c>
      <c r="DG441" s="6">
        <v>2.5</v>
      </c>
      <c r="DH441" s="5">
        <v>0</v>
      </c>
      <c r="DI441" s="8">
        <v>0</v>
      </c>
      <c r="DJ441" s="5">
        <v>0</v>
      </c>
      <c r="DK441" s="8">
        <v>0</v>
      </c>
      <c r="DL441" s="5">
        <f t="shared" si="1034"/>
        <v>0</v>
      </c>
      <c r="DM441" s="5" t="str">
        <f t="shared" si="1054"/>
        <v>9级虚空龙</v>
      </c>
      <c r="DN441" s="5">
        <v>6</v>
      </c>
      <c r="DO441" s="5">
        <v>0</v>
      </c>
      <c r="DP441" s="5">
        <v>1</v>
      </c>
      <c r="DQ441" s="5">
        <v>1</v>
      </c>
      <c r="DR441" s="5">
        <v>2.5</v>
      </c>
      <c r="DS441" s="6">
        <v>3.5</v>
      </c>
      <c r="DT441" s="5">
        <v>-0.6</v>
      </c>
      <c r="DU441" s="5">
        <v>0.8</v>
      </c>
      <c r="DV441" s="6">
        <v>0.5</v>
      </c>
      <c r="DW441" s="5">
        <f t="shared" si="1067"/>
        <v>0.66666666666666663</v>
      </c>
      <c r="DX441" s="5">
        <v>8</v>
      </c>
      <c r="DY441" s="5">
        <f t="shared" si="1068"/>
        <v>0</v>
      </c>
      <c r="DZ441" s="5">
        <v>0</v>
      </c>
    </row>
    <row r="442" spans="1:130" x14ac:dyDescent="0.15">
      <c r="A442" s="5">
        <v>201440</v>
      </c>
      <c r="B442" s="28" t="s">
        <v>765</v>
      </c>
      <c r="C442" s="27">
        <v>20</v>
      </c>
      <c r="D442" s="27">
        <v>1</v>
      </c>
      <c r="E442" s="27">
        <v>3</v>
      </c>
      <c r="F442" s="5">
        <v>2</v>
      </c>
      <c r="G442" s="46">
        <f t="shared" si="1069"/>
        <v>-0.29050000000000004</v>
      </c>
      <c r="H442" s="27"/>
      <c r="I442" s="27" t="s">
        <v>975</v>
      </c>
      <c r="J442" s="27"/>
      <c r="K442" s="5">
        <f t="shared" si="1096"/>
        <v>0.24</v>
      </c>
      <c r="L442" s="10">
        <v>3</v>
      </c>
      <c r="M442" s="5">
        <f t="shared" si="1097"/>
        <v>0.43999999999999995</v>
      </c>
      <c r="N442" s="10">
        <v>7</v>
      </c>
      <c r="O442" s="5">
        <v>0</v>
      </c>
      <c r="P442" s="5">
        <f t="shared" si="1043"/>
        <v>0.3</v>
      </c>
      <c r="Q442" s="5">
        <v>3</v>
      </c>
      <c r="R442" s="5">
        <f t="shared" si="1070"/>
        <v>903923</v>
      </c>
      <c r="S442" s="5">
        <v>30</v>
      </c>
      <c r="T442" s="5">
        <v>10</v>
      </c>
      <c r="U442" s="5">
        <v>0.3</v>
      </c>
      <c r="V442" s="5">
        <v>0.15</v>
      </c>
      <c r="W442" s="5">
        <v>9</v>
      </c>
      <c r="X442" s="5">
        <v>-0.6</v>
      </c>
      <c r="Y442" s="5">
        <v>1.8</v>
      </c>
      <c r="Z442" s="27" t="s">
        <v>1024</v>
      </c>
      <c r="AA442" s="5">
        <v>3</v>
      </c>
      <c r="AB442" s="5">
        <v>2</v>
      </c>
      <c r="AC442" s="5">
        <v>6</v>
      </c>
      <c r="AD442" s="27" t="s">
        <v>1025</v>
      </c>
      <c r="AE442" s="10">
        <v>121</v>
      </c>
      <c r="AF442" s="5">
        <f t="shared" si="1071"/>
        <v>903939</v>
      </c>
      <c r="AG442" s="5">
        <v>60</v>
      </c>
      <c r="AH442" s="5">
        <f t="shared" si="1044"/>
        <v>0.1</v>
      </c>
      <c r="AI442" s="5">
        <v>2</v>
      </c>
      <c r="AJ442" s="5">
        <v>1</v>
      </c>
      <c r="AK442" s="5">
        <f t="shared" si="1072"/>
        <v>50</v>
      </c>
      <c r="AL442" s="5">
        <f t="shared" si="1045"/>
        <v>330</v>
      </c>
      <c r="AM442" s="5">
        <f t="shared" si="1046"/>
        <v>360</v>
      </c>
      <c r="AN442" s="8">
        <v>11</v>
      </c>
      <c r="AO442" s="5">
        <v>1</v>
      </c>
      <c r="AP442" s="28" t="s">
        <v>765</v>
      </c>
      <c r="AQ442" s="5">
        <v>0</v>
      </c>
      <c r="AR442" s="8">
        <v>0</v>
      </c>
      <c r="AS442" s="6">
        <f t="shared" si="1035"/>
        <v>0</v>
      </c>
      <c r="AT442" s="6">
        <f t="shared" si="1036"/>
        <v>30</v>
      </c>
      <c r="AU442" s="5">
        <v>0</v>
      </c>
      <c r="AV442" s="5">
        <v>0</v>
      </c>
      <c r="AW442" s="5">
        <v>0</v>
      </c>
      <c r="AX442" s="5">
        <v>1</v>
      </c>
      <c r="AY442" s="5">
        <v>0</v>
      </c>
      <c r="AZ442" s="5">
        <v>201440</v>
      </c>
      <c r="BA442" s="5">
        <f t="shared" si="1073"/>
        <v>203045</v>
      </c>
      <c r="BB442" s="5">
        <v>10</v>
      </c>
      <c r="BC442" s="5">
        <v>0</v>
      </c>
      <c r="BD442" s="5">
        <v>1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f t="shared" si="1026"/>
        <v>1</v>
      </c>
      <c r="BM442" s="5">
        <v>0</v>
      </c>
      <c r="BN442" s="5">
        <v>0</v>
      </c>
      <c r="BO442" s="5">
        <v>0</v>
      </c>
      <c r="BP442" s="5">
        <v>0</v>
      </c>
      <c r="BQ442" s="5"/>
      <c r="BR442" s="5"/>
      <c r="BS442" s="4">
        <v>0</v>
      </c>
      <c r="BT442" s="4">
        <f t="shared" si="1048"/>
        <v>10</v>
      </c>
      <c r="BU442" s="17">
        <v>30</v>
      </c>
      <c r="BV442" s="4">
        <f t="shared" ref="BV442:BY442" si="1105">BV432</f>
        <v>10</v>
      </c>
      <c r="BW442" s="4">
        <f t="shared" si="1105"/>
        <v>10</v>
      </c>
      <c r="BX442" s="4">
        <f t="shared" si="1105"/>
        <v>0.21999999999999986</v>
      </c>
      <c r="BY442" s="4">
        <f t="shared" si="1105"/>
        <v>0.10000000000000003</v>
      </c>
      <c r="BZ442" s="27" t="s">
        <v>1004</v>
      </c>
      <c r="CA442" s="30" t="str">
        <f t="shared" si="1075"/>
        <v>10</v>
      </c>
      <c r="CB442" s="30" t="s">
        <v>917</v>
      </c>
      <c r="CC442" s="5">
        <v>0</v>
      </c>
      <c r="CD442" s="8">
        <v>3</v>
      </c>
      <c r="CE442" s="5">
        <f t="shared" si="1050"/>
        <v>10</v>
      </c>
      <c r="CF442" s="5">
        <v>1</v>
      </c>
      <c r="CG442" s="27" t="str">
        <f t="shared" si="1057"/>
        <v>10级虚空龙</v>
      </c>
      <c r="CH442" s="5">
        <v>0</v>
      </c>
      <c r="CI442" s="5">
        <v>0</v>
      </c>
      <c r="CJ442" s="4">
        <v>0</v>
      </c>
      <c r="CK442" s="20">
        <v>0</v>
      </c>
      <c r="CL442" s="5">
        <v>0</v>
      </c>
      <c r="CM442" s="20">
        <v>114</v>
      </c>
      <c r="CN442" s="5">
        <v>0</v>
      </c>
      <c r="CO442" s="5">
        <v>0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20">
        <v>2.5</v>
      </c>
      <c r="CW442" s="20">
        <v>3</v>
      </c>
      <c r="CX442" s="20">
        <v>2.5</v>
      </c>
      <c r="CY442" s="20">
        <v>3.5</v>
      </c>
      <c r="CZ442" s="8">
        <v>200</v>
      </c>
      <c r="DA442" s="6">
        <f t="shared" si="1065"/>
        <v>50000</v>
      </c>
      <c r="DB442" s="5">
        <v>1</v>
      </c>
      <c r="DC442" s="20">
        <f t="shared" si="1051"/>
        <v>2.1749999999999998</v>
      </c>
      <c r="DD442" s="6">
        <f t="shared" si="1066"/>
        <v>0.72499999999999998</v>
      </c>
      <c r="DE442" s="6">
        <v>1</v>
      </c>
      <c r="DF442" s="5">
        <v>0</v>
      </c>
      <c r="DG442" s="6">
        <v>2.5</v>
      </c>
      <c r="DH442" s="5">
        <v>0</v>
      </c>
      <c r="DI442" s="8">
        <v>0</v>
      </c>
      <c r="DJ442" s="5">
        <v>0</v>
      </c>
      <c r="DK442" s="8">
        <v>0</v>
      </c>
      <c r="DL442" s="5">
        <f t="shared" si="1034"/>
        <v>0</v>
      </c>
      <c r="DM442" s="5" t="str">
        <f t="shared" si="1054"/>
        <v>10级虚空龙</v>
      </c>
      <c r="DN442" s="5">
        <v>6</v>
      </c>
      <c r="DO442" s="5">
        <v>0</v>
      </c>
      <c r="DP442" s="5">
        <v>1</v>
      </c>
      <c r="DQ442" s="5">
        <v>1</v>
      </c>
      <c r="DR442" s="5">
        <v>2.5</v>
      </c>
      <c r="DS442" s="6">
        <v>3.5</v>
      </c>
      <c r="DT442" s="5">
        <v>-0.6</v>
      </c>
      <c r="DU442" s="5">
        <v>0.8</v>
      </c>
      <c r="DV442" s="6">
        <v>0.5</v>
      </c>
      <c r="DW442" s="5">
        <f t="shared" si="1067"/>
        <v>0.66666666666666663</v>
      </c>
      <c r="DX442" s="5">
        <v>8</v>
      </c>
      <c r="DY442" s="5">
        <f t="shared" si="1068"/>
        <v>0</v>
      </c>
      <c r="DZ442" s="5">
        <v>0</v>
      </c>
    </row>
    <row r="443" spans="1:130" x14ac:dyDescent="0.15">
      <c r="A443" s="5">
        <v>201441</v>
      </c>
      <c r="B443" s="28" t="s">
        <v>766</v>
      </c>
      <c r="C443" s="28">
        <v>30</v>
      </c>
      <c r="D443" s="28">
        <v>1</v>
      </c>
      <c r="E443" s="28">
        <v>3</v>
      </c>
      <c r="F443" s="6">
        <v>2</v>
      </c>
      <c r="G443" s="46">
        <f t="shared" si="1069"/>
        <v>-0.23240000000000005</v>
      </c>
      <c r="H443" s="28" t="s">
        <v>974</v>
      </c>
      <c r="I443" s="28" t="s">
        <v>975</v>
      </c>
      <c r="J443" s="28"/>
      <c r="K443" s="5">
        <f t="shared" si="1096"/>
        <v>0.1</v>
      </c>
      <c r="L443" s="10">
        <v>2</v>
      </c>
      <c r="M443" s="5">
        <f t="shared" si="1097"/>
        <v>0</v>
      </c>
      <c r="N443" s="10">
        <v>0</v>
      </c>
      <c r="O443" s="5">
        <v>0.2</v>
      </c>
      <c r="P443" s="5">
        <f t="shared" si="1043"/>
        <v>0.2</v>
      </c>
      <c r="Q443" s="5">
        <v>2</v>
      </c>
      <c r="R443" s="5">
        <f t="shared" si="1070"/>
        <v>903924</v>
      </c>
      <c r="S443" s="5">
        <v>30</v>
      </c>
      <c r="T443" s="5">
        <v>10</v>
      </c>
      <c r="U443" s="5">
        <v>0.3</v>
      </c>
      <c r="V443" s="5">
        <v>0.15</v>
      </c>
      <c r="W443" s="5">
        <v>9</v>
      </c>
      <c r="X443" s="5">
        <v>-0.6</v>
      </c>
      <c r="Y443" s="5">
        <v>1.8</v>
      </c>
      <c r="Z443" s="27" t="s">
        <v>1026</v>
      </c>
      <c r="AA443" s="5">
        <v>3</v>
      </c>
      <c r="AB443" s="5">
        <v>2</v>
      </c>
      <c r="AC443" s="5">
        <v>6</v>
      </c>
      <c r="AD443" s="27" t="s">
        <v>1027</v>
      </c>
      <c r="AE443" s="20">
        <v>128</v>
      </c>
      <c r="AF443" s="5">
        <f t="shared" si="1071"/>
        <v>903940</v>
      </c>
      <c r="AG443" s="5">
        <v>60</v>
      </c>
      <c r="AH443" s="5">
        <f t="shared" si="1044"/>
        <v>0.2</v>
      </c>
      <c r="AI443" s="5">
        <v>2</v>
      </c>
      <c r="AJ443" s="5">
        <v>2</v>
      </c>
      <c r="AK443" s="5">
        <f t="shared" si="1072"/>
        <v>5</v>
      </c>
      <c r="AL443" s="5">
        <f t="shared" si="1045"/>
        <v>0</v>
      </c>
      <c r="AM443" s="5">
        <f t="shared" si="1046"/>
        <v>3</v>
      </c>
      <c r="AN443" s="8">
        <v>0</v>
      </c>
      <c r="AO443" s="5">
        <v>0</v>
      </c>
      <c r="AP443" s="28" t="s">
        <v>766</v>
      </c>
      <c r="AQ443" s="5">
        <v>0</v>
      </c>
      <c r="AR443" s="8">
        <v>20</v>
      </c>
      <c r="AS443" s="6">
        <f t="shared" si="1035"/>
        <v>60</v>
      </c>
      <c r="AT443" s="6">
        <f t="shared" si="1036"/>
        <v>63</v>
      </c>
      <c r="AU443" s="5">
        <v>0</v>
      </c>
      <c r="AV443" s="5">
        <v>0</v>
      </c>
      <c r="AW443" s="5">
        <v>0</v>
      </c>
      <c r="AX443" s="5">
        <v>1</v>
      </c>
      <c r="AY443" s="5">
        <v>0</v>
      </c>
      <c r="AZ443" s="5">
        <v>201441</v>
      </c>
      <c r="BA443" s="5">
        <f t="shared" si="1073"/>
        <v>203046</v>
      </c>
      <c r="BB443" s="5">
        <v>10</v>
      </c>
      <c r="BC443" s="5">
        <v>0</v>
      </c>
      <c r="BD443" s="5">
        <v>1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f t="shared" si="1026"/>
        <v>1</v>
      </c>
      <c r="BM443" s="5">
        <v>0</v>
      </c>
      <c r="BN443" s="5">
        <v>0</v>
      </c>
      <c r="BO443" s="5">
        <v>0</v>
      </c>
      <c r="BP443" s="5">
        <v>0</v>
      </c>
      <c r="BQ443" s="5"/>
      <c r="BR443" s="5"/>
      <c r="BS443" s="4">
        <v>0</v>
      </c>
      <c r="BT443" s="4">
        <f t="shared" si="1048"/>
        <v>1</v>
      </c>
      <c r="BU443" s="17">
        <v>31</v>
      </c>
      <c r="BV443" s="4">
        <f t="shared" ref="BV443:BY443" si="1106">BV433</f>
        <v>1</v>
      </c>
      <c r="BW443" s="4">
        <f t="shared" si="1106"/>
        <v>1</v>
      </c>
      <c r="BX443" s="4">
        <f t="shared" si="1106"/>
        <v>0.85</v>
      </c>
      <c r="BY443" s="4">
        <f t="shared" si="1106"/>
        <v>0.55000000000000004</v>
      </c>
      <c r="BZ443" s="27" t="s">
        <v>989</v>
      </c>
      <c r="CA443" s="30" t="str">
        <f t="shared" si="1075"/>
        <v>1</v>
      </c>
      <c r="CB443" s="30" t="s">
        <v>917</v>
      </c>
      <c r="CC443" s="5">
        <v>0</v>
      </c>
      <c r="CD443" s="8">
        <v>3</v>
      </c>
      <c r="CE443" s="5">
        <f t="shared" si="1050"/>
        <v>1</v>
      </c>
      <c r="CF443" s="5">
        <v>1</v>
      </c>
      <c r="CG443" s="27" t="str">
        <f t="shared" si="1057"/>
        <v>1级火龙</v>
      </c>
      <c r="CH443" s="5">
        <v>0</v>
      </c>
      <c r="CI443" s="5">
        <v>0</v>
      </c>
      <c r="CJ443" s="4">
        <v>0</v>
      </c>
      <c r="CK443" s="20">
        <v>0</v>
      </c>
      <c r="CL443" s="5">
        <v>0</v>
      </c>
      <c r="CM443" s="20">
        <v>114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20">
        <v>2.5</v>
      </c>
      <c r="CW443" s="20">
        <v>3</v>
      </c>
      <c r="CX443" s="20">
        <v>2.5</v>
      </c>
      <c r="CY443" s="20">
        <v>3.5</v>
      </c>
      <c r="CZ443" s="8">
        <v>200</v>
      </c>
      <c r="DA443" s="6">
        <f t="shared" si="1065"/>
        <v>5000</v>
      </c>
      <c r="DB443" s="5">
        <v>1</v>
      </c>
      <c r="DC443" s="20">
        <f t="shared" si="1051"/>
        <v>1.5</v>
      </c>
      <c r="DD443" s="6">
        <f t="shared" si="1066"/>
        <v>0.5</v>
      </c>
      <c r="DE443" s="6">
        <v>1</v>
      </c>
      <c r="DF443" s="5">
        <v>0</v>
      </c>
      <c r="DG443" s="6">
        <v>2.5</v>
      </c>
      <c r="DH443" s="5">
        <v>0</v>
      </c>
      <c r="DI443" s="8">
        <v>0</v>
      </c>
      <c r="DJ443" s="5">
        <v>0</v>
      </c>
      <c r="DK443" s="8">
        <v>0</v>
      </c>
      <c r="DL443" s="5">
        <f t="shared" si="1034"/>
        <v>0</v>
      </c>
      <c r="DM443" s="5" t="str">
        <f t="shared" si="1054"/>
        <v>1级火龙</v>
      </c>
      <c r="DN443" s="5">
        <v>6</v>
      </c>
      <c r="DO443" s="5">
        <v>0</v>
      </c>
      <c r="DP443" s="5">
        <v>1</v>
      </c>
      <c r="DQ443" s="5">
        <v>1</v>
      </c>
      <c r="DR443" s="5">
        <v>2.5</v>
      </c>
      <c r="DS443" s="6">
        <v>3.5</v>
      </c>
      <c r="DT443" s="5">
        <v>-0.6</v>
      </c>
      <c r="DU443" s="5">
        <v>0.8</v>
      </c>
      <c r="DV443" s="6">
        <v>0.5</v>
      </c>
      <c r="DW443" s="5">
        <f t="shared" si="1067"/>
        <v>0.66666666666666663</v>
      </c>
      <c r="DX443" s="5">
        <v>8</v>
      </c>
      <c r="DY443" s="5">
        <f t="shared" si="1068"/>
        <v>0</v>
      </c>
      <c r="DZ443" s="5">
        <v>0</v>
      </c>
    </row>
    <row r="444" spans="1:130" x14ac:dyDescent="0.15">
      <c r="A444" s="5">
        <v>201442</v>
      </c>
      <c r="B444" s="35" t="s">
        <v>767</v>
      </c>
      <c r="C444" s="27">
        <v>30</v>
      </c>
      <c r="D444" s="27">
        <v>1</v>
      </c>
      <c r="E444" s="27">
        <v>3</v>
      </c>
      <c r="F444" s="5">
        <v>2</v>
      </c>
      <c r="G444" s="46">
        <f t="shared" si="1069"/>
        <v>-0.23240000000000005</v>
      </c>
      <c r="H444" s="27" t="s">
        <v>974</v>
      </c>
      <c r="I444" s="27" t="s">
        <v>975</v>
      </c>
      <c r="J444" s="27"/>
      <c r="K444" s="5">
        <f t="shared" si="1096"/>
        <v>0.11</v>
      </c>
      <c r="L444" s="10">
        <v>2</v>
      </c>
      <c r="M444" s="5">
        <f t="shared" si="1097"/>
        <v>0.01</v>
      </c>
      <c r="N444" s="10">
        <v>0</v>
      </c>
      <c r="O444" s="5">
        <v>0.2</v>
      </c>
      <c r="P444" s="5">
        <f t="shared" si="1043"/>
        <v>0.2</v>
      </c>
      <c r="Q444" s="5">
        <v>2</v>
      </c>
      <c r="R444" s="5">
        <f t="shared" si="1070"/>
        <v>903924</v>
      </c>
      <c r="S444" s="5">
        <v>30</v>
      </c>
      <c r="T444" s="5">
        <v>10</v>
      </c>
      <c r="U444" s="5">
        <v>0.3</v>
      </c>
      <c r="V444" s="5">
        <v>0.15</v>
      </c>
      <c r="W444" s="5">
        <v>9</v>
      </c>
      <c r="X444" s="5">
        <v>-0.6</v>
      </c>
      <c r="Y444" s="5">
        <v>1.8</v>
      </c>
      <c r="Z444" s="27" t="s">
        <v>1026</v>
      </c>
      <c r="AA444" s="5">
        <v>3</v>
      </c>
      <c r="AB444" s="5">
        <v>2</v>
      </c>
      <c r="AC444" s="5">
        <v>6</v>
      </c>
      <c r="AD444" s="27" t="s">
        <v>1027</v>
      </c>
      <c r="AE444" s="20">
        <v>128</v>
      </c>
      <c r="AF444" s="5">
        <f t="shared" si="1071"/>
        <v>903940</v>
      </c>
      <c r="AG444" s="5">
        <v>60</v>
      </c>
      <c r="AH444" s="5">
        <f t="shared" si="1044"/>
        <v>0.2</v>
      </c>
      <c r="AI444" s="5">
        <v>2</v>
      </c>
      <c r="AJ444" s="5">
        <v>2</v>
      </c>
      <c r="AK444" s="5">
        <f t="shared" si="1072"/>
        <v>10</v>
      </c>
      <c r="AL444" s="5">
        <f t="shared" si="1045"/>
        <v>0</v>
      </c>
      <c r="AM444" s="5">
        <f t="shared" si="1046"/>
        <v>6</v>
      </c>
      <c r="AN444" s="8">
        <v>0</v>
      </c>
      <c r="AO444" s="5">
        <v>0</v>
      </c>
      <c r="AP444" s="35" t="s">
        <v>767</v>
      </c>
      <c r="AQ444" s="5">
        <v>0</v>
      </c>
      <c r="AR444" s="8">
        <v>20</v>
      </c>
      <c r="AS444" s="6">
        <f t="shared" si="1035"/>
        <v>120</v>
      </c>
      <c r="AT444" s="6">
        <f t="shared" si="1036"/>
        <v>126</v>
      </c>
      <c r="AU444" s="5">
        <v>0</v>
      </c>
      <c r="AV444" s="5">
        <v>0</v>
      </c>
      <c r="AW444" s="5">
        <v>0</v>
      </c>
      <c r="AX444" s="5">
        <v>1</v>
      </c>
      <c r="AY444" s="5">
        <v>0</v>
      </c>
      <c r="AZ444" s="5">
        <v>201442</v>
      </c>
      <c r="BA444" s="5">
        <f t="shared" si="1073"/>
        <v>203046</v>
      </c>
      <c r="BB444" s="5">
        <v>10</v>
      </c>
      <c r="BC444" s="5">
        <v>0</v>
      </c>
      <c r="BD444" s="5">
        <v>1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f t="shared" si="1026"/>
        <v>1</v>
      </c>
      <c r="BM444" s="5">
        <v>0</v>
      </c>
      <c r="BN444" s="5">
        <v>0</v>
      </c>
      <c r="BO444" s="5">
        <v>0</v>
      </c>
      <c r="BP444" s="5">
        <v>0</v>
      </c>
      <c r="BQ444" s="5"/>
      <c r="BR444" s="5"/>
      <c r="BS444" s="4">
        <v>0</v>
      </c>
      <c r="BT444" s="4">
        <f t="shared" si="1048"/>
        <v>2</v>
      </c>
      <c r="BU444" s="17">
        <v>32</v>
      </c>
      <c r="BV444" s="4">
        <f t="shared" ref="BV444:BY444" si="1107">BV434</f>
        <v>2</v>
      </c>
      <c r="BW444" s="4">
        <f t="shared" si="1107"/>
        <v>2</v>
      </c>
      <c r="BX444" s="4">
        <f t="shared" si="1107"/>
        <v>0.78</v>
      </c>
      <c r="BY444" s="4">
        <f t="shared" si="1107"/>
        <v>0.5</v>
      </c>
      <c r="BZ444" s="27" t="s">
        <v>989</v>
      </c>
      <c r="CA444" s="30" t="str">
        <f t="shared" si="1075"/>
        <v>2</v>
      </c>
      <c r="CB444" s="30" t="s">
        <v>917</v>
      </c>
      <c r="CC444" s="5">
        <v>0</v>
      </c>
      <c r="CD444" s="8">
        <v>3</v>
      </c>
      <c r="CE444" s="5">
        <f t="shared" si="1050"/>
        <v>2</v>
      </c>
      <c r="CF444" s="5">
        <v>1</v>
      </c>
      <c r="CG444" s="27" t="str">
        <f t="shared" si="1057"/>
        <v>2级火龙</v>
      </c>
      <c r="CH444" s="5">
        <v>0</v>
      </c>
      <c r="CI444" s="5">
        <v>0</v>
      </c>
      <c r="CJ444" s="4">
        <v>0</v>
      </c>
      <c r="CK444" s="20">
        <v>0</v>
      </c>
      <c r="CL444" s="5">
        <v>0</v>
      </c>
      <c r="CM444" s="20">
        <v>114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20">
        <v>2.5</v>
      </c>
      <c r="CW444" s="20">
        <v>3</v>
      </c>
      <c r="CX444" s="20">
        <v>2.5</v>
      </c>
      <c r="CY444" s="20">
        <v>3.5</v>
      </c>
      <c r="CZ444" s="8">
        <v>200</v>
      </c>
      <c r="DA444" s="6">
        <f t="shared" si="1065"/>
        <v>10000</v>
      </c>
      <c r="DB444" s="5">
        <v>1</v>
      </c>
      <c r="DC444" s="20">
        <f t="shared" si="1051"/>
        <v>1.5750000000000002</v>
      </c>
      <c r="DD444" s="6">
        <f t="shared" si="1066"/>
        <v>0.52500000000000002</v>
      </c>
      <c r="DE444" s="6">
        <v>1</v>
      </c>
      <c r="DF444" s="5">
        <v>0</v>
      </c>
      <c r="DG444" s="6">
        <v>2.5</v>
      </c>
      <c r="DH444" s="5">
        <v>0</v>
      </c>
      <c r="DI444" s="8">
        <v>0</v>
      </c>
      <c r="DJ444" s="5">
        <v>0</v>
      </c>
      <c r="DK444" s="8">
        <v>0</v>
      </c>
      <c r="DL444" s="5">
        <f t="shared" si="1034"/>
        <v>0</v>
      </c>
      <c r="DM444" s="5" t="str">
        <f t="shared" si="1054"/>
        <v>2级火龙</v>
      </c>
      <c r="DN444" s="5">
        <v>6</v>
      </c>
      <c r="DO444" s="5">
        <v>0</v>
      </c>
      <c r="DP444" s="5">
        <v>1</v>
      </c>
      <c r="DQ444" s="5">
        <v>1</v>
      </c>
      <c r="DR444" s="5">
        <v>2.5</v>
      </c>
      <c r="DS444" s="6">
        <v>3.5</v>
      </c>
      <c r="DT444" s="5">
        <v>-0.6</v>
      </c>
      <c r="DU444" s="5">
        <v>0.8</v>
      </c>
      <c r="DV444" s="6">
        <v>0.5</v>
      </c>
      <c r="DW444" s="5">
        <f t="shared" si="1067"/>
        <v>0.66666666666666663</v>
      </c>
      <c r="DX444" s="5">
        <v>8</v>
      </c>
      <c r="DY444" s="5">
        <f t="shared" si="1068"/>
        <v>0</v>
      </c>
      <c r="DZ444" s="5">
        <v>0</v>
      </c>
    </row>
    <row r="445" spans="1:130" x14ac:dyDescent="0.15">
      <c r="A445" s="5">
        <v>201443</v>
      </c>
      <c r="B445" s="35" t="s">
        <v>768</v>
      </c>
      <c r="C445" s="27">
        <v>30</v>
      </c>
      <c r="D445" s="27">
        <v>1</v>
      </c>
      <c r="E445" s="27">
        <v>3</v>
      </c>
      <c r="F445" s="5">
        <v>2</v>
      </c>
      <c r="G445" s="46">
        <f t="shared" si="1069"/>
        <v>-0.23240000000000005</v>
      </c>
      <c r="H445" s="27" t="s">
        <v>974</v>
      </c>
      <c r="I445" s="27" t="s">
        <v>975</v>
      </c>
      <c r="J445" s="27"/>
      <c r="K445" s="5">
        <f t="shared" si="1096"/>
        <v>0.12000000000000001</v>
      </c>
      <c r="L445" s="10">
        <v>2</v>
      </c>
      <c r="M445" s="5">
        <f t="shared" si="1097"/>
        <v>0.02</v>
      </c>
      <c r="N445" s="10">
        <v>0</v>
      </c>
      <c r="O445" s="5">
        <v>0.2</v>
      </c>
      <c r="P445" s="5">
        <f t="shared" si="1043"/>
        <v>0.2</v>
      </c>
      <c r="Q445" s="5">
        <v>2</v>
      </c>
      <c r="R445" s="5">
        <f t="shared" si="1070"/>
        <v>903924</v>
      </c>
      <c r="S445" s="5">
        <v>30</v>
      </c>
      <c r="T445" s="5">
        <v>10</v>
      </c>
      <c r="U445" s="5">
        <v>0.3</v>
      </c>
      <c r="V445" s="5">
        <v>0.15</v>
      </c>
      <c r="W445" s="5">
        <v>9</v>
      </c>
      <c r="X445" s="5">
        <v>-0.6</v>
      </c>
      <c r="Y445" s="5">
        <v>1.8</v>
      </c>
      <c r="Z445" s="27" t="s">
        <v>1026</v>
      </c>
      <c r="AA445" s="5">
        <v>3</v>
      </c>
      <c r="AB445" s="5">
        <v>2</v>
      </c>
      <c r="AC445" s="5">
        <v>6</v>
      </c>
      <c r="AD445" s="27" t="s">
        <v>1027</v>
      </c>
      <c r="AE445" s="20">
        <v>128</v>
      </c>
      <c r="AF445" s="5">
        <f t="shared" si="1071"/>
        <v>903940</v>
      </c>
      <c r="AG445" s="5">
        <v>60</v>
      </c>
      <c r="AH445" s="5">
        <f t="shared" si="1044"/>
        <v>0.2</v>
      </c>
      <c r="AI445" s="5">
        <v>2</v>
      </c>
      <c r="AJ445" s="5">
        <v>2</v>
      </c>
      <c r="AK445" s="5">
        <f t="shared" si="1072"/>
        <v>15</v>
      </c>
      <c r="AL445" s="5">
        <f t="shared" si="1045"/>
        <v>0</v>
      </c>
      <c r="AM445" s="5">
        <f t="shared" si="1046"/>
        <v>9</v>
      </c>
      <c r="AN445" s="8">
        <v>0</v>
      </c>
      <c r="AO445" s="5">
        <v>0</v>
      </c>
      <c r="AP445" s="35" t="s">
        <v>768</v>
      </c>
      <c r="AQ445" s="5">
        <v>0</v>
      </c>
      <c r="AR445" s="8">
        <v>20</v>
      </c>
      <c r="AS445" s="6">
        <f t="shared" si="1035"/>
        <v>180</v>
      </c>
      <c r="AT445" s="6">
        <f t="shared" si="1036"/>
        <v>189</v>
      </c>
      <c r="AU445" s="5">
        <v>0</v>
      </c>
      <c r="AV445" s="5">
        <v>0</v>
      </c>
      <c r="AW445" s="5">
        <v>0</v>
      </c>
      <c r="AX445" s="5">
        <v>1</v>
      </c>
      <c r="AY445" s="5">
        <v>0</v>
      </c>
      <c r="AZ445" s="5">
        <v>201443</v>
      </c>
      <c r="BA445" s="5">
        <f t="shared" si="1073"/>
        <v>203046</v>
      </c>
      <c r="BB445" s="5">
        <v>10</v>
      </c>
      <c r="BC445" s="5">
        <v>0</v>
      </c>
      <c r="BD445" s="5">
        <v>1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f t="shared" si="1026"/>
        <v>1</v>
      </c>
      <c r="BM445" s="5">
        <v>0</v>
      </c>
      <c r="BN445" s="5">
        <v>0</v>
      </c>
      <c r="BO445" s="5">
        <v>0</v>
      </c>
      <c r="BP445" s="5">
        <v>0</v>
      </c>
      <c r="BQ445" s="5"/>
      <c r="BR445" s="5"/>
      <c r="BS445" s="4">
        <v>0</v>
      </c>
      <c r="BT445" s="4">
        <f t="shared" si="1048"/>
        <v>3</v>
      </c>
      <c r="BU445" s="17">
        <v>33</v>
      </c>
      <c r="BV445" s="4">
        <f t="shared" ref="BV445:BY445" si="1108">BV435</f>
        <v>3</v>
      </c>
      <c r="BW445" s="4">
        <f t="shared" si="1108"/>
        <v>3</v>
      </c>
      <c r="BX445" s="4">
        <f t="shared" si="1108"/>
        <v>0.71</v>
      </c>
      <c r="BY445" s="4">
        <f t="shared" si="1108"/>
        <v>0.45000000000000007</v>
      </c>
      <c r="BZ445" s="27" t="s">
        <v>989</v>
      </c>
      <c r="CA445" s="30" t="str">
        <f t="shared" si="1075"/>
        <v>3</v>
      </c>
      <c r="CB445" s="30" t="s">
        <v>917</v>
      </c>
      <c r="CC445" s="5">
        <v>0</v>
      </c>
      <c r="CD445" s="8">
        <v>3</v>
      </c>
      <c r="CE445" s="5">
        <f t="shared" si="1050"/>
        <v>3</v>
      </c>
      <c r="CF445" s="5">
        <v>1</v>
      </c>
      <c r="CG445" s="27" t="str">
        <f t="shared" si="1057"/>
        <v>3级火龙</v>
      </c>
      <c r="CH445" s="5">
        <v>0</v>
      </c>
      <c r="CI445" s="5">
        <v>0</v>
      </c>
      <c r="CJ445" s="4">
        <v>0</v>
      </c>
      <c r="CK445" s="20">
        <v>0</v>
      </c>
      <c r="CL445" s="5">
        <v>0</v>
      </c>
      <c r="CM445" s="20">
        <v>114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20">
        <v>2.5</v>
      </c>
      <c r="CW445" s="20">
        <v>3</v>
      </c>
      <c r="CX445" s="20">
        <v>2.5</v>
      </c>
      <c r="CY445" s="20">
        <v>3.5</v>
      </c>
      <c r="CZ445" s="8">
        <v>200</v>
      </c>
      <c r="DA445" s="6">
        <f t="shared" si="1065"/>
        <v>15000</v>
      </c>
      <c r="DB445" s="5">
        <v>1</v>
      </c>
      <c r="DC445" s="20">
        <f t="shared" si="1051"/>
        <v>1.6500000000000001</v>
      </c>
      <c r="DD445" s="6">
        <f t="shared" si="1066"/>
        <v>0.55000000000000004</v>
      </c>
      <c r="DE445" s="6">
        <v>1</v>
      </c>
      <c r="DF445" s="5">
        <v>0</v>
      </c>
      <c r="DG445" s="6">
        <v>2.5</v>
      </c>
      <c r="DH445" s="5">
        <v>0</v>
      </c>
      <c r="DI445" s="8">
        <v>0</v>
      </c>
      <c r="DJ445" s="5">
        <v>0</v>
      </c>
      <c r="DK445" s="8">
        <v>0</v>
      </c>
      <c r="DL445" s="5">
        <f t="shared" si="1034"/>
        <v>0</v>
      </c>
      <c r="DM445" s="5" t="str">
        <f t="shared" si="1054"/>
        <v>3级火龙</v>
      </c>
      <c r="DN445" s="5">
        <v>6</v>
      </c>
      <c r="DO445" s="5">
        <v>0</v>
      </c>
      <c r="DP445" s="5">
        <v>1</v>
      </c>
      <c r="DQ445" s="5">
        <v>1</v>
      </c>
      <c r="DR445" s="5">
        <v>2.5</v>
      </c>
      <c r="DS445" s="6">
        <v>3.5</v>
      </c>
      <c r="DT445" s="5">
        <v>-0.6</v>
      </c>
      <c r="DU445" s="5">
        <v>0.8</v>
      </c>
      <c r="DV445" s="6">
        <v>0.5</v>
      </c>
      <c r="DW445" s="5">
        <f t="shared" si="1067"/>
        <v>0.66666666666666663</v>
      </c>
      <c r="DX445" s="5">
        <v>8</v>
      </c>
      <c r="DY445" s="5">
        <f t="shared" si="1068"/>
        <v>0</v>
      </c>
      <c r="DZ445" s="5">
        <v>0</v>
      </c>
    </row>
    <row r="446" spans="1:130" x14ac:dyDescent="0.15">
      <c r="A446" s="5">
        <v>201444</v>
      </c>
      <c r="B446" s="35" t="s">
        <v>769</v>
      </c>
      <c r="C446" s="27">
        <v>30</v>
      </c>
      <c r="D446" s="27">
        <v>1</v>
      </c>
      <c r="E446" s="27">
        <v>3</v>
      </c>
      <c r="F446" s="5">
        <v>2</v>
      </c>
      <c r="G446" s="46">
        <f t="shared" si="1069"/>
        <v>-0.23240000000000005</v>
      </c>
      <c r="H446" s="27" t="s">
        <v>974</v>
      </c>
      <c r="I446" s="27" t="s">
        <v>975</v>
      </c>
      <c r="J446" s="27"/>
      <c r="K446" s="5">
        <f t="shared" si="1096"/>
        <v>0.13</v>
      </c>
      <c r="L446" s="10">
        <v>2</v>
      </c>
      <c r="M446" s="5">
        <f t="shared" si="1097"/>
        <v>0.03</v>
      </c>
      <c r="N446" s="10">
        <v>0</v>
      </c>
      <c r="O446" s="5">
        <v>0.2</v>
      </c>
      <c r="P446" s="5">
        <f t="shared" si="1043"/>
        <v>0.2</v>
      </c>
      <c r="Q446" s="5">
        <v>2</v>
      </c>
      <c r="R446" s="5">
        <f t="shared" si="1070"/>
        <v>903924</v>
      </c>
      <c r="S446" s="5">
        <v>30</v>
      </c>
      <c r="T446" s="5">
        <v>10</v>
      </c>
      <c r="U446" s="5">
        <v>0.3</v>
      </c>
      <c r="V446" s="5">
        <v>0.15</v>
      </c>
      <c r="W446" s="5">
        <v>9</v>
      </c>
      <c r="X446" s="5">
        <v>-0.6</v>
      </c>
      <c r="Y446" s="5">
        <v>1.8</v>
      </c>
      <c r="Z446" s="27" t="s">
        <v>1026</v>
      </c>
      <c r="AA446" s="5">
        <v>3</v>
      </c>
      <c r="AB446" s="5">
        <v>2</v>
      </c>
      <c r="AC446" s="5">
        <v>6</v>
      </c>
      <c r="AD446" s="27" t="s">
        <v>1027</v>
      </c>
      <c r="AE446" s="20">
        <v>128</v>
      </c>
      <c r="AF446" s="5">
        <f t="shared" si="1071"/>
        <v>903940</v>
      </c>
      <c r="AG446" s="5">
        <v>60</v>
      </c>
      <c r="AH446" s="5">
        <f t="shared" si="1044"/>
        <v>0.2</v>
      </c>
      <c r="AI446" s="5">
        <v>2</v>
      </c>
      <c r="AJ446" s="5">
        <v>2</v>
      </c>
      <c r="AK446" s="5">
        <f t="shared" si="1072"/>
        <v>20</v>
      </c>
      <c r="AL446" s="5">
        <f t="shared" si="1045"/>
        <v>0</v>
      </c>
      <c r="AM446" s="5">
        <f t="shared" si="1046"/>
        <v>12</v>
      </c>
      <c r="AN446" s="8">
        <v>0</v>
      </c>
      <c r="AO446" s="5">
        <v>0</v>
      </c>
      <c r="AP446" s="35" t="s">
        <v>769</v>
      </c>
      <c r="AQ446" s="5">
        <v>0</v>
      </c>
      <c r="AR446" s="8">
        <v>20</v>
      </c>
      <c r="AS446" s="6">
        <f t="shared" si="1035"/>
        <v>240</v>
      </c>
      <c r="AT446" s="6">
        <f t="shared" si="1036"/>
        <v>252</v>
      </c>
      <c r="AU446" s="5">
        <v>0</v>
      </c>
      <c r="AV446" s="5">
        <v>0</v>
      </c>
      <c r="AW446" s="5">
        <v>0</v>
      </c>
      <c r="AX446" s="5">
        <v>1</v>
      </c>
      <c r="AY446" s="5">
        <v>0</v>
      </c>
      <c r="AZ446" s="5">
        <v>201444</v>
      </c>
      <c r="BA446" s="5">
        <f t="shared" si="1073"/>
        <v>203046</v>
      </c>
      <c r="BB446" s="5">
        <v>10</v>
      </c>
      <c r="BC446" s="5">
        <v>0</v>
      </c>
      <c r="BD446" s="5">
        <v>1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f t="shared" si="1026"/>
        <v>1</v>
      </c>
      <c r="BM446" s="5">
        <v>0</v>
      </c>
      <c r="BN446" s="5">
        <v>0</v>
      </c>
      <c r="BO446" s="5">
        <v>0</v>
      </c>
      <c r="BP446" s="5">
        <v>0</v>
      </c>
      <c r="BQ446" s="5"/>
      <c r="BR446" s="5"/>
      <c r="BS446" s="4">
        <v>0</v>
      </c>
      <c r="BT446" s="4">
        <f t="shared" si="1048"/>
        <v>4</v>
      </c>
      <c r="BU446" s="17">
        <v>34</v>
      </c>
      <c r="BV446" s="4">
        <f t="shared" ref="BV446:BY446" si="1109">BV436</f>
        <v>4</v>
      </c>
      <c r="BW446" s="4">
        <f t="shared" si="1109"/>
        <v>4</v>
      </c>
      <c r="BX446" s="4">
        <f t="shared" si="1109"/>
        <v>0.6399999999999999</v>
      </c>
      <c r="BY446" s="4">
        <f t="shared" si="1109"/>
        <v>0.4</v>
      </c>
      <c r="BZ446" s="27" t="s">
        <v>989</v>
      </c>
      <c r="CA446" s="30" t="str">
        <f t="shared" si="1075"/>
        <v>4</v>
      </c>
      <c r="CB446" s="30" t="s">
        <v>917</v>
      </c>
      <c r="CC446" s="5">
        <v>0</v>
      </c>
      <c r="CD446" s="8">
        <v>3</v>
      </c>
      <c r="CE446" s="5">
        <f t="shared" si="1050"/>
        <v>4</v>
      </c>
      <c r="CF446" s="5">
        <v>1</v>
      </c>
      <c r="CG446" s="27" t="str">
        <f t="shared" si="1057"/>
        <v>4级火龙</v>
      </c>
      <c r="CH446" s="5">
        <v>0</v>
      </c>
      <c r="CI446" s="5">
        <v>0</v>
      </c>
      <c r="CJ446" s="4">
        <v>0</v>
      </c>
      <c r="CK446" s="20">
        <v>0</v>
      </c>
      <c r="CL446" s="5">
        <v>0</v>
      </c>
      <c r="CM446" s="20">
        <v>114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20">
        <v>2.5</v>
      </c>
      <c r="CW446" s="20">
        <v>3</v>
      </c>
      <c r="CX446" s="20">
        <v>2.5</v>
      </c>
      <c r="CY446" s="20">
        <v>3.5</v>
      </c>
      <c r="CZ446" s="8">
        <v>200</v>
      </c>
      <c r="DA446" s="6">
        <f t="shared" si="1065"/>
        <v>20000</v>
      </c>
      <c r="DB446" s="5">
        <v>1</v>
      </c>
      <c r="DC446" s="20">
        <f t="shared" si="1051"/>
        <v>1.7249999999999999</v>
      </c>
      <c r="DD446" s="6">
        <f t="shared" si="1066"/>
        <v>0.57499999999999996</v>
      </c>
      <c r="DE446" s="6">
        <v>1</v>
      </c>
      <c r="DF446" s="5">
        <v>0</v>
      </c>
      <c r="DG446" s="6">
        <v>2.5</v>
      </c>
      <c r="DH446" s="5">
        <v>0</v>
      </c>
      <c r="DI446" s="8">
        <v>0</v>
      </c>
      <c r="DJ446" s="5">
        <v>0</v>
      </c>
      <c r="DK446" s="8">
        <v>0</v>
      </c>
      <c r="DL446" s="5">
        <f t="shared" si="1034"/>
        <v>0</v>
      </c>
      <c r="DM446" s="5" t="str">
        <f t="shared" si="1054"/>
        <v>4级火龙</v>
      </c>
      <c r="DN446" s="5">
        <v>6</v>
      </c>
      <c r="DO446" s="5">
        <v>0</v>
      </c>
      <c r="DP446" s="5">
        <v>1</v>
      </c>
      <c r="DQ446" s="5">
        <v>1</v>
      </c>
      <c r="DR446" s="5">
        <v>2.5</v>
      </c>
      <c r="DS446" s="6">
        <v>3.5</v>
      </c>
      <c r="DT446" s="5">
        <v>-0.6</v>
      </c>
      <c r="DU446" s="5">
        <v>0.8</v>
      </c>
      <c r="DV446" s="6">
        <v>0.5</v>
      </c>
      <c r="DW446" s="5">
        <f t="shared" si="1067"/>
        <v>0.66666666666666663</v>
      </c>
      <c r="DX446" s="5">
        <v>8</v>
      </c>
      <c r="DY446" s="5">
        <f t="shared" si="1068"/>
        <v>0</v>
      </c>
      <c r="DZ446" s="5">
        <v>0</v>
      </c>
    </row>
    <row r="447" spans="1:130" x14ac:dyDescent="0.15">
      <c r="A447" s="5">
        <v>201445</v>
      </c>
      <c r="B447" s="35" t="s">
        <v>770</v>
      </c>
      <c r="C447" s="27">
        <v>30</v>
      </c>
      <c r="D447" s="27">
        <v>1</v>
      </c>
      <c r="E447" s="27">
        <v>3</v>
      </c>
      <c r="F447" s="5">
        <v>2</v>
      </c>
      <c r="G447" s="46">
        <f t="shared" si="1069"/>
        <v>-0.23240000000000005</v>
      </c>
      <c r="H447" s="27" t="s">
        <v>974</v>
      </c>
      <c r="I447" s="27" t="s">
        <v>975</v>
      </c>
      <c r="J447" s="27"/>
      <c r="K447" s="5">
        <f t="shared" si="1096"/>
        <v>0.14000000000000001</v>
      </c>
      <c r="L447" s="10">
        <v>2</v>
      </c>
      <c r="M447" s="5">
        <f t="shared" si="1097"/>
        <v>0.04</v>
      </c>
      <c r="N447" s="10">
        <v>0</v>
      </c>
      <c r="O447" s="5">
        <v>0.2</v>
      </c>
      <c r="P447" s="5">
        <f t="shared" si="1043"/>
        <v>0.2</v>
      </c>
      <c r="Q447" s="5">
        <v>2</v>
      </c>
      <c r="R447" s="5">
        <f t="shared" si="1070"/>
        <v>903924</v>
      </c>
      <c r="S447" s="5">
        <v>30</v>
      </c>
      <c r="T447" s="5">
        <v>10</v>
      </c>
      <c r="U447" s="5">
        <v>0.3</v>
      </c>
      <c r="V447" s="5">
        <v>0.15</v>
      </c>
      <c r="W447" s="5">
        <v>9</v>
      </c>
      <c r="X447" s="5">
        <v>-0.6</v>
      </c>
      <c r="Y447" s="5">
        <v>1.8</v>
      </c>
      <c r="Z447" s="27" t="s">
        <v>1026</v>
      </c>
      <c r="AA447" s="5">
        <v>3</v>
      </c>
      <c r="AB447" s="5">
        <v>2</v>
      </c>
      <c r="AC447" s="5">
        <v>6</v>
      </c>
      <c r="AD447" s="27" t="s">
        <v>1027</v>
      </c>
      <c r="AE447" s="20">
        <v>128</v>
      </c>
      <c r="AF447" s="5">
        <f t="shared" si="1071"/>
        <v>903940</v>
      </c>
      <c r="AG447" s="5">
        <v>60</v>
      </c>
      <c r="AH447" s="5">
        <f t="shared" si="1044"/>
        <v>0.2</v>
      </c>
      <c r="AI447" s="5">
        <v>2</v>
      </c>
      <c r="AJ447" s="5">
        <v>2</v>
      </c>
      <c r="AK447" s="5">
        <f t="shared" si="1072"/>
        <v>25</v>
      </c>
      <c r="AL447" s="5">
        <f t="shared" si="1045"/>
        <v>0</v>
      </c>
      <c r="AM447" s="5">
        <f t="shared" si="1046"/>
        <v>15</v>
      </c>
      <c r="AN447" s="8">
        <v>0</v>
      </c>
      <c r="AO447" s="5">
        <v>0</v>
      </c>
      <c r="AP447" s="35" t="s">
        <v>770</v>
      </c>
      <c r="AQ447" s="5">
        <v>0</v>
      </c>
      <c r="AR447" s="8">
        <v>20</v>
      </c>
      <c r="AS447" s="6">
        <f t="shared" si="1035"/>
        <v>300</v>
      </c>
      <c r="AT447" s="6">
        <f t="shared" si="1036"/>
        <v>315</v>
      </c>
      <c r="AU447" s="5">
        <v>0</v>
      </c>
      <c r="AV447" s="5">
        <v>0</v>
      </c>
      <c r="AW447" s="5">
        <v>0</v>
      </c>
      <c r="AX447" s="5">
        <v>1</v>
      </c>
      <c r="AY447" s="5">
        <v>0</v>
      </c>
      <c r="AZ447" s="5">
        <v>201445</v>
      </c>
      <c r="BA447" s="5">
        <f t="shared" si="1073"/>
        <v>203046</v>
      </c>
      <c r="BB447" s="5">
        <v>10</v>
      </c>
      <c r="BC447" s="5">
        <v>0</v>
      </c>
      <c r="BD447" s="5">
        <v>1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f t="shared" ref="BL447:BL510" si="1110">BL426</f>
        <v>1</v>
      </c>
      <c r="BM447" s="5">
        <v>0</v>
      </c>
      <c r="BN447" s="5">
        <v>0</v>
      </c>
      <c r="BO447" s="5">
        <v>0</v>
      </c>
      <c r="BP447" s="5">
        <v>0</v>
      </c>
      <c r="BQ447" s="5"/>
      <c r="BR447" s="5"/>
      <c r="BS447" s="4">
        <v>0</v>
      </c>
      <c r="BT447" s="4">
        <f t="shared" si="1048"/>
        <v>5</v>
      </c>
      <c r="BU447" s="17">
        <v>35</v>
      </c>
      <c r="BV447" s="4">
        <f t="shared" ref="BV447:BY447" si="1111">BV437</f>
        <v>5</v>
      </c>
      <c r="BW447" s="4">
        <f t="shared" si="1111"/>
        <v>5</v>
      </c>
      <c r="BX447" s="4">
        <f t="shared" si="1111"/>
        <v>0.56999999999999995</v>
      </c>
      <c r="BY447" s="4">
        <f t="shared" si="1111"/>
        <v>0.35000000000000003</v>
      </c>
      <c r="BZ447" s="27" t="s">
        <v>989</v>
      </c>
      <c r="CA447" s="30" t="str">
        <f t="shared" si="1075"/>
        <v>5</v>
      </c>
      <c r="CB447" s="30" t="s">
        <v>917</v>
      </c>
      <c r="CC447" s="5">
        <v>0</v>
      </c>
      <c r="CD447" s="8">
        <v>3</v>
      </c>
      <c r="CE447" s="5">
        <f t="shared" si="1050"/>
        <v>5</v>
      </c>
      <c r="CF447" s="5">
        <v>1</v>
      </c>
      <c r="CG447" s="27" t="str">
        <f t="shared" si="1057"/>
        <v>5级火龙</v>
      </c>
      <c r="CH447" s="5">
        <v>0</v>
      </c>
      <c r="CI447" s="5">
        <v>0</v>
      </c>
      <c r="CJ447" s="4">
        <v>0</v>
      </c>
      <c r="CK447" s="20">
        <v>0</v>
      </c>
      <c r="CL447" s="5">
        <v>0</v>
      </c>
      <c r="CM447" s="20">
        <v>114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20">
        <v>2.5</v>
      </c>
      <c r="CW447" s="20">
        <v>3</v>
      </c>
      <c r="CX447" s="20">
        <v>2.5</v>
      </c>
      <c r="CY447" s="20">
        <v>3.5</v>
      </c>
      <c r="CZ447" s="8">
        <v>200</v>
      </c>
      <c r="DA447" s="6">
        <f t="shared" si="1065"/>
        <v>25000</v>
      </c>
      <c r="DB447" s="5">
        <v>1</v>
      </c>
      <c r="DC447" s="20">
        <f t="shared" si="1051"/>
        <v>1.7999999999999998</v>
      </c>
      <c r="DD447" s="6">
        <f t="shared" si="1066"/>
        <v>0.6</v>
      </c>
      <c r="DE447" s="6">
        <v>1</v>
      </c>
      <c r="DF447" s="5">
        <v>0</v>
      </c>
      <c r="DG447" s="6">
        <v>2.5</v>
      </c>
      <c r="DH447" s="5">
        <v>0</v>
      </c>
      <c r="DI447" s="8">
        <v>0</v>
      </c>
      <c r="DJ447" s="5">
        <v>0</v>
      </c>
      <c r="DK447" s="8">
        <v>0</v>
      </c>
      <c r="DL447" s="5">
        <f t="shared" si="1034"/>
        <v>0</v>
      </c>
      <c r="DM447" s="5" t="str">
        <f t="shared" si="1054"/>
        <v>5级火龙</v>
      </c>
      <c r="DN447" s="5">
        <v>6</v>
      </c>
      <c r="DO447" s="5">
        <v>0</v>
      </c>
      <c r="DP447" s="5">
        <v>1</v>
      </c>
      <c r="DQ447" s="5">
        <v>1</v>
      </c>
      <c r="DR447" s="5">
        <v>2.5</v>
      </c>
      <c r="DS447" s="6">
        <v>3.5</v>
      </c>
      <c r="DT447" s="5">
        <v>-0.6</v>
      </c>
      <c r="DU447" s="5">
        <v>0.8</v>
      </c>
      <c r="DV447" s="6">
        <v>0.5</v>
      </c>
      <c r="DW447" s="5">
        <f t="shared" si="1067"/>
        <v>0.66666666666666663</v>
      </c>
      <c r="DX447" s="5">
        <v>8</v>
      </c>
      <c r="DY447" s="5">
        <f t="shared" si="1068"/>
        <v>0</v>
      </c>
      <c r="DZ447" s="5">
        <v>0</v>
      </c>
    </row>
    <row r="448" spans="1:130" x14ac:dyDescent="0.15">
      <c r="A448" s="5">
        <v>201446</v>
      </c>
      <c r="B448" s="35" t="s">
        <v>771</v>
      </c>
      <c r="C448" s="27">
        <v>30</v>
      </c>
      <c r="D448" s="27">
        <v>1</v>
      </c>
      <c r="E448" s="27">
        <v>3</v>
      </c>
      <c r="F448" s="5">
        <v>2</v>
      </c>
      <c r="G448" s="46">
        <f t="shared" si="1069"/>
        <v>-0.23240000000000005</v>
      </c>
      <c r="H448" s="27" t="s">
        <v>974</v>
      </c>
      <c r="I448" s="27" t="s">
        <v>975</v>
      </c>
      <c r="J448" s="27"/>
      <c r="K448" s="5">
        <f t="shared" si="1096"/>
        <v>0.15000000000000002</v>
      </c>
      <c r="L448" s="10">
        <v>2</v>
      </c>
      <c r="M448" s="5">
        <f t="shared" si="1097"/>
        <v>0.05</v>
      </c>
      <c r="N448" s="10">
        <v>0</v>
      </c>
      <c r="O448" s="5">
        <v>0.2</v>
      </c>
      <c r="P448" s="5">
        <f t="shared" si="1043"/>
        <v>0.2</v>
      </c>
      <c r="Q448" s="5">
        <v>2</v>
      </c>
      <c r="R448" s="5">
        <f t="shared" si="1070"/>
        <v>903924</v>
      </c>
      <c r="S448" s="5">
        <v>30</v>
      </c>
      <c r="T448" s="5">
        <v>10</v>
      </c>
      <c r="U448" s="5">
        <v>0.3</v>
      </c>
      <c r="V448" s="5">
        <v>0.15</v>
      </c>
      <c r="W448" s="5">
        <v>9</v>
      </c>
      <c r="X448" s="5">
        <v>-0.6</v>
      </c>
      <c r="Y448" s="5">
        <v>1.8</v>
      </c>
      <c r="Z448" s="27" t="s">
        <v>1026</v>
      </c>
      <c r="AA448" s="5">
        <v>3</v>
      </c>
      <c r="AB448" s="5">
        <v>2</v>
      </c>
      <c r="AC448" s="5">
        <v>6</v>
      </c>
      <c r="AD448" s="27" t="s">
        <v>1027</v>
      </c>
      <c r="AE448" s="20">
        <v>128</v>
      </c>
      <c r="AF448" s="5">
        <f t="shared" si="1071"/>
        <v>903940</v>
      </c>
      <c r="AG448" s="5">
        <v>60</v>
      </c>
      <c r="AH448" s="5">
        <f t="shared" si="1044"/>
        <v>0.2</v>
      </c>
      <c r="AI448" s="5">
        <v>2</v>
      </c>
      <c r="AJ448" s="5">
        <v>2</v>
      </c>
      <c r="AK448" s="5">
        <f t="shared" si="1072"/>
        <v>30</v>
      </c>
      <c r="AL448" s="5">
        <f t="shared" si="1045"/>
        <v>0</v>
      </c>
      <c r="AM448" s="5">
        <f t="shared" si="1046"/>
        <v>18</v>
      </c>
      <c r="AN448" s="8">
        <v>0</v>
      </c>
      <c r="AO448" s="5">
        <v>0</v>
      </c>
      <c r="AP448" s="35" t="s">
        <v>771</v>
      </c>
      <c r="AQ448" s="5">
        <v>0</v>
      </c>
      <c r="AR448" s="8">
        <v>20</v>
      </c>
      <c r="AS448" s="6">
        <f t="shared" si="1035"/>
        <v>360</v>
      </c>
      <c r="AT448" s="6">
        <f t="shared" si="1036"/>
        <v>378</v>
      </c>
      <c r="AU448" s="5">
        <v>0</v>
      </c>
      <c r="AV448" s="5">
        <v>0</v>
      </c>
      <c r="AW448" s="5">
        <v>0</v>
      </c>
      <c r="AX448" s="5">
        <v>1</v>
      </c>
      <c r="AY448" s="5">
        <v>0</v>
      </c>
      <c r="AZ448" s="5">
        <v>201446</v>
      </c>
      <c r="BA448" s="5">
        <f t="shared" si="1073"/>
        <v>203046</v>
      </c>
      <c r="BB448" s="5">
        <v>10</v>
      </c>
      <c r="BC448" s="5">
        <v>0</v>
      </c>
      <c r="BD448" s="5">
        <v>1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f t="shared" si="1110"/>
        <v>1</v>
      </c>
      <c r="BM448" s="5">
        <v>0</v>
      </c>
      <c r="BN448" s="5">
        <v>0</v>
      </c>
      <c r="BO448" s="5">
        <v>0</v>
      </c>
      <c r="BP448" s="5">
        <v>0</v>
      </c>
      <c r="BQ448" s="5"/>
      <c r="BR448" s="5"/>
      <c r="BS448" s="4">
        <v>0</v>
      </c>
      <c r="BT448" s="4">
        <f t="shared" si="1048"/>
        <v>6</v>
      </c>
      <c r="BU448" s="17">
        <v>36</v>
      </c>
      <c r="BV448" s="4">
        <f t="shared" ref="BV448:BY448" si="1112">BV438</f>
        <v>6</v>
      </c>
      <c r="BW448" s="4">
        <f t="shared" si="1112"/>
        <v>6</v>
      </c>
      <c r="BX448" s="4">
        <f t="shared" si="1112"/>
        <v>0.49999999999999994</v>
      </c>
      <c r="BY448" s="4">
        <f t="shared" si="1112"/>
        <v>0.30000000000000004</v>
      </c>
      <c r="BZ448" s="27" t="s">
        <v>989</v>
      </c>
      <c r="CA448" s="30" t="str">
        <f t="shared" si="1075"/>
        <v>6</v>
      </c>
      <c r="CB448" s="30" t="s">
        <v>917</v>
      </c>
      <c r="CC448" s="5">
        <v>0</v>
      </c>
      <c r="CD448" s="8">
        <v>3</v>
      </c>
      <c r="CE448" s="5">
        <f t="shared" si="1050"/>
        <v>6</v>
      </c>
      <c r="CF448" s="5">
        <v>1</v>
      </c>
      <c r="CG448" s="27" t="str">
        <f t="shared" si="1057"/>
        <v>6级火龙</v>
      </c>
      <c r="CH448" s="5">
        <v>0</v>
      </c>
      <c r="CI448" s="5">
        <v>0</v>
      </c>
      <c r="CJ448" s="4">
        <v>0</v>
      </c>
      <c r="CK448" s="20">
        <v>0</v>
      </c>
      <c r="CL448" s="5">
        <v>0</v>
      </c>
      <c r="CM448" s="20">
        <v>114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20">
        <v>2.5</v>
      </c>
      <c r="CW448" s="20">
        <v>3</v>
      </c>
      <c r="CX448" s="20">
        <v>2.5</v>
      </c>
      <c r="CY448" s="20">
        <v>3.5</v>
      </c>
      <c r="CZ448" s="8">
        <v>200</v>
      </c>
      <c r="DA448" s="6">
        <f t="shared" si="1065"/>
        <v>30000</v>
      </c>
      <c r="DB448" s="5">
        <v>1</v>
      </c>
      <c r="DC448" s="20">
        <f t="shared" si="1051"/>
        <v>1.875</v>
      </c>
      <c r="DD448" s="6">
        <f t="shared" si="1066"/>
        <v>0.625</v>
      </c>
      <c r="DE448" s="6">
        <v>1</v>
      </c>
      <c r="DF448" s="5">
        <v>0</v>
      </c>
      <c r="DG448" s="6">
        <v>2.5</v>
      </c>
      <c r="DH448" s="5">
        <v>0</v>
      </c>
      <c r="DI448" s="8">
        <v>0</v>
      </c>
      <c r="DJ448" s="5">
        <v>0</v>
      </c>
      <c r="DK448" s="8">
        <v>0</v>
      </c>
      <c r="DL448" s="5">
        <f t="shared" si="1034"/>
        <v>0</v>
      </c>
      <c r="DM448" s="5" t="str">
        <f t="shared" si="1054"/>
        <v>6级火龙</v>
      </c>
      <c r="DN448" s="5">
        <v>6</v>
      </c>
      <c r="DO448" s="5">
        <v>0</v>
      </c>
      <c r="DP448" s="5">
        <v>1</v>
      </c>
      <c r="DQ448" s="5">
        <v>1</v>
      </c>
      <c r="DR448" s="5">
        <v>2.5</v>
      </c>
      <c r="DS448" s="6">
        <v>3.5</v>
      </c>
      <c r="DT448" s="5">
        <v>-0.6</v>
      </c>
      <c r="DU448" s="5">
        <v>0.8</v>
      </c>
      <c r="DV448" s="6">
        <v>0.5</v>
      </c>
      <c r="DW448" s="5">
        <f t="shared" si="1067"/>
        <v>0.66666666666666663</v>
      </c>
      <c r="DX448" s="5">
        <v>8</v>
      </c>
      <c r="DY448" s="5">
        <f t="shared" si="1068"/>
        <v>0</v>
      </c>
      <c r="DZ448" s="5">
        <v>0</v>
      </c>
    </row>
    <row r="449" spans="1:130" x14ac:dyDescent="0.15">
      <c r="A449" s="5">
        <v>201447</v>
      </c>
      <c r="B449" s="35" t="s">
        <v>772</v>
      </c>
      <c r="C449" s="27">
        <v>30</v>
      </c>
      <c r="D449" s="27">
        <v>1</v>
      </c>
      <c r="E449" s="27">
        <v>3</v>
      </c>
      <c r="F449" s="5">
        <v>2</v>
      </c>
      <c r="G449" s="46">
        <f t="shared" si="1069"/>
        <v>-0.23240000000000005</v>
      </c>
      <c r="H449" s="27" t="s">
        <v>974</v>
      </c>
      <c r="I449" s="27" t="s">
        <v>975</v>
      </c>
      <c r="J449" s="27"/>
      <c r="K449" s="5">
        <f t="shared" si="1096"/>
        <v>0.16</v>
      </c>
      <c r="L449" s="10">
        <v>2</v>
      </c>
      <c r="M449" s="5">
        <f t="shared" si="1097"/>
        <v>0.06</v>
      </c>
      <c r="N449" s="10">
        <v>0</v>
      </c>
      <c r="O449" s="5">
        <v>0.2</v>
      </c>
      <c r="P449" s="5">
        <f t="shared" si="1043"/>
        <v>0.2</v>
      </c>
      <c r="Q449" s="5">
        <v>2</v>
      </c>
      <c r="R449" s="5">
        <f t="shared" si="1070"/>
        <v>903924</v>
      </c>
      <c r="S449" s="5">
        <v>30</v>
      </c>
      <c r="T449" s="5">
        <v>10</v>
      </c>
      <c r="U449" s="5">
        <v>0.3</v>
      </c>
      <c r="V449" s="5">
        <v>0.15</v>
      </c>
      <c r="W449" s="5">
        <v>9</v>
      </c>
      <c r="X449" s="5">
        <v>-0.6</v>
      </c>
      <c r="Y449" s="5">
        <v>1.8</v>
      </c>
      <c r="Z449" s="27" t="s">
        <v>1026</v>
      </c>
      <c r="AA449" s="5">
        <v>3</v>
      </c>
      <c r="AB449" s="5">
        <v>2</v>
      </c>
      <c r="AC449" s="5">
        <v>6</v>
      </c>
      <c r="AD449" s="27" t="s">
        <v>1027</v>
      </c>
      <c r="AE449" s="20">
        <v>128</v>
      </c>
      <c r="AF449" s="5">
        <f t="shared" si="1071"/>
        <v>903940</v>
      </c>
      <c r="AG449" s="5">
        <v>60</v>
      </c>
      <c r="AH449" s="5">
        <f t="shared" si="1044"/>
        <v>0.2</v>
      </c>
      <c r="AI449" s="5">
        <v>2</v>
      </c>
      <c r="AJ449" s="5">
        <v>2</v>
      </c>
      <c r="AK449" s="5">
        <f t="shared" si="1072"/>
        <v>35</v>
      </c>
      <c r="AL449" s="5">
        <f t="shared" si="1045"/>
        <v>0</v>
      </c>
      <c r="AM449" s="5">
        <f t="shared" si="1046"/>
        <v>21</v>
      </c>
      <c r="AN449" s="8">
        <v>0</v>
      </c>
      <c r="AO449" s="5">
        <v>0</v>
      </c>
      <c r="AP449" s="35" t="s">
        <v>772</v>
      </c>
      <c r="AQ449" s="5">
        <v>0</v>
      </c>
      <c r="AR449" s="8">
        <v>20</v>
      </c>
      <c r="AS449" s="6">
        <f t="shared" si="1035"/>
        <v>420</v>
      </c>
      <c r="AT449" s="6">
        <f t="shared" si="1036"/>
        <v>441</v>
      </c>
      <c r="AU449" s="5">
        <v>0</v>
      </c>
      <c r="AV449" s="5">
        <v>0</v>
      </c>
      <c r="AW449" s="5">
        <v>0</v>
      </c>
      <c r="AX449" s="5">
        <v>1</v>
      </c>
      <c r="AY449" s="5">
        <v>0</v>
      </c>
      <c r="AZ449" s="5">
        <v>201447</v>
      </c>
      <c r="BA449" s="5">
        <f t="shared" si="1073"/>
        <v>203046</v>
      </c>
      <c r="BB449" s="5">
        <v>10</v>
      </c>
      <c r="BC449" s="5">
        <v>0</v>
      </c>
      <c r="BD449" s="5">
        <v>1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f t="shared" si="1110"/>
        <v>1</v>
      </c>
      <c r="BM449" s="5">
        <v>0</v>
      </c>
      <c r="BN449" s="5">
        <v>0</v>
      </c>
      <c r="BO449" s="5">
        <v>0</v>
      </c>
      <c r="BP449" s="5">
        <v>0</v>
      </c>
      <c r="BQ449" s="5"/>
      <c r="BR449" s="5"/>
      <c r="BS449" s="4">
        <v>0</v>
      </c>
      <c r="BT449" s="4">
        <f t="shared" si="1048"/>
        <v>7</v>
      </c>
      <c r="BU449" s="17">
        <v>37</v>
      </c>
      <c r="BV449" s="4">
        <f t="shared" ref="BV449:BY449" si="1113">BV439</f>
        <v>7</v>
      </c>
      <c r="BW449" s="4">
        <f t="shared" si="1113"/>
        <v>7</v>
      </c>
      <c r="BX449" s="4">
        <f t="shared" si="1113"/>
        <v>0.42999999999999994</v>
      </c>
      <c r="BY449" s="4">
        <f t="shared" si="1113"/>
        <v>0.25</v>
      </c>
      <c r="BZ449" s="27" t="s">
        <v>989</v>
      </c>
      <c r="CA449" s="30" t="str">
        <f t="shared" si="1075"/>
        <v>7</v>
      </c>
      <c r="CB449" s="30" t="s">
        <v>917</v>
      </c>
      <c r="CC449" s="5">
        <v>0</v>
      </c>
      <c r="CD449" s="8">
        <v>3</v>
      </c>
      <c r="CE449" s="5">
        <f t="shared" si="1050"/>
        <v>7</v>
      </c>
      <c r="CF449" s="5">
        <v>1</v>
      </c>
      <c r="CG449" s="27" t="str">
        <f t="shared" si="1057"/>
        <v>7级火龙</v>
      </c>
      <c r="CH449" s="5">
        <v>0</v>
      </c>
      <c r="CI449" s="5">
        <v>0</v>
      </c>
      <c r="CJ449" s="4">
        <v>0</v>
      </c>
      <c r="CK449" s="20">
        <v>0</v>
      </c>
      <c r="CL449" s="5">
        <v>0</v>
      </c>
      <c r="CM449" s="20">
        <v>114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20">
        <v>2.5</v>
      </c>
      <c r="CW449" s="20">
        <v>3</v>
      </c>
      <c r="CX449" s="20">
        <v>2.5</v>
      </c>
      <c r="CY449" s="20">
        <v>3.5</v>
      </c>
      <c r="CZ449" s="8">
        <v>200</v>
      </c>
      <c r="DA449" s="6">
        <f t="shared" si="1065"/>
        <v>35000</v>
      </c>
      <c r="DB449" s="5">
        <v>1</v>
      </c>
      <c r="DC449" s="20">
        <f t="shared" si="1051"/>
        <v>1.9500000000000002</v>
      </c>
      <c r="DD449" s="6">
        <f t="shared" si="1066"/>
        <v>0.65</v>
      </c>
      <c r="DE449" s="6">
        <v>1</v>
      </c>
      <c r="DF449" s="5">
        <v>0</v>
      </c>
      <c r="DG449" s="6">
        <v>2.5</v>
      </c>
      <c r="DH449" s="5">
        <v>0</v>
      </c>
      <c r="DI449" s="8">
        <v>0</v>
      </c>
      <c r="DJ449" s="5">
        <v>0</v>
      </c>
      <c r="DK449" s="8">
        <v>0</v>
      </c>
      <c r="DL449" s="5">
        <f t="shared" si="1034"/>
        <v>0</v>
      </c>
      <c r="DM449" s="5" t="str">
        <f t="shared" si="1054"/>
        <v>7级火龙</v>
      </c>
      <c r="DN449" s="5">
        <v>6</v>
      </c>
      <c r="DO449" s="5">
        <v>0</v>
      </c>
      <c r="DP449" s="5">
        <v>1</v>
      </c>
      <c r="DQ449" s="5">
        <v>1</v>
      </c>
      <c r="DR449" s="5">
        <v>2.5</v>
      </c>
      <c r="DS449" s="6">
        <v>3.5</v>
      </c>
      <c r="DT449" s="5">
        <v>-0.6</v>
      </c>
      <c r="DU449" s="5">
        <v>0.8</v>
      </c>
      <c r="DV449" s="6">
        <v>0.5</v>
      </c>
      <c r="DW449" s="5">
        <f t="shared" si="1067"/>
        <v>0.66666666666666663</v>
      </c>
      <c r="DX449" s="5">
        <v>8</v>
      </c>
      <c r="DY449" s="5">
        <f t="shared" si="1068"/>
        <v>0</v>
      </c>
      <c r="DZ449" s="5">
        <v>0</v>
      </c>
    </row>
    <row r="450" spans="1:130" x14ac:dyDescent="0.15">
      <c r="A450" s="5">
        <v>201448</v>
      </c>
      <c r="B450" s="35" t="s">
        <v>773</v>
      </c>
      <c r="C450" s="27">
        <v>30</v>
      </c>
      <c r="D450" s="27">
        <v>1</v>
      </c>
      <c r="E450" s="27">
        <v>3</v>
      </c>
      <c r="F450" s="5">
        <v>2</v>
      </c>
      <c r="G450" s="46">
        <f t="shared" si="1069"/>
        <v>-0.23240000000000005</v>
      </c>
      <c r="H450" s="27" t="s">
        <v>974</v>
      </c>
      <c r="I450" s="27" t="s">
        <v>975</v>
      </c>
      <c r="J450" s="27"/>
      <c r="K450" s="5">
        <f t="shared" si="1096"/>
        <v>0.17</v>
      </c>
      <c r="L450" s="10">
        <v>2</v>
      </c>
      <c r="M450" s="5">
        <f t="shared" si="1097"/>
        <v>7.0000000000000007E-2</v>
      </c>
      <c r="N450" s="10">
        <v>0</v>
      </c>
      <c r="O450" s="5">
        <v>0.2</v>
      </c>
      <c r="P450" s="5">
        <f t="shared" si="1043"/>
        <v>0.2</v>
      </c>
      <c r="Q450" s="5">
        <v>2</v>
      </c>
      <c r="R450" s="5">
        <f t="shared" si="1070"/>
        <v>903924</v>
      </c>
      <c r="S450" s="5">
        <v>30</v>
      </c>
      <c r="T450" s="5">
        <v>10</v>
      </c>
      <c r="U450" s="5">
        <v>0.3</v>
      </c>
      <c r="V450" s="5">
        <v>0.15</v>
      </c>
      <c r="W450" s="5">
        <v>9</v>
      </c>
      <c r="X450" s="5">
        <v>-0.6</v>
      </c>
      <c r="Y450" s="5">
        <v>1.8</v>
      </c>
      <c r="Z450" s="27" t="s">
        <v>1026</v>
      </c>
      <c r="AA450" s="5">
        <v>3</v>
      </c>
      <c r="AB450" s="5">
        <v>2</v>
      </c>
      <c r="AC450" s="5">
        <v>6</v>
      </c>
      <c r="AD450" s="27" t="s">
        <v>1027</v>
      </c>
      <c r="AE450" s="20">
        <v>128</v>
      </c>
      <c r="AF450" s="5">
        <f t="shared" si="1071"/>
        <v>903940</v>
      </c>
      <c r="AG450" s="5">
        <v>60</v>
      </c>
      <c r="AH450" s="5">
        <f t="shared" si="1044"/>
        <v>0.2</v>
      </c>
      <c r="AI450" s="5">
        <v>2</v>
      </c>
      <c r="AJ450" s="5">
        <v>2</v>
      </c>
      <c r="AK450" s="5">
        <f t="shared" si="1072"/>
        <v>40</v>
      </c>
      <c r="AL450" s="5">
        <f t="shared" si="1045"/>
        <v>0</v>
      </c>
      <c r="AM450" s="5">
        <f t="shared" si="1046"/>
        <v>24</v>
      </c>
      <c r="AN450" s="8">
        <v>0</v>
      </c>
      <c r="AO450" s="5">
        <v>0</v>
      </c>
      <c r="AP450" s="35" t="s">
        <v>773</v>
      </c>
      <c r="AQ450" s="5">
        <v>0</v>
      </c>
      <c r="AR450" s="8">
        <v>20</v>
      </c>
      <c r="AS450" s="6">
        <f t="shared" si="1035"/>
        <v>480</v>
      </c>
      <c r="AT450" s="6">
        <f t="shared" si="1036"/>
        <v>504</v>
      </c>
      <c r="AU450" s="5">
        <v>0</v>
      </c>
      <c r="AV450" s="5">
        <v>0</v>
      </c>
      <c r="AW450" s="5">
        <v>0</v>
      </c>
      <c r="AX450" s="5">
        <v>1</v>
      </c>
      <c r="AY450" s="5">
        <v>0</v>
      </c>
      <c r="AZ450" s="5">
        <v>201448</v>
      </c>
      <c r="BA450" s="5">
        <f t="shared" si="1073"/>
        <v>203046</v>
      </c>
      <c r="BB450" s="5">
        <v>10</v>
      </c>
      <c r="BC450" s="5">
        <v>0</v>
      </c>
      <c r="BD450" s="5">
        <v>1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f t="shared" si="1110"/>
        <v>1</v>
      </c>
      <c r="BM450" s="5">
        <v>0</v>
      </c>
      <c r="BN450" s="5">
        <v>0</v>
      </c>
      <c r="BO450" s="5">
        <v>0</v>
      </c>
      <c r="BP450" s="5">
        <v>0</v>
      </c>
      <c r="BQ450" s="5"/>
      <c r="BR450" s="5"/>
      <c r="BS450" s="4">
        <v>0</v>
      </c>
      <c r="BT450" s="4">
        <f t="shared" si="1048"/>
        <v>8</v>
      </c>
      <c r="BU450" s="17">
        <v>38</v>
      </c>
      <c r="BV450" s="4">
        <f t="shared" ref="BV450:BY450" si="1114">BV440</f>
        <v>8</v>
      </c>
      <c r="BW450" s="4">
        <f t="shared" si="1114"/>
        <v>8</v>
      </c>
      <c r="BX450" s="4">
        <f t="shared" si="1114"/>
        <v>0.35999999999999993</v>
      </c>
      <c r="BY450" s="4">
        <f t="shared" si="1114"/>
        <v>0.2</v>
      </c>
      <c r="BZ450" s="27" t="s">
        <v>989</v>
      </c>
      <c r="CA450" s="30" t="str">
        <f t="shared" si="1075"/>
        <v>8</v>
      </c>
      <c r="CB450" s="30" t="s">
        <v>917</v>
      </c>
      <c r="CC450" s="5">
        <v>0</v>
      </c>
      <c r="CD450" s="8">
        <v>3</v>
      </c>
      <c r="CE450" s="5">
        <f t="shared" si="1050"/>
        <v>8</v>
      </c>
      <c r="CF450" s="5">
        <v>1</v>
      </c>
      <c r="CG450" s="27" t="str">
        <f t="shared" si="1057"/>
        <v>8级火龙</v>
      </c>
      <c r="CH450" s="5">
        <v>0</v>
      </c>
      <c r="CI450" s="5">
        <v>0</v>
      </c>
      <c r="CJ450" s="4">
        <v>0</v>
      </c>
      <c r="CK450" s="20">
        <v>0</v>
      </c>
      <c r="CL450" s="5">
        <v>0</v>
      </c>
      <c r="CM450" s="20">
        <v>114</v>
      </c>
      <c r="CN450" s="5">
        <v>0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0</v>
      </c>
      <c r="CV450" s="20">
        <v>2.5</v>
      </c>
      <c r="CW450" s="20">
        <v>3</v>
      </c>
      <c r="CX450" s="20">
        <v>2.5</v>
      </c>
      <c r="CY450" s="20">
        <v>3.5</v>
      </c>
      <c r="CZ450" s="8">
        <v>200</v>
      </c>
      <c r="DA450" s="6">
        <f t="shared" si="1065"/>
        <v>40000</v>
      </c>
      <c r="DB450" s="5">
        <v>1</v>
      </c>
      <c r="DC450" s="20">
        <f t="shared" si="1051"/>
        <v>2.0250000000000004</v>
      </c>
      <c r="DD450" s="6">
        <f t="shared" si="1066"/>
        <v>0.67500000000000004</v>
      </c>
      <c r="DE450" s="6">
        <v>1</v>
      </c>
      <c r="DF450" s="5">
        <v>0</v>
      </c>
      <c r="DG450" s="6">
        <v>2.5</v>
      </c>
      <c r="DH450" s="5">
        <v>0</v>
      </c>
      <c r="DI450" s="8">
        <v>0</v>
      </c>
      <c r="DJ450" s="5">
        <v>0</v>
      </c>
      <c r="DK450" s="8">
        <v>0</v>
      </c>
      <c r="DL450" s="5">
        <f t="shared" si="1034"/>
        <v>0</v>
      </c>
      <c r="DM450" s="5" t="str">
        <f t="shared" si="1054"/>
        <v>8级火龙</v>
      </c>
      <c r="DN450" s="5">
        <v>6</v>
      </c>
      <c r="DO450" s="5">
        <v>0</v>
      </c>
      <c r="DP450" s="5">
        <v>1</v>
      </c>
      <c r="DQ450" s="5">
        <v>1</v>
      </c>
      <c r="DR450" s="5">
        <v>2.5</v>
      </c>
      <c r="DS450" s="6">
        <v>3.5</v>
      </c>
      <c r="DT450" s="5">
        <v>-0.6</v>
      </c>
      <c r="DU450" s="5">
        <v>0.8</v>
      </c>
      <c r="DV450" s="6">
        <v>0.5</v>
      </c>
      <c r="DW450" s="5">
        <f t="shared" si="1067"/>
        <v>0.66666666666666663</v>
      </c>
      <c r="DX450" s="5">
        <v>8</v>
      </c>
      <c r="DY450" s="5">
        <f t="shared" si="1068"/>
        <v>0</v>
      </c>
      <c r="DZ450" s="5">
        <v>0</v>
      </c>
    </row>
    <row r="451" spans="1:130" x14ac:dyDescent="0.15">
      <c r="A451" s="5">
        <v>201449</v>
      </c>
      <c r="B451" s="35" t="s">
        <v>774</v>
      </c>
      <c r="C451" s="27">
        <v>30</v>
      </c>
      <c r="D451" s="27">
        <v>1</v>
      </c>
      <c r="E451" s="27">
        <v>3</v>
      </c>
      <c r="F451" s="5">
        <v>2</v>
      </c>
      <c r="G451" s="46">
        <f t="shared" si="1069"/>
        <v>-0.23240000000000005</v>
      </c>
      <c r="H451" s="27" t="s">
        <v>974</v>
      </c>
      <c r="I451" s="27" t="s">
        <v>975</v>
      </c>
      <c r="J451" s="27"/>
      <c r="K451" s="5">
        <f t="shared" si="1096"/>
        <v>0.18</v>
      </c>
      <c r="L451" s="10">
        <v>2</v>
      </c>
      <c r="M451" s="5">
        <f t="shared" si="1097"/>
        <v>0.08</v>
      </c>
      <c r="N451" s="10">
        <v>0</v>
      </c>
      <c r="O451" s="5">
        <v>0.2</v>
      </c>
      <c r="P451" s="5">
        <f t="shared" si="1043"/>
        <v>0.2</v>
      </c>
      <c r="Q451" s="5">
        <v>2</v>
      </c>
      <c r="R451" s="5">
        <f t="shared" si="1070"/>
        <v>903924</v>
      </c>
      <c r="S451" s="5">
        <v>30</v>
      </c>
      <c r="T451" s="5">
        <v>10</v>
      </c>
      <c r="U451" s="5">
        <v>0.3</v>
      </c>
      <c r="V451" s="5">
        <v>0.15</v>
      </c>
      <c r="W451" s="5">
        <v>9</v>
      </c>
      <c r="X451" s="5">
        <v>-0.6</v>
      </c>
      <c r="Y451" s="5">
        <v>1.8</v>
      </c>
      <c r="Z451" s="27" t="s">
        <v>1026</v>
      </c>
      <c r="AA451" s="5">
        <v>3</v>
      </c>
      <c r="AB451" s="5">
        <v>2</v>
      </c>
      <c r="AC451" s="5">
        <v>6</v>
      </c>
      <c r="AD451" s="27" t="s">
        <v>1027</v>
      </c>
      <c r="AE451" s="20">
        <v>128</v>
      </c>
      <c r="AF451" s="5">
        <f t="shared" si="1071"/>
        <v>903940</v>
      </c>
      <c r="AG451" s="5">
        <v>60</v>
      </c>
      <c r="AH451" s="5">
        <f t="shared" si="1044"/>
        <v>0.2</v>
      </c>
      <c r="AI451" s="5">
        <v>2</v>
      </c>
      <c r="AJ451" s="5">
        <v>2</v>
      </c>
      <c r="AK451" s="5">
        <f t="shared" si="1072"/>
        <v>45</v>
      </c>
      <c r="AL451" s="5">
        <f t="shared" si="1045"/>
        <v>0</v>
      </c>
      <c r="AM451" s="5">
        <f t="shared" si="1046"/>
        <v>27</v>
      </c>
      <c r="AN451" s="8">
        <v>0</v>
      </c>
      <c r="AO451" s="5">
        <v>0</v>
      </c>
      <c r="AP451" s="35" t="s">
        <v>774</v>
      </c>
      <c r="AQ451" s="5">
        <v>0</v>
      </c>
      <c r="AR451" s="8">
        <v>20</v>
      </c>
      <c r="AS451" s="6">
        <f t="shared" si="1035"/>
        <v>540</v>
      </c>
      <c r="AT451" s="6">
        <f t="shared" si="1036"/>
        <v>567</v>
      </c>
      <c r="AU451" s="5">
        <v>0</v>
      </c>
      <c r="AV451" s="5">
        <v>0</v>
      </c>
      <c r="AW451" s="5">
        <v>0</v>
      </c>
      <c r="AX451" s="5">
        <v>1</v>
      </c>
      <c r="AY451" s="5">
        <v>0</v>
      </c>
      <c r="AZ451" s="5">
        <v>201449</v>
      </c>
      <c r="BA451" s="5">
        <f t="shared" si="1073"/>
        <v>203046</v>
      </c>
      <c r="BB451" s="5">
        <v>10</v>
      </c>
      <c r="BC451" s="5">
        <v>0</v>
      </c>
      <c r="BD451" s="5">
        <v>1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f t="shared" si="1110"/>
        <v>1</v>
      </c>
      <c r="BM451" s="5">
        <v>0</v>
      </c>
      <c r="BN451" s="5">
        <v>0</v>
      </c>
      <c r="BO451" s="5">
        <v>0</v>
      </c>
      <c r="BP451" s="5">
        <v>0</v>
      </c>
      <c r="BQ451" s="5"/>
      <c r="BR451" s="5"/>
      <c r="BS451" s="4">
        <v>0</v>
      </c>
      <c r="BT451" s="4">
        <f t="shared" si="1048"/>
        <v>9</v>
      </c>
      <c r="BU451" s="17">
        <v>39</v>
      </c>
      <c r="BV451" s="4">
        <f t="shared" ref="BV451:BY451" si="1115">BV441</f>
        <v>9</v>
      </c>
      <c r="BW451" s="4">
        <f t="shared" si="1115"/>
        <v>9</v>
      </c>
      <c r="BX451" s="4">
        <f t="shared" si="1115"/>
        <v>0.28999999999999992</v>
      </c>
      <c r="BY451" s="4">
        <f t="shared" si="1115"/>
        <v>0.15000000000000002</v>
      </c>
      <c r="BZ451" s="27" t="s">
        <v>989</v>
      </c>
      <c r="CA451" s="30" t="str">
        <f t="shared" si="1075"/>
        <v>9</v>
      </c>
      <c r="CB451" s="30" t="s">
        <v>917</v>
      </c>
      <c r="CC451" s="5">
        <v>0</v>
      </c>
      <c r="CD451" s="8">
        <v>3</v>
      </c>
      <c r="CE451" s="5">
        <f t="shared" si="1050"/>
        <v>9</v>
      </c>
      <c r="CF451" s="5">
        <v>1</v>
      </c>
      <c r="CG451" s="27" t="str">
        <f t="shared" si="1057"/>
        <v>9级火龙</v>
      </c>
      <c r="CH451" s="5">
        <v>0</v>
      </c>
      <c r="CI451" s="5">
        <v>0</v>
      </c>
      <c r="CJ451" s="4">
        <v>0</v>
      </c>
      <c r="CK451" s="20">
        <v>0</v>
      </c>
      <c r="CL451" s="5">
        <v>0</v>
      </c>
      <c r="CM451" s="20">
        <v>114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20">
        <v>2.5</v>
      </c>
      <c r="CW451" s="20">
        <v>3</v>
      </c>
      <c r="CX451" s="20">
        <v>2.5</v>
      </c>
      <c r="CY451" s="20">
        <v>3.5</v>
      </c>
      <c r="CZ451" s="8">
        <v>200</v>
      </c>
      <c r="DA451" s="6">
        <f t="shared" si="1065"/>
        <v>45000</v>
      </c>
      <c r="DB451" s="5">
        <v>1</v>
      </c>
      <c r="DC451" s="20">
        <f t="shared" si="1051"/>
        <v>2.0999999999999996</v>
      </c>
      <c r="DD451" s="6">
        <f t="shared" si="1066"/>
        <v>0.7</v>
      </c>
      <c r="DE451" s="6">
        <v>1</v>
      </c>
      <c r="DF451" s="5">
        <v>0</v>
      </c>
      <c r="DG451" s="6">
        <v>2.5</v>
      </c>
      <c r="DH451" s="5">
        <v>0</v>
      </c>
      <c r="DI451" s="8">
        <v>0</v>
      </c>
      <c r="DJ451" s="5">
        <v>0</v>
      </c>
      <c r="DK451" s="8">
        <v>0</v>
      </c>
      <c r="DL451" s="5">
        <f t="shared" ref="DL451:DL514" si="1116">DK451*5*(1+BV451/2)</f>
        <v>0</v>
      </c>
      <c r="DM451" s="5" t="str">
        <f t="shared" si="1054"/>
        <v>9级火龙</v>
      </c>
      <c r="DN451" s="5">
        <v>6</v>
      </c>
      <c r="DO451" s="5">
        <v>0</v>
      </c>
      <c r="DP451" s="5">
        <v>1</v>
      </c>
      <c r="DQ451" s="5">
        <v>1</v>
      </c>
      <c r="DR451" s="5">
        <v>2.5</v>
      </c>
      <c r="DS451" s="6">
        <v>3.5</v>
      </c>
      <c r="DT451" s="5">
        <v>-0.6</v>
      </c>
      <c r="DU451" s="5">
        <v>0.8</v>
      </c>
      <c r="DV451" s="6">
        <v>0.5</v>
      </c>
      <c r="DW451" s="5">
        <f t="shared" si="1067"/>
        <v>0.66666666666666663</v>
      </c>
      <c r="DX451" s="5">
        <v>8</v>
      </c>
      <c r="DY451" s="5">
        <f t="shared" si="1068"/>
        <v>0</v>
      </c>
      <c r="DZ451" s="5">
        <v>0</v>
      </c>
    </row>
    <row r="452" spans="1:130" x14ac:dyDescent="0.15">
      <c r="A452" s="5">
        <v>201450</v>
      </c>
      <c r="B452" s="35" t="s">
        <v>775</v>
      </c>
      <c r="C452" s="27">
        <v>30</v>
      </c>
      <c r="D452" s="27">
        <v>1</v>
      </c>
      <c r="E452" s="27">
        <v>3</v>
      </c>
      <c r="F452" s="5">
        <v>2</v>
      </c>
      <c r="G452" s="46">
        <f t="shared" si="1069"/>
        <v>-0.23240000000000005</v>
      </c>
      <c r="H452" s="27" t="s">
        <v>974</v>
      </c>
      <c r="I452" s="27" t="s">
        <v>975</v>
      </c>
      <c r="J452" s="27"/>
      <c r="K452" s="5">
        <f t="shared" si="1096"/>
        <v>0.19</v>
      </c>
      <c r="L452" s="10">
        <v>2</v>
      </c>
      <c r="M452" s="5">
        <f t="shared" si="1097"/>
        <v>0.09</v>
      </c>
      <c r="N452" s="10">
        <v>0</v>
      </c>
      <c r="O452" s="5">
        <v>0.2</v>
      </c>
      <c r="P452" s="5">
        <f t="shared" si="1043"/>
        <v>0.2</v>
      </c>
      <c r="Q452" s="5">
        <v>2</v>
      </c>
      <c r="R452" s="5">
        <f t="shared" si="1070"/>
        <v>903924</v>
      </c>
      <c r="S452" s="5">
        <v>30</v>
      </c>
      <c r="T452" s="5">
        <v>10</v>
      </c>
      <c r="U452" s="5">
        <v>0.3</v>
      </c>
      <c r="V452" s="5">
        <v>0.15</v>
      </c>
      <c r="W452" s="5">
        <v>9</v>
      </c>
      <c r="X452" s="5">
        <v>-0.6</v>
      </c>
      <c r="Y452" s="5">
        <v>1.8</v>
      </c>
      <c r="Z452" s="27" t="s">
        <v>1026</v>
      </c>
      <c r="AA452" s="5">
        <v>3</v>
      </c>
      <c r="AB452" s="5">
        <v>2</v>
      </c>
      <c r="AC452" s="5">
        <v>6</v>
      </c>
      <c r="AD452" s="27" t="s">
        <v>1027</v>
      </c>
      <c r="AE452" s="20">
        <v>128</v>
      </c>
      <c r="AF452" s="5">
        <f t="shared" si="1071"/>
        <v>903940</v>
      </c>
      <c r="AG452" s="5">
        <v>60</v>
      </c>
      <c r="AH452" s="5">
        <f t="shared" si="1044"/>
        <v>0.2</v>
      </c>
      <c r="AI452" s="5">
        <v>2</v>
      </c>
      <c r="AJ452" s="5">
        <v>2</v>
      </c>
      <c r="AK452" s="5">
        <f t="shared" si="1072"/>
        <v>50</v>
      </c>
      <c r="AL452" s="5">
        <f t="shared" si="1045"/>
        <v>0</v>
      </c>
      <c r="AM452" s="5">
        <f t="shared" si="1046"/>
        <v>30</v>
      </c>
      <c r="AN452" s="8">
        <v>0</v>
      </c>
      <c r="AO452" s="5">
        <v>0</v>
      </c>
      <c r="AP452" s="35" t="s">
        <v>775</v>
      </c>
      <c r="AQ452" s="5">
        <v>0</v>
      </c>
      <c r="AR452" s="8">
        <v>20</v>
      </c>
      <c r="AS452" s="6">
        <f t="shared" ref="AS452:AS515" si="1117">AR452*3*BV452</f>
        <v>600</v>
      </c>
      <c r="AT452" s="6">
        <f t="shared" ref="AT452:AT515" si="1118">(AR452+1)*3*BV452</f>
        <v>630</v>
      </c>
      <c r="AU452" s="5">
        <v>0</v>
      </c>
      <c r="AV452" s="5">
        <v>0</v>
      </c>
      <c r="AW452" s="5">
        <v>0</v>
      </c>
      <c r="AX452" s="5">
        <v>1</v>
      </c>
      <c r="AY452" s="5">
        <v>0</v>
      </c>
      <c r="AZ452" s="5">
        <v>201450</v>
      </c>
      <c r="BA452" s="5">
        <f t="shared" si="1073"/>
        <v>203046</v>
      </c>
      <c r="BB452" s="5">
        <v>10</v>
      </c>
      <c r="BC452" s="5">
        <v>0</v>
      </c>
      <c r="BD452" s="5">
        <v>1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f t="shared" si="1110"/>
        <v>1</v>
      </c>
      <c r="BM452" s="5">
        <v>0</v>
      </c>
      <c r="BN452" s="5">
        <v>0</v>
      </c>
      <c r="BO452" s="5">
        <v>0</v>
      </c>
      <c r="BP452" s="5">
        <v>0</v>
      </c>
      <c r="BQ452" s="5"/>
      <c r="BR452" s="5"/>
      <c r="BS452" s="4">
        <v>0</v>
      </c>
      <c r="BT452" s="4">
        <f t="shared" si="1048"/>
        <v>10</v>
      </c>
      <c r="BU452" s="17">
        <v>40</v>
      </c>
      <c r="BV452" s="4">
        <f t="shared" ref="BV452:BY452" si="1119">BV442</f>
        <v>10</v>
      </c>
      <c r="BW452" s="4">
        <f t="shared" si="1119"/>
        <v>10</v>
      </c>
      <c r="BX452" s="4">
        <f t="shared" si="1119"/>
        <v>0.21999999999999986</v>
      </c>
      <c r="BY452" s="4">
        <f t="shared" si="1119"/>
        <v>0.10000000000000003</v>
      </c>
      <c r="BZ452" s="27" t="s">
        <v>989</v>
      </c>
      <c r="CA452" s="30" t="str">
        <f t="shared" si="1075"/>
        <v>10</v>
      </c>
      <c r="CB452" s="30" t="s">
        <v>917</v>
      </c>
      <c r="CC452" s="5">
        <v>0</v>
      </c>
      <c r="CD452" s="8">
        <v>3</v>
      </c>
      <c r="CE452" s="5">
        <f t="shared" si="1050"/>
        <v>10</v>
      </c>
      <c r="CF452" s="5">
        <v>1</v>
      </c>
      <c r="CG452" s="27" t="str">
        <f t="shared" si="1057"/>
        <v>10级火龙</v>
      </c>
      <c r="CH452" s="5">
        <v>0</v>
      </c>
      <c r="CI452" s="5">
        <v>0</v>
      </c>
      <c r="CJ452" s="4">
        <v>0</v>
      </c>
      <c r="CK452" s="20">
        <v>0</v>
      </c>
      <c r="CL452" s="5">
        <v>0</v>
      </c>
      <c r="CM452" s="20">
        <v>114</v>
      </c>
      <c r="CN452" s="5">
        <v>0</v>
      </c>
      <c r="CO452" s="5">
        <v>0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0</v>
      </c>
      <c r="CV452" s="20">
        <v>2.5</v>
      </c>
      <c r="CW452" s="20">
        <v>3</v>
      </c>
      <c r="CX452" s="20">
        <v>2.5</v>
      </c>
      <c r="CY452" s="20">
        <v>3.5</v>
      </c>
      <c r="CZ452" s="8">
        <v>200</v>
      </c>
      <c r="DA452" s="6">
        <f t="shared" si="1065"/>
        <v>50000</v>
      </c>
      <c r="DB452" s="5">
        <v>1</v>
      </c>
      <c r="DC452" s="20">
        <f t="shared" si="1051"/>
        <v>2.1749999999999998</v>
      </c>
      <c r="DD452" s="6">
        <f t="shared" si="1066"/>
        <v>0.72499999999999998</v>
      </c>
      <c r="DE452" s="6">
        <v>1</v>
      </c>
      <c r="DF452" s="5">
        <v>0</v>
      </c>
      <c r="DG452" s="6">
        <v>2.5</v>
      </c>
      <c r="DH452" s="5">
        <v>0</v>
      </c>
      <c r="DI452" s="8">
        <v>0</v>
      </c>
      <c r="DJ452" s="5">
        <v>0</v>
      </c>
      <c r="DK452" s="8">
        <v>0</v>
      </c>
      <c r="DL452" s="5">
        <f t="shared" si="1116"/>
        <v>0</v>
      </c>
      <c r="DM452" s="5" t="str">
        <f t="shared" si="1054"/>
        <v>10级火龙</v>
      </c>
      <c r="DN452" s="5">
        <v>6</v>
      </c>
      <c r="DO452" s="5">
        <v>0</v>
      </c>
      <c r="DP452" s="5">
        <v>1</v>
      </c>
      <c r="DQ452" s="5">
        <v>1</v>
      </c>
      <c r="DR452" s="5">
        <v>2.5</v>
      </c>
      <c r="DS452" s="6">
        <v>3.5</v>
      </c>
      <c r="DT452" s="5">
        <v>-0.6</v>
      </c>
      <c r="DU452" s="5">
        <v>0.8</v>
      </c>
      <c r="DV452" s="6">
        <v>0.5</v>
      </c>
      <c r="DW452" s="5">
        <f t="shared" si="1067"/>
        <v>0.66666666666666663</v>
      </c>
      <c r="DX452" s="5">
        <v>8</v>
      </c>
      <c r="DY452" s="5">
        <f t="shared" si="1068"/>
        <v>0</v>
      </c>
      <c r="DZ452" s="5">
        <v>0</v>
      </c>
    </row>
    <row r="453" spans="1:130" x14ac:dyDescent="0.15">
      <c r="A453" s="5">
        <v>201451</v>
      </c>
      <c r="B453" s="28" t="s">
        <v>776</v>
      </c>
      <c r="C453" s="28">
        <v>30</v>
      </c>
      <c r="D453" s="28">
        <v>1</v>
      </c>
      <c r="E453" s="28">
        <v>3</v>
      </c>
      <c r="F453" s="6">
        <v>2</v>
      </c>
      <c r="G453" s="46">
        <f t="shared" si="1069"/>
        <v>-0.17430000000000007</v>
      </c>
      <c r="H453" s="28"/>
      <c r="I453" s="28" t="s">
        <v>975</v>
      </c>
      <c r="J453" s="28"/>
      <c r="K453" s="5">
        <f t="shared" si="1096"/>
        <v>0.1</v>
      </c>
      <c r="L453" s="10">
        <v>2</v>
      </c>
      <c r="M453" s="5">
        <f t="shared" si="1097"/>
        <v>0</v>
      </c>
      <c r="N453" s="10">
        <v>0</v>
      </c>
      <c r="O453" s="5">
        <v>0.2</v>
      </c>
      <c r="P453" s="5">
        <f t="shared" si="1043"/>
        <v>0.2</v>
      </c>
      <c r="Q453" s="5">
        <v>2</v>
      </c>
      <c r="R453" s="5">
        <f t="shared" si="1070"/>
        <v>903925</v>
      </c>
      <c r="S453" s="5">
        <v>30</v>
      </c>
      <c r="T453" s="5">
        <v>10</v>
      </c>
      <c r="U453" s="5">
        <v>0.3</v>
      </c>
      <c r="V453" s="5">
        <v>0.15</v>
      </c>
      <c r="W453" s="5">
        <v>9</v>
      </c>
      <c r="X453" s="5">
        <v>-0.6</v>
      </c>
      <c r="Y453" s="5">
        <v>1.8</v>
      </c>
      <c r="Z453" s="27" t="s">
        <v>1028</v>
      </c>
      <c r="AA453" s="5">
        <v>3</v>
      </c>
      <c r="AB453" s="5">
        <v>2</v>
      </c>
      <c r="AC453" s="5">
        <v>6</v>
      </c>
      <c r="AD453" s="27" t="s">
        <v>1029</v>
      </c>
      <c r="AE453" s="20">
        <v>0</v>
      </c>
      <c r="AF453" s="5">
        <f t="shared" si="1071"/>
        <v>903941</v>
      </c>
      <c r="AG453" s="5">
        <v>60</v>
      </c>
      <c r="AH453" s="5">
        <f t="shared" si="1044"/>
        <v>0.2</v>
      </c>
      <c r="AI453" s="5">
        <v>2</v>
      </c>
      <c r="AJ453" s="5">
        <v>2</v>
      </c>
      <c r="AK453" s="5">
        <f t="shared" si="1072"/>
        <v>5</v>
      </c>
      <c r="AL453" s="5">
        <f t="shared" si="1045"/>
        <v>0</v>
      </c>
      <c r="AM453" s="5">
        <f t="shared" si="1046"/>
        <v>3</v>
      </c>
      <c r="AN453" s="8">
        <v>0</v>
      </c>
      <c r="AO453" s="5">
        <v>0</v>
      </c>
      <c r="AP453" s="28" t="s">
        <v>776</v>
      </c>
      <c r="AQ453" s="5">
        <v>0</v>
      </c>
      <c r="AR453" s="8">
        <v>20</v>
      </c>
      <c r="AS453" s="6">
        <f t="shared" si="1117"/>
        <v>60</v>
      </c>
      <c r="AT453" s="6">
        <f t="shared" si="1118"/>
        <v>63</v>
      </c>
      <c r="AU453" s="5">
        <v>0</v>
      </c>
      <c r="AV453" s="5">
        <v>0</v>
      </c>
      <c r="AW453" s="5">
        <v>0</v>
      </c>
      <c r="AX453" s="5">
        <v>1</v>
      </c>
      <c r="AY453" s="5">
        <v>0</v>
      </c>
      <c r="AZ453" s="5">
        <v>201451</v>
      </c>
      <c r="BA453" s="5">
        <f t="shared" si="1073"/>
        <v>203047</v>
      </c>
      <c r="BB453" s="5">
        <v>10</v>
      </c>
      <c r="BC453" s="5">
        <v>0</v>
      </c>
      <c r="BD453" s="5">
        <v>1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f t="shared" si="1110"/>
        <v>1</v>
      </c>
      <c r="BM453" s="5">
        <v>0</v>
      </c>
      <c r="BN453" s="5">
        <v>0</v>
      </c>
      <c r="BO453" s="5">
        <v>0</v>
      </c>
      <c r="BP453" s="5">
        <v>0</v>
      </c>
      <c r="BQ453" s="5"/>
      <c r="BR453" s="5"/>
      <c r="BS453" s="4">
        <v>0</v>
      </c>
      <c r="BT453" s="4">
        <f t="shared" si="1048"/>
        <v>1</v>
      </c>
      <c r="BU453" s="17">
        <v>41</v>
      </c>
      <c r="BV453" s="4">
        <f t="shared" ref="BV453:BY453" si="1120">BV443</f>
        <v>1</v>
      </c>
      <c r="BW453" s="4">
        <f t="shared" si="1120"/>
        <v>1</v>
      </c>
      <c r="BX453" s="4">
        <f t="shared" si="1120"/>
        <v>0.85</v>
      </c>
      <c r="BY453" s="4">
        <f t="shared" si="1120"/>
        <v>0.55000000000000004</v>
      </c>
      <c r="BZ453" s="27" t="s">
        <v>1005</v>
      </c>
      <c r="CA453" s="30" t="str">
        <f t="shared" si="1075"/>
        <v>1</v>
      </c>
      <c r="CB453" s="30" t="s">
        <v>917</v>
      </c>
      <c r="CC453" s="5">
        <v>0</v>
      </c>
      <c r="CD453" s="8">
        <v>3</v>
      </c>
      <c r="CE453" s="5">
        <f t="shared" si="1050"/>
        <v>1</v>
      </c>
      <c r="CF453" s="5">
        <v>1</v>
      </c>
      <c r="CG453" s="27" t="str">
        <f t="shared" si="1057"/>
        <v>1级电龙</v>
      </c>
      <c r="CH453" s="5">
        <v>0</v>
      </c>
      <c r="CI453" s="5">
        <v>134</v>
      </c>
      <c r="CJ453" s="4">
        <v>0</v>
      </c>
      <c r="CK453" s="20">
        <v>0</v>
      </c>
      <c r="CL453" s="5">
        <v>0</v>
      </c>
      <c r="CM453" s="20">
        <v>114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20">
        <v>2.5</v>
      </c>
      <c r="CW453" s="20">
        <v>3</v>
      </c>
      <c r="CX453" s="20">
        <v>2.5</v>
      </c>
      <c r="CY453" s="20">
        <v>3.5</v>
      </c>
      <c r="CZ453" s="8">
        <v>200</v>
      </c>
      <c r="DA453" s="6">
        <f t="shared" si="1065"/>
        <v>5000</v>
      </c>
      <c r="DB453" s="5">
        <v>1</v>
      </c>
      <c r="DC453" s="20">
        <f t="shared" si="1051"/>
        <v>1.5</v>
      </c>
      <c r="DD453" s="6">
        <f t="shared" si="1066"/>
        <v>0.5</v>
      </c>
      <c r="DE453" s="6">
        <v>1</v>
      </c>
      <c r="DF453" s="5">
        <v>0</v>
      </c>
      <c r="DG453" s="6">
        <v>2.5</v>
      </c>
      <c r="DH453" s="5">
        <v>0</v>
      </c>
      <c r="DI453" s="8">
        <v>5</v>
      </c>
      <c r="DJ453" s="5">
        <f t="shared" ref="DJ453:DJ462" si="1121">DI453*5*(1+BV453/2)</f>
        <v>37.5</v>
      </c>
      <c r="DK453" s="8">
        <v>0</v>
      </c>
      <c r="DL453" s="5">
        <f t="shared" si="1116"/>
        <v>0</v>
      </c>
      <c r="DM453" s="5" t="str">
        <f t="shared" si="1054"/>
        <v>1级电龙</v>
      </c>
      <c r="DN453" s="5">
        <v>6</v>
      </c>
      <c r="DO453" s="5">
        <v>0</v>
      </c>
      <c r="DP453" s="5">
        <v>1</v>
      </c>
      <c r="DQ453" s="5">
        <v>1</v>
      </c>
      <c r="DR453" s="5">
        <v>2.5</v>
      </c>
      <c r="DS453" s="6">
        <v>3.5</v>
      </c>
      <c r="DT453" s="5">
        <v>-0.6</v>
      </c>
      <c r="DU453" s="5">
        <v>0.8</v>
      </c>
      <c r="DV453" s="6">
        <v>0.5</v>
      </c>
      <c r="DW453" s="5">
        <f t="shared" si="1067"/>
        <v>0.66666666666666663</v>
      </c>
      <c r="DX453" s="5">
        <v>8</v>
      </c>
      <c r="DY453" s="5">
        <f t="shared" si="1068"/>
        <v>0</v>
      </c>
      <c r="DZ453" s="5">
        <v>0</v>
      </c>
    </row>
    <row r="454" spans="1:130" x14ac:dyDescent="0.15">
      <c r="A454" s="5">
        <v>201452</v>
      </c>
      <c r="B454" s="28" t="s">
        <v>777</v>
      </c>
      <c r="C454" s="27">
        <v>30</v>
      </c>
      <c r="D454" s="27">
        <v>1</v>
      </c>
      <c r="E454" s="27">
        <v>3</v>
      </c>
      <c r="F454" s="5">
        <v>2</v>
      </c>
      <c r="G454" s="46">
        <f t="shared" si="1069"/>
        <v>-0.17430000000000007</v>
      </c>
      <c r="H454" s="27"/>
      <c r="I454" s="27" t="s">
        <v>975</v>
      </c>
      <c r="J454" s="27"/>
      <c r="K454" s="5">
        <f t="shared" si="1096"/>
        <v>0.11</v>
      </c>
      <c r="L454" s="10">
        <v>2</v>
      </c>
      <c r="M454" s="5">
        <f t="shared" si="1097"/>
        <v>0.01</v>
      </c>
      <c r="N454" s="10">
        <v>0</v>
      </c>
      <c r="O454" s="5">
        <v>0.2</v>
      </c>
      <c r="P454" s="5">
        <f t="shared" si="1043"/>
        <v>0.2</v>
      </c>
      <c r="Q454" s="5">
        <v>2</v>
      </c>
      <c r="R454" s="5">
        <f t="shared" si="1070"/>
        <v>903925</v>
      </c>
      <c r="S454" s="5">
        <v>30</v>
      </c>
      <c r="T454" s="5">
        <v>10</v>
      </c>
      <c r="U454" s="5">
        <v>0.3</v>
      </c>
      <c r="V454" s="5">
        <v>0.15</v>
      </c>
      <c r="W454" s="5">
        <v>9</v>
      </c>
      <c r="X454" s="5">
        <v>-0.6</v>
      </c>
      <c r="Y454" s="5">
        <v>1.8</v>
      </c>
      <c r="Z454" s="27" t="s">
        <v>1028</v>
      </c>
      <c r="AA454" s="5">
        <v>3</v>
      </c>
      <c r="AB454" s="5">
        <v>2</v>
      </c>
      <c r="AC454" s="5">
        <v>6</v>
      </c>
      <c r="AD454" s="27" t="s">
        <v>1029</v>
      </c>
      <c r="AE454" s="20">
        <v>0</v>
      </c>
      <c r="AF454" s="5">
        <f t="shared" si="1071"/>
        <v>903941</v>
      </c>
      <c r="AG454" s="5">
        <v>60</v>
      </c>
      <c r="AH454" s="5">
        <f t="shared" si="1044"/>
        <v>0.2</v>
      </c>
      <c r="AI454" s="5">
        <v>2</v>
      </c>
      <c r="AJ454" s="5">
        <v>2</v>
      </c>
      <c r="AK454" s="5">
        <f t="shared" si="1072"/>
        <v>10</v>
      </c>
      <c r="AL454" s="5">
        <f t="shared" si="1045"/>
        <v>0</v>
      </c>
      <c r="AM454" s="5">
        <f t="shared" si="1046"/>
        <v>6</v>
      </c>
      <c r="AN454" s="8">
        <v>0</v>
      </c>
      <c r="AO454" s="5">
        <v>0</v>
      </c>
      <c r="AP454" s="28" t="s">
        <v>777</v>
      </c>
      <c r="AQ454" s="5">
        <v>0</v>
      </c>
      <c r="AR454" s="8">
        <v>20</v>
      </c>
      <c r="AS454" s="6">
        <f t="shared" si="1117"/>
        <v>120</v>
      </c>
      <c r="AT454" s="6">
        <f t="shared" si="1118"/>
        <v>126</v>
      </c>
      <c r="AU454" s="5">
        <v>0</v>
      </c>
      <c r="AV454" s="5">
        <v>0</v>
      </c>
      <c r="AW454" s="5">
        <v>0</v>
      </c>
      <c r="AX454" s="5">
        <v>1</v>
      </c>
      <c r="AY454" s="5">
        <v>0</v>
      </c>
      <c r="AZ454" s="5">
        <v>201452</v>
      </c>
      <c r="BA454" s="5">
        <f t="shared" si="1073"/>
        <v>203047</v>
      </c>
      <c r="BB454" s="5">
        <v>10</v>
      </c>
      <c r="BC454" s="5">
        <v>0</v>
      </c>
      <c r="BD454" s="5">
        <v>1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f t="shared" si="1110"/>
        <v>1</v>
      </c>
      <c r="BM454" s="5">
        <v>0</v>
      </c>
      <c r="BN454" s="5">
        <v>0</v>
      </c>
      <c r="BO454" s="5">
        <v>0</v>
      </c>
      <c r="BP454" s="5">
        <v>0</v>
      </c>
      <c r="BQ454" s="5"/>
      <c r="BR454" s="5"/>
      <c r="BS454" s="4">
        <v>0</v>
      </c>
      <c r="BT454" s="4">
        <f t="shared" si="1048"/>
        <v>2</v>
      </c>
      <c r="BU454" s="17">
        <v>42</v>
      </c>
      <c r="BV454" s="4">
        <f t="shared" ref="BV454:BY454" si="1122">BV444</f>
        <v>2</v>
      </c>
      <c r="BW454" s="4">
        <f t="shared" si="1122"/>
        <v>2</v>
      </c>
      <c r="BX454" s="4">
        <f t="shared" si="1122"/>
        <v>0.78</v>
      </c>
      <c r="BY454" s="4">
        <f t="shared" si="1122"/>
        <v>0.5</v>
      </c>
      <c r="BZ454" s="27" t="s">
        <v>1005</v>
      </c>
      <c r="CA454" s="30" t="str">
        <f t="shared" si="1075"/>
        <v>2</v>
      </c>
      <c r="CB454" s="30" t="s">
        <v>917</v>
      </c>
      <c r="CC454" s="5">
        <v>0</v>
      </c>
      <c r="CD454" s="8">
        <v>3</v>
      </c>
      <c r="CE454" s="5">
        <f t="shared" si="1050"/>
        <v>2</v>
      </c>
      <c r="CF454" s="5">
        <v>1</v>
      </c>
      <c r="CG454" s="27" t="str">
        <f t="shared" si="1057"/>
        <v>2级电龙</v>
      </c>
      <c r="CH454" s="5">
        <v>0</v>
      </c>
      <c r="CI454" s="5">
        <v>134</v>
      </c>
      <c r="CJ454" s="4">
        <v>0</v>
      </c>
      <c r="CK454" s="20">
        <v>0</v>
      </c>
      <c r="CL454" s="5">
        <v>0</v>
      </c>
      <c r="CM454" s="20">
        <v>114</v>
      </c>
      <c r="CN454" s="5">
        <v>0</v>
      </c>
      <c r="CO454" s="5">
        <v>0</v>
      </c>
      <c r="CP454" s="5">
        <v>0</v>
      </c>
      <c r="CQ454" s="5">
        <v>0</v>
      </c>
      <c r="CR454" s="5">
        <v>0</v>
      </c>
      <c r="CS454" s="5">
        <v>0</v>
      </c>
      <c r="CT454" s="5">
        <v>0</v>
      </c>
      <c r="CU454" s="5">
        <v>0</v>
      </c>
      <c r="CV454" s="20">
        <v>2.5</v>
      </c>
      <c r="CW454" s="20">
        <v>3</v>
      </c>
      <c r="CX454" s="20">
        <v>2.5</v>
      </c>
      <c r="CY454" s="20">
        <v>3.5</v>
      </c>
      <c r="CZ454" s="8">
        <v>200</v>
      </c>
      <c r="DA454" s="6">
        <f t="shared" si="1065"/>
        <v>10000</v>
      </c>
      <c r="DB454" s="5">
        <v>1</v>
      </c>
      <c r="DC454" s="20">
        <f t="shared" si="1051"/>
        <v>1.5750000000000002</v>
      </c>
      <c r="DD454" s="6">
        <f t="shared" si="1066"/>
        <v>0.52500000000000002</v>
      </c>
      <c r="DE454" s="6">
        <v>1</v>
      </c>
      <c r="DF454" s="5">
        <v>0</v>
      </c>
      <c r="DG454" s="6">
        <v>2.5</v>
      </c>
      <c r="DH454" s="5">
        <v>0</v>
      </c>
      <c r="DI454" s="8">
        <v>5</v>
      </c>
      <c r="DJ454" s="5">
        <f t="shared" si="1121"/>
        <v>50</v>
      </c>
      <c r="DK454" s="8">
        <v>0</v>
      </c>
      <c r="DL454" s="5">
        <f t="shared" si="1116"/>
        <v>0</v>
      </c>
      <c r="DM454" s="5" t="str">
        <f t="shared" si="1054"/>
        <v>2级电龙</v>
      </c>
      <c r="DN454" s="5">
        <v>6</v>
      </c>
      <c r="DO454" s="5">
        <v>0</v>
      </c>
      <c r="DP454" s="5">
        <v>1</v>
      </c>
      <c r="DQ454" s="5">
        <v>1</v>
      </c>
      <c r="DR454" s="5">
        <v>2.5</v>
      </c>
      <c r="DS454" s="6">
        <v>3.5</v>
      </c>
      <c r="DT454" s="5">
        <v>-0.6</v>
      </c>
      <c r="DU454" s="5">
        <v>0.8</v>
      </c>
      <c r="DV454" s="6">
        <v>0.5</v>
      </c>
      <c r="DW454" s="5">
        <f t="shared" si="1067"/>
        <v>0.66666666666666663</v>
      </c>
      <c r="DX454" s="5">
        <v>8</v>
      </c>
      <c r="DY454" s="5">
        <f t="shared" si="1068"/>
        <v>0</v>
      </c>
      <c r="DZ454" s="5">
        <v>0</v>
      </c>
    </row>
    <row r="455" spans="1:130" x14ac:dyDescent="0.15">
      <c r="A455" s="5">
        <v>201453</v>
      </c>
      <c r="B455" s="28" t="s">
        <v>778</v>
      </c>
      <c r="C455" s="27">
        <v>30</v>
      </c>
      <c r="D455" s="27">
        <v>1</v>
      </c>
      <c r="E455" s="27">
        <v>3</v>
      </c>
      <c r="F455" s="5">
        <v>2</v>
      </c>
      <c r="G455" s="46">
        <f t="shared" si="1069"/>
        <v>-0.17430000000000007</v>
      </c>
      <c r="H455" s="27"/>
      <c r="I455" s="27" t="s">
        <v>975</v>
      </c>
      <c r="J455" s="27"/>
      <c r="K455" s="5">
        <f t="shared" si="1096"/>
        <v>0.12000000000000001</v>
      </c>
      <c r="L455" s="10">
        <v>2</v>
      </c>
      <c r="M455" s="5">
        <f t="shared" si="1097"/>
        <v>0.02</v>
      </c>
      <c r="N455" s="10">
        <v>0</v>
      </c>
      <c r="O455" s="5">
        <v>0.2</v>
      </c>
      <c r="P455" s="5">
        <f t="shared" si="1043"/>
        <v>0.2</v>
      </c>
      <c r="Q455" s="5">
        <v>2</v>
      </c>
      <c r="R455" s="5">
        <f t="shared" si="1070"/>
        <v>903925</v>
      </c>
      <c r="S455" s="5">
        <v>30</v>
      </c>
      <c r="T455" s="5">
        <v>10</v>
      </c>
      <c r="U455" s="5">
        <v>0.3</v>
      </c>
      <c r="V455" s="5">
        <v>0.15</v>
      </c>
      <c r="W455" s="5">
        <v>9</v>
      </c>
      <c r="X455" s="5">
        <v>-0.6</v>
      </c>
      <c r="Y455" s="5">
        <v>1.8</v>
      </c>
      <c r="Z455" s="27" t="s">
        <v>1028</v>
      </c>
      <c r="AA455" s="5">
        <v>3</v>
      </c>
      <c r="AB455" s="5">
        <v>2</v>
      </c>
      <c r="AC455" s="5">
        <v>6</v>
      </c>
      <c r="AD455" s="27" t="s">
        <v>1029</v>
      </c>
      <c r="AE455" s="20">
        <v>0</v>
      </c>
      <c r="AF455" s="5">
        <f t="shared" si="1071"/>
        <v>903941</v>
      </c>
      <c r="AG455" s="5">
        <v>60</v>
      </c>
      <c r="AH455" s="5">
        <f t="shared" si="1044"/>
        <v>0.2</v>
      </c>
      <c r="AI455" s="5">
        <v>2</v>
      </c>
      <c r="AJ455" s="5">
        <v>2</v>
      </c>
      <c r="AK455" s="5">
        <f t="shared" si="1072"/>
        <v>15</v>
      </c>
      <c r="AL455" s="5">
        <f t="shared" si="1045"/>
        <v>0</v>
      </c>
      <c r="AM455" s="5">
        <f t="shared" si="1046"/>
        <v>9</v>
      </c>
      <c r="AN455" s="8">
        <v>0</v>
      </c>
      <c r="AO455" s="5">
        <v>0</v>
      </c>
      <c r="AP455" s="28" t="s">
        <v>778</v>
      </c>
      <c r="AQ455" s="5">
        <v>0</v>
      </c>
      <c r="AR455" s="8">
        <v>20</v>
      </c>
      <c r="AS455" s="6">
        <f t="shared" si="1117"/>
        <v>180</v>
      </c>
      <c r="AT455" s="6">
        <f t="shared" si="1118"/>
        <v>189</v>
      </c>
      <c r="AU455" s="5">
        <v>0</v>
      </c>
      <c r="AV455" s="5">
        <v>0</v>
      </c>
      <c r="AW455" s="5">
        <v>0</v>
      </c>
      <c r="AX455" s="5">
        <v>1</v>
      </c>
      <c r="AY455" s="5">
        <v>0</v>
      </c>
      <c r="AZ455" s="5">
        <v>201453</v>
      </c>
      <c r="BA455" s="5">
        <f t="shared" si="1073"/>
        <v>203047</v>
      </c>
      <c r="BB455" s="5">
        <v>10</v>
      </c>
      <c r="BC455" s="5">
        <v>0</v>
      </c>
      <c r="BD455" s="5">
        <v>1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f t="shared" si="1110"/>
        <v>1</v>
      </c>
      <c r="BM455" s="5">
        <v>0</v>
      </c>
      <c r="BN455" s="5">
        <v>0</v>
      </c>
      <c r="BO455" s="5">
        <v>0</v>
      </c>
      <c r="BP455" s="5">
        <v>0</v>
      </c>
      <c r="BQ455" s="5"/>
      <c r="BR455" s="5"/>
      <c r="BS455" s="4">
        <v>0</v>
      </c>
      <c r="BT455" s="4">
        <f t="shared" si="1048"/>
        <v>3</v>
      </c>
      <c r="BU455" s="17">
        <v>43</v>
      </c>
      <c r="BV455" s="4">
        <f t="shared" ref="BV455:BY455" si="1123">BV445</f>
        <v>3</v>
      </c>
      <c r="BW455" s="4">
        <f t="shared" si="1123"/>
        <v>3</v>
      </c>
      <c r="BX455" s="4">
        <f t="shared" si="1123"/>
        <v>0.71</v>
      </c>
      <c r="BY455" s="4">
        <f t="shared" si="1123"/>
        <v>0.45000000000000007</v>
      </c>
      <c r="BZ455" s="27" t="s">
        <v>1005</v>
      </c>
      <c r="CA455" s="30" t="str">
        <f t="shared" si="1075"/>
        <v>3</v>
      </c>
      <c r="CB455" s="30" t="s">
        <v>917</v>
      </c>
      <c r="CC455" s="5">
        <v>0</v>
      </c>
      <c r="CD455" s="8">
        <v>3</v>
      </c>
      <c r="CE455" s="5">
        <f t="shared" si="1050"/>
        <v>3</v>
      </c>
      <c r="CF455" s="5">
        <v>1</v>
      </c>
      <c r="CG455" s="27" t="str">
        <f t="shared" si="1057"/>
        <v>3级电龙</v>
      </c>
      <c r="CH455" s="5">
        <v>0</v>
      </c>
      <c r="CI455" s="5">
        <v>134</v>
      </c>
      <c r="CJ455" s="4">
        <v>0</v>
      </c>
      <c r="CK455" s="20">
        <v>0</v>
      </c>
      <c r="CL455" s="5">
        <v>0</v>
      </c>
      <c r="CM455" s="20">
        <v>114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20">
        <v>2.5</v>
      </c>
      <c r="CW455" s="20">
        <v>3</v>
      </c>
      <c r="CX455" s="20">
        <v>2.5</v>
      </c>
      <c r="CY455" s="20">
        <v>3.5</v>
      </c>
      <c r="CZ455" s="8">
        <v>200</v>
      </c>
      <c r="DA455" s="6">
        <f t="shared" si="1065"/>
        <v>15000</v>
      </c>
      <c r="DB455" s="5">
        <v>1</v>
      </c>
      <c r="DC455" s="20">
        <f t="shared" si="1051"/>
        <v>1.6500000000000001</v>
      </c>
      <c r="DD455" s="6">
        <f t="shared" si="1066"/>
        <v>0.55000000000000004</v>
      </c>
      <c r="DE455" s="6">
        <v>1</v>
      </c>
      <c r="DF455" s="5">
        <v>0</v>
      </c>
      <c r="DG455" s="6">
        <v>2.5</v>
      </c>
      <c r="DH455" s="5">
        <v>0</v>
      </c>
      <c r="DI455" s="8">
        <v>5</v>
      </c>
      <c r="DJ455" s="5">
        <f t="shared" si="1121"/>
        <v>62.5</v>
      </c>
      <c r="DK455" s="8">
        <v>0</v>
      </c>
      <c r="DL455" s="5">
        <f t="shared" si="1116"/>
        <v>0</v>
      </c>
      <c r="DM455" s="5" t="str">
        <f t="shared" si="1054"/>
        <v>3级电龙</v>
      </c>
      <c r="DN455" s="5">
        <v>6</v>
      </c>
      <c r="DO455" s="5">
        <v>0</v>
      </c>
      <c r="DP455" s="5">
        <v>1</v>
      </c>
      <c r="DQ455" s="5">
        <v>1</v>
      </c>
      <c r="DR455" s="5">
        <v>2.5</v>
      </c>
      <c r="DS455" s="6">
        <v>3.5</v>
      </c>
      <c r="DT455" s="5">
        <v>-0.6</v>
      </c>
      <c r="DU455" s="5">
        <v>0.8</v>
      </c>
      <c r="DV455" s="6">
        <v>0.5</v>
      </c>
      <c r="DW455" s="5">
        <f t="shared" si="1067"/>
        <v>0.66666666666666663</v>
      </c>
      <c r="DX455" s="5">
        <v>8</v>
      </c>
      <c r="DY455" s="5">
        <f t="shared" si="1068"/>
        <v>0</v>
      </c>
      <c r="DZ455" s="5">
        <v>0</v>
      </c>
    </row>
    <row r="456" spans="1:130" x14ac:dyDescent="0.15">
      <c r="A456" s="5">
        <v>201454</v>
      </c>
      <c r="B456" s="28" t="s">
        <v>779</v>
      </c>
      <c r="C456" s="27">
        <v>30</v>
      </c>
      <c r="D456" s="27">
        <v>1</v>
      </c>
      <c r="E456" s="27">
        <v>3</v>
      </c>
      <c r="F456" s="5">
        <v>2</v>
      </c>
      <c r="G456" s="46">
        <f t="shared" si="1069"/>
        <v>-0.17430000000000007</v>
      </c>
      <c r="H456" s="27"/>
      <c r="I456" s="27" t="s">
        <v>975</v>
      </c>
      <c r="J456" s="27"/>
      <c r="K456" s="5">
        <f t="shared" si="1096"/>
        <v>0.13</v>
      </c>
      <c r="L456" s="10">
        <v>2</v>
      </c>
      <c r="M456" s="5">
        <f t="shared" si="1097"/>
        <v>0.03</v>
      </c>
      <c r="N456" s="10">
        <v>0</v>
      </c>
      <c r="O456" s="5">
        <v>0.2</v>
      </c>
      <c r="P456" s="5">
        <f t="shared" si="1043"/>
        <v>0.2</v>
      </c>
      <c r="Q456" s="5">
        <v>2</v>
      </c>
      <c r="R456" s="5">
        <f t="shared" si="1070"/>
        <v>903925</v>
      </c>
      <c r="S456" s="5">
        <v>30</v>
      </c>
      <c r="T456" s="5">
        <v>10</v>
      </c>
      <c r="U456" s="5">
        <v>0.3</v>
      </c>
      <c r="V456" s="5">
        <v>0.15</v>
      </c>
      <c r="W456" s="5">
        <v>9</v>
      </c>
      <c r="X456" s="5">
        <v>-0.6</v>
      </c>
      <c r="Y456" s="5">
        <v>1.8</v>
      </c>
      <c r="Z456" s="27" t="s">
        <v>1028</v>
      </c>
      <c r="AA456" s="5">
        <v>3</v>
      </c>
      <c r="AB456" s="5">
        <v>2</v>
      </c>
      <c r="AC456" s="5">
        <v>6</v>
      </c>
      <c r="AD456" s="27" t="s">
        <v>1029</v>
      </c>
      <c r="AE456" s="20">
        <v>0</v>
      </c>
      <c r="AF456" s="5">
        <f t="shared" si="1071"/>
        <v>903941</v>
      </c>
      <c r="AG456" s="5">
        <v>60</v>
      </c>
      <c r="AH456" s="5">
        <f t="shared" si="1044"/>
        <v>0.2</v>
      </c>
      <c r="AI456" s="5">
        <v>2</v>
      </c>
      <c r="AJ456" s="5">
        <v>2</v>
      </c>
      <c r="AK456" s="5">
        <f t="shared" si="1072"/>
        <v>20</v>
      </c>
      <c r="AL456" s="5">
        <f t="shared" si="1045"/>
        <v>0</v>
      </c>
      <c r="AM456" s="5">
        <f t="shared" si="1046"/>
        <v>12</v>
      </c>
      <c r="AN456" s="8">
        <v>0</v>
      </c>
      <c r="AO456" s="5">
        <v>0</v>
      </c>
      <c r="AP456" s="28" t="s">
        <v>779</v>
      </c>
      <c r="AQ456" s="5">
        <v>0</v>
      </c>
      <c r="AR456" s="8">
        <v>20</v>
      </c>
      <c r="AS456" s="6">
        <f t="shared" si="1117"/>
        <v>240</v>
      </c>
      <c r="AT456" s="6">
        <f t="shared" si="1118"/>
        <v>252</v>
      </c>
      <c r="AU456" s="5">
        <v>0</v>
      </c>
      <c r="AV456" s="5">
        <v>0</v>
      </c>
      <c r="AW456" s="5">
        <v>0</v>
      </c>
      <c r="AX456" s="5">
        <v>1</v>
      </c>
      <c r="AY456" s="5">
        <v>0</v>
      </c>
      <c r="AZ456" s="5">
        <v>201454</v>
      </c>
      <c r="BA456" s="5">
        <f t="shared" si="1073"/>
        <v>203047</v>
      </c>
      <c r="BB456" s="5">
        <v>10</v>
      </c>
      <c r="BC456" s="5">
        <v>0</v>
      </c>
      <c r="BD456" s="5">
        <v>1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f t="shared" si="1110"/>
        <v>1</v>
      </c>
      <c r="BM456" s="5">
        <v>0</v>
      </c>
      <c r="BN456" s="5">
        <v>0</v>
      </c>
      <c r="BO456" s="5">
        <v>0</v>
      </c>
      <c r="BP456" s="5">
        <v>0</v>
      </c>
      <c r="BQ456" s="5"/>
      <c r="BR456" s="5"/>
      <c r="BS456" s="4">
        <v>0</v>
      </c>
      <c r="BT456" s="4">
        <f t="shared" si="1048"/>
        <v>4</v>
      </c>
      <c r="BU456" s="17">
        <v>44</v>
      </c>
      <c r="BV456" s="4">
        <f t="shared" ref="BV456:BY456" si="1124">BV446</f>
        <v>4</v>
      </c>
      <c r="BW456" s="4">
        <f t="shared" si="1124"/>
        <v>4</v>
      </c>
      <c r="BX456" s="4">
        <f t="shared" si="1124"/>
        <v>0.6399999999999999</v>
      </c>
      <c r="BY456" s="4">
        <f t="shared" si="1124"/>
        <v>0.4</v>
      </c>
      <c r="BZ456" s="27" t="s">
        <v>1005</v>
      </c>
      <c r="CA456" s="30" t="str">
        <f t="shared" si="1075"/>
        <v>4</v>
      </c>
      <c r="CB456" s="30" t="s">
        <v>917</v>
      </c>
      <c r="CC456" s="5">
        <v>0</v>
      </c>
      <c r="CD456" s="8">
        <v>3</v>
      </c>
      <c r="CE456" s="5">
        <f t="shared" si="1050"/>
        <v>4</v>
      </c>
      <c r="CF456" s="5">
        <v>1</v>
      </c>
      <c r="CG456" s="27" t="str">
        <f t="shared" si="1057"/>
        <v>4级电龙</v>
      </c>
      <c r="CH456" s="5">
        <v>0</v>
      </c>
      <c r="CI456" s="5">
        <v>134</v>
      </c>
      <c r="CJ456" s="4">
        <v>0</v>
      </c>
      <c r="CK456" s="20">
        <v>0</v>
      </c>
      <c r="CL456" s="5">
        <v>0</v>
      </c>
      <c r="CM456" s="20">
        <v>114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20">
        <v>2.5</v>
      </c>
      <c r="CW456" s="20">
        <v>3</v>
      </c>
      <c r="CX456" s="20">
        <v>2.5</v>
      </c>
      <c r="CY456" s="20">
        <v>3.5</v>
      </c>
      <c r="CZ456" s="8">
        <v>200</v>
      </c>
      <c r="DA456" s="6">
        <f t="shared" si="1065"/>
        <v>20000</v>
      </c>
      <c r="DB456" s="5">
        <v>1</v>
      </c>
      <c r="DC456" s="20">
        <f t="shared" si="1051"/>
        <v>1.7249999999999999</v>
      </c>
      <c r="DD456" s="6">
        <f t="shared" si="1066"/>
        <v>0.57499999999999996</v>
      </c>
      <c r="DE456" s="6">
        <v>1</v>
      </c>
      <c r="DF456" s="5">
        <v>0</v>
      </c>
      <c r="DG456" s="6">
        <v>2.5</v>
      </c>
      <c r="DH456" s="5">
        <v>0</v>
      </c>
      <c r="DI456" s="8">
        <v>5</v>
      </c>
      <c r="DJ456" s="5">
        <f t="shared" si="1121"/>
        <v>75</v>
      </c>
      <c r="DK456" s="8">
        <v>0</v>
      </c>
      <c r="DL456" s="5">
        <f t="shared" si="1116"/>
        <v>0</v>
      </c>
      <c r="DM456" s="5" t="str">
        <f t="shared" si="1054"/>
        <v>4级电龙</v>
      </c>
      <c r="DN456" s="5">
        <v>6</v>
      </c>
      <c r="DO456" s="5">
        <v>0</v>
      </c>
      <c r="DP456" s="5">
        <v>1</v>
      </c>
      <c r="DQ456" s="5">
        <v>1</v>
      </c>
      <c r="DR456" s="5">
        <v>2.5</v>
      </c>
      <c r="DS456" s="6">
        <v>3.5</v>
      </c>
      <c r="DT456" s="5">
        <v>-0.6</v>
      </c>
      <c r="DU456" s="5">
        <v>0.8</v>
      </c>
      <c r="DV456" s="6">
        <v>0.5</v>
      </c>
      <c r="DW456" s="5">
        <f t="shared" si="1067"/>
        <v>0.66666666666666663</v>
      </c>
      <c r="DX456" s="5">
        <v>8</v>
      </c>
      <c r="DY456" s="5">
        <f t="shared" si="1068"/>
        <v>0</v>
      </c>
      <c r="DZ456" s="5">
        <v>0</v>
      </c>
    </row>
    <row r="457" spans="1:130" x14ac:dyDescent="0.15">
      <c r="A457" s="5">
        <v>201455</v>
      </c>
      <c r="B457" s="28" t="s">
        <v>780</v>
      </c>
      <c r="C457" s="27">
        <v>30</v>
      </c>
      <c r="D457" s="27">
        <v>1</v>
      </c>
      <c r="E457" s="27">
        <v>3</v>
      </c>
      <c r="F457" s="5">
        <v>2</v>
      </c>
      <c r="G457" s="46">
        <f t="shared" si="1069"/>
        <v>-0.17430000000000007</v>
      </c>
      <c r="H457" s="27"/>
      <c r="I457" s="27" t="s">
        <v>975</v>
      </c>
      <c r="J457" s="27"/>
      <c r="K457" s="5">
        <f t="shared" si="1096"/>
        <v>0.14000000000000001</v>
      </c>
      <c r="L457" s="10">
        <v>2</v>
      </c>
      <c r="M457" s="5">
        <f t="shared" si="1097"/>
        <v>0.04</v>
      </c>
      <c r="N457" s="10">
        <v>0</v>
      </c>
      <c r="O457" s="5">
        <v>0.2</v>
      </c>
      <c r="P457" s="5">
        <f t="shared" si="1043"/>
        <v>0.2</v>
      </c>
      <c r="Q457" s="5">
        <v>2</v>
      </c>
      <c r="R457" s="5">
        <f t="shared" si="1070"/>
        <v>903925</v>
      </c>
      <c r="S457" s="5">
        <v>30</v>
      </c>
      <c r="T457" s="5">
        <v>10</v>
      </c>
      <c r="U457" s="5">
        <v>0.3</v>
      </c>
      <c r="V457" s="5">
        <v>0.15</v>
      </c>
      <c r="W457" s="5">
        <v>9</v>
      </c>
      <c r="X457" s="5">
        <v>-0.6</v>
      </c>
      <c r="Y457" s="5">
        <v>1.8</v>
      </c>
      <c r="Z457" s="27" t="s">
        <v>1028</v>
      </c>
      <c r="AA457" s="5">
        <v>3</v>
      </c>
      <c r="AB457" s="5">
        <v>2</v>
      </c>
      <c r="AC457" s="5">
        <v>6</v>
      </c>
      <c r="AD457" s="27" t="s">
        <v>1029</v>
      </c>
      <c r="AE457" s="20">
        <v>0</v>
      </c>
      <c r="AF457" s="5">
        <f t="shared" si="1071"/>
        <v>903941</v>
      </c>
      <c r="AG457" s="5">
        <v>60</v>
      </c>
      <c r="AH457" s="5">
        <f t="shared" si="1044"/>
        <v>0.2</v>
      </c>
      <c r="AI457" s="5">
        <v>2</v>
      </c>
      <c r="AJ457" s="5">
        <v>2</v>
      </c>
      <c r="AK457" s="5">
        <f t="shared" si="1072"/>
        <v>25</v>
      </c>
      <c r="AL457" s="5">
        <f t="shared" si="1045"/>
        <v>0</v>
      </c>
      <c r="AM457" s="5">
        <f t="shared" si="1046"/>
        <v>15</v>
      </c>
      <c r="AN457" s="8">
        <v>0</v>
      </c>
      <c r="AO457" s="5">
        <v>0</v>
      </c>
      <c r="AP457" s="28" t="s">
        <v>780</v>
      </c>
      <c r="AQ457" s="5">
        <v>0</v>
      </c>
      <c r="AR457" s="8">
        <v>20</v>
      </c>
      <c r="AS457" s="6">
        <f t="shared" si="1117"/>
        <v>300</v>
      </c>
      <c r="AT457" s="6">
        <f t="shared" si="1118"/>
        <v>315</v>
      </c>
      <c r="AU457" s="5">
        <v>0</v>
      </c>
      <c r="AV457" s="5">
        <v>0</v>
      </c>
      <c r="AW457" s="5">
        <v>0</v>
      </c>
      <c r="AX457" s="5">
        <v>1</v>
      </c>
      <c r="AY457" s="5">
        <v>0</v>
      </c>
      <c r="AZ457" s="5">
        <v>201455</v>
      </c>
      <c r="BA457" s="5">
        <f t="shared" si="1073"/>
        <v>203047</v>
      </c>
      <c r="BB457" s="5">
        <v>10</v>
      </c>
      <c r="BC457" s="5">
        <v>0</v>
      </c>
      <c r="BD457" s="5">
        <v>1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f t="shared" si="1110"/>
        <v>1</v>
      </c>
      <c r="BM457" s="5">
        <v>0</v>
      </c>
      <c r="BN457" s="5">
        <v>0</v>
      </c>
      <c r="BO457" s="5">
        <v>0</v>
      </c>
      <c r="BP457" s="5">
        <v>0</v>
      </c>
      <c r="BQ457" s="5"/>
      <c r="BR457" s="5"/>
      <c r="BS457" s="4">
        <v>0</v>
      </c>
      <c r="BT457" s="4">
        <f t="shared" si="1048"/>
        <v>5</v>
      </c>
      <c r="BU457" s="17">
        <v>45</v>
      </c>
      <c r="BV457" s="4">
        <f t="shared" ref="BV457:BY457" si="1125">BV447</f>
        <v>5</v>
      </c>
      <c r="BW457" s="4">
        <f t="shared" si="1125"/>
        <v>5</v>
      </c>
      <c r="BX457" s="4">
        <f t="shared" si="1125"/>
        <v>0.56999999999999995</v>
      </c>
      <c r="BY457" s="4">
        <f t="shared" si="1125"/>
        <v>0.35000000000000003</v>
      </c>
      <c r="BZ457" s="27" t="s">
        <v>1005</v>
      </c>
      <c r="CA457" s="30" t="str">
        <f t="shared" si="1075"/>
        <v>5</v>
      </c>
      <c r="CB457" s="30" t="s">
        <v>917</v>
      </c>
      <c r="CC457" s="5">
        <v>0</v>
      </c>
      <c r="CD457" s="8">
        <v>3</v>
      </c>
      <c r="CE457" s="5">
        <f t="shared" si="1050"/>
        <v>5</v>
      </c>
      <c r="CF457" s="5">
        <v>1</v>
      </c>
      <c r="CG457" s="27" t="str">
        <f t="shared" si="1057"/>
        <v>5级电龙</v>
      </c>
      <c r="CH457" s="5">
        <v>0</v>
      </c>
      <c r="CI457" s="5">
        <v>134</v>
      </c>
      <c r="CJ457" s="4">
        <v>0</v>
      </c>
      <c r="CK457" s="20">
        <v>0</v>
      </c>
      <c r="CL457" s="5">
        <v>0</v>
      </c>
      <c r="CM457" s="20">
        <v>114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20">
        <v>2.5</v>
      </c>
      <c r="CW457" s="20">
        <v>3</v>
      </c>
      <c r="CX457" s="20">
        <v>2.5</v>
      </c>
      <c r="CY457" s="20">
        <v>3.5</v>
      </c>
      <c r="CZ457" s="8">
        <v>200</v>
      </c>
      <c r="DA457" s="6">
        <f t="shared" si="1065"/>
        <v>25000</v>
      </c>
      <c r="DB457" s="5">
        <v>1</v>
      </c>
      <c r="DC457" s="20">
        <f t="shared" si="1051"/>
        <v>1.7999999999999998</v>
      </c>
      <c r="DD457" s="6">
        <f t="shared" si="1066"/>
        <v>0.6</v>
      </c>
      <c r="DE457" s="6">
        <v>1</v>
      </c>
      <c r="DF457" s="5">
        <v>0</v>
      </c>
      <c r="DG457" s="6">
        <v>2.5</v>
      </c>
      <c r="DH457" s="5">
        <v>0</v>
      </c>
      <c r="DI457" s="8">
        <v>5</v>
      </c>
      <c r="DJ457" s="5">
        <f t="shared" si="1121"/>
        <v>87.5</v>
      </c>
      <c r="DK457" s="8">
        <v>0</v>
      </c>
      <c r="DL457" s="5">
        <f t="shared" si="1116"/>
        <v>0</v>
      </c>
      <c r="DM457" s="5" t="str">
        <f t="shared" si="1054"/>
        <v>5级电龙</v>
      </c>
      <c r="DN457" s="5">
        <v>6</v>
      </c>
      <c r="DO457" s="5">
        <v>0</v>
      </c>
      <c r="DP457" s="5">
        <v>1</v>
      </c>
      <c r="DQ457" s="5">
        <v>1</v>
      </c>
      <c r="DR457" s="5">
        <v>2.5</v>
      </c>
      <c r="DS457" s="6">
        <v>3.5</v>
      </c>
      <c r="DT457" s="5">
        <v>-0.6</v>
      </c>
      <c r="DU457" s="5">
        <v>0.8</v>
      </c>
      <c r="DV457" s="6">
        <v>0.5</v>
      </c>
      <c r="DW457" s="5">
        <f t="shared" si="1067"/>
        <v>0.66666666666666663</v>
      </c>
      <c r="DX457" s="5">
        <v>8</v>
      </c>
      <c r="DY457" s="5">
        <f t="shared" si="1068"/>
        <v>0</v>
      </c>
      <c r="DZ457" s="5">
        <v>0</v>
      </c>
    </row>
    <row r="458" spans="1:130" x14ac:dyDescent="0.15">
      <c r="A458" s="5">
        <v>201456</v>
      </c>
      <c r="B458" s="28" t="s">
        <v>781</v>
      </c>
      <c r="C458" s="27">
        <v>30</v>
      </c>
      <c r="D458" s="27">
        <v>1</v>
      </c>
      <c r="E458" s="27">
        <v>3</v>
      </c>
      <c r="F458" s="5">
        <v>2</v>
      </c>
      <c r="G458" s="46">
        <f t="shared" si="1069"/>
        <v>-0.17430000000000007</v>
      </c>
      <c r="H458" s="27"/>
      <c r="I458" s="27" t="s">
        <v>975</v>
      </c>
      <c r="J458" s="27"/>
      <c r="K458" s="5">
        <f t="shared" si="1096"/>
        <v>0.15000000000000002</v>
      </c>
      <c r="L458" s="10">
        <v>2</v>
      </c>
      <c r="M458" s="5">
        <f t="shared" si="1097"/>
        <v>0.05</v>
      </c>
      <c r="N458" s="10">
        <v>0</v>
      </c>
      <c r="O458" s="5">
        <v>0.2</v>
      </c>
      <c r="P458" s="5">
        <f t="shared" si="1043"/>
        <v>0.2</v>
      </c>
      <c r="Q458" s="5">
        <v>2</v>
      </c>
      <c r="R458" s="5">
        <f t="shared" si="1070"/>
        <v>903925</v>
      </c>
      <c r="S458" s="5">
        <v>30</v>
      </c>
      <c r="T458" s="5">
        <v>10</v>
      </c>
      <c r="U458" s="5">
        <v>0.3</v>
      </c>
      <c r="V458" s="5">
        <v>0.15</v>
      </c>
      <c r="W458" s="5">
        <v>9</v>
      </c>
      <c r="X458" s="5">
        <v>-0.6</v>
      </c>
      <c r="Y458" s="5">
        <v>1.8</v>
      </c>
      <c r="Z458" s="27" t="s">
        <v>1028</v>
      </c>
      <c r="AA458" s="5">
        <v>3</v>
      </c>
      <c r="AB458" s="5">
        <v>2</v>
      </c>
      <c r="AC458" s="5">
        <v>6</v>
      </c>
      <c r="AD458" s="27" t="s">
        <v>1029</v>
      </c>
      <c r="AE458" s="20">
        <v>0</v>
      </c>
      <c r="AF458" s="5">
        <f t="shared" si="1071"/>
        <v>903941</v>
      </c>
      <c r="AG458" s="5">
        <v>60</v>
      </c>
      <c r="AH458" s="5">
        <f t="shared" si="1044"/>
        <v>0.2</v>
      </c>
      <c r="AI458" s="5">
        <v>2</v>
      </c>
      <c r="AJ458" s="5">
        <v>2</v>
      </c>
      <c r="AK458" s="5">
        <f t="shared" si="1072"/>
        <v>30</v>
      </c>
      <c r="AL458" s="5">
        <f t="shared" si="1045"/>
        <v>0</v>
      </c>
      <c r="AM458" s="5">
        <f t="shared" si="1046"/>
        <v>18</v>
      </c>
      <c r="AN458" s="8">
        <v>0</v>
      </c>
      <c r="AO458" s="5">
        <v>0</v>
      </c>
      <c r="AP458" s="28" t="s">
        <v>781</v>
      </c>
      <c r="AQ458" s="5">
        <v>0</v>
      </c>
      <c r="AR458" s="8">
        <v>20</v>
      </c>
      <c r="AS458" s="6">
        <f t="shared" si="1117"/>
        <v>360</v>
      </c>
      <c r="AT458" s="6">
        <f t="shared" si="1118"/>
        <v>378</v>
      </c>
      <c r="AU458" s="5">
        <v>0</v>
      </c>
      <c r="AV458" s="5">
        <v>0</v>
      </c>
      <c r="AW458" s="5">
        <v>0</v>
      </c>
      <c r="AX458" s="5">
        <v>1</v>
      </c>
      <c r="AY458" s="5">
        <v>0</v>
      </c>
      <c r="AZ458" s="5">
        <v>201456</v>
      </c>
      <c r="BA458" s="5">
        <f t="shared" si="1073"/>
        <v>203047</v>
      </c>
      <c r="BB458" s="5">
        <v>10</v>
      </c>
      <c r="BC458" s="5">
        <v>0</v>
      </c>
      <c r="BD458" s="5">
        <v>1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f t="shared" si="1110"/>
        <v>1</v>
      </c>
      <c r="BM458" s="5">
        <v>0</v>
      </c>
      <c r="BN458" s="5">
        <v>0</v>
      </c>
      <c r="BO458" s="5">
        <v>0</v>
      </c>
      <c r="BP458" s="5">
        <v>0</v>
      </c>
      <c r="BQ458" s="5"/>
      <c r="BR458" s="5"/>
      <c r="BS458" s="4">
        <v>0</v>
      </c>
      <c r="BT458" s="4">
        <f t="shared" si="1048"/>
        <v>6</v>
      </c>
      <c r="BU458" s="17">
        <v>46</v>
      </c>
      <c r="BV458" s="4">
        <f t="shared" ref="BV458:BY458" si="1126">BV448</f>
        <v>6</v>
      </c>
      <c r="BW458" s="4">
        <f t="shared" si="1126"/>
        <v>6</v>
      </c>
      <c r="BX458" s="4">
        <f t="shared" si="1126"/>
        <v>0.49999999999999994</v>
      </c>
      <c r="BY458" s="4">
        <f t="shared" si="1126"/>
        <v>0.30000000000000004</v>
      </c>
      <c r="BZ458" s="27" t="s">
        <v>1005</v>
      </c>
      <c r="CA458" s="30" t="str">
        <f t="shared" si="1075"/>
        <v>6</v>
      </c>
      <c r="CB458" s="30" t="s">
        <v>917</v>
      </c>
      <c r="CC458" s="5">
        <v>0</v>
      </c>
      <c r="CD458" s="8">
        <v>3</v>
      </c>
      <c r="CE458" s="5">
        <f t="shared" si="1050"/>
        <v>6</v>
      </c>
      <c r="CF458" s="5">
        <v>1</v>
      </c>
      <c r="CG458" s="27" t="str">
        <f t="shared" si="1057"/>
        <v>6级电龙</v>
      </c>
      <c r="CH458" s="5">
        <v>0</v>
      </c>
      <c r="CI458" s="5">
        <v>134</v>
      </c>
      <c r="CJ458" s="4">
        <v>0</v>
      </c>
      <c r="CK458" s="20">
        <v>0</v>
      </c>
      <c r="CL458" s="5">
        <v>0</v>
      </c>
      <c r="CM458" s="20">
        <v>114</v>
      </c>
      <c r="CN458" s="5">
        <v>0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20">
        <v>2.5</v>
      </c>
      <c r="CW458" s="20">
        <v>3</v>
      </c>
      <c r="CX458" s="20">
        <v>2.5</v>
      </c>
      <c r="CY458" s="20">
        <v>3.5</v>
      </c>
      <c r="CZ458" s="8">
        <v>200</v>
      </c>
      <c r="DA458" s="6">
        <f t="shared" si="1065"/>
        <v>30000</v>
      </c>
      <c r="DB458" s="5">
        <v>1</v>
      </c>
      <c r="DC458" s="20">
        <f t="shared" si="1051"/>
        <v>1.875</v>
      </c>
      <c r="DD458" s="6">
        <f t="shared" si="1066"/>
        <v>0.625</v>
      </c>
      <c r="DE458" s="6">
        <v>1</v>
      </c>
      <c r="DF458" s="5">
        <v>0</v>
      </c>
      <c r="DG458" s="6">
        <v>2.5</v>
      </c>
      <c r="DH458" s="5">
        <v>0</v>
      </c>
      <c r="DI458" s="8">
        <v>5</v>
      </c>
      <c r="DJ458" s="5">
        <f t="shared" si="1121"/>
        <v>100</v>
      </c>
      <c r="DK458" s="8">
        <v>0</v>
      </c>
      <c r="DL458" s="5">
        <f t="shared" si="1116"/>
        <v>0</v>
      </c>
      <c r="DM458" s="5" t="str">
        <f t="shared" si="1054"/>
        <v>6级电龙</v>
      </c>
      <c r="DN458" s="5">
        <v>6</v>
      </c>
      <c r="DO458" s="5">
        <v>0</v>
      </c>
      <c r="DP458" s="5">
        <v>1</v>
      </c>
      <c r="DQ458" s="5">
        <v>1</v>
      </c>
      <c r="DR458" s="5">
        <v>2.5</v>
      </c>
      <c r="DS458" s="6">
        <v>3.5</v>
      </c>
      <c r="DT458" s="5">
        <v>-0.6</v>
      </c>
      <c r="DU458" s="5">
        <v>0.8</v>
      </c>
      <c r="DV458" s="6">
        <v>0.5</v>
      </c>
      <c r="DW458" s="5">
        <f t="shared" si="1067"/>
        <v>0.66666666666666663</v>
      </c>
      <c r="DX458" s="5">
        <v>8</v>
      </c>
      <c r="DY458" s="5">
        <f t="shared" si="1068"/>
        <v>0</v>
      </c>
      <c r="DZ458" s="5">
        <v>0</v>
      </c>
    </row>
    <row r="459" spans="1:130" x14ac:dyDescent="0.15">
      <c r="A459" s="5">
        <v>201457</v>
      </c>
      <c r="B459" s="28" t="s">
        <v>782</v>
      </c>
      <c r="C459" s="27">
        <v>30</v>
      </c>
      <c r="D459" s="27">
        <v>1</v>
      </c>
      <c r="E459" s="27">
        <v>3</v>
      </c>
      <c r="F459" s="5">
        <v>2</v>
      </c>
      <c r="G459" s="46">
        <f t="shared" si="1069"/>
        <v>-0.17430000000000007</v>
      </c>
      <c r="H459" s="27"/>
      <c r="I459" s="27" t="s">
        <v>975</v>
      </c>
      <c r="J459" s="27"/>
      <c r="K459" s="5">
        <f t="shared" si="1096"/>
        <v>0.16</v>
      </c>
      <c r="L459" s="10">
        <v>2</v>
      </c>
      <c r="M459" s="5">
        <f t="shared" si="1097"/>
        <v>0.06</v>
      </c>
      <c r="N459" s="10">
        <v>0</v>
      </c>
      <c r="O459" s="5">
        <v>0.2</v>
      </c>
      <c r="P459" s="5">
        <f t="shared" si="1043"/>
        <v>0.2</v>
      </c>
      <c r="Q459" s="5">
        <v>2</v>
      </c>
      <c r="R459" s="5">
        <f t="shared" si="1070"/>
        <v>903925</v>
      </c>
      <c r="S459" s="5">
        <v>30</v>
      </c>
      <c r="T459" s="5">
        <v>10</v>
      </c>
      <c r="U459" s="5">
        <v>0.3</v>
      </c>
      <c r="V459" s="5">
        <v>0.15</v>
      </c>
      <c r="W459" s="5">
        <v>9</v>
      </c>
      <c r="X459" s="5">
        <v>-0.6</v>
      </c>
      <c r="Y459" s="5">
        <v>1.8</v>
      </c>
      <c r="Z459" s="27" t="s">
        <v>1028</v>
      </c>
      <c r="AA459" s="5">
        <v>3</v>
      </c>
      <c r="AB459" s="5">
        <v>2</v>
      </c>
      <c r="AC459" s="5">
        <v>6</v>
      </c>
      <c r="AD459" s="27" t="s">
        <v>1029</v>
      </c>
      <c r="AE459" s="20">
        <v>0</v>
      </c>
      <c r="AF459" s="5">
        <f t="shared" si="1071"/>
        <v>903941</v>
      </c>
      <c r="AG459" s="5">
        <v>60</v>
      </c>
      <c r="AH459" s="5">
        <f t="shared" si="1044"/>
        <v>0.2</v>
      </c>
      <c r="AI459" s="5">
        <v>2</v>
      </c>
      <c r="AJ459" s="5">
        <v>2</v>
      </c>
      <c r="AK459" s="5">
        <f t="shared" si="1072"/>
        <v>35</v>
      </c>
      <c r="AL459" s="5">
        <f t="shared" si="1045"/>
        <v>0</v>
      </c>
      <c r="AM459" s="5">
        <f t="shared" si="1046"/>
        <v>21</v>
      </c>
      <c r="AN459" s="8">
        <v>0</v>
      </c>
      <c r="AO459" s="5">
        <v>0</v>
      </c>
      <c r="AP459" s="28" t="s">
        <v>782</v>
      </c>
      <c r="AQ459" s="5">
        <v>0</v>
      </c>
      <c r="AR459" s="8">
        <v>20</v>
      </c>
      <c r="AS459" s="6">
        <f t="shared" si="1117"/>
        <v>420</v>
      </c>
      <c r="AT459" s="6">
        <f t="shared" si="1118"/>
        <v>441</v>
      </c>
      <c r="AU459" s="5">
        <v>0</v>
      </c>
      <c r="AV459" s="5">
        <v>0</v>
      </c>
      <c r="AW459" s="5">
        <v>0</v>
      </c>
      <c r="AX459" s="5">
        <v>1</v>
      </c>
      <c r="AY459" s="5">
        <v>0</v>
      </c>
      <c r="AZ459" s="5">
        <v>201457</v>
      </c>
      <c r="BA459" s="5">
        <f t="shared" si="1073"/>
        <v>203047</v>
      </c>
      <c r="BB459" s="5">
        <v>10</v>
      </c>
      <c r="BC459" s="5">
        <v>0</v>
      </c>
      <c r="BD459" s="5">
        <v>1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f t="shared" si="1110"/>
        <v>1</v>
      </c>
      <c r="BM459" s="5">
        <v>0</v>
      </c>
      <c r="BN459" s="5">
        <v>0</v>
      </c>
      <c r="BO459" s="5">
        <v>0</v>
      </c>
      <c r="BP459" s="5">
        <v>0</v>
      </c>
      <c r="BQ459" s="5"/>
      <c r="BR459" s="5"/>
      <c r="BS459" s="4">
        <v>0</v>
      </c>
      <c r="BT459" s="4">
        <f t="shared" si="1048"/>
        <v>7</v>
      </c>
      <c r="BU459" s="17">
        <v>47</v>
      </c>
      <c r="BV459" s="4">
        <f t="shared" ref="BV459:BY459" si="1127">BV449</f>
        <v>7</v>
      </c>
      <c r="BW459" s="4">
        <f t="shared" si="1127"/>
        <v>7</v>
      </c>
      <c r="BX459" s="4">
        <f t="shared" si="1127"/>
        <v>0.42999999999999994</v>
      </c>
      <c r="BY459" s="4">
        <f t="shared" si="1127"/>
        <v>0.25</v>
      </c>
      <c r="BZ459" s="27" t="s">
        <v>1005</v>
      </c>
      <c r="CA459" s="30" t="str">
        <f t="shared" si="1075"/>
        <v>7</v>
      </c>
      <c r="CB459" s="30" t="s">
        <v>917</v>
      </c>
      <c r="CC459" s="5">
        <v>0</v>
      </c>
      <c r="CD459" s="8">
        <v>3</v>
      </c>
      <c r="CE459" s="5">
        <f t="shared" si="1050"/>
        <v>7</v>
      </c>
      <c r="CF459" s="5">
        <v>1</v>
      </c>
      <c r="CG459" s="27" t="str">
        <f t="shared" si="1057"/>
        <v>7级电龙</v>
      </c>
      <c r="CH459" s="5">
        <v>0</v>
      </c>
      <c r="CI459" s="5">
        <v>134</v>
      </c>
      <c r="CJ459" s="4">
        <v>0</v>
      </c>
      <c r="CK459" s="20">
        <v>0</v>
      </c>
      <c r="CL459" s="5">
        <v>0</v>
      </c>
      <c r="CM459" s="20">
        <v>114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20">
        <v>2.5</v>
      </c>
      <c r="CW459" s="20">
        <v>3</v>
      </c>
      <c r="CX459" s="20">
        <v>2.5</v>
      </c>
      <c r="CY459" s="20">
        <v>3.5</v>
      </c>
      <c r="CZ459" s="8">
        <v>200</v>
      </c>
      <c r="DA459" s="6">
        <f t="shared" si="1065"/>
        <v>35000</v>
      </c>
      <c r="DB459" s="5">
        <v>1</v>
      </c>
      <c r="DC459" s="20">
        <f t="shared" si="1051"/>
        <v>1.9500000000000002</v>
      </c>
      <c r="DD459" s="6">
        <f t="shared" si="1066"/>
        <v>0.65</v>
      </c>
      <c r="DE459" s="6">
        <v>1</v>
      </c>
      <c r="DF459" s="5">
        <v>0</v>
      </c>
      <c r="DG459" s="6">
        <v>2.5</v>
      </c>
      <c r="DH459" s="5">
        <v>0</v>
      </c>
      <c r="DI459" s="8">
        <v>5</v>
      </c>
      <c r="DJ459" s="5">
        <f t="shared" si="1121"/>
        <v>112.5</v>
      </c>
      <c r="DK459" s="8">
        <v>0</v>
      </c>
      <c r="DL459" s="5">
        <f t="shared" si="1116"/>
        <v>0</v>
      </c>
      <c r="DM459" s="5" t="str">
        <f t="shared" si="1054"/>
        <v>7级电龙</v>
      </c>
      <c r="DN459" s="5">
        <v>6</v>
      </c>
      <c r="DO459" s="5">
        <v>0</v>
      </c>
      <c r="DP459" s="5">
        <v>1</v>
      </c>
      <c r="DQ459" s="5">
        <v>1</v>
      </c>
      <c r="DR459" s="5">
        <v>2.5</v>
      </c>
      <c r="DS459" s="6">
        <v>3.5</v>
      </c>
      <c r="DT459" s="5">
        <v>-0.6</v>
      </c>
      <c r="DU459" s="5">
        <v>0.8</v>
      </c>
      <c r="DV459" s="6">
        <v>0.5</v>
      </c>
      <c r="DW459" s="5">
        <f t="shared" si="1067"/>
        <v>0.66666666666666663</v>
      </c>
      <c r="DX459" s="5">
        <v>8</v>
      </c>
      <c r="DY459" s="5">
        <f t="shared" si="1068"/>
        <v>0</v>
      </c>
      <c r="DZ459" s="5">
        <v>0</v>
      </c>
    </row>
    <row r="460" spans="1:130" x14ac:dyDescent="0.15">
      <c r="A460" s="5">
        <v>201458</v>
      </c>
      <c r="B460" s="28" t="s">
        <v>783</v>
      </c>
      <c r="C460" s="27">
        <v>30</v>
      </c>
      <c r="D460" s="27">
        <v>1</v>
      </c>
      <c r="E460" s="27">
        <v>3</v>
      </c>
      <c r="F460" s="5">
        <v>2</v>
      </c>
      <c r="G460" s="46">
        <f t="shared" si="1069"/>
        <v>-0.17430000000000007</v>
      </c>
      <c r="H460" s="27"/>
      <c r="I460" s="27" t="s">
        <v>975</v>
      </c>
      <c r="J460" s="27"/>
      <c r="K460" s="5">
        <f t="shared" si="1096"/>
        <v>0.17</v>
      </c>
      <c r="L460" s="10">
        <v>2</v>
      </c>
      <c r="M460" s="5">
        <f t="shared" si="1097"/>
        <v>7.0000000000000007E-2</v>
      </c>
      <c r="N460" s="10">
        <v>0</v>
      </c>
      <c r="O460" s="5">
        <v>0.2</v>
      </c>
      <c r="P460" s="5">
        <f t="shared" si="1043"/>
        <v>0.2</v>
      </c>
      <c r="Q460" s="5">
        <v>2</v>
      </c>
      <c r="R460" s="5">
        <f t="shared" si="1070"/>
        <v>903925</v>
      </c>
      <c r="S460" s="5">
        <v>30</v>
      </c>
      <c r="T460" s="5">
        <v>10</v>
      </c>
      <c r="U460" s="5">
        <v>0.3</v>
      </c>
      <c r="V460" s="5">
        <v>0.15</v>
      </c>
      <c r="W460" s="5">
        <v>9</v>
      </c>
      <c r="X460" s="5">
        <v>-0.6</v>
      </c>
      <c r="Y460" s="5">
        <v>1.8</v>
      </c>
      <c r="Z460" s="27" t="s">
        <v>1028</v>
      </c>
      <c r="AA460" s="5">
        <v>3</v>
      </c>
      <c r="AB460" s="5">
        <v>2</v>
      </c>
      <c r="AC460" s="5">
        <v>6</v>
      </c>
      <c r="AD460" s="27" t="s">
        <v>1029</v>
      </c>
      <c r="AE460" s="20">
        <v>0</v>
      </c>
      <c r="AF460" s="5">
        <f t="shared" si="1071"/>
        <v>903941</v>
      </c>
      <c r="AG460" s="5">
        <v>60</v>
      </c>
      <c r="AH460" s="5">
        <f t="shared" si="1044"/>
        <v>0.2</v>
      </c>
      <c r="AI460" s="5">
        <v>2</v>
      </c>
      <c r="AJ460" s="5">
        <v>2</v>
      </c>
      <c r="AK460" s="5">
        <f t="shared" si="1072"/>
        <v>40</v>
      </c>
      <c r="AL460" s="5">
        <f t="shared" si="1045"/>
        <v>0</v>
      </c>
      <c r="AM460" s="5">
        <f t="shared" si="1046"/>
        <v>24</v>
      </c>
      <c r="AN460" s="8">
        <v>0</v>
      </c>
      <c r="AO460" s="5">
        <v>0</v>
      </c>
      <c r="AP460" s="28" t="s">
        <v>783</v>
      </c>
      <c r="AQ460" s="5">
        <v>0</v>
      </c>
      <c r="AR460" s="8">
        <v>20</v>
      </c>
      <c r="AS460" s="6">
        <f t="shared" si="1117"/>
        <v>480</v>
      </c>
      <c r="AT460" s="6">
        <f t="shared" si="1118"/>
        <v>504</v>
      </c>
      <c r="AU460" s="5">
        <v>0</v>
      </c>
      <c r="AV460" s="5">
        <v>0</v>
      </c>
      <c r="AW460" s="5">
        <v>0</v>
      </c>
      <c r="AX460" s="5">
        <v>1</v>
      </c>
      <c r="AY460" s="5">
        <v>0</v>
      </c>
      <c r="AZ460" s="5">
        <v>201458</v>
      </c>
      <c r="BA460" s="5">
        <f t="shared" si="1073"/>
        <v>203047</v>
      </c>
      <c r="BB460" s="5">
        <v>10</v>
      </c>
      <c r="BC460" s="5">
        <v>0</v>
      </c>
      <c r="BD460" s="5">
        <v>1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f t="shared" si="1110"/>
        <v>1</v>
      </c>
      <c r="BM460" s="5">
        <v>0</v>
      </c>
      <c r="BN460" s="5">
        <v>0</v>
      </c>
      <c r="BO460" s="5">
        <v>0</v>
      </c>
      <c r="BP460" s="5">
        <v>0</v>
      </c>
      <c r="BQ460" s="5"/>
      <c r="BR460" s="5"/>
      <c r="BS460" s="4">
        <v>0</v>
      </c>
      <c r="BT460" s="4">
        <f t="shared" si="1048"/>
        <v>8</v>
      </c>
      <c r="BU460" s="17">
        <v>48</v>
      </c>
      <c r="BV460" s="4">
        <f t="shared" ref="BV460:BY460" si="1128">BV450</f>
        <v>8</v>
      </c>
      <c r="BW460" s="4">
        <f t="shared" si="1128"/>
        <v>8</v>
      </c>
      <c r="BX460" s="4">
        <f t="shared" si="1128"/>
        <v>0.35999999999999993</v>
      </c>
      <c r="BY460" s="4">
        <f t="shared" si="1128"/>
        <v>0.2</v>
      </c>
      <c r="BZ460" s="27" t="s">
        <v>1005</v>
      </c>
      <c r="CA460" s="30" t="str">
        <f t="shared" si="1075"/>
        <v>8</v>
      </c>
      <c r="CB460" s="30" t="s">
        <v>917</v>
      </c>
      <c r="CC460" s="5">
        <v>0</v>
      </c>
      <c r="CD460" s="8">
        <v>3</v>
      </c>
      <c r="CE460" s="5">
        <f t="shared" si="1050"/>
        <v>8</v>
      </c>
      <c r="CF460" s="5">
        <v>1</v>
      </c>
      <c r="CG460" s="27" t="str">
        <f t="shared" si="1057"/>
        <v>8级电龙</v>
      </c>
      <c r="CH460" s="5">
        <v>0</v>
      </c>
      <c r="CI460" s="5">
        <v>134</v>
      </c>
      <c r="CJ460" s="4">
        <v>0</v>
      </c>
      <c r="CK460" s="20">
        <v>0</v>
      </c>
      <c r="CL460" s="5">
        <v>0</v>
      </c>
      <c r="CM460" s="20">
        <v>114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20">
        <v>2.5</v>
      </c>
      <c r="CW460" s="20">
        <v>3</v>
      </c>
      <c r="CX460" s="20">
        <v>2.5</v>
      </c>
      <c r="CY460" s="20">
        <v>3.5</v>
      </c>
      <c r="CZ460" s="8">
        <v>200</v>
      </c>
      <c r="DA460" s="6">
        <f t="shared" si="1065"/>
        <v>40000</v>
      </c>
      <c r="DB460" s="5">
        <v>1</v>
      </c>
      <c r="DC460" s="20">
        <f t="shared" si="1051"/>
        <v>2.0250000000000004</v>
      </c>
      <c r="DD460" s="6">
        <f t="shared" si="1066"/>
        <v>0.67500000000000004</v>
      </c>
      <c r="DE460" s="6">
        <v>1</v>
      </c>
      <c r="DF460" s="5">
        <v>0</v>
      </c>
      <c r="DG460" s="6">
        <v>2.5</v>
      </c>
      <c r="DH460" s="5">
        <v>0</v>
      </c>
      <c r="DI460" s="8">
        <v>5</v>
      </c>
      <c r="DJ460" s="5">
        <f t="shared" si="1121"/>
        <v>125</v>
      </c>
      <c r="DK460" s="8">
        <v>0</v>
      </c>
      <c r="DL460" s="5">
        <f t="shared" si="1116"/>
        <v>0</v>
      </c>
      <c r="DM460" s="5" t="str">
        <f t="shared" si="1054"/>
        <v>8级电龙</v>
      </c>
      <c r="DN460" s="5">
        <v>6</v>
      </c>
      <c r="DO460" s="5">
        <v>0</v>
      </c>
      <c r="DP460" s="5">
        <v>1</v>
      </c>
      <c r="DQ460" s="5">
        <v>1</v>
      </c>
      <c r="DR460" s="5">
        <v>2.5</v>
      </c>
      <c r="DS460" s="6">
        <v>3.5</v>
      </c>
      <c r="DT460" s="5">
        <v>-0.6</v>
      </c>
      <c r="DU460" s="5">
        <v>0.8</v>
      </c>
      <c r="DV460" s="6">
        <v>0.5</v>
      </c>
      <c r="DW460" s="5">
        <f t="shared" si="1067"/>
        <v>0.66666666666666663</v>
      </c>
      <c r="DX460" s="5">
        <v>8</v>
      </c>
      <c r="DY460" s="5">
        <f t="shared" si="1068"/>
        <v>0</v>
      </c>
      <c r="DZ460" s="5">
        <v>0</v>
      </c>
    </row>
    <row r="461" spans="1:130" x14ac:dyDescent="0.15">
      <c r="A461" s="5">
        <v>201459</v>
      </c>
      <c r="B461" s="28" t="s">
        <v>784</v>
      </c>
      <c r="C461" s="27">
        <v>30</v>
      </c>
      <c r="D461" s="27">
        <v>1</v>
      </c>
      <c r="E461" s="27">
        <v>3</v>
      </c>
      <c r="F461" s="5">
        <v>2</v>
      </c>
      <c r="G461" s="46">
        <f t="shared" si="1069"/>
        <v>-0.17430000000000007</v>
      </c>
      <c r="H461" s="27"/>
      <c r="I461" s="27" t="s">
        <v>975</v>
      </c>
      <c r="J461" s="27"/>
      <c r="K461" s="5">
        <f t="shared" si="1096"/>
        <v>0.18</v>
      </c>
      <c r="L461" s="10">
        <v>2</v>
      </c>
      <c r="M461" s="5">
        <f t="shared" si="1097"/>
        <v>0.08</v>
      </c>
      <c r="N461" s="10">
        <v>0</v>
      </c>
      <c r="O461" s="5">
        <v>0.2</v>
      </c>
      <c r="P461" s="5">
        <f t="shared" si="1043"/>
        <v>0.2</v>
      </c>
      <c r="Q461" s="5">
        <v>2</v>
      </c>
      <c r="R461" s="5">
        <f t="shared" si="1070"/>
        <v>903925</v>
      </c>
      <c r="S461" s="5">
        <v>30</v>
      </c>
      <c r="T461" s="5">
        <v>10</v>
      </c>
      <c r="U461" s="5">
        <v>0.3</v>
      </c>
      <c r="V461" s="5">
        <v>0.15</v>
      </c>
      <c r="W461" s="5">
        <v>9</v>
      </c>
      <c r="X461" s="5">
        <v>-0.6</v>
      </c>
      <c r="Y461" s="5">
        <v>1.8</v>
      </c>
      <c r="Z461" s="27" t="s">
        <v>1028</v>
      </c>
      <c r="AA461" s="5">
        <v>3</v>
      </c>
      <c r="AB461" s="5">
        <v>2</v>
      </c>
      <c r="AC461" s="5">
        <v>6</v>
      </c>
      <c r="AD461" s="27" t="s">
        <v>1029</v>
      </c>
      <c r="AE461" s="20">
        <v>0</v>
      </c>
      <c r="AF461" s="5">
        <f t="shared" si="1071"/>
        <v>903941</v>
      </c>
      <c r="AG461" s="5">
        <v>60</v>
      </c>
      <c r="AH461" s="5">
        <f t="shared" si="1044"/>
        <v>0.2</v>
      </c>
      <c r="AI461" s="5">
        <v>2</v>
      </c>
      <c r="AJ461" s="5">
        <v>2</v>
      </c>
      <c r="AK461" s="5">
        <f t="shared" si="1072"/>
        <v>45</v>
      </c>
      <c r="AL461" s="5">
        <f t="shared" si="1045"/>
        <v>0</v>
      </c>
      <c r="AM461" s="5">
        <f t="shared" si="1046"/>
        <v>27</v>
      </c>
      <c r="AN461" s="8">
        <v>0</v>
      </c>
      <c r="AO461" s="5">
        <v>0</v>
      </c>
      <c r="AP461" s="28" t="s">
        <v>784</v>
      </c>
      <c r="AQ461" s="5">
        <v>0</v>
      </c>
      <c r="AR461" s="8">
        <v>20</v>
      </c>
      <c r="AS461" s="6">
        <f t="shared" si="1117"/>
        <v>540</v>
      </c>
      <c r="AT461" s="6">
        <f t="shared" si="1118"/>
        <v>567</v>
      </c>
      <c r="AU461" s="5">
        <v>0</v>
      </c>
      <c r="AV461" s="5">
        <v>0</v>
      </c>
      <c r="AW461" s="5">
        <v>0</v>
      </c>
      <c r="AX461" s="5">
        <v>1</v>
      </c>
      <c r="AY461" s="5">
        <v>0</v>
      </c>
      <c r="AZ461" s="5">
        <v>201459</v>
      </c>
      <c r="BA461" s="5">
        <f t="shared" si="1073"/>
        <v>203047</v>
      </c>
      <c r="BB461" s="5">
        <v>10</v>
      </c>
      <c r="BC461" s="5">
        <v>0</v>
      </c>
      <c r="BD461" s="5">
        <v>1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f t="shared" si="1110"/>
        <v>1</v>
      </c>
      <c r="BM461" s="5">
        <v>0</v>
      </c>
      <c r="BN461" s="5">
        <v>0</v>
      </c>
      <c r="BO461" s="5">
        <v>0</v>
      </c>
      <c r="BP461" s="5">
        <v>0</v>
      </c>
      <c r="BQ461" s="5"/>
      <c r="BR461" s="5"/>
      <c r="BS461" s="4">
        <v>0</v>
      </c>
      <c r="BT461" s="4">
        <f t="shared" si="1048"/>
        <v>9</v>
      </c>
      <c r="BU461" s="17">
        <v>49</v>
      </c>
      <c r="BV461" s="4">
        <f t="shared" ref="BV461:BY461" si="1129">BV451</f>
        <v>9</v>
      </c>
      <c r="BW461" s="4">
        <f t="shared" si="1129"/>
        <v>9</v>
      </c>
      <c r="BX461" s="4">
        <f t="shared" si="1129"/>
        <v>0.28999999999999992</v>
      </c>
      <c r="BY461" s="4">
        <f t="shared" si="1129"/>
        <v>0.15000000000000002</v>
      </c>
      <c r="BZ461" s="27" t="s">
        <v>1005</v>
      </c>
      <c r="CA461" s="30" t="str">
        <f t="shared" si="1075"/>
        <v>9</v>
      </c>
      <c r="CB461" s="30" t="s">
        <v>917</v>
      </c>
      <c r="CC461" s="5">
        <v>0</v>
      </c>
      <c r="CD461" s="8">
        <v>3</v>
      </c>
      <c r="CE461" s="5">
        <f t="shared" si="1050"/>
        <v>9</v>
      </c>
      <c r="CF461" s="5">
        <v>1</v>
      </c>
      <c r="CG461" s="27" t="str">
        <f t="shared" si="1057"/>
        <v>9级电龙</v>
      </c>
      <c r="CH461" s="5">
        <v>0</v>
      </c>
      <c r="CI461" s="5">
        <v>134</v>
      </c>
      <c r="CJ461" s="4">
        <v>0</v>
      </c>
      <c r="CK461" s="20">
        <v>0</v>
      </c>
      <c r="CL461" s="5">
        <v>0</v>
      </c>
      <c r="CM461" s="20">
        <v>114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20">
        <v>2.5</v>
      </c>
      <c r="CW461" s="20">
        <v>3</v>
      </c>
      <c r="CX461" s="20">
        <v>2.5</v>
      </c>
      <c r="CY461" s="20">
        <v>3.5</v>
      </c>
      <c r="CZ461" s="8">
        <v>200</v>
      </c>
      <c r="DA461" s="6">
        <f t="shared" si="1065"/>
        <v>45000</v>
      </c>
      <c r="DB461" s="5">
        <v>1</v>
      </c>
      <c r="DC461" s="20">
        <f t="shared" si="1051"/>
        <v>2.0999999999999996</v>
      </c>
      <c r="DD461" s="6">
        <f t="shared" si="1066"/>
        <v>0.7</v>
      </c>
      <c r="DE461" s="6">
        <v>1</v>
      </c>
      <c r="DF461" s="5">
        <v>0</v>
      </c>
      <c r="DG461" s="6">
        <v>2.5</v>
      </c>
      <c r="DH461" s="5">
        <v>0</v>
      </c>
      <c r="DI461" s="8">
        <v>5</v>
      </c>
      <c r="DJ461" s="5">
        <f t="shared" si="1121"/>
        <v>137.5</v>
      </c>
      <c r="DK461" s="8">
        <v>0</v>
      </c>
      <c r="DL461" s="5">
        <f t="shared" si="1116"/>
        <v>0</v>
      </c>
      <c r="DM461" s="5" t="str">
        <f t="shared" si="1054"/>
        <v>9级电龙</v>
      </c>
      <c r="DN461" s="5">
        <v>6</v>
      </c>
      <c r="DO461" s="5">
        <v>0</v>
      </c>
      <c r="DP461" s="5">
        <v>1</v>
      </c>
      <c r="DQ461" s="5">
        <v>1</v>
      </c>
      <c r="DR461" s="5">
        <v>2.5</v>
      </c>
      <c r="DS461" s="6">
        <v>3.5</v>
      </c>
      <c r="DT461" s="5">
        <v>-0.6</v>
      </c>
      <c r="DU461" s="5">
        <v>0.8</v>
      </c>
      <c r="DV461" s="6">
        <v>0.5</v>
      </c>
      <c r="DW461" s="5">
        <f t="shared" si="1067"/>
        <v>0.66666666666666663</v>
      </c>
      <c r="DX461" s="5">
        <v>8</v>
      </c>
      <c r="DY461" s="5">
        <f t="shared" si="1068"/>
        <v>0</v>
      </c>
      <c r="DZ461" s="5">
        <v>0</v>
      </c>
    </row>
    <row r="462" spans="1:130" x14ac:dyDescent="0.15">
      <c r="A462" s="5">
        <v>201460</v>
      </c>
      <c r="B462" s="28" t="s">
        <v>785</v>
      </c>
      <c r="C462" s="27">
        <v>30</v>
      </c>
      <c r="D462" s="27">
        <v>1</v>
      </c>
      <c r="E462" s="27">
        <v>3</v>
      </c>
      <c r="F462" s="5">
        <v>2</v>
      </c>
      <c r="G462" s="46">
        <f t="shared" si="1069"/>
        <v>-0.17430000000000007</v>
      </c>
      <c r="H462" s="27"/>
      <c r="I462" s="27" t="s">
        <v>975</v>
      </c>
      <c r="J462" s="27"/>
      <c r="K462" s="5">
        <f t="shared" si="1096"/>
        <v>0.19</v>
      </c>
      <c r="L462" s="10">
        <v>2</v>
      </c>
      <c r="M462" s="5">
        <f t="shared" si="1097"/>
        <v>0.09</v>
      </c>
      <c r="N462" s="10">
        <v>0</v>
      </c>
      <c r="O462" s="5">
        <v>0.2</v>
      </c>
      <c r="P462" s="5">
        <f t="shared" si="1043"/>
        <v>0.2</v>
      </c>
      <c r="Q462" s="5">
        <v>2</v>
      </c>
      <c r="R462" s="5">
        <f t="shared" si="1070"/>
        <v>903925</v>
      </c>
      <c r="S462" s="5">
        <v>30</v>
      </c>
      <c r="T462" s="5">
        <v>10</v>
      </c>
      <c r="U462" s="5">
        <v>0.3</v>
      </c>
      <c r="V462" s="5">
        <v>0.15</v>
      </c>
      <c r="W462" s="5">
        <v>9</v>
      </c>
      <c r="X462" s="5">
        <v>-0.6</v>
      </c>
      <c r="Y462" s="5">
        <v>1.8</v>
      </c>
      <c r="Z462" s="27" t="s">
        <v>1028</v>
      </c>
      <c r="AA462" s="5">
        <v>3</v>
      </c>
      <c r="AB462" s="5">
        <v>2</v>
      </c>
      <c r="AC462" s="5">
        <v>6</v>
      </c>
      <c r="AD462" s="27" t="s">
        <v>1029</v>
      </c>
      <c r="AE462" s="20">
        <v>0</v>
      </c>
      <c r="AF462" s="5">
        <f t="shared" si="1071"/>
        <v>903941</v>
      </c>
      <c r="AG462" s="5">
        <v>60</v>
      </c>
      <c r="AH462" s="5">
        <f t="shared" si="1044"/>
        <v>0.2</v>
      </c>
      <c r="AI462" s="5">
        <v>2</v>
      </c>
      <c r="AJ462" s="5">
        <v>2</v>
      </c>
      <c r="AK462" s="5">
        <f t="shared" si="1072"/>
        <v>50</v>
      </c>
      <c r="AL462" s="5">
        <f t="shared" si="1045"/>
        <v>0</v>
      </c>
      <c r="AM462" s="5">
        <f t="shared" si="1046"/>
        <v>30</v>
      </c>
      <c r="AN462" s="8">
        <v>0</v>
      </c>
      <c r="AO462" s="5">
        <v>0</v>
      </c>
      <c r="AP462" s="28" t="s">
        <v>785</v>
      </c>
      <c r="AQ462" s="5">
        <v>0</v>
      </c>
      <c r="AR462" s="8">
        <v>20</v>
      </c>
      <c r="AS462" s="6">
        <f t="shared" si="1117"/>
        <v>600</v>
      </c>
      <c r="AT462" s="6">
        <f t="shared" si="1118"/>
        <v>630</v>
      </c>
      <c r="AU462" s="5">
        <v>0</v>
      </c>
      <c r="AV462" s="5">
        <v>0</v>
      </c>
      <c r="AW462" s="5">
        <v>0</v>
      </c>
      <c r="AX462" s="5">
        <v>1</v>
      </c>
      <c r="AY462" s="5">
        <v>0</v>
      </c>
      <c r="AZ462" s="5">
        <v>201460</v>
      </c>
      <c r="BA462" s="5">
        <f t="shared" si="1073"/>
        <v>203047</v>
      </c>
      <c r="BB462" s="5">
        <v>10</v>
      </c>
      <c r="BC462" s="5">
        <v>0</v>
      </c>
      <c r="BD462" s="5">
        <v>1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f t="shared" si="1110"/>
        <v>1</v>
      </c>
      <c r="BM462" s="5">
        <v>0</v>
      </c>
      <c r="BN462" s="5">
        <v>0</v>
      </c>
      <c r="BO462" s="5">
        <v>0</v>
      </c>
      <c r="BP462" s="5">
        <v>0</v>
      </c>
      <c r="BQ462" s="5"/>
      <c r="BR462" s="5"/>
      <c r="BS462" s="4">
        <v>0</v>
      </c>
      <c r="BT462" s="4">
        <f t="shared" si="1048"/>
        <v>10</v>
      </c>
      <c r="BU462" s="17">
        <v>50</v>
      </c>
      <c r="BV462" s="4">
        <f t="shared" ref="BV462:BY462" si="1130">BV452</f>
        <v>10</v>
      </c>
      <c r="BW462" s="4">
        <f t="shared" si="1130"/>
        <v>10</v>
      </c>
      <c r="BX462" s="4">
        <f t="shared" si="1130"/>
        <v>0.21999999999999986</v>
      </c>
      <c r="BY462" s="4">
        <f t="shared" si="1130"/>
        <v>0.10000000000000003</v>
      </c>
      <c r="BZ462" s="27" t="s">
        <v>1005</v>
      </c>
      <c r="CA462" s="30" t="str">
        <f t="shared" si="1075"/>
        <v>10</v>
      </c>
      <c r="CB462" s="30" t="s">
        <v>917</v>
      </c>
      <c r="CC462" s="5">
        <v>0</v>
      </c>
      <c r="CD462" s="8">
        <v>3</v>
      </c>
      <c r="CE462" s="5">
        <f t="shared" si="1050"/>
        <v>10</v>
      </c>
      <c r="CF462" s="5">
        <v>1</v>
      </c>
      <c r="CG462" s="27" t="str">
        <f t="shared" si="1057"/>
        <v>10级电龙</v>
      </c>
      <c r="CH462" s="5">
        <v>0</v>
      </c>
      <c r="CI462" s="5">
        <v>134</v>
      </c>
      <c r="CJ462" s="4">
        <v>0</v>
      </c>
      <c r="CK462" s="20">
        <v>0</v>
      </c>
      <c r="CL462" s="5">
        <v>0</v>
      </c>
      <c r="CM462" s="20">
        <v>114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20">
        <v>2.5</v>
      </c>
      <c r="CW462" s="20">
        <v>3</v>
      </c>
      <c r="CX462" s="20">
        <v>2.5</v>
      </c>
      <c r="CY462" s="20">
        <v>3.5</v>
      </c>
      <c r="CZ462" s="8">
        <v>200</v>
      </c>
      <c r="DA462" s="6">
        <f t="shared" si="1065"/>
        <v>50000</v>
      </c>
      <c r="DB462" s="5">
        <v>1</v>
      </c>
      <c r="DC462" s="20">
        <f t="shared" si="1051"/>
        <v>2.1749999999999998</v>
      </c>
      <c r="DD462" s="6">
        <f t="shared" si="1066"/>
        <v>0.72499999999999998</v>
      </c>
      <c r="DE462" s="6">
        <v>1</v>
      </c>
      <c r="DF462" s="5">
        <v>0</v>
      </c>
      <c r="DG462" s="6">
        <v>2.5</v>
      </c>
      <c r="DH462" s="5">
        <v>0</v>
      </c>
      <c r="DI462" s="8">
        <v>5</v>
      </c>
      <c r="DJ462" s="5">
        <f t="shared" si="1121"/>
        <v>150</v>
      </c>
      <c r="DK462" s="8">
        <v>0</v>
      </c>
      <c r="DL462" s="5">
        <f t="shared" si="1116"/>
        <v>0</v>
      </c>
      <c r="DM462" s="5" t="str">
        <f t="shared" si="1054"/>
        <v>10级电龙</v>
      </c>
      <c r="DN462" s="5">
        <v>6</v>
      </c>
      <c r="DO462" s="5">
        <v>0</v>
      </c>
      <c r="DP462" s="5">
        <v>1</v>
      </c>
      <c r="DQ462" s="5">
        <v>1</v>
      </c>
      <c r="DR462" s="5">
        <v>2.5</v>
      </c>
      <c r="DS462" s="6">
        <v>3.5</v>
      </c>
      <c r="DT462" s="5">
        <v>-0.6</v>
      </c>
      <c r="DU462" s="5">
        <v>0.8</v>
      </c>
      <c r="DV462" s="6">
        <v>0.5</v>
      </c>
      <c r="DW462" s="5">
        <f t="shared" si="1067"/>
        <v>0.66666666666666663</v>
      </c>
      <c r="DX462" s="5">
        <v>8</v>
      </c>
      <c r="DY462" s="5">
        <f t="shared" si="1068"/>
        <v>0</v>
      </c>
      <c r="DZ462" s="5">
        <v>0</v>
      </c>
    </row>
    <row r="463" spans="1:130" x14ac:dyDescent="0.15">
      <c r="A463" s="5">
        <v>201461</v>
      </c>
      <c r="B463" s="28" t="s">
        <v>786</v>
      </c>
      <c r="C463" s="28">
        <v>30</v>
      </c>
      <c r="D463" s="28">
        <v>1</v>
      </c>
      <c r="E463" s="28">
        <v>3</v>
      </c>
      <c r="F463" s="6">
        <v>2</v>
      </c>
      <c r="G463" s="46">
        <f t="shared" si="1069"/>
        <v>-0.11620000000000007</v>
      </c>
      <c r="H463" s="28"/>
      <c r="I463" s="28" t="s">
        <v>975</v>
      </c>
      <c r="J463" s="28"/>
      <c r="K463" s="5">
        <f t="shared" si="1096"/>
        <v>0</v>
      </c>
      <c r="L463" s="10">
        <v>0</v>
      </c>
      <c r="M463" s="5">
        <f t="shared" si="1097"/>
        <v>0.1</v>
      </c>
      <c r="N463" s="10">
        <v>2</v>
      </c>
      <c r="O463" s="5">
        <v>0.2</v>
      </c>
      <c r="P463" s="5">
        <f t="shared" si="1043"/>
        <v>0.2</v>
      </c>
      <c r="Q463" s="5">
        <v>2</v>
      </c>
      <c r="R463" s="5">
        <f t="shared" si="1070"/>
        <v>903926</v>
      </c>
      <c r="S463" s="5">
        <v>30</v>
      </c>
      <c r="T463" s="5">
        <v>10</v>
      </c>
      <c r="U463" s="5">
        <v>0.3</v>
      </c>
      <c r="V463" s="5">
        <v>0.15</v>
      </c>
      <c r="W463" s="5">
        <v>9</v>
      </c>
      <c r="X463" s="5">
        <v>-0.6</v>
      </c>
      <c r="Y463" s="5">
        <v>1.8</v>
      </c>
      <c r="Z463" s="27" t="s">
        <v>1030</v>
      </c>
      <c r="AA463" s="5">
        <v>3</v>
      </c>
      <c r="AB463" s="5">
        <v>2</v>
      </c>
      <c r="AC463" s="5">
        <v>6</v>
      </c>
      <c r="AD463" s="27" t="s">
        <v>1031</v>
      </c>
      <c r="AE463" s="20">
        <v>0</v>
      </c>
      <c r="AF463" s="5">
        <f t="shared" si="1071"/>
        <v>903942</v>
      </c>
      <c r="AG463" s="5">
        <v>60</v>
      </c>
      <c r="AH463" s="5">
        <f t="shared" si="1044"/>
        <v>0.2</v>
      </c>
      <c r="AI463" s="5">
        <v>2</v>
      </c>
      <c r="AJ463" s="5">
        <v>2</v>
      </c>
      <c r="AK463" s="5">
        <f t="shared" si="1072"/>
        <v>5</v>
      </c>
      <c r="AL463" s="5">
        <f t="shared" si="1045"/>
        <v>66</v>
      </c>
      <c r="AM463" s="5">
        <f t="shared" si="1046"/>
        <v>69</v>
      </c>
      <c r="AN463" s="8">
        <v>22</v>
      </c>
      <c r="AO463" s="5">
        <v>1</v>
      </c>
      <c r="AP463" s="28" t="s">
        <v>786</v>
      </c>
      <c r="AQ463" s="5">
        <v>0</v>
      </c>
      <c r="AR463" s="8">
        <v>0</v>
      </c>
      <c r="AS463" s="6">
        <f t="shared" si="1117"/>
        <v>0</v>
      </c>
      <c r="AT463" s="6">
        <f t="shared" si="1118"/>
        <v>3</v>
      </c>
      <c r="AU463" s="5">
        <v>0</v>
      </c>
      <c r="AV463" s="5">
        <v>0</v>
      </c>
      <c r="AW463" s="5">
        <v>0</v>
      </c>
      <c r="AX463" s="5">
        <v>1</v>
      </c>
      <c r="AY463" s="5">
        <v>0</v>
      </c>
      <c r="AZ463" s="5">
        <v>201461</v>
      </c>
      <c r="BA463" s="5">
        <f t="shared" si="1073"/>
        <v>203048</v>
      </c>
      <c r="BB463" s="5">
        <v>10</v>
      </c>
      <c r="BC463" s="5">
        <v>0</v>
      </c>
      <c r="BD463" s="5">
        <v>1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f t="shared" si="1110"/>
        <v>1</v>
      </c>
      <c r="BM463" s="5">
        <v>0</v>
      </c>
      <c r="BN463" s="5">
        <v>0</v>
      </c>
      <c r="BO463" s="5">
        <v>0</v>
      </c>
      <c r="BP463" s="5">
        <v>0</v>
      </c>
      <c r="BQ463" s="5"/>
      <c r="BR463" s="5"/>
      <c r="BS463" s="4">
        <v>0</v>
      </c>
      <c r="BT463" s="4">
        <f t="shared" si="1048"/>
        <v>1</v>
      </c>
      <c r="BU463" s="17">
        <v>51</v>
      </c>
      <c r="BV463" s="4">
        <f t="shared" ref="BV463:BY463" si="1131">BV453</f>
        <v>1</v>
      </c>
      <c r="BW463" s="4">
        <f t="shared" si="1131"/>
        <v>1</v>
      </c>
      <c r="BX463" s="4">
        <f t="shared" si="1131"/>
        <v>0.85</v>
      </c>
      <c r="BY463" s="4">
        <f t="shared" si="1131"/>
        <v>0.55000000000000004</v>
      </c>
      <c r="BZ463" s="27" t="s">
        <v>1006</v>
      </c>
      <c r="CA463" s="30" t="str">
        <f t="shared" si="1075"/>
        <v>1</v>
      </c>
      <c r="CB463" s="30" t="s">
        <v>917</v>
      </c>
      <c r="CC463" s="5">
        <v>0</v>
      </c>
      <c r="CD463" s="8">
        <v>3</v>
      </c>
      <c r="CE463" s="5">
        <f t="shared" si="1050"/>
        <v>1</v>
      </c>
      <c r="CF463" s="5">
        <v>1</v>
      </c>
      <c r="CG463" s="27" t="str">
        <f t="shared" si="1057"/>
        <v>1级疾风龙</v>
      </c>
      <c r="CH463" s="5">
        <v>0</v>
      </c>
      <c r="CI463" s="5">
        <v>0</v>
      </c>
      <c r="CJ463" s="4">
        <v>0</v>
      </c>
      <c r="CK463" s="20">
        <v>0</v>
      </c>
      <c r="CL463" s="5">
        <v>0</v>
      </c>
      <c r="CM463" s="20">
        <v>114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20">
        <v>2.5</v>
      </c>
      <c r="CW463" s="20">
        <v>3</v>
      </c>
      <c r="CX463" s="20">
        <v>2.5</v>
      </c>
      <c r="CY463" s="20">
        <v>3.5</v>
      </c>
      <c r="CZ463" s="8">
        <v>200</v>
      </c>
      <c r="DA463" s="6">
        <f t="shared" si="1065"/>
        <v>5000</v>
      </c>
      <c r="DB463" s="5">
        <v>1</v>
      </c>
      <c r="DC463" s="20">
        <f t="shared" si="1051"/>
        <v>1.5</v>
      </c>
      <c r="DD463" s="6">
        <f t="shared" si="1066"/>
        <v>0.5</v>
      </c>
      <c r="DE463" s="6">
        <v>1</v>
      </c>
      <c r="DF463" s="5">
        <v>0</v>
      </c>
      <c r="DG463" s="6">
        <v>2.5</v>
      </c>
      <c r="DH463" s="5">
        <v>0</v>
      </c>
      <c r="DI463" s="8">
        <v>0</v>
      </c>
      <c r="DJ463" s="5">
        <v>0</v>
      </c>
      <c r="DK463" s="8">
        <v>0</v>
      </c>
      <c r="DL463" s="5">
        <f t="shared" si="1116"/>
        <v>0</v>
      </c>
      <c r="DM463" s="5" t="str">
        <f t="shared" si="1054"/>
        <v>1级疾风龙</v>
      </c>
      <c r="DN463" s="5">
        <v>6</v>
      </c>
      <c r="DO463" s="5">
        <v>0</v>
      </c>
      <c r="DP463" s="5">
        <v>1</v>
      </c>
      <c r="DQ463" s="5">
        <v>1</v>
      </c>
      <c r="DR463" s="5">
        <v>2.5</v>
      </c>
      <c r="DS463" s="6">
        <v>3.5</v>
      </c>
      <c r="DT463" s="5">
        <v>-0.6</v>
      </c>
      <c r="DU463" s="5">
        <v>0.8</v>
      </c>
      <c r="DV463" s="6">
        <v>0.5</v>
      </c>
      <c r="DW463" s="5">
        <f t="shared" si="1067"/>
        <v>0.66666666666666663</v>
      </c>
      <c r="DX463" s="5">
        <v>8</v>
      </c>
      <c r="DY463" s="5">
        <f t="shared" si="1068"/>
        <v>0</v>
      </c>
      <c r="DZ463" s="5">
        <v>0</v>
      </c>
    </row>
    <row r="464" spans="1:130" x14ac:dyDescent="0.15">
      <c r="A464" s="5">
        <v>201462</v>
      </c>
      <c r="B464" s="28" t="s">
        <v>787</v>
      </c>
      <c r="C464" s="27">
        <v>30</v>
      </c>
      <c r="D464" s="27">
        <v>1</v>
      </c>
      <c r="E464" s="27">
        <v>3</v>
      </c>
      <c r="F464" s="5">
        <v>2</v>
      </c>
      <c r="G464" s="46">
        <f t="shared" si="1069"/>
        <v>-0.11620000000000007</v>
      </c>
      <c r="H464" s="27"/>
      <c r="I464" s="27" t="s">
        <v>975</v>
      </c>
      <c r="J464" s="27"/>
      <c r="K464" s="5">
        <f t="shared" si="1096"/>
        <v>0.01</v>
      </c>
      <c r="L464" s="10">
        <f>L463</f>
        <v>0</v>
      </c>
      <c r="M464" s="5">
        <f t="shared" si="1097"/>
        <v>0.11</v>
      </c>
      <c r="N464" s="10">
        <v>2</v>
      </c>
      <c r="O464" s="5">
        <v>0.2</v>
      </c>
      <c r="P464" s="5">
        <f t="shared" si="1043"/>
        <v>0.2</v>
      </c>
      <c r="Q464" s="5">
        <v>2</v>
      </c>
      <c r="R464" s="5">
        <f t="shared" si="1070"/>
        <v>903926</v>
      </c>
      <c r="S464" s="5">
        <v>30</v>
      </c>
      <c r="T464" s="5">
        <v>10</v>
      </c>
      <c r="U464" s="5">
        <v>0.3</v>
      </c>
      <c r="V464" s="5">
        <v>0.15</v>
      </c>
      <c r="W464" s="5">
        <v>9</v>
      </c>
      <c r="X464" s="5">
        <v>-0.6</v>
      </c>
      <c r="Y464" s="5">
        <v>1.8</v>
      </c>
      <c r="Z464" s="27" t="s">
        <v>1030</v>
      </c>
      <c r="AA464" s="5">
        <v>3</v>
      </c>
      <c r="AB464" s="5">
        <v>2</v>
      </c>
      <c r="AC464" s="5">
        <v>6</v>
      </c>
      <c r="AD464" s="27" t="s">
        <v>1031</v>
      </c>
      <c r="AE464" s="20">
        <v>0</v>
      </c>
      <c r="AF464" s="5">
        <f t="shared" si="1071"/>
        <v>903942</v>
      </c>
      <c r="AG464" s="5">
        <v>60</v>
      </c>
      <c r="AH464" s="5">
        <f t="shared" si="1044"/>
        <v>0.2</v>
      </c>
      <c r="AI464" s="5">
        <v>2</v>
      </c>
      <c r="AJ464" s="5">
        <v>2</v>
      </c>
      <c r="AK464" s="5">
        <f t="shared" si="1072"/>
        <v>10</v>
      </c>
      <c r="AL464" s="5">
        <f t="shared" si="1045"/>
        <v>132</v>
      </c>
      <c r="AM464" s="5">
        <f t="shared" si="1046"/>
        <v>138</v>
      </c>
      <c r="AN464" s="8">
        <v>22</v>
      </c>
      <c r="AO464" s="5">
        <v>1</v>
      </c>
      <c r="AP464" s="28" t="s">
        <v>787</v>
      </c>
      <c r="AQ464" s="5">
        <v>0</v>
      </c>
      <c r="AR464" s="8">
        <v>0</v>
      </c>
      <c r="AS464" s="6">
        <f t="shared" si="1117"/>
        <v>0</v>
      </c>
      <c r="AT464" s="6">
        <f t="shared" si="1118"/>
        <v>6</v>
      </c>
      <c r="AU464" s="5">
        <v>0</v>
      </c>
      <c r="AV464" s="5">
        <v>0</v>
      </c>
      <c r="AW464" s="5">
        <v>0</v>
      </c>
      <c r="AX464" s="5">
        <v>1</v>
      </c>
      <c r="AY464" s="5">
        <v>0</v>
      </c>
      <c r="AZ464" s="5">
        <v>201462</v>
      </c>
      <c r="BA464" s="5">
        <f t="shared" si="1073"/>
        <v>203048</v>
      </c>
      <c r="BB464" s="5">
        <v>10</v>
      </c>
      <c r="BC464" s="5">
        <v>0</v>
      </c>
      <c r="BD464" s="5">
        <v>1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f t="shared" si="1110"/>
        <v>1</v>
      </c>
      <c r="BM464" s="5">
        <v>0</v>
      </c>
      <c r="BN464" s="5">
        <v>0</v>
      </c>
      <c r="BO464" s="5">
        <v>0</v>
      </c>
      <c r="BP464" s="5">
        <v>0</v>
      </c>
      <c r="BQ464" s="5"/>
      <c r="BR464" s="5"/>
      <c r="BS464" s="4">
        <v>0</v>
      </c>
      <c r="BT464" s="4">
        <f t="shared" si="1048"/>
        <v>2</v>
      </c>
      <c r="BU464" s="17">
        <v>52</v>
      </c>
      <c r="BV464" s="4">
        <f t="shared" ref="BV464:BY464" si="1132">BV454</f>
        <v>2</v>
      </c>
      <c r="BW464" s="4">
        <f t="shared" si="1132"/>
        <v>2</v>
      </c>
      <c r="BX464" s="4">
        <f t="shared" si="1132"/>
        <v>0.78</v>
      </c>
      <c r="BY464" s="4">
        <f t="shared" si="1132"/>
        <v>0.5</v>
      </c>
      <c r="BZ464" s="27" t="s">
        <v>1006</v>
      </c>
      <c r="CA464" s="30" t="str">
        <f t="shared" si="1075"/>
        <v>2</v>
      </c>
      <c r="CB464" s="30" t="s">
        <v>917</v>
      </c>
      <c r="CC464" s="5">
        <v>0</v>
      </c>
      <c r="CD464" s="8">
        <v>3</v>
      </c>
      <c r="CE464" s="5">
        <f t="shared" si="1050"/>
        <v>2</v>
      </c>
      <c r="CF464" s="5">
        <v>1</v>
      </c>
      <c r="CG464" s="27" t="str">
        <f t="shared" si="1057"/>
        <v>2级疾风龙</v>
      </c>
      <c r="CH464" s="5">
        <v>0</v>
      </c>
      <c r="CI464" s="5">
        <v>0</v>
      </c>
      <c r="CJ464" s="4">
        <v>0</v>
      </c>
      <c r="CK464" s="20">
        <v>0</v>
      </c>
      <c r="CL464" s="5">
        <v>0</v>
      </c>
      <c r="CM464" s="20">
        <v>114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20">
        <v>2.5</v>
      </c>
      <c r="CW464" s="20">
        <v>3</v>
      </c>
      <c r="CX464" s="20">
        <v>2.5</v>
      </c>
      <c r="CY464" s="20">
        <v>3.5</v>
      </c>
      <c r="CZ464" s="8">
        <v>200</v>
      </c>
      <c r="DA464" s="6">
        <f t="shared" si="1065"/>
        <v>10000</v>
      </c>
      <c r="DB464" s="5">
        <v>1</v>
      </c>
      <c r="DC464" s="20">
        <f t="shared" si="1051"/>
        <v>1.5750000000000002</v>
      </c>
      <c r="DD464" s="6">
        <f t="shared" si="1066"/>
        <v>0.52500000000000002</v>
      </c>
      <c r="DE464" s="6">
        <v>1</v>
      </c>
      <c r="DF464" s="5">
        <v>0</v>
      </c>
      <c r="DG464" s="6">
        <v>2.5</v>
      </c>
      <c r="DH464" s="5">
        <v>0</v>
      </c>
      <c r="DI464" s="8">
        <v>0</v>
      </c>
      <c r="DJ464" s="5">
        <v>0</v>
      </c>
      <c r="DK464" s="8">
        <v>0</v>
      </c>
      <c r="DL464" s="5">
        <f t="shared" si="1116"/>
        <v>0</v>
      </c>
      <c r="DM464" s="5" t="str">
        <f t="shared" si="1054"/>
        <v>2级疾风龙</v>
      </c>
      <c r="DN464" s="5">
        <v>6</v>
      </c>
      <c r="DO464" s="5">
        <v>0</v>
      </c>
      <c r="DP464" s="5">
        <v>1</v>
      </c>
      <c r="DQ464" s="5">
        <v>1</v>
      </c>
      <c r="DR464" s="5">
        <v>2.5</v>
      </c>
      <c r="DS464" s="6">
        <v>3.5</v>
      </c>
      <c r="DT464" s="5">
        <v>-0.6</v>
      </c>
      <c r="DU464" s="5">
        <v>0.8</v>
      </c>
      <c r="DV464" s="6">
        <v>0.5</v>
      </c>
      <c r="DW464" s="5">
        <f t="shared" si="1067"/>
        <v>0.66666666666666663</v>
      </c>
      <c r="DX464" s="5">
        <v>8</v>
      </c>
      <c r="DY464" s="5">
        <f t="shared" si="1068"/>
        <v>0</v>
      </c>
      <c r="DZ464" s="5">
        <v>0</v>
      </c>
    </row>
    <row r="465" spans="1:130" x14ac:dyDescent="0.15">
      <c r="A465" s="5">
        <v>201463</v>
      </c>
      <c r="B465" s="28" t="s">
        <v>788</v>
      </c>
      <c r="C465" s="27">
        <v>30</v>
      </c>
      <c r="D465" s="27">
        <v>1</v>
      </c>
      <c r="E465" s="27">
        <v>3</v>
      </c>
      <c r="F465" s="5">
        <v>2</v>
      </c>
      <c r="G465" s="46">
        <f t="shared" si="1069"/>
        <v>-0.11620000000000007</v>
      </c>
      <c r="H465" s="27"/>
      <c r="I465" s="27" t="s">
        <v>975</v>
      </c>
      <c r="J465" s="27"/>
      <c r="K465" s="5">
        <f t="shared" si="1096"/>
        <v>0.02</v>
      </c>
      <c r="L465" s="10">
        <f t="shared" ref="L465:L472" si="1133">L464</f>
        <v>0</v>
      </c>
      <c r="M465" s="5">
        <f t="shared" si="1097"/>
        <v>0.12000000000000001</v>
      </c>
      <c r="N465" s="10">
        <v>2</v>
      </c>
      <c r="O465" s="5">
        <v>0.2</v>
      </c>
      <c r="P465" s="5">
        <f t="shared" si="1043"/>
        <v>0.2</v>
      </c>
      <c r="Q465" s="5">
        <v>2</v>
      </c>
      <c r="R465" s="5">
        <f t="shared" si="1070"/>
        <v>903926</v>
      </c>
      <c r="S465" s="5">
        <v>30</v>
      </c>
      <c r="T465" s="5">
        <v>10</v>
      </c>
      <c r="U465" s="5">
        <v>0.3</v>
      </c>
      <c r="V465" s="5">
        <v>0.15</v>
      </c>
      <c r="W465" s="5">
        <v>9</v>
      </c>
      <c r="X465" s="5">
        <v>-0.6</v>
      </c>
      <c r="Y465" s="5">
        <v>1.8</v>
      </c>
      <c r="Z465" s="27" t="s">
        <v>1030</v>
      </c>
      <c r="AA465" s="5">
        <v>3</v>
      </c>
      <c r="AB465" s="5">
        <v>2</v>
      </c>
      <c r="AC465" s="5">
        <v>6</v>
      </c>
      <c r="AD465" s="27" t="s">
        <v>1031</v>
      </c>
      <c r="AE465" s="20">
        <v>0</v>
      </c>
      <c r="AF465" s="5">
        <f t="shared" si="1071"/>
        <v>903942</v>
      </c>
      <c r="AG465" s="5">
        <v>60</v>
      </c>
      <c r="AH465" s="5">
        <f t="shared" si="1044"/>
        <v>0.2</v>
      </c>
      <c r="AI465" s="5">
        <v>2</v>
      </c>
      <c r="AJ465" s="5">
        <v>2</v>
      </c>
      <c r="AK465" s="5">
        <f t="shared" si="1072"/>
        <v>15</v>
      </c>
      <c r="AL465" s="5">
        <f t="shared" si="1045"/>
        <v>198</v>
      </c>
      <c r="AM465" s="5">
        <f t="shared" si="1046"/>
        <v>207</v>
      </c>
      <c r="AN465" s="8">
        <v>22</v>
      </c>
      <c r="AO465" s="5">
        <v>1</v>
      </c>
      <c r="AP465" s="28" t="s">
        <v>788</v>
      </c>
      <c r="AQ465" s="5">
        <v>0</v>
      </c>
      <c r="AR465" s="8">
        <v>0</v>
      </c>
      <c r="AS465" s="6">
        <f t="shared" si="1117"/>
        <v>0</v>
      </c>
      <c r="AT465" s="6">
        <f t="shared" si="1118"/>
        <v>9</v>
      </c>
      <c r="AU465" s="5">
        <v>0</v>
      </c>
      <c r="AV465" s="5">
        <v>0</v>
      </c>
      <c r="AW465" s="5">
        <v>0</v>
      </c>
      <c r="AX465" s="5">
        <v>1</v>
      </c>
      <c r="AY465" s="5">
        <v>0</v>
      </c>
      <c r="AZ465" s="5">
        <v>201463</v>
      </c>
      <c r="BA465" s="5">
        <f t="shared" si="1073"/>
        <v>203048</v>
      </c>
      <c r="BB465" s="5">
        <v>10</v>
      </c>
      <c r="BC465" s="5">
        <v>0</v>
      </c>
      <c r="BD465" s="5">
        <v>1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f t="shared" si="1110"/>
        <v>1</v>
      </c>
      <c r="BM465" s="5">
        <v>0</v>
      </c>
      <c r="BN465" s="5">
        <v>0</v>
      </c>
      <c r="BO465" s="5">
        <v>0</v>
      </c>
      <c r="BP465" s="5">
        <v>0</v>
      </c>
      <c r="BQ465" s="5"/>
      <c r="BR465" s="5"/>
      <c r="BS465" s="4">
        <v>0</v>
      </c>
      <c r="BT465" s="4">
        <f t="shared" si="1048"/>
        <v>3</v>
      </c>
      <c r="BU465" s="17">
        <v>53</v>
      </c>
      <c r="BV465" s="4">
        <f t="shared" ref="BV465:BY465" si="1134">BV455</f>
        <v>3</v>
      </c>
      <c r="BW465" s="4">
        <f t="shared" si="1134"/>
        <v>3</v>
      </c>
      <c r="BX465" s="4">
        <f t="shared" si="1134"/>
        <v>0.71</v>
      </c>
      <c r="BY465" s="4">
        <f t="shared" si="1134"/>
        <v>0.45000000000000007</v>
      </c>
      <c r="BZ465" s="27" t="s">
        <v>1006</v>
      </c>
      <c r="CA465" s="30" t="str">
        <f t="shared" si="1075"/>
        <v>3</v>
      </c>
      <c r="CB465" s="30" t="s">
        <v>917</v>
      </c>
      <c r="CC465" s="5">
        <v>0</v>
      </c>
      <c r="CD465" s="8">
        <v>3</v>
      </c>
      <c r="CE465" s="5">
        <f t="shared" si="1050"/>
        <v>3</v>
      </c>
      <c r="CF465" s="5">
        <v>1</v>
      </c>
      <c r="CG465" s="27" t="str">
        <f t="shared" si="1057"/>
        <v>3级疾风龙</v>
      </c>
      <c r="CH465" s="5">
        <v>0</v>
      </c>
      <c r="CI465" s="5">
        <v>0</v>
      </c>
      <c r="CJ465" s="4">
        <v>0</v>
      </c>
      <c r="CK465" s="20">
        <v>0</v>
      </c>
      <c r="CL465" s="5">
        <v>0</v>
      </c>
      <c r="CM465" s="20">
        <v>114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20">
        <v>2.5</v>
      </c>
      <c r="CW465" s="20">
        <v>3</v>
      </c>
      <c r="CX465" s="20">
        <v>2.5</v>
      </c>
      <c r="CY465" s="20">
        <v>3.5</v>
      </c>
      <c r="CZ465" s="8">
        <v>200</v>
      </c>
      <c r="DA465" s="6">
        <f t="shared" si="1065"/>
        <v>15000</v>
      </c>
      <c r="DB465" s="5">
        <v>1</v>
      </c>
      <c r="DC465" s="20">
        <f t="shared" si="1051"/>
        <v>1.6500000000000001</v>
      </c>
      <c r="DD465" s="6">
        <f t="shared" si="1066"/>
        <v>0.55000000000000004</v>
      </c>
      <c r="DE465" s="6">
        <v>1</v>
      </c>
      <c r="DF465" s="5">
        <v>0</v>
      </c>
      <c r="DG465" s="6">
        <v>2.5</v>
      </c>
      <c r="DH465" s="5">
        <v>0</v>
      </c>
      <c r="DI465" s="8">
        <v>0</v>
      </c>
      <c r="DJ465" s="5">
        <v>0</v>
      </c>
      <c r="DK465" s="8">
        <v>0</v>
      </c>
      <c r="DL465" s="5">
        <f t="shared" si="1116"/>
        <v>0</v>
      </c>
      <c r="DM465" s="5" t="str">
        <f t="shared" si="1054"/>
        <v>3级疾风龙</v>
      </c>
      <c r="DN465" s="5">
        <v>6</v>
      </c>
      <c r="DO465" s="5">
        <v>0</v>
      </c>
      <c r="DP465" s="5">
        <v>1</v>
      </c>
      <c r="DQ465" s="5">
        <v>1</v>
      </c>
      <c r="DR465" s="5">
        <v>2.5</v>
      </c>
      <c r="DS465" s="6">
        <v>3.5</v>
      </c>
      <c r="DT465" s="5">
        <v>-0.6</v>
      </c>
      <c r="DU465" s="5">
        <v>0.8</v>
      </c>
      <c r="DV465" s="6">
        <v>0.5</v>
      </c>
      <c r="DW465" s="5">
        <f t="shared" si="1067"/>
        <v>0.66666666666666663</v>
      </c>
      <c r="DX465" s="5">
        <v>8</v>
      </c>
      <c r="DY465" s="5">
        <f t="shared" si="1068"/>
        <v>0</v>
      </c>
      <c r="DZ465" s="5">
        <v>0</v>
      </c>
    </row>
    <row r="466" spans="1:130" x14ac:dyDescent="0.15">
      <c r="A466" s="5">
        <v>201464</v>
      </c>
      <c r="B466" s="28" t="s">
        <v>789</v>
      </c>
      <c r="C466" s="27">
        <v>30</v>
      </c>
      <c r="D466" s="27">
        <v>1</v>
      </c>
      <c r="E466" s="27">
        <v>3</v>
      </c>
      <c r="F466" s="5">
        <v>2</v>
      </c>
      <c r="G466" s="46">
        <f t="shared" si="1069"/>
        <v>-0.11620000000000007</v>
      </c>
      <c r="H466" s="27"/>
      <c r="I466" s="27" t="s">
        <v>975</v>
      </c>
      <c r="J466" s="27"/>
      <c r="K466" s="5">
        <f t="shared" si="1096"/>
        <v>0.03</v>
      </c>
      <c r="L466" s="10">
        <f t="shared" si="1133"/>
        <v>0</v>
      </c>
      <c r="M466" s="5">
        <f t="shared" si="1097"/>
        <v>0.13</v>
      </c>
      <c r="N466" s="10">
        <v>2</v>
      </c>
      <c r="O466" s="5">
        <v>0.2</v>
      </c>
      <c r="P466" s="5">
        <f t="shared" si="1043"/>
        <v>0.2</v>
      </c>
      <c r="Q466" s="5">
        <v>2</v>
      </c>
      <c r="R466" s="5">
        <f t="shared" si="1070"/>
        <v>903926</v>
      </c>
      <c r="S466" s="5">
        <v>30</v>
      </c>
      <c r="T466" s="5">
        <v>10</v>
      </c>
      <c r="U466" s="5">
        <v>0.3</v>
      </c>
      <c r="V466" s="5">
        <v>0.15</v>
      </c>
      <c r="W466" s="5">
        <v>9</v>
      </c>
      <c r="X466" s="5">
        <v>-0.6</v>
      </c>
      <c r="Y466" s="5">
        <v>1.8</v>
      </c>
      <c r="Z466" s="27" t="s">
        <v>1030</v>
      </c>
      <c r="AA466" s="5">
        <v>3</v>
      </c>
      <c r="AB466" s="5">
        <v>2</v>
      </c>
      <c r="AC466" s="5">
        <v>6</v>
      </c>
      <c r="AD466" s="27" t="s">
        <v>1031</v>
      </c>
      <c r="AE466" s="20">
        <v>0</v>
      </c>
      <c r="AF466" s="5">
        <f t="shared" si="1071"/>
        <v>903942</v>
      </c>
      <c r="AG466" s="5">
        <v>60</v>
      </c>
      <c r="AH466" s="5">
        <f t="shared" si="1044"/>
        <v>0.2</v>
      </c>
      <c r="AI466" s="5">
        <v>2</v>
      </c>
      <c r="AJ466" s="5">
        <v>2</v>
      </c>
      <c r="AK466" s="5">
        <f t="shared" si="1072"/>
        <v>20</v>
      </c>
      <c r="AL466" s="5">
        <f t="shared" si="1045"/>
        <v>264</v>
      </c>
      <c r="AM466" s="5">
        <f t="shared" si="1046"/>
        <v>276</v>
      </c>
      <c r="AN466" s="8">
        <v>22</v>
      </c>
      <c r="AO466" s="5">
        <v>1</v>
      </c>
      <c r="AP466" s="28" t="s">
        <v>789</v>
      </c>
      <c r="AQ466" s="5">
        <v>0</v>
      </c>
      <c r="AR466" s="8">
        <v>0</v>
      </c>
      <c r="AS466" s="6">
        <f t="shared" si="1117"/>
        <v>0</v>
      </c>
      <c r="AT466" s="6">
        <f t="shared" si="1118"/>
        <v>12</v>
      </c>
      <c r="AU466" s="5">
        <v>0</v>
      </c>
      <c r="AV466" s="5">
        <v>0</v>
      </c>
      <c r="AW466" s="5">
        <v>0</v>
      </c>
      <c r="AX466" s="5">
        <v>1</v>
      </c>
      <c r="AY466" s="5">
        <v>0</v>
      </c>
      <c r="AZ466" s="5">
        <v>201464</v>
      </c>
      <c r="BA466" s="5">
        <f t="shared" si="1073"/>
        <v>203048</v>
      </c>
      <c r="BB466" s="5">
        <v>10</v>
      </c>
      <c r="BC466" s="5">
        <v>0</v>
      </c>
      <c r="BD466" s="5">
        <v>1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f t="shared" si="1110"/>
        <v>1</v>
      </c>
      <c r="BM466" s="5">
        <v>0</v>
      </c>
      <c r="BN466" s="5">
        <v>0</v>
      </c>
      <c r="BO466" s="5">
        <v>0</v>
      </c>
      <c r="BP466" s="5">
        <v>0</v>
      </c>
      <c r="BQ466" s="5"/>
      <c r="BR466" s="5"/>
      <c r="BS466" s="4">
        <v>0</v>
      </c>
      <c r="BT466" s="4">
        <f t="shared" si="1048"/>
        <v>4</v>
      </c>
      <c r="BU466" s="17">
        <v>54</v>
      </c>
      <c r="BV466" s="4">
        <f t="shared" ref="BV466:BY466" si="1135">BV456</f>
        <v>4</v>
      </c>
      <c r="BW466" s="4">
        <f t="shared" si="1135"/>
        <v>4</v>
      </c>
      <c r="BX466" s="4">
        <f t="shared" si="1135"/>
        <v>0.6399999999999999</v>
      </c>
      <c r="BY466" s="4">
        <f t="shared" si="1135"/>
        <v>0.4</v>
      </c>
      <c r="BZ466" s="27" t="s">
        <v>1006</v>
      </c>
      <c r="CA466" s="30" t="str">
        <f t="shared" si="1075"/>
        <v>4</v>
      </c>
      <c r="CB466" s="30" t="s">
        <v>917</v>
      </c>
      <c r="CC466" s="5">
        <v>0</v>
      </c>
      <c r="CD466" s="8">
        <v>3</v>
      </c>
      <c r="CE466" s="5">
        <f t="shared" si="1050"/>
        <v>4</v>
      </c>
      <c r="CF466" s="5">
        <v>1</v>
      </c>
      <c r="CG466" s="27" t="str">
        <f t="shared" si="1057"/>
        <v>4级疾风龙</v>
      </c>
      <c r="CH466" s="5">
        <v>0</v>
      </c>
      <c r="CI466" s="5">
        <v>0</v>
      </c>
      <c r="CJ466" s="4">
        <v>0</v>
      </c>
      <c r="CK466" s="20">
        <v>0</v>
      </c>
      <c r="CL466" s="5">
        <v>0</v>
      </c>
      <c r="CM466" s="20">
        <v>114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20">
        <v>2.5</v>
      </c>
      <c r="CW466" s="20">
        <v>3</v>
      </c>
      <c r="CX466" s="20">
        <v>2.5</v>
      </c>
      <c r="CY466" s="20">
        <v>3.5</v>
      </c>
      <c r="CZ466" s="8">
        <v>200</v>
      </c>
      <c r="DA466" s="6">
        <f t="shared" si="1065"/>
        <v>20000</v>
      </c>
      <c r="DB466" s="5">
        <v>1</v>
      </c>
      <c r="DC466" s="20">
        <f t="shared" si="1051"/>
        <v>1.7249999999999999</v>
      </c>
      <c r="DD466" s="6">
        <f t="shared" si="1066"/>
        <v>0.57499999999999996</v>
      </c>
      <c r="DE466" s="6">
        <v>1</v>
      </c>
      <c r="DF466" s="5">
        <v>0</v>
      </c>
      <c r="DG466" s="6">
        <v>2.5</v>
      </c>
      <c r="DH466" s="5">
        <v>0</v>
      </c>
      <c r="DI466" s="8">
        <v>0</v>
      </c>
      <c r="DJ466" s="5">
        <v>0</v>
      </c>
      <c r="DK466" s="8">
        <v>0</v>
      </c>
      <c r="DL466" s="5">
        <f t="shared" si="1116"/>
        <v>0</v>
      </c>
      <c r="DM466" s="5" t="str">
        <f t="shared" si="1054"/>
        <v>4级疾风龙</v>
      </c>
      <c r="DN466" s="5">
        <v>6</v>
      </c>
      <c r="DO466" s="5">
        <v>0</v>
      </c>
      <c r="DP466" s="5">
        <v>1</v>
      </c>
      <c r="DQ466" s="5">
        <v>1</v>
      </c>
      <c r="DR466" s="5">
        <v>2.5</v>
      </c>
      <c r="DS466" s="6">
        <v>3.5</v>
      </c>
      <c r="DT466" s="5">
        <v>-0.6</v>
      </c>
      <c r="DU466" s="5">
        <v>0.8</v>
      </c>
      <c r="DV466" s="6">
        <v>0.5</v>
      </c>
      <c r="DW466" s="5">
        <f t="shared" si="1067"/>
        <v>0.66666666666666663</v>
      </c>
      <c r="DX466" s="5">
        <v>8</v>
      </c>
      <c r="DY466" s="5">
        <f t="shared" si="1068"/>
        <v>0</v>
      </c>
      <c r="DZ466" s="5">
        <v>0</v>
      </c>
    </row>
    <row r="467" spans="1:130" x14ac:dyDescent="0.15">
      <c r="A467" s="5">
        <v>201465</v>
      </c>
      <c r="B467" s="28" t="s">
        <v>790</v>
      </c>
      <c r="C467" s="27">
        <v>30</v>
      </c>
      <c r="D467" s="27">
        <v>1</v>
      </c>
      <c r="E467" s="27">
        <v>3</v>
      </c>
      <c r="F467" s="5">
        <v>2</v>
      </c>
      <c r="G467" s="46">
        <f t="shared" si="1069"/>
        <v>-0.11620000000000007</v>
      </c>
      <c r="H467" s="27"/>
      <c r="I467" s="27" t="s">
        <v>975</v>
      </c>
      <c r="J467" s="27"/>
      <c r="K467" s="5">
        <f t="shared" ref="K467:K498" si="1136">L467*5/100 + 0.01*(BT467-1)</f>
        <v>0.04</v>
      </c>
      <c r="L467" s="10">
        <f t="shared" si="1133"/>
        <v>0</v>
      </c>
      <c r="M467" s="5">
        <f t="shared" ref="M467:M498" si="1137">N467*5/100 + 0.01*(BT467-1)</f>
        <v>0.14000000000000001</v>
      </c>
      <c r="N467" s="10">
        <v>2</v>
      </c>
      <c r="O467" s="5">
        <v>0.2</v>
      </c>
      <c r="P467" s="5">
        <f t="shared" si="1043"/>
        <v>0.2</v>
      </c>
      <c r="Q467" s="5">
        <v>2</v>
      </c>
      <c r="R467" s="5">
        <f t="shared" si="1070"/>
        <v>903926</v>
      </c>
      <c r="S467" s="5">
        <v>30</v>
      </c>
      <c r="T467" s="5">
        <v>10</v>
      </c>
      <c r="U467" s="5">
        <v>0.3</v>
      </c>
      <c r="V467" s="5">
        <v>0.15</v>
      </c>
      <c r="W467" s="5">
        <v>9</v>
      </c>
      <c r="X467" s="5">
        <v>-0.6</v>
      </c>
      <c r="Y467" s="5">
        <v>1.8</v>
      </c>
      <c r="Z467" s="27" t="s">
        <v>1030</v>
      </c>
      <c r="AA467" s="5">
        <v>3</v>
      </c>
      <c r="AB467" s="5">
        <v>2</v>
      </c>
      <c r="AC467" s="5">
        <v>6</v>
      </c>
      <c r="AD467" s="27" t="s">
        <v>1031</v>
      </c>
      <c r="AE467" s="20">
        <v>0</v>
      </c>
      <c r="AF467" s="5">
        <f t="shared" si="1071"/>
        <v>903942</v>
      </c>
      <c r="AG467" s="5">
        <v>60</v>
      </c>
      <c r="AH467" s="5">
        <f t="shared" si="1044"/>
        <v>0.2</v>
      </c>
      <c r="AI467" s="5">
        <v>2</v>
      </c>
      <c r="AJ467" s="5">
        <v>2</v>
      </c>
      <c r="AK467" s="5">
        <f t="shared" si="1072"/>
        <v>25</v>
      </c>
      <c r="AL467" s="5">
        <f t="shared" si="1045"/>
        <v>330</v>
      </c>
      <c r="AM467" s="5">
        <f t="shared" si="1046"/>
        <v>345</v>
      </c>
      <c r="AN467" s="8">
        <v>22</v>
      </c>
      <c r="AO467" s="5">
        <v>1</v>
      </c>
      <c r="AP467" s="28" t="s">
        <v>790</v>
      </c>
      <c r="AQ467" s="5">
        <v>0</v>
      </c>
      <c r="AR467" s="8">
        <v>0</v>
      </c>
      <c r="AS467" s="6">
        <f t="shared" si="1117"/>
        <v>0</v>
      </c>
      <c r="AT467" s="6">
        <f t="shared" si="1118"/>
        <v>15</v>
      </c>
      <c r="AU467" s="5">
        <v>0</v>
      </c>
      <c r="AV467" s="5">
        <v>0</v>
      </c>
      <c r="AW467" s="5">
        <v>0</v>
      </c>
      <c r="AX467" s="5">
        <v>1</v>
      </c>
      <c r="AY467" s="5">
        <v>0</v>
      </c>
      <c r="AZ467" s="5">
        <v>201465</v>
      </c>
      <c r="BA467" s="5">
        <f t="shared" si="1073"/>
        <v>203048</v>
      </c>
      <c r="BB467" s="5">
        <v>10</v>
      </c>
      <c r="BC467" s="5">
        <v>0</v>
      </c>
      <c r="BD467" s="5">
        <v>1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f t="shared" si="1110"/>
        <v>1</v>
      </c>
      <c r="BM467" s="5">
        <v>0</v>
      </c>
      <c r="BN467" s="5">
        <v>0</v>
      </c>
      <c r="BO467" s="5">
        <v>0</v>
      </c>
      <c r="BP467" s="5">
        <v>0</v>
      </c>
      <c r="BQ467" s="5"/>
      <c r="BR467" s="5"/>
      <c r="BS467" s="4">
        <v>0</v>
      </c>
      <c r="BT467" s="4">
        <f t="shared" si="1048"/>
        <v>5</v>
      </c>
      <c r="BU467" s="17">
        <v>55</v>
      </c>
      <c r="BV467" s="4">
        <f t="shared" ref="BV467:BY467" si="1138">BV457</f>
        <v>5</v>
      </c>
      <c r="BW467" s="4">
        <f t="shared" si="1138"/>
        <v>5</v>
      </c>
      <c r="BX467" s="4">
        <f t="shared" si="1138"/>
        <v>0.56999999999999995</v>
      </c>
      <c r="BY467" s="4">
        <f t="shared" si="1138"/>
        <v>0.35000000000000003</v>
      </c>
      <c r="BZ467" s="27" t="s">
        <v>1006</v>
      </c>
      <c r="CA467" s="30" t="str">
        <f t="shared" si="1075"/>
        <v>5</v>
      </c>
      <c r="CB467" s="30" t="s">
        <v>917</v>
      </c>
      <c r="CC467" s="5">
        <v>0</v>
      </c>
      <c r="CD467" s="8">
        <v>3</v>
      </c>
      <c r="CE467" s="5">
        <f t="shared" si="1050"/>
        <v>5</v>
      </c>
      <c r="CF467" s="5">
        <v>1</v>
      </c>
      <c r="CG467" s="27" t="str">
        <f t="shared" si="1057"/>
        <v>5级疾风龙</v>
      </c>
      <c r="CH467" s="5">
        <v>0</v>
      </c>
      <c r="CI467" s="5">
        <v>0</v>
      </c>
      <c r="CJ467" s="4">
        <v>0</v>
      </c>
      <c r="CK467" s="20">
        <v>0</v>
      </c>
      <c r="CL467" s="5">
        <v>0</v>
      </c>
      <c r="CM467" s="20">
        <v>114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20">
        <v>2.5</v>
      </c>
      <c r="CW467" s="20">
        <v>3</v>
      </c>
      <c r="CX467" s="20">
        <v>2.5</v>
      </c>
      <c r="CY467" s="20">
        <v>3.5</v>
      </c>
      <c r="CZ467" s="8">
        <v>200</v>
      </c>
      <c r="DA467" s="6">
        <f t="shared" si="1065"/>
        <v>25000</v>
      </c>
      <c r="DB467" s="5">
        <v>1</v>
      </c>
      <c r="DC467" s="20">
        <f t="shared" si="1051"/>
        <v>1.7999999999999998</v>
      </c>
      <c r="DD467" s="6">
        <f t="shared" si="1066"/>
        <v>0.6</v>
      </c>
      <c r="DE467" s="6">
        <v>1</v>
      </c>
      <c r="DF467" s="5">
        <v>0</v>
      </c>
      <c r="DG467" s="6">
        <v>2.5</v>
      </c>
      <c r="DH467" s="5">
        <v>0</v>
      </c>
      <c r="DI467" s="8">
        <v>0</v>
      </c>
      <c r="DJ467" s="5">
        <v>0</v>
      </c>
      <c r="DK467" s="8">
        <v>0</v>
      </c>
      <c r="DL467" s="5">
        <f t="shared" si="1116"/>
        <v>0</v>
      </c>
      <c r="DM467" s="5" t="str">
        <f t="shared" si="1054"/>
        <v>5级疾风龙</v>
      </c>
      <c r="DN467" s="5">
        <v>6</v>
      </c>
      <c r="DO467" s="5">
        <v>0</v>
      </c>
      <c r="DP467" s="5">
        <v>1</v>
      </c>
      <c r="DQ467" s="5">
        <v>1</v>
      </c>
      <c r="DR467" s="5">
        <v>2.5</v>
      </c>
      <c r="DS467" s="6">
        <v>3.5</v>
      </c>
      <c r="DT467" s="5">
        <v>-0.6</v>
      </c>
      <c r="DU467" s="5">
        <v>0.8</v>
      </c>
      <c r="DV467" s="6">
        <v>0.5</v>
      </c>
      <c r="DW467" s="5">
        <f t="shared" si="1067"/>
        <v>0.66666666666666663</v>
      </c>
      <c r="DX467" s="5">
        <v>8</v>
      </c>
      <c r="DY467" s="5">
        <f t="shared" si="1068"/>
        <v>0</v>
      </c>
      <c r="DZ467" s="5">
        <v>0</v>
      </c>
    </row>
    <row r="468" spans="1:130" x14ac:dyDescent="0.15">
      <c r="A468" s="5">
        <v>201466</v>
      </c>
      <c r="B468" s="28" t="s">
        <v>791</v>
      </c>
      <c r="C468" s="27">
        <v>30</v>
      </c>
      <c r="D468" s="27">
        <v>1</v>
      </c>
      <c r="E468" s="27">
        <v>3</v>
      </c>
      <c r="F468" s="5">
        <v>2</v>
      </c>
      <c r="G468" s="46">
        <f t="shared" si="1069"/>
        <v>-0.11620000000000007</v>
      </c>
      <c r="H468" s="27"/>
      <c r="I468" s="27" t="s">
        <v>975</v>
      </c>
      <c r="J468" s="27"/>
      <c r="K468" s="5">
        <f t="shared" si="1136"/>
        <v>0.05</v>
      </c>
      <c r="L468" s="10">
        <f t="shared" si="1133"/>
        <v>0</v>
      </c>
      <c r="M468" s="5">
        <f t="shared" si="1137"/>
        <v>0.15000000000000002</v>
      </c>
      <c r="N468" s="10">
        <v>2</v>
      </c>
      <c r="O468" s="5">
        <v>0.2</v>
      </c>
      <c r="P468" s="5">
        <f t="shared" ref="P468:P531" si="1139">Q468/10</f>
        <v>0.2</v>
      </c>
      <c r="Q468" s="5">
        <v>2</v>
      </c>
      <c r="R468" s="5">
        <f t="shared" si="1070"/>
        <v>903926</v>
      </c>
      <c r="S468" s="5">
        <v>30</v>
      </c>
      <c r="T468" s="5">
        <v>10</v>
      </c>
      <c r="U468" s="5">
        <v>0.3</v>
      </c>
      <c r="V468" s="5">
        <v>0.15</v>
      </c>
      <c r="W468" s="5">
        <v>9</v>
      </c>
      <c r="X468" s="5">
        <v>-0.6</v>
      </c>
      <c r="Y468" s="5">
        <v>1.8</v>
      </c>
      <c r="Z468" s="27" t="s">
        <v>1030</v>
      </c>
      <c r="AA468" s="5">
        <v>3</v>
      </c>
      <c r="AB468" s="5">
        <v>2</v>
      </c>
      <c r="AC468" s="5">
        <v>6</v>
      </c>
      <c r="AD468" s="27" t="s">
        <v>1031</v>
      </c>
      <c r="AE468" s="20">
        <v>0</v>
      </c>
      <c r="AF468" s="5">
        <f t="shared" si="1071"/>
        <v>903942</v>
      </c>
      <c r="AG468" s="5">
        <v>60</v>
      </c>
      <c r="AH468" s="5">
        <f t="shared" ref="AH468:AH531" si="1140">0.1*AJ468</f>
        <v>0.2</v>
      </c>
      <c r="AI468" s="5">
        <v>2</v>
      </c>
      <c r="AJ468" s="5">
        <v>2</v>
      </c>
      <c r="AK468" s="5">
        <f t="shared" si="1072"/>
        <v>30</v>
      </c>
      <c r="AL468" s="5">
        <f t="shared" ref="AL468:AL531" si="1141">AN468*3*BV468</f>
        <v>396</v>
      </c>
      <c r="AM468" s="5">
        <f t="shared" ref="AM468:AM531" si="1142">(AN468+1)*3*BV468</f>
        <v>414</v>
      </c>
      <c r="AN468" s="8">
        <v>22</v>
      </c>
      <c r="AO468" s="5">
        <v>1</v>
      </c>
      <c r="AP468" s="28" t="s">
        <v>791</v>
      </c>
      <c r="AQ468" s="5">
        <v>0</v>
      </c>
      <c r="AR468" s="8">
        <v>0</v>
      </c>
      <c r="AS468" s="6">
        <f t="shared" si="1117"/>
        <v>0</v>
      </c>
      <c r="AT468" s="6">
        <f t="shared" si="1118"/>
        <v>18</v>
      </c>
      <c r="AU468" s="5">
        <v>0</v>
      </c>
      <c r="AV468" s="5">
        <v>0</v>
      </c>
      <c r="AW468" s="5">
        <v>0</v>
      </c>
      <c r="AX468" s="5">
        <v>1</v>
      </c>
      <c r="AY468" s="5">
        <v>0</v>
      </c>
      <c r="AZ468" s="5">
        <v>201466</v>
      </c>
      <c r="BA468" s="5">
        <f t="shared" si="1073"/>
        <v>203048</v>
      </c>
      <c r="BB468" s="5">
        <v>10</v>
      </c>
      <c r="BC468" s="5">
        <v>0</v>
      </c>
      <c r="BD468" s="5">
        <v>1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f t="shared" si="1110"/>
        <v>1</v>
      </c>
      <c r="BM468" s="5">
        <v>0</v>
      </c>
      <c r="BN468" s="5">
        <v>0</v>
      </c>
      <c r="BO468" s="5">
        <v>0</v>
      </c>
      <c r="BP468" s="5">
        <v>0</v>
      </c>
      <c r="BQ468" s="5"/>
      <c r="BR468" s="5"/>
      <c r="BS468" s="4">
        <v>0</v>
      </c>
      <c r="BT468" s="4">
        <f t="shared" ref="BT468:BT531" si="1143">BT458</f>
        <v>6</v>
      </c>
      <c r="BU468" s="17">
        <v>56</v>
      </c>
      <c r="BV468" s="4">
        <f t="shared" ref="BV468:BY468" si="1144">BV458</f>
        <v>6</v>
      </c>
      <c r="BW468" s="4">
        <f t="shared" si="1144"/>
        <v>6</v>
      </c>
      <c r="BX468" s="4">
        <f t="shared" si="1144"/>
        <v>0.49999999999999994</v>
      </c>
      <c r="BY468" s="4">
        <f t="shared" si="1144"/>
        <v>0.30000000000000004</v>
      </c>
      <c r="BZ468" s="27" t="s">
        <v>1006</v>
      </c>
      <c r="CA468" s="30" t="str">
        <f t="shared" si="1075"/>
        <v>6</v>
      </c>
      <c r="CB468" s="30" t="s">
        <v>917</v>
      </c>
      <c r="CC468" s="5">
        <v>0</v>
      </c>
      <c r="CD468" s="8">
        <v>3</v>
      </c>
      <c r="CE468" s="5">
        <f t="shared" ref="CE468:CE531" si="1145">CF468*BT468</f>
        <v>6</v>
      </c>
      <c r="CF468" s="5">
        <v>1</v>
      </c>
      <c r="CG468" s="27" t="str">
        <f t="shared" si="1057"/>
        <v>6级疾风龙</v>
      </c>
      <c r="CH468" s="5">
        <v>0</v>
      </c>
      <c r="CI468" s="5">
        <v>0</v>
      </c>
      <c r="CJ468" s="4">
        <v>0</v>
      </c>
      <c r="CK468" s="20">
        <v>0</v>
      </c>
      <c r="CL468" s="5">
        <v>0</v>
      </c>
      <c r="CM468" s="20">
        <v>114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20">
        <v>2.5</v>
      </c>
      <c r="CW468" s="20">
        <v>3</v>
      </c>
      <c r="CX468" s="20">
        <v>2.5</v>
      </c>
      <c r="CY468" s="20">
        <v>3.5</v>
      </c>
      <c r="CZ468" s="8">
        <v>200</v>
      </c>
      <c r="DA468" s="6">
        <f t="shared" si="1065"/>
        <v>30000</v>
      </c>
      <c r="DB468" s="5">
        <v>1</v>
      </c>
      <c r="DC468" s="20">
        <f t="shared" ref="DC468:DC531" si="1146">DD468*3</f>
        <v>1.875</v>
      </c>
      <c r="DD468" s="6">
        <f t="shared" si="1066"/>
        <v>0.625</v>
      </c>
      <c r="DE468" s="6">
        <v>1</v>
      </c>
      <c r="DF468" s="5">
        <v>0</v>
      </c>
      <c r="DG468" s="6">
        <v>2.5</v>
      </c>
      <c r="DH468" s="5">
        <v>0</v>
      </c>
      <c r="DI468" s="8">
        <v>0</v>
      </c>
      <c r="DJ468" s="5">
        <v>0</v>
      </c>
      <c r="DK468" s="8">
        <v>0</v>
      </c>
      <c r="DL468" s="5">
        <f t="shared" si="1116"/>
        <v>0</v>
      </c>
      <c r="DM468" s="5" t="str">
        <f t="shared" si="1054"/>
        <v>6级疾风龙</v>
      </c>
      <c r="DN468" s="5">
        <v>6</v>
      </c>
      <c r="DO468" s="5">
        <v>0</v>
      </c>
      <c r="DP468" s="5">
        <v>1</v>
      </c>
      <c r="DQ468" s="5">
        <v>1</v>
      </c>
      <c r="DR468" s="5">
        <v>2.5</v>
      </c>
      <c r="DS468" s="6">
        <v>3.5</v>
      </c>
      <c r="DT468" s="5">
        <v>-0.6</v>
      </c>
      <c r="DU468" s="5">
        <v>0.8</v>
      </c>
      <c r="DV468" s="6">
        <v>0.5</v>
      </c>
      <c r="DW468" s="5">
        <f t="shared" si="1067"/>
        <v>0.66666666666666663</v>
      </c>
      <c r="DX468" s="5">
        <v>8</v>
      </c>
      <c r="DY468" s="5">
        <f t="shared" si="1068"/>
        <v>0</v>
      </c>
      <c r="DZ468" s="5">
        <v>0</v>
      </c>
    </row>
    <row r="469" spans="1:130" x14ac:dyDescent="0.15">
      <c r="A469" s="5">
        <v>201467</v>
      </c>
      <c r="B469" s="28" t="s">
        <v>792</v>
      </c>
      <c r="C469" s="27">
        <v>30</v>
      </c>
      <c r="D469" s="27">
        <v>1</v>
      </c>
      <c r="E469" s="27">
        <v>3</v>
      </c>
      <c r="F469" s="5">
        <v>2</v>
      </c>
      <c r="G469" s="46">
        <f t="shared" si="1069"/>
        <v>-0.11620000000000007</v>
      </c>
      <c r="H469" s="27"/>
      <c r="I469" s="27" t="s">
        <v>975</v>
      </c>
      <c r="J469" s="27"/>
      <c r="K469" s="5">
        <f t="shared" si="1136"/>
        <v>0.06</v>
      </c>
      <c r="L469" s="10">
        <f t="shared" si="1133"/>
        <v>0</v>
      </c>
      <c r="M469" s="5">
        <f t="shared" si="1137"/>
        <v>0.16</v>
      </c>
      <c r="N469" s="10">
        <v>2</v>
      </c>
      <c r="O469" s="5">
        <v>0.2</v>
      </c>
      <c r="P469" s="5">
        <f t="shared" si="1139"/>
        <v>0.2</v>
      </c>
      <c r="Q469" s="5">
        <v>2</v>
      </c>
      <c r="R469" s="5">
        <f t="shared" si="1070"/>
        <v>903926</v>
      </c>
      <c r="S469" s="5">
        <v>30</v>
      </c>
      <c r="T469" s="5">
        <v>10</v>
      </c>
      <c r="U469" s="5">
        <v>0.3</v>
      </c>
      <c r="V469" s="5">
        <v>0.15</v>
      </c>
      <c r="W469" s="5">
        <v>9</v>
      </c>
      <c r="X469" s="5">
        <v>-0.6</v>
      </c>
      <c r="Y469" s="5">
        <v>1.8</v>
      </c>
      <c r="Z469" s="27" t="s">
        <v>1030</v>
      </c>
      <c r="AA469" s="5">
        <v>3</v>
      </c>
      <c r="AB469" s="5">
        <v>2</v>
      </c>
      <c r="AC469" s="5">
        <v>6</v>
      </c>
      <c r="AD469" s="27" t="s">
        <v>1031</v>
      </c>
      <c r="AE469" s="20">
        <v>0</v>
      </c>
      <c r="AF469" s="5">
        <f t="shared" si="1071"/>
        <v>903942</v>
      </c>
      <c r="AG469" s="5">
        <v>60</v>
      </c>
      <c r="AH469" s="5">
        <f t="shared" si="1140"/>
        <v>0.2</v>
      </c>
      <c r="AI469" s="5">
        <v>2</v>
      </c>
      <c r="AJ469" s="5">
        <v>2</v>
      </c>
      <c r="AK469" s="5">
        <f t="shared" si="1072"/>
        <v>35</v>
      </c>
      <c r="AL469" s="5">
        <f t="shared" si="1141"/>
        <v>462</v>
      </c>
      <c r="AM469" s="5">
        <f t="shared" si="1142"/>
        <v>483</v>
      </c>
      <c r="AN469" s="8">
        <v>22</v>
      </c>
      <c r="AO469" s="5">
        <v>1</v>
      </c>
      <c r="AP469" s="28" t="s">
        <v>792</v>
      </c>
      <c r="AQ469" s="5">
        <v>0</v>
      </c>
      <c r="AR469" s="8">
        <v>0</v>
      </c>
      <c r="AS469" s="6">
        <f t="shared" si="1117"/>
        <v>0</v>
      </c>
      <c r="AT469" s="6">
        <f t="shared" si="1118"/>
        <v>21</v>
      </c>
      <c r="AU469" s="5">
        <v>0</v>
      </c>
      <c r="AV469" s="5">
        <v>0</v>
      </c>
      <c r="AW469" s="5">
        <v>0</v>
      </c>
      <c r="AX469" s="5">
        <v>1</v>
      </c>
      <c r="AY469" s="5">
        <v>0</v>
      </c>
      <c r="AZ469" s="5">
        <v>201467</v>
      </c>
      <c r="BA469" s="5">
        <f t="shared" si="1073"/>
        <v>203048</v>
      </c>
      <c r="BB469" s="5">
        <v>10</v>
      </c>
      <c r="BC469" s="5">
        <v>0</v>
      </c>
      <c r="BD469" s="5">
        <v>1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f t="shared" si="1110"/>
        <v>1</v>
      </c>
      <c r="BM469" s="5">
        <v>0</v>
      </c>
      <c r="BN469" s="5">
        <v>0</v>
      </c>
      <c r="BO469" s="5">
        <v>0</v>
      </c>
      <c r="BP469" s="5">
        <v>0</v>
      </c>
      <c r="BQ469" s="5"/>
      <c r="BR469" s="5"/>
      <c r="BS469" s="4">
        <v>0</v>
      </c>
      <c r="BT469" s="4">
        <f t="shared" si="1143"/>
        <v>7</v>
      </c>
      <c r="BU469" s="17">
        <v>57</v>
      </c>
      <c r="BV469" s="4">
        <f t="shared" ref="BV469:BY469" si="1147">BV459</f>
        <v>7</v>
      </c>
      <c r="BW469" s="4">
        <f t="shared" si="1147"/>
        <v>7</v>
      </c>
      <c r="BX469" s="4">
        <f t="shared" si="1147"/>
        <v>0.42999999999999994</v>
      </c>
      <c r="BY469" s="4">
        <f t="shared" si="1147"/>
        <v>0.25</v>
      </c>
      <c r="BZ469" s="27" t="s">
        <v>1006</v>
      </c>
      <c r="CA469" s="30" t="str">
        <f t="shared" si="1075"/>
        <v>7</v>
      </c>
      <c r="CB469" s="30" t="s">
        <v>917</v>
      </c>
      <c r="CC469" s="5">
        <v>0</v>
      </c>
      <c r="CD469" s="8">
        <v>3</v>
      </c>
      <c r="CE469" s="5">
        <f t="shared" si="1145"/>
        <v>7</v>
      </c>
      <c r="CF469" s="5">
        <v>1</v>
      </c>
      <c r="CG469" s="27" t="str">
        <f t="shared" si="1057"/>
        <v>7级疾风龙</v>
      </c>
      <c r="CH469" s="5">
        <v>0</v>
      </c>
      <c r="CI469" s="5">
        <v>0</v>
      </c>
      <c r="CJ469" s="4">
        <v>0</v>
      </c>
      <c r="CK469" s="20">
        <v>0</v>
      </c>
      <c r="CL469" s="5">
        <v>0</v>
      </c>
      <c r="CM469" s="20">
        <v>114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20">
        <v>2.5</v>
      </c>
      <c r="CW469" s="20">
        <v>3</v>
      </c>
      <c r="CX469" s="20">
        <v>2.5</v>
      </c>
      <c r="CY469" s="20">
        <v>3.5</v>
      </c>
      <c r="CZ469" s="8">
        <v>200</v>
      </c>
      <c r="DA469" s="6">
        <f t="shared" si="1065"/>
        <v>35000</v>
      </c>
      <c r="DB469" s="5">
        <v>1</v>
      </c>
      <c r="DC469" s="20">
        <f t="shared" si="1146"/>
        <v>1.9500000000000002</v>
      </c>
      <c r="DD469" s="6">
        <f t="shared" si="1066"/>
        <v>0.65</v>
      </c>
      <c r="DE469" s="6">
        <v>1</v>
      </c>
      <c r="DF469" s="5">
        <v>0</v>
      </c>
      <c r="DG469" s="6">
        <v>2.5</v>
      </c>
      <c r="DH469" s="5">
        <v>0</v>
      </c>
      <c r="DI469" s="8">
        <v>0</v>
      </c>
      <c r="DJ469" s="5">
        <v>0</v>
      </c>
      <c r="DK469" s="8">
        <v>0</v>
      </c>
      <c r="DL469" s="5">
        <f t="shared" si="1116"/>
        <v>0</v>
      </c>
      <c r="DM469" s="5" t="str">
        <f t="shared" ref="DM469:DM532" si="1148">B469</f>
        <v>7级疾风龙</v>
      </c>
      <c r="DN469" s="5">
        <v>6</v>
      </c>
      <c r="DO469" s="5">
        <v>0</v>
      </c>
      <c r="DP469" s="5">
        <v>1</v>
      </c>
      <c r="DQ469" s="5">
        <v>1</v>
      </c>
      <c r="DR469" s="5">
        <v>2.5</v>
      </c>
      <c r="DS469" s="6">
        <v>3.5</v>
      </c>
      <c r="DT469" s="5">
        <v>-0.6</v>
      </c>
      <c r="DU469" s="5">
        <v>0.8</v>
      </c>
      <c r="DV469" s="6">
        <v>0.5</v>
      </c>
      <c r="DW469" s="5">
        <f t="shared" si="1067"/>
        <v>0.66666666666666663</v>
      </c>
      <c r="DX469" s="5">
        <v>8</v>
      </c>
      <c r="DY469" s="5">
        <f t="shared" si="1068"/>
        <v>0</v>
      </c>
      <c r="DZ469" s="5">
        <v>0</v>
      </c>
    </row>
    <row r="470" spans="1:130" x14ac:dyDescent="0.15">
      <c r="A470" s="5">
        <v>201468</v>
      </c>
      <c r="B470" s="28" t="s">
        <v>793</v>
      </c>
      <c r="C470" s="27">
        <v>30</v>
      </c>
      <c r="D470" s="27">
        <v>1</v>
      </c>
      <c r="E470" s="27">
        <v>3</v>
      </c>
      <c r="F470" s="5">
        <v>2</v>
      </c>
      <c r="G470" s="46">
        <f t="shared" si="1069"/>
        <v>-0.11620000000000007</v>
      </c>
      <c r="H470" s="27"/>
      <c r="I470" s="27" t="s">
        <v>975</v>
      </c>
      <c r="J470" s="27"/>
      <c r="K470" s="5">
        <f t="shared" si="1136"/>
        <v>7.0000000000000007E-2</v>
      </c>
      <c r="L470" s="10">
        <f t="shared" si="1133"/>
        <v>0</v>
      </c>
      <c r="M470" s="5">
        <f t="shared" si="1137"/>
        <v>0.17</v>
      </c>
      <c r="N470" s="10">
        <v>2</v>
      </c>
      <c r="O470" s="5">
        <v>0.2</v>
      </c>
      <c r="P470" s="5">
        <f t="shared" si="1139"/>
        <v>0.2</v>
      </c>
      <c r="Q470" s="5">
        <v>2</v>
      </c>
      <c r="R470" s="5">
        <f t="shared" si="1070"/>
        <v>903926</v>
      </c>
      <c r="S470" s="5">
        <v>30</v>
      </c>
      <c r="T470" s="5">
        <v>10</v>
      </c>
      <c r="U470" s="5">
        <v>0.3</v>
      </c>
      <c r="V470" s="5">
        <v>0.15</v>
      </c>
      <c r="W470" s="5">
        <v>9</v>
      </c>
      <c r="X470" s="5">
        <v>-0.6</v>
      </c>
      <c r="Y470" s="5">
        <v>1.8</v>
      </c>
      <c r="Z470" s="27" t="s">
        <v>1030</v>
      </c>
      <c r="AA470" s="5">
        <v>3</v>
      </c>
      <c r="AB470" s="5">
        <v>2</v>
      </c>
      <c r="AC470" s="5">
        <v>6</v>
      </c>
      <c r="AD470" s="27" t="s">
        <v>1031</v>
      </c>
      <c r="AE470" s="20">
        <v>0</v>
      </c>
      <c r="AF470" s="5">
        <f t="shared" si="1071"/>
        <v>903942</v>
      </c>
      <c r="AG470" s="5">
        <v>60</v>
      </c>
      <c r="AH470" s="5">
        <f t="shared" si="1140"/>
        <v>0.2</v>
      </c>
      <c r="AI470" s="5">
        <v>2</v>
      </c>
      <c r="AJ470" s="5">
        <v>2</v>
      </c>
      <c r="AK470" s="5">
        <f t="shared" si="1072"/>
        <v>40</v>
      </c>
      <c r="AL470" s="5">
        <f t="shared" si="1141"/>
        <v>528</v>
      </c>
      <c r="AM470" s="5">
        <f t="shared" si="1142"/>
        <v>552</v>
      </c>
      <c r="AN470" s="8">
        <v>22</v>
      </c>
      <c r="AO470" s="5">
        <v>1</v>
      </c>
      <c r="AP470" s="28" t="s">
        <v>793</v>
      </c>
      <c r="AQ470" s="5">
        <v>0</v>
      </c>
      <c r="AR470" s="8">
        <v>0</v>
      </c>
      <c r="AS470" s="6">
        <f t="shared" si="1117"/>
        <v>0</v>
      </c>
      <c r="AT470" s="6">
        <f t="shared" si="1118"/>
        <v>24</v>
      </c>
      <c r="AU470" s="5">
        <v>0</v>
      </c>
      <c r="AV470" s="5">
        <v>0</v>
      </c>
      <c r="AW470" s="5">
        <v>0</v>
      </c>
      <c r="AX470" s="5">
        <v>1</v>
      </c>
      <c r="AY470" s="5">
        <v>0</v>
      </c>
      <c r="AZ470" s="5">
        <v>201468</v>
      </c>
      <c r="BA470" s="5">
        <f t="shared" si="1073"/>
        <v>203048</v>
      </c>
      <c r="BB470" s="5">
        <v>10</v>
      </c>
      <c r="BC470" s="5">
        <v>0</v>
      </c>
      <c r="BD470" s="5">
        <v>1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f t="shared" si="1110"/>
        <v>1</v>
      </c>
      <c r="BM470" s="5">
        <v>0</v>
      </c>
      <c r="BN470" s="5">
        <v>0</v>
      </c>
      <c r="BO470" s="5">
        <v>0</v>
      </c>
      <c r="BP470" s="5">
        <v>0</v>
      </c>
      <c r="BQ470" s="5"/>
      <c r="BR470" s="5"/>
      <c r="BS470" s="4">
        <v>0</v>
      </c>
      <c r="BT470" s="4">
        <f t="shared" si="1143"/>
        <v>8</v>
      </c>
      <c r="BU470" s="17">
        <v>58</v>
      </c>
      <c r="BV470" s="4">
        <f t="shared" ref="BV470:BY470" si="1149">BV460</f>
        <v>8</v>
      </c>
      <c r="BW470" s="4">
        <f t="shared" si="1149"/>
        <v>8</v>
      </c>
      <c r="BX470" s="4">
        <f t="shared" si="1149"/>
        <v>0.35999999999999993</v>
      </c>
      <c r="BY470" s="4">
        <f t="shared" si="1149"/>
        <v>0.2</v>
      </c>
      <c r="BZ470" s="27" t="s">
        <v>1006</v>
      </c>
      <c r="CA470" s="30" t="str">
        <f t="shared" si="1075"/>
        <v>8</v>
      </c>
      <c r="CB470" s="30" t="s">
        <v>917</v>
      </c>
      <c r="CC470" s="5">
        <v>0</v>
      </c>
      <c r="CD470" s="8">
        <v>3</v>
      </c>
      <c r="CE470" s="5">
        <f t="shared" si="1145"/>
        <v>8</v>
      </c>
      <c r="CF470" s="5">
        <v>1</v>
      </c>
      <c r="CG470" s="27" t="str">
        <f t="shared" si="1057"/>
        <v>8级疾风龙</v>
      </c>
      <c r="CH470" s="5">
        <v>0</v>
      </c>
      <c r="CI470" s="5">
        <v>0</v>
      </c>
      <c r="CJ470" s="4">
        <v>0</v>
      </c>
      <c r="CK470" s="20">
        <v>0</v>
      </c>
      <c r="CL470" s="5">
        <v>0</v>
      </c>
      <c r="CM470" s="20">
        <v>114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20">
        <v>2.5</v>
      </c>
      <c r="CW470" s="20">
        <v>3</v>
      </c>
      <c r="CX470" s="20">
        <v>2.5</v>
      </c>
      <c r="CY470" s="20">
        <v>3.5</v>
      </c>
      <c r="CZ470" s="8">
        <v>200</v>
      </c>
      <c r="DA470" s="6">
        <f t="shared" si="1065"/>
        <v>40000</v>
      </c>
      <c r="DB470" s="5">
        <v>1</v>
      </c>
      <c r="DC470" s="20">
        <f t="shared" si="1146"/>
        <v>2.0250000000000004</v>
      </c>
      <c r="DD470" s="6">
        <f t="shared" si="1066"/>
        <v>0.67500000000000004</v>
      </c>
      <c r="DE470" s="6">
        <v>1</v>
      </c>
      <c r="DF470" s="5">
        <v>0</v>
      </c>
      <c r="DG470" s="6">
        <v>2.5</v>
      </c>
      <c r="DH470" s="5">
        <v>0</v>
      </c>
      <c r="DI470" s="8">
        <v>0</v>
      </c>
      <c r="DJ470" s="5">
        <v>0</v>
      </c>
      <c r="DK470" s="8">
        <v>0</v>
      </c>
      <c r="DL470" s="5">
        <f t="shared" si="1116"/>
        <v>0</v>
      </c>
      <c r="DM470" s="5" t="str">
        <f t="shared" si="1148"/>
        <v>8级疾风龙</v>
      </c>
      <c r="DN470" s="5">
        <v>6</v>
      </c>
      <c r="DO470" s="5">
        <v>0</v>
      </c>
      <c r="DP470" s="5">
        <v>1</v>
      </c>
      <c r="DQ470" s="5">
        <v>1</v>
      </c>
      <c r="DR470" s="5">
        <v>2.5</v>
      </c>
      <c r="DS470" s="6">
        <v>3.5</v>
      </c>
      <c r="DT470" s="5">
        <v>-0.6</v>
      </c>
      <c r="DU470" s="5">
        <v>0.8</v>
      </c>
      <c r="DV470" s="6">
        <v>0.5</v>
      </c>
      <c r="DW470" s="5">
        <f t="shared" si="1067"/>
        <v>0.66666666666666663</v>
      </c>
      <c r="DX470" s="5">
        <v>8</v>
      </c>
      <c r="DY470" s="5">
        <f t="shared" si="1068"/>
        <v>0</v>
      </c>
      <c r="DZ470" s="5">
        <v>0</v>
      </c>
    </row>
    <row r="471" spans="1:130" x14ac:dyDescent="0.15">
      <c r="A471" s="5">
        <v>201469</v>
      </c>
      <c r="B471" s="28" t="s">
        <v>794</v>
      </c>
      <c r="C471" s="27">
        <v>30</v>
      </c>
      <c r="D471" s="27">
        <v>1</v>
      </c>
      <c r="E471" s="27">
        <v>3</v>
      </c>
      <c r="F471" s="5">
        <v>2</v>
      </c>
      <c r="G471" s="46">
        <f t="shared" si="1069"/>
        <v>-0.11620000000000007</v>
      </c>
      <c r="H471" s="27"/>
      <c r="I471" s="27" t="s">
        <v>975</v>
      </c>
      <c r="J471" s="27"/>
      <c r="K471" s="5">
        <f t="shared" si="1136"/>
        <v>0.08</v>
      </c>
      <c r="L471" s="10">
        <f t="shared" si="1133"/>
        <v>0</v>
      </c>
      <c r="M471" s="5">
        <f t="shared" si="1137"/>
        <v>0.18</v>
      </c>
      <c r="N471" s="10">
        <v>2</v>
      </c>
      <c r="O471" s="5">
        <v>0.2</v>
      </c>
      <c r="P471" s="5">
        <f t="shared" si="1139"/>
        <v>0.2</v>
      </c>
      <c r="Q471" s="5">
        <v>2</v>
      </c>
      <c r="R471" s="5">
        <f t="shared" si="1070"/>
        <v>903926</v>
      </c>
      <c r="S471" s="5">
        <v>30</v>
      </c>
      <c r="T471" s="5">
        <v>10</v>
      </c>
      <c r="U471" s="5">
        <v>0.3</v>
      </c>
      <c r="V471" s="5">
        <v>0.15</v>
      </c>
      <c r="W471" s="5">
        <v>9</v>
      </c>
      <c r="X471" s="5">
        <v>-0.6</v>
      </c>
      <c r="Y471" s="5">
        <v>1.8</v>
      </c>
      <c r="Z471" s="27" t="s">
        <v>1030</v>
      </c>
      <c r="AA471" s="5">
        <v>3</v>
      </c>
      <c r="AB471" s="5">
        <v>2</v>
      </c>
      <c r="AC471" s="5">
        <v>6</v>
      </c>
      <c r="AD471" s="27" t="s">
        <v>1031</v>
      </c>
      <c r="AE471" s="20">
        <v>0</v>
      </c>
      <c r="AF471" s="5">
        <f t="shared" si="1071"/>
        <v>903942</v>
      </c>
      <c r="AG471" s="5">
        <v>60</v>
      </c>
      <c r="AH471" s="5">
        <f t="shared" si="1140"/>
        <v>0.2</v>
      </c>
      <c r="AI471" s="5">
        <v>2</v>
      </c>
      <c r="AJ471" s="5">
        <v>2</v>
      </c>
      <c r="AK471" s="5">
        <f t="shared" si="1072"/>
        <v>45</v>
      </c>
      <c r="AL471" s="5">
        <f t="shared" si="1141"/>
        <v>594</v>
      </c>
      <c r="AM471" s="5">
        <f t="shared" si="1142"/>
        <v>621</v>
      </c>
      <c r="AN471" s="8">
        <v>22</v>
      </c>
      <c r="AO471" s="5">
        <v>1</v>
      </c>
      <c r="AP471" s="28" t="s">
        <v>794</v>
      </c>
      <c r="AQ471" s="5">
        <v>0</v>
      </c>
      <c r="AR471" s="8">
        <v>0</v>
      </c>
      <c r="AS471" s="6">
        <f t="shared" si="1117"/>
        <v>0</v>
      </c>
      <c r="AT471" s="6">
        <f t="shared" si="1118"/>
        <v>27</v>
      </c>
      <c r="AU471" s="5">
        <v>0</v>
      </c>
      <c r="AV471" s="5">
        <v>0</v>
      </c>
      <c r="AW471" s="5">
        <v>0</v>
      </c>
      <c r="AX471" s="5">
        <v>1</v>
      </c>
      <c r="AY471" s="5">
        <v>0</v>
      </c>
      <c r="AZ471" s="5">
        <v>201469</v>
      </c>
      <c r="BA471" s="5">
        <f t="shared" si="1073"/>
        <v>203048</v>
      </c>
      <c r="BB471" s="5">
        <v>10</v>
      </c>
      <c r="BC471" s="5">
        <v>0</v>
      </c>
      <c r="BD471" s="5">
        <v>1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f t="shared" si="1110"/>
        <v>1</v>
      </c>
      <c r="BM471" s="5">
        <v>0</v>
      </c>
      <c r="BN471" s="5">
        <v>0</v>
      </c>
      <c r="BO471" s="5">
        <v>0</v>
      </c>
      <c r="BP471" s="5">
        <v>0</v>
      </c>
      <c r="BQ471" s="5"/>
      <c r="BR471" s="5"/>
      <c r="BS471" s="4">
        <v>0</v>
      </c>
      <c r="BT471" s="4">
        <f t="shared" si="1143"/>
        <v>9</v>
      </c>
      <c r="BU471" s="17">
        <v>59</v>
      </c>
      <c r="BV471" s="4">
        <f t="shared" ref="BV471:BY471" si="1150">BV461</f>
        <v>9</v>
      </c>
      <c r="BW471" s="4">
        <f t="shared" si="1150"/>
        <v>9</v>
      </c>
      <c r="BX471" s="4">
        <f t="shared" si="1150"/>
        <v>0.28999999999999992</v>
      </c>
      <c r="BY471" s="4">
        <f t="shared" si="1150"/>
        <v>0.15000000000000002</v>
      </c>
      <c r="BZ471" s="27" t="s">
        <v>1006</v>
      </c>
      <c r="CA471" s="30" t="str">
        <f t="shared" si="1075"/>
        <v>9</v>
      </c>
      <c r="CB471" s="30" t="s">
        <v>917</v>
      </c>
      <c r="CC471" s="5">
        <v>0</v>
      </c>
      <c r="CD471" s="8">
        <v>3</v>
      </c>
      <c r="CE471" s="5">
        <f t="shared" si="1145"/>
        <v>9</v>
      </c>
      <c r="CF471" s="5">
        <v>1</v>
      </c>
      <c r="CG471" s="27" t="str">
        <f t="shared" ref="CG471:CG534" si="1151">B471</f>
        <v>9级疾风龙</v>
      </c>
      <c r="CH471" s="5">
        <v>0</v>
      </c>
      <c r="CI471" s="5">
        <v>0</v>
      </c>
      <c r="CJ471" s="4">
        <v>0</v>
      </c>
      <c r="CK471" s="20">
        <v>0</v>
      </c>
      <c r="CL471" s="5">
        <v>0</v>
      </c>
      <c r="CM471" s="20">
        <v>114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20">
        <v>2.5</v>
      </c>
      <c r="CW471" s="20">
        <v>3</v>
      </c>
      <c r="CX471" s="20">
        <v>2.5</v>
      </c>
      <c r="CY471" s="20">
        <v>3.5</v>
      </c>
      <c r="CZ471" s="8">
        <v>200</v>
      </c>
      <c r="DA471" s="6">
        <f t="shared" si="1065"/>
        <v>45000</v>
      </c>
      <c r="DB471" s="5">
        <v>1</v>
      </c>
      <c r="DC471" s="20">
        <f t="shared" si="1146"/>
        <v>2.0999999999999996</v>
      </c>
      <c r="DD471" s="6">
        <f t="shared" si="1066"/>
        <v>0.7</v>
      </c>
      <c r="DE471" s="6">
        <v>1</v>
      </c>
      <c r="DF471" s="5">
        <v>0</v>
      </c>
      <c r="DG471" s="6">
        <v>2.5</v>
      </c>
      <c r="DH471" s="5">
        <v>0</v>
      </c>
      <c r="DI471" s="8">
        <v>0</v>
      </c>
      <c r="DJ471" s="5">
        <v>0</v>
      </c>
      <c r="DK471" s="8">
        <v>0</v>
      </c>
      <c r="DL471" s="5">
        <f t="shared" si="1116"/>
        <v>0</v>
      </c>
      <c r="DM471" s="5" t="str">
        <f t="shared" si="1148"/>
        <v>9级疾风龙</v>
      </c>
      <c r="DN471" s="5">
        <v>6</v>
      </c>
      <c r="DO471" s="5">
        <v>0</v>
      </c>
      <c r="DP471" s="5">
        <v>1</v>
      </c>
      <c r="DQ471" s="5">
        <v>1</v>
      </c>
      <c r="DR471" s="5">
        <v>2.5</v>
      </c>
      <c r="DS471" s="6">
        <v>3.5</v>
      </c>
      <c r="DT471" s="5">
        <v>-0.6</v>
      </c>
      <c r="DU471" s="5">
        <v>0.8</v>
      </c>
      <c r="DV471" s="6">
        <v>0.5</v>
      </c>
      <c r="DW471" s="5">
        <f t="shared" si="1067"/>
        <v>0.66666666666666663</v>
      </c>
      <c r="DX471" s="5">
        <v>8</v>
      </c>
      <c r="DY471" s="5">
        <f t="shared" si="1068"/>
        <v>0</v>
      </c>
      <c r="DZ471" s="5">
        <v>0</v>
      </c>
    </row>
    <row r="472" spans="1:130" x14ac:dyDescent="0.15">
      <c r="A472" s="5">
        <v>201470</v>
      </c>
      <c r="B472" s="28" t="s">
        <v>795</v>
      </c>
      <c r="C472" s="27">
        <v>30</v>
      </c>
      <c r="D472" s="27">
        <v>1</v>
      </c>
      <c r="E472" s="27">
        <v>3</v>
      </c>
      <c r="F472" s="5">
        <v>2</v>
      </c>
      <c r="G472" s="46">
        <f t="shared" si="1069"/>
        <v>-0.11620000000000007</v>
      </c>
      <c r="H472" s="27"/>
      <c r="I472" s="27" t="s">
        <v>975</v>
      </c>
      <c r="J472" s="27"/>
      <c r="K472" s="5">
        <f t="shared" si="1136"/>
        <v>0.09</v>
      </c>
      <c r="L472" s="10">
        <f t="shared" si="1133"/>
        <v>0</v>
      </c>
      <c r="M472" s="5">
        <f t="shared" si="1137"/>
        <v>0.19</v>
      </c>
      <c r="N472" s="10">
        <v>2</v>
      </c>
      <c r="O472" s="5">
        <v>0.2</v>
      </c>
      <c r="P472" s="5">
        <f t="shared" si="1139"/>
        <v>0.2</v>
      </c>
      <c r="Q472" s="5">
        <v>2</v>
      </c>
      <c r="R472" s="5">
        <f t="shared" si="1070"/>
        <v>903926</v>
      </c>
      <c r="S472" s="5">
        <v>30</v>
      </c>
      <c r="T472" s="5">
        <v>10</v>
      </c>
      <c r="U472" s="5">
        <v>0.3</v>
      </c>
      <c r="V472" s="5">
        <v>0.15</v>
      </c>
      <c r="W472" s="5">
        <v>9</v>
      </c>
      <c r="X472" s="5">
        <v>-0.6</v>
      </c>
      <c r="Y472" s="5">
        <v>1.8</v>
      </c>
      <c r="Z472" s="27" t="s">
        <v>1030</v>
      </c>
      <c r="AA472" s="5">
        <v>3</v>
      </c>
      <c r="AB472" s="5">
        <v>2</v>
      </c>
      <c r="AC472" s="5">
        <v>6</v>
      </c>
      <c r="AD472" s="27" t="s">
        <v>1031</v>
      </c>
      <c r="AE472" s="20">
        <v>0</v>
      </c>
      <c r="AF472" s="5">
        <f t="shared" si="1071"/>
        <v>903942</v>
      </c>
      <c r="AG472" s="5">
        <v>60</v>
      </c>
      <c r="AH472" s="5">
        <f t="shared" si="1140"/>
        <v>0.2</v>
      </c>
      <c r="AI472" s="5">
        <v>2</v>
      </c>
      <c r="AJ472" s="5">
        <v>2</v>
      </c>
      <c r="AK472" s="5">
        <f t="shared" si="1072"/>
        <v>50</v>
      </c>
      <c r="AL472" s="5">
        <f t="shared" si="1141"/>
        <v>660</v>
      </c>
      <c r="AM472" s="5">
        <f t="shared" si="1142"/>
        <v>690</v>
      </c>
      <c r="AN472" s="8">
        <v>22</v>
      </c>
      <c r="AO472" s="5">
        <v>1</v>
      </c>
      <c r="AP472" s="28" t="s">
        <v>795</v>
      </c>
      <c r="AQ472" s="5">
        <v>0</v>
      </c>
      <c r="AR472" s="8">
        <v>0</v>
      </c>
      <c r="AS472" s="6">
        <f t="shared" si="1117"/>
        <v>0</v>
      </c>
      <c r="AT472" s="6">
        <f t="shared" si="1118"/>
        <v>30</v>
      </c>
      <c r="AU472" s="5">
        <v>0</v>
      </c>
      <c r="AV472" s="5">
        <v>0</v>
      </c>
      <c r="AW472" s="5">
        <v>0</v>
      </c>
      <c r="AX472" s="5">
        <v>1</v>
      </c>
      <c r="AY472" s="5">
        <v>0</v>
      </c>
      <c r="AZ472" s="5">
        <v>201470</v>
      </c>
      <c r="BA472" s="5">
        <f t="shared" si="1073"/>
        <v>203048</v>
      </c>
      <c r="BB472" s="5">
        <v>10</v>
      </c>
      <c r="BC472" s="5">
        <v>0</v>
      </c>
      <c r="BD472" s="5">
        <v>1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f t="shared" si="1110"/>
        <v>1</v>
      </c>
      <c r="BM472" s="5">
        <v>0</v>
      </c>
      <c r="BN472" s="5">
        <v>0</v>
      </c>
      <c r="BO472" s="5">
        <v>0</v>
      </c>
      <c r="BP472" s="5">
        <v>0</v>
      </c>
      <c r="BQ472" s="5"/>
      <c r="BR472" s="5"/>
      <c r="BS472" s="4">
        <v>0</v>
      </c>
      <c r="BT472" s="4">
        <f t="shared" si="1143"/>
        <v>10</v>
      </c>
      <c r="BU472" s="17">
        <v>60</v>
      </c>
      <c r="BV472" s="4">
        <f t="shared" ref="BV472:BY472" si="1152">BV462</f>
        <v>10</v>
      </c>
      <c r="BW472" s="4">
        <f t="shared" si="1152"/>
        <v>10</v>
      </c>
      <c r="BX472" s="4">
        <f t="shared" si="1152"/>
        <v>0.21999999999999986</v>
      </c>
      <c r="BY472" s="4">
        <f t="shared" si="1152"/>
        <v>0.10000000000000003</v>
      </c>
      <c r="BZ472" s="27" t="s">
        <v>1006</v>
      </c>
      <c r="CA472" s="30" t="str">
        <f t="shared" si="1075"/>
        <v>10</v>
      </c>
      <c r="CB472" s="30" t="s">
        <v>917</v>
      </c>
      <c r="CC472" s="5">
        <v>0</v>
      </c>
      <c r="CD472" s="8">
        <v>3</v>
      </c>
      <c r="CE472" s="5">
        <f t="shared" si="1145"/>
        <v>10</v>
      </c>
      <c r="CF472" s="5">
        <v>1</v>
      </c>
      <c r="CG472" s="27" t="str">
        <f t="shared" si="1151"/>
        <v>10级疾风龙</v>
      </c>
      <c r="CH472" s="5">
        <v>0</v>
      </c>
      <c r="CI472" s="5">
        <v>0</v>
      </c>
      <c r="CJ472" s="4">
        <v>0</v>
      </c>
      <c r="CK472" s="20">
        <v>0</v>
      </c>
      <c r="CL472" s="5">
        <v>0</v>
      </c>
      <c r="CM472" s="20">
        <v>114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20">
        <v>2.5</v>
      </c>
      <c r="CW472" s="20">
        <v>3</v>
      </c>
      <c r="CX472" s="20">
        <v>2.5</v>
      </c>
      <c r="CY472" s="20">
        <v>3.5</v>
      </c>
      <c r="CZ472" s="8">
        <v>200</v>
      </c>
      <c r="DA472" s="6">
        <f t="shared" si="1065"/>
        <v>50000</v>
      </c>
      <c r="DB472" s="5">
        <v>1</v>
      </c>
      <c r="DC472" s="20">
        <f t="shared" si="1146"/>
        <v>2.1749999999999998</v>
      </c>
      <c r="DD472" s="6">
        <f t="shared" si="1066"/>
        <v>0.72499999999999998</v>
      </c>
      <c r="DE472" s="6">
        <v>1</v>
      </c>
      <c r="DF472" s="5">
        <v>0</v>
      </c>
      <c r="DG472" s="6">
        <v>2.5</v>
      </c>
      <c r="DH472" s="5">
        <v>0</v>
      </c>
      <c r="DI472" s="8">
        <v>0</v>
      </c>
      <c r="DJ472" s="5">
        <v>0</v>
      </c>
      <c r="DK472" s="8">
        <v>0</v>
      </c>
      <c r="DL472" s="5">
        <f t="shared" si="1116"/>
        <v>0</v>
      </c>
      <c r="DM472" s="5" t="str">
        <f t="shared" si="1148"/>
        <v>10级疾风龙</v>
      </c>
      <c r="DN472" s="5">
        <v>6</v>
      </c>
      <c r="DO472" s="5">
        <v>0</v>
      </c>
      <c r="DP472" s="5">
        <v>1</v>
      </c>
      <c r="DQ472" s="5">
        <v>1</v>
      </c>
      <c r="DR472" s="5">
        <v>2.5</v>
      </c>
      <c r="DS472" s="6">
        <v>3.5</v>
      </c>
      <c r="DT472" s="5">
        <v>-0.6</v>
      </c>
      <c r="DU472" s="5">
        <v>0.8</v>
      </c>
      <c r="DV472" s="6">
        <v>0.5</v>
      </c>
      <c r="DW472" s="5">
        <f t="shared" si="1067"/>
        <v>0.66666666666666663</v>
      </c>
      <c r="DX472" s="5">
        <v>8</v>
      </c>
      <c r="DY472" s="5">
        <f t="shared" si="1068"/>
        <v>0</v>
      </c>
      <c r="DZ472" s="5">
        <v>0</v>
      </c>
    </row>
    <row r="473" spans="1:130" x14ac:dyDescent="0.15">
      <c r="A473" s="5">
        <v>201471</v>
      </c>
      <c r="B473" s="28" t="s">
        <v>796</v>
      </c>
      <c r="C473" s="28">
        <v>30</v>
      </c>
      <c r="D473" s="28">
        <v>1</v>
      </c>
      <c r="E473" s="28">
        <v>3</v>
      </c>
      <c r="F473" s="6">
        <v>2</v>
      </c>
      <c r="G473" s="46">
        <f t="shared" si="1069"/>
        <v>-5.8100000000000068E-2</v>
      </c>
      <c r="H473" s="28"/>
      <c r="I473" s="28" t="s">
        <v>975</v>
      </c>
      <c r="J473" s="28">
        <v>0.05</v>
      </c>
      <c r="K473" s="5">
        <f t="shared" si="1136"/>
        <v>0</v>
      </c>
      <c r="L473" s="10">
        <v>0</v>
      </c>
      <c r="M473" s="5">
        <f t="shared" si="1137"/>
        <v>0.1</v>
      </c>
      <c r="N473" s="10">
        <v>2</v>
      </c>
      <c r="O473" s="5">
        <v>0.2</v>
      </c>
      <c r="P473" s="5">
        <f t="shared" si="1139"/>
        <v>0.3</v>
      </c>
      <c r="Q473" s="5">
        <v>3</v>
      </c>
      <c r="R473" s="5">
        <f t="shared" si="1070"/>
        <v>903927</v>
      </c>
      <c r="S473" s="5">
        <v>30</v>
      </c>
      <c r="T473" s="5">
        <v>10</v>
      </c>
      <c r="U473" s="5">
        <v>0.3</v>
      </c>
      <c r="V473" s="5">
        <v>0.15</v>
      </c>
      <c r="W473" s="5">
        <v>9</v>
      </c>
      <c r="X473" s="5">
        <v>-0.6</v>
      </c>
      <c r="Y473" s="5">
        <v>1.8</v>
      </c>
      <c r="Z473" s="27" t="s">
        <v>1032</v>
      </c>
      <c r="AA473" s="5">
        <v>3</v>
      </c>
      <c r="AB473" s="5">
        <v>2</v>
      </c>
      <c r="AC473" s="5">
        <v>6</v>
      </c>
      <c r="AD473" s="27" t="s">
        <v>1033</v>
      </c>
      <c r="AE473" s="20">
        <v>0</v>
      </c>
      <c r="AF473" s="5">
        <f t="shared" si="1071"/>
        <v>903943</v>
      </c>
      <c r="AG473" s="5">
        <v>60</v>
      </c>
      <c r="AH473" s="5">
        <f t="shared" si="1140"/>
        <v>0.2</v>
      </c>
      <c r="AI473" s="5">
        <v>2</v>
      </c>
      <c r="AJ473" s="5">
        <v>2</v>
      </c>
      <c r="AK473" s="5">
        <f t="shared" si="1072"/>
        <v>5</v>
      </c>
      <c r="AL473" s="5">
        <f t="shared" si="1141"/>
        <v>60</v>
      </c>
      <c r="AM473" s="5">
        <f t="shared" si="1142"/>
        <v>63</v>
      </c>
      <c r="AN473" s="8">
        <v>20</v>
      </c>
      <c r="AO473" s="5">
        <v>1</v>
      </c>
      <c r="AP473" s="28" t="s">
        <v>796</v>
      </c>
      <c r="AQ473" s="5">
        <v>0</v>
      </c>
      <c r="AR473" s="8">
        <v>0</v>
      </c>
      <c r="AS473" s="6">
        <f t="shared" si="1117"/>
        <v>0</v>
      </c>
      <c r="AT473" s="6">
        <f t="shared" si="1118"/>
        <v>3</v>
      </c>
      <c r="AU473" s="5">
        <v>0</v>
      </c>
      <c r="AV473" s="5">
        <v>0</v>
      </c>
      <c r="AW473" s="5">
        <v>0</v>
      </c>
      <c r="AX473" s="5">
        <v>1</v>
      </c>
      <c r="AY473" s="5">
        <v>0</v>
      </c>
      <c r="AZ473" s="5">
        <v>201471</v>
      </c>
      <c r="BA473" s="5">
        <f t="shared" si="1073"/>
        <v>203049</v>
      </c>
      <c r="BB473" s="5">
        <v>10</v>
      </c>
      <c r="BC473" s="5">
        <v>0</v>
      </c>
      <c r="BD473" s="5">
        <v>1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f t="shared" si="1110"/>
        <v>1</v>
      </c>
      <c r="BM473" s="5">
        <v>0</v>
      </c>
      <c r="BN473" s="5">
        <v>0</v>
      </c>
      <c r="BO473" s="5">
        <v>0</v>
      </c>
      <c r="BP473" s="5">
        <v>0</v>
      </c>
      <c r="BQ473" s="5"/>
      <c r="BR473" s="5"/>
      <c r="BS473" s="4">
        <v>0</v>
      </c>
      <c r="BT473" s="4">
        <f t="shared" si="1143"/>
        <v>1</v>
      </c>
      <c r="BU473" s="17">
        <v>61</v>
      </c>
      <c r="BV473" s="4">
        <f t="shared" ref="BV473:BY473" si="1153">BV463</f>
        <v>1</v>
      </c>
      <c r="BW473" s="4">
        <f t="shared" si="1153"/>
        <v>1</v>
      </c>
      <c r="BX473" s="4">
        <f t="shared" si="1153"/>
        <v>0.85</v>
      </c>
      <c r="BY473" s="4">
        <f t="shared" si="1153"/>
        <v>0.55000000000000004</v>
      </c>
      <c r="BZ473" s="27" t="s">
        <v>1007</v>
      </c>
      <c r="CA473" s="30" t="str">
        <f t="shared" si="1075"/>
        <v>1</v>
      </c>
      <c r="CB473" s="30" t="s">
        <v>917</v>
      </c>
      <c r="CC473" s="5">
        <v>0</v>
      </c>
      <c r="CD473" s="8">
        <v>3</v>
      </c>
      <c r="CE473" s="5">
        <f t="shared" si="1145"/>
        <v>1</v>
      </c>
      <c r="CF473" s="5">
        <v>1</v>
      </c>
      <c r="CG473" s="27" t="str">
        <f t="shared" si="1151"/>
        <v>1级幽冥龙</v>
      </c>
      <c r="CH473" s="5">
        <v>0</v>
      </c>
      <c r="CI473" s="5">
        <v>0</v>
      </c>
      <c r="CJ473" s="4">
        <v>0</v>
      </c>
      <c r="CK473" s="20">
        <v>0</v>
      </c>
      <c r="CL473" s="5">
        <v>0</v>
      </c>
      <c r="CM473" s="20">
        <v>114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20">
        <v>2.5</v>
      </c>
      <c r="CW473" s="20">
        <v>3</v>
      </c>
      <c r="CX473" s="20">
        <v>2.5</v>
      </c>
      <c r="CY473" s="20">
        <v>3.5</v>
      </c>
      <c r="CZ473" s="8">
        <v>200</v>
      </c>
      <c r="DA473" s="6">
        <f t="shared" si="1065"/>
        <v>5000</v>
      </c>
      <c r="DB473" s="5">
        <v>1</v>
      </c>
      <c r="DC473" s="20">
        <f t="shared" si="1146"/>
        <v>1.5</v>
      </c>
      <c r="DD473" s="6">
        <f t="shared" si="1066"/>
        <v>0.5</v>
      </c>
      <c r="DE473" s="6">
        <v>1</v>
      </c>
      <c r="DF473" s="5">
        <v>0</v>
      </c>
      <c r="DG473" s="6">
        <v>2.5</v>
      </c>
      <c r="DH473" s="5">
        <v>0</v>
      </c>
      <c r="DI473" s="8">
        <v>0</v>
      </c>
      <c r="DJ473" s="5">
        <v>0</v>
      </c>
      <c r="DK473" s="8">
        <v>0</v>
      </c>
      <c r="DL473" s="5">
        <f t="shared" si="1116"/>
        <v>0</v>
      </c>
      <c r="DM473" s="5" t="str">
        <f t="shared" si="1148"/>
        <v>1级幽冥龙</v>
      </c>
      <c r="DN473" s="5">
        <v>6</v>
      </c>
      <c r="DO473" s="5">
        <v>0</v>
      </c>
      <c r="DP473" s="5">
        <v>1</v>
      </c>
      <c r="DQ473" s="5">
        <v>1</v>
      </c>
      <c r="DR473" s="5">
        <v>2.5</v>
      </c>
      <c r="DS473" s="6">
        <v>3.5</v>
      </c>
      <c r="DT473" s="5">
        <v>-0.6</v>
      </c>
      <c r="DU473" s="5">
        <v>0.8</v>
      </c>
      <c r="DV473" s="6">
        <v>0.5</v>
      </c>
      <c r="DW473" s="5">
        <f t="shared" si="1067"/>
        <v>0.66666666666666663</v>
      </c>
      <c r="DX473" s="5">
        <v>8</v>
      </c>
      <c r="DY473" s="5">
        <f t="shared" si="1068"/>
        <v>0</v>
      </c>
      <c r="DZ473" s="5">
        <v>0</v>
      </c>
    </row>
    <row r="474" spans="1:130" x14ac:dyDescent="0.15">
      <c r="A474" s="5">
        <v>201472</v>
      </c>
      <c r="B474" s="28" t="s">
        <v>797</v>
      </c>
      <c r="C474" s="27">
        <v>30</v>
      </c>
      <c r="D474" s="27">
        <v>1</v>
      </c>
      <c r="E474" s="27">
        <v>3</v>
      </c>
      <c r="F474" s="5">
        <v>2</v>
      </c>
      <c r="G474" s="46">
        <f t="shared" si="1069"/>
        <v>-5.8100000000000068E-2</v>
      </c>
      <c r="H474" s="27"/>
      <c r="I474" s="27" t="s">
        <v>975</v>
      </c>
      <c r="J474" s="28">
        <v>0.05</v>
      </c>
      <c r="K474" s="5">
        <f t="shared" si="1136"/>
        <v>0.01</v>
      </c>
      <c r="L474" s="10">
        <v>0</v>
      </c>
      <c r="M474" s="5">
        <f t="shared" si="1137"/>
        <v>0.11</v>
      </c>
      <c r="N474" s="10">
        <v>2</v>
      </c>
      <c r="O474" s="5">
        <v>0.2</v>
      </c>
      <c r="P474" s="5">
        <f t="shared" si="1139"/>
        <v>0.3</v>
      </c>
      <c r="Q474" s="5">
        <v>3</v>
      </c>
      <c r="R474" s="5">
        <f t="shared" si="1070"/>
        <v>903927</v>
      </c>
      <c r="S474" s="5">
        <v>30</v>
      </c>
      <c r="T474" s="5">
        <v>10</v>
      </c>
      <c r="U474" s="5">
        <v>0.3</v>
      </c>
      <c r="V474" s="5">
        <v>0.15</v>
      </c>
      <c r="W474" s="5">
        <v>9</v>
      </c>
      <c r="X474" s="5">
        <v>-0.6</v>
      </c>
      <c r="Y474" s="5">
        <v>1.8</v>
      </c>
      <c r="Z474" s="27" t="s">
        <v>1032</v>
      </c>
      <c r="AA474" s="5">
        <v>3</v>
      </c>
      <c r="AB474" s="5">
        <v>2</v>
      </c>
      <c r="AC474" s="5">
        <v>6</v>
      </c>
      <c r="AD474" s="27" t="s">
        <v>1033</v>
      </c>
      <c r="AE474" s="20">
        <v>0</v>
      </c>
      <c r="AF474" s="5">
        <f t="shared" si="1071"/>
        <v>903943</v>
      </c>
      <c r="AG474" s="5">
        <v>60</v>
      </c>
      <c r="AH474" s="5">
        <f t="shared" si="1140"/>
        <v>0.2</v>
      </c>
      <c r="AI474" s="5">
        <v>2</v>
      </c>
      <c r="AJ474" s="5">
        <v>2</v>
      </c>
      <c r="AK474" s="5">
        <f t="shared" si="1072"/>
        <v>10</v>
      </c>
      <c r="AL474" s="5">
        <f t="shared" si="1141"/>
        <v>120</v>
      </c>
      <c r="AM474" s="5">
        <f t="shared" si="1142"/>
        <v>126</v>
      </c>
      <c r="AN474" s="8">
        <v>20</v>
      </c>
      <c r="AO474" s="5">
        <v>1</v>
      </c>
      <c r="AP474" s="28" t="s">
        <v>797</v>
      </c>
      <c r="AQ474" s="5">
        <v>0</v>
      </c>
      <c r="AR474" s="8">
        <v>0</v>
      </c>
      <c r="AS474" s="6">
        <f t="shared" si="1117"/>
        <v>0</v>
      </c>
      <c r="AT474" s="6">
        <f t="shared" si="1118"/>
        <v>6</v>
      </c>
      <c r="AU474" s="5">
        <v>0</v>
      </c>
      <c r="AV474" s="5">
        <v>0</v>
      </c>
      <c r="AW474" s="5">
        <v>0</v>
      </c>
      <c r="AX474" s="5">
        <v>1</v>
      </c>
      <c r="AY474" s="5">
        <v>0</v>
      </c>
      <c r="AZ474" s="5">
        <v>201472</v>
      </c>
      <c r="BA474" s="5">
        <f t="shared" si="1073"/>
        <v>203049</v>
      </c>
      <c r="BB474" s="5">
        <v>10</v>
      </c>
      <c r="BC474" s="5">
        <v>0</v>
      </c>
      <c r="BD474" s="5">
        <v>1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f t="shared" si="1110"/>
        <v>1</v>
      </c>
      <c r="BM474" s="5">
        <v>0</v>
      </c>
      <c r="BN474" s="5">
        <v>0</v>
      </c>
      <c r="BO474" s="5">
        <v>0</v>
      </c>
      <c r="BP474" s="5">
        <v>0</v>
      </c>
      <c r="BQ474" s="5"/>
      <c r="BR474" s="5"/>
      <c r="BS474" s="4">
        <v>0</v>
      </c>
      <c r="BT474" s="4">
        <f t="shared" si="1143"/>
        <v>2</v>
      </c>
      <c r="BU474" s="17">
        <v>62</v>
      </c>
      <c r="BV474" s="4">
        <f t="shared" ref="BV474:BY474" si="1154">BV464</f>
        <v>2</v>
      </c>
      <c r="BW474" s="4">
        <f t="shared" si="1154"/>
        <v>2</v>
      </c>
      <c r="BX474" s="4">
        <f t="shared" si="1154"/>
        <v>0.78</v>
      </c>
      <c r="BY474" s="4">
        <f t="shared" si="1154"/>
        <v>0.5</v>
      </c>
      <c r="BZ474" s="27" t="s">
        <v>1007</v>
      </c>
      <c r="CA474" s="30" t="str">
        <f t="shared" si="1075"/>
        <v>2</v>
      </c>
      <c r="CB474" s="30" t="s">
        <v>917</v>
      </c>
      <c r="CC474" s="5">
        <v>0</v>
      </c>
      <c r="CD474" s="8">
        <v>3</v>
      </c>
      <c r="CE474" s="5">
        <f t="shared" si="1145"/>
        <v>2</v>
      </c>
      <c r="CF474" s="5">
        <v>1</v>
      </c>
      <c r="CG474" s="27" t="str">
        <f t="shared" si="1151"/>
        <v>2级幽冥龙</v>
      </c>
      <c r="CH474" s="5">
        <v>0</v>
      </c>
      <c r="CI474" s="5">
        <v>0</v>
      </c>
      <c r="CJ474" s="4">
        <v>0</v>
      </c>
      <c r="CK474" s="20">
        <v>0</v>
      </c>
      <c r="CL474" s="5">
        <v>0</v>
      </c>
      <c r="CM474" s="20">
        <v>114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20">
        <v>2.5</v>
      </c>
      <c r="CW474" s="20">
        <v>3</v>
      </c>
      <c r="CX474" s="20">
        <v>2.5</v>
      </c>
      <c r="CY474" s="20">
        <v>3.5</v>
      </c>
      <c r="CZ474" s="8">
        <v>200</v>
      </c>
      <c r="DA474" s="6">
        <f t="shared" si="1065"/>
        <v>10000</v>
      </c>
      <c r="DB474" s="5">
        <v>1</v>
      </c>
      <c r="DC474" s="20">
        <f t="shared" si="1146"/>
        <v>1.5750000000000002</v>
      </c>
      <c r="DD474" s="6">
        <f t="shared" si="1066"/>
        <v>0.52500000000000002</v>
      </c>
      <c r="DE474" s="6">
        <v>1</v>
      </c>
      <c r="DF474" s="5">
        <v>0</v>
      </c>
      <c r="DG474" s="6">
        <v>2.5</v>
      </c>
      <c r="DH474" s="5">
        <v>0</v>
      </c>
      <c r="DI474" s="8">
        <v>0</v>
      </c>
      <c r="DJ474" s="5">
        <v>0</v>
      </c>
      <c r="DK474" s="8">
        <v>0</v>
      </c>
      <c r="DL474" s="5">
        <f t="shared" si="1116"/>
        <v>0</v>
      </c>
      <c r="DM474" s="5" t="str">
        <f t="shared" si="1148"/>
        <v>2级幽冥龙</v>
      </c>
      <c r="DN474" s="5">
        <v>6</v>
      </c>
      <c r="DO474" s="5">
        <v>0</v>
      </c>
      <c r="DP474" s="5">
        <v>1</v>
      </c>
      <c r="DQ474" s="5">
        <v>1</v>
      </c>
      <c r="DR474" s="5">
        <v>2.5</v>
      </c>
      <c r="DS474" s="6">
        <v>3.5</v>
      </c>
      <c r="DT474" s="5">
        <v>-0.6</v>
      </c>
      <c r="DU474" s="5">
        <v>0.8</v>
      </c>
      <c r="DV474" s="6">
        <v>0.5</v>
      </c>
      <c r="DW474" s="5">
        <f t="shared" si="1067"/>
        <v>0.66666666666666663</v>
      </c>
      <c r="DX474" s="5">
        <v>8</v>
      </c>
      <c r="DY474" s="5">
        <f t="shared" si="1068"/>
        <v>0</v>
      </c>
      <c r="DZ474" s="5">
        <v>0</v>
      </c>
    </row>
    <row r="475" spans="1:130" x14ac:dyDescent="0.15">
      <c r="A475" s="5">
        <v>201473</v>
      </c>
      <c r="B475" s="28" t="s">
        <v>798</v>
      </c>
      <c r="C475" s="27">
        <v>30</v>
      </c>
      <c r="D475" s="27">
        <v>1</v>
      </c>
      <c r="E475" s="27">
        <v>3</v>
      </c>
      <c r="F475" s="5">
        <v>2</v>
      </c>
      <c r="G475" s="46">
        <f t="shared" si="1069"/>
        <v>-5.8100000000000068E-2</v>
      </c>
      <c r="H475" s="27"/>
      <c r="I475" s="27" t="s">
        <v>975</v>
      </c>
      <c r="J475" s="28">
        <v>0.05</v>
      </c>
      <c r="K475" s="5">
        <f t="shared" si="1136"/>
        <v>0.02</v>
      </c>
      <c r="L475" s="10">
        <v>0</v>
      </c>
      <c r="M475" s="5">
        <f t="shared" si="1137"/>
        <v>0.12000000000000001</v>
      </c>
      <c r="N475" s="10">
        <v>2</v>
      </c>
      <c r="O475" s="5">
        <v>0.2</v>
      </c>
      <c r="P475" s="5">
        <f t="shared" si="1139"/>
        <v>0.3</v>
      </c>
      <c r="Q475" s="5">
        <v>3</v>
      </c>
      <c r="R475" s="5">
        <f t="shared" si="1070"/>
        <v>903927</v>
      </c>
      <c r="S475" s="5">
        <v>30</v>
      </c>
      <c r="T475" s="5">
        <v>10</v>
      </c>
      <c r="U475" s="5">
        <v>0.3</v>
      </c>
      <c r="V475" s="5">
        <v>0.15</v>
      </c>
      <c r="W475" s="5">
        <v>9</v>
      </c>
      <c r="X475" s="5">
        <v>-0.6</v>
      </c>
      <c r="Y475" s="5">
        <v>1.8</v>
      </c>
      <c r="Z475" s="27" t="s">
        <v>1032</v>
      </c>
      <c r="AA475" s="5">
        <v>3</v>
      </c>
      <c r="AB475" s="5">
        <v>2</v>
      </c>
      <c r="AC475" s="5">
        <v>6</v>
      </c>
      <c r="AD475" s="27" t="s">
        <v>1033</v>
      </c>
      <c r="AE475" s="20">
        <v>0</v>
      </c>
      <c r="AF475" s="5">
        <f t="shared" si="1071"/>
        <v>903943</v>
      </c>
      <c r="AG475" s="5">
        <v>60</v>
      </c>
      <c r="AH475" s="5">
        <f t="shared" si="1140"/>
        <v>0.2</v>
      </c>
      <c r="AI475" s="5">
        <v>2</v>
      </c>
      <c r="AJ475" s="5">
        <v>2</v>
      </c>
      <c r="AK475" s="5">
        <f t="shared" si="1072"/>
        <v>15</v>
      </c>
      <c r="AL475" s="5">
        <f t="shared" si="1141"/>
        <v>180</v>
      </c>
      <c r="AM475" s="5">
        <f t="shared" si="1142"/>
        <v>189</v>
      </c>
      <c r="AN475" s="8">
        <v>20</v>
      </c>
      <c r="AO475" s="5">
        <v>1</v>
      </c>
      <c r="AP475" s="28" t="s">
        <v>798</v>
      </c>
      <c r="AQ475" s="5">
        <v>0</v>
      </c>
      <c r="AR475" s="8">
        <v>0</v>
      </c>
      <c r="AS475" s="6">
        <f t="shared" si="1117"/>
        <v>0</v>
      </c>
      <c r="AT475" s="6">
        <f t="shared" si="1118"/>
        <v>9</v>
      </c>
      <c r="AU475" s="5">
        <v>0</v>
      </c>
      <c r="AV475" s="5">
        <v>0</v>
      </c>
      <c r="AW475" s="5">
        <v>0</v>
      </c>
      <c r="AX475" s="5">
        <v>1</v>
      </c>
      <c r="AY475" s="5">
        <v>0</v>
      </c>
      <c r="AZ475" s="5">
        <v>201473</v>
      </c>
      <c r="BA475" s="5">
        <f t="shared" si="1073"/>
        <v>203049</v>
      </c>
      <c r="BB475" s="5">
        <v>10</v>
      </c>
      <c r="BC475" s="5">
        <v>0</v>
      </c>
      <c r="BD475" s="5">
        <v>1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f t="shared" si="1110"/>
        <v>1</v>
      </c>
      <c r="BM475" s="5">
        <v>0</v>
      </c>
      <c r="BN475" s="5">
        <v>0</v>
      </c>
      <c r="BO475" s="5">
        <v>0</v>
      </c>
      <c r="BP475" s="5">
        <v>0</v>
      </c>
      <c r="BQ475" s="5"/>
      <c r="BR475" s="5"/>
      <c r="BS475" s="4">
        <v>0</v>
      </c>
      <c r="BT475" s="4">
        <f t="shared" si="1143"/>
        <v>3</v>
      </c>
      <c r="BU475" s="17">
        <v>63</v>
      </c>
      <c r="BV475" s="4">
        <f t="shared" ref="BV475:BY475" si="1155">BV465</f>
        <v>3</v>
      </c>
      <c r="BW475" s="4">
        <f t="shared" si="1155"/>
        <v>3</v>
      </c>
      <c r="BX475" s="4">
        <f t="shared" si="1155"/>
        <v>0.71</v>
      </c>
      <c r="BY475" s="4">
        <f t="shared" si="1155"/>
        <v>0.45000000000000007</v>
      </c>
      <c r="BZ475" s="27" t="s">
        <v>1007</v>
      </c>
      <c r="CA475" s="30" t="str">
        <f t="shared" si="1075"/>
        <v>3</v>
      </c>
      <c r="CB475" s="30" t="s">
        <v>917</v>
      </c>
      <c r="CC475" s="5">
        <v>0</v>
      </c>
      <c r="CD475" s="8">
        <v>3</v>
      </c>
      <c r="CE475" s="5">
        <f t="shared" si="1145"/>
        <v>3</v>
      </c>
      <c r="CF475" s="5">
        <v>1</v>
      </c>
      <c r="CG475" s="27" t="str">
        <f t="shared" si="1151"/>
        <v>3级幽冥龙</v>
      </c>
      <c r="CH475" s="5">
        <v>0</v>
      </c>
      <c r="CI475" s="5">
        <v>0</v>
      </c>
      <c r="CJ475" s="4">
        <v>0</v>
      </c>
      <c r="CK475" s="20">
        <v>0</v>
      </c>
      <c r="CL475" s="5">
        <v>0</v>
      </c>
      <c r="CM475" s="20">
        <v>114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20">
        <v>2.5</v>
      </c>
      <c r="CW475" s="20">
        <v>3</v>
      </c>
      <c r="CX475" s="20">
        <v>2.5</v>
      </c>
      <c r="CY475" s="20">
        <v>3.5</v>
      </c>
      <c r="CZ475" s="8">
        <v>200</v>
      </c>
      <c r="DA475" s="6">
        <f t="shared" si="1065"/>
        <v>15000</v>
      </c>
      <c r="DB475" s="5">
        <v>1</v>
      </c>
      <c r="DC475" s="20">
        <f t="shared" si="1146"/>
        <v>1.6500000000000001</v>
      </c>
      <c r="DD475" s="6">
        <f t="shared" si="1066"/>
        <v>0.55000000000000004</v>
      </c>
      <c r="DE475" s="6">
        <v>1</v>
      </c>
      <c r="DF475" s="5">
        <v>0</v>
      </c>
      <c r="DG475" s="6">
        <v>2.5</v>
      </c>
      <c r="DH475" s="5">
        <v>0</v>
      </c>
      <c r="DI475" s="8">
        <v>0</v>
      </c>
      <c r="DJ475" s="5">
        <v>0</v>
      </c>
      <c r="DK475" s="8">
        <v>0</v>
      </c>
      <c r="DL475" s="5">
        <f t="shared" si="1116"/>
        <v>0</v>
      </c>
      <c r="DM475" s="5" t="str">
        <f t="shared" si="1148"/>
        <v>3级幽冥龙</v>
      </c>
      <c r="DN475" s="5">
        <v>6</v>
      </c>
      <c r="DO475" s="5">
        <v>0</v>
      </c>
      <c r="DP475" s="5">
        <v>1</v>
      </c>
      <c r="DQ475" s="5">
        <v>1</v>
      </c>
      <c r="DR475" s="5">
        <v>2.5</v>
      </c>
      <c r="DS475" s="6">
        <v>3.5</v>
      </c>
      <c r="DT475" s="5">
        <v>-0.6</v>
      </c>
      <c r="DU475" s="5">
        <v>0.8</v>
      </c>
      <c r="DV475" s="6">
        <v>0.5</v>
      </c>
      <c r="DW475" s="5">
        <f t="shared" si="1067"/>
        <v>0.66666666666666663</v>
      </c>
      <c r="DX475" s="5">
        <v>8</v>
      </c>
      <c r="DY475" s="5">
        <f t="shared" si="1068"/>
        <v>0</v>
      </c>
      <c r="DZ475" s="5">
        <v>0</v>
      </c>
    </row>
    <row r="476" spans="1:130" x14ac:dyDescent="0.15">
      <c r="A476" s="5">
        <v>201474</v>
      </c>
      <c r="B476" s="28" t="s">
        <v>799</v>
      </c>
      <c r="C476" s="27">
        <v>30</v>
      </c>
      <c r="D476" s="27">
        <v>1</v>
      </c>
      <c r="E476" s="27">
        <v>3</v>
      </c>
      <c r="F476" s="5">
        <v>2</v>
      </c>
      <c r="G476" s="46">
        <f t="shared" si="1069"/>
        <v>-5.8100000000000068E-2</v>
      </c>
      <c r="H476" s="27"/>
      <c r="I476" s="27" t="s">
        <v>975</v>
      </c>
      <c r="J476" s="28">
        <v>0.05</v>
      </c>
      <c r="K476" s="5">
        <f t="shared" si="1136"/>
        <v>0.03</v>
      </c>
      <c r="L476" s="10">
        <v>0</v>
      </c>
      <c r="M476" s="5">
        <f t="shared" si="1137"/>
        <v>0.13</v>
      </c>
      <c r="N476" s="10">
        <v>2</v>
      </c>
      <c r="O476" s="5">
        <v>0.2</v>
      </c>
      <c r="P476" s="5">
        <f t="shared" si="1139"/>
        <v>0.3</v>
      </c>
      <c r="Q476" s="5">
        <v>3</v>
      </c>
      <c r="R476" s="5">
        <f t="shared" si="1070"/>
        <v>903927</v>
      </c>
      <c r="S476" s="5">
        <v>30</v>
      </c>
      <c r="T476" s="5">
        <v>10</v>
      </c>
      <c r="U476" s="5">
        <v>0.3</v>
      </c>
      <c r="V476" s="5">
        <v>0.15</v>
      </c>
      <c r="W476" s="5">
        <v>9</v>
      </c>
      <c r="X476" s="5">
        <v>-0.6</v>
      </c>
      <c r="Y476" s="5">
        <v>1.8</v>
      </c>
      <c r="Z476" s="27" t="s">
        <v>1032</v>
      </c>
      <c r="AA476" s="5">
        <v>3</v>
      </c>
      <c r="AB476" s="5">
        <v>2</v>
      </c>
      <c r="AC476" s="5">
        <v>6</v>
      </c>
      <c r="AD476" s="27" t="s">
        <v>1033</v>
      </c>
      <c r="AE476" s="20">
        <v>0</v>
      </c>
      <c r="AF476" s="5">
        <f t="shared" si="1071"/>
        <v>903943</v>
      </c>
      <c r="AG476" s="5">
        <v>60</v>
      </c>
      <c r="AH476" s="5">
        <f t="shared" si="1140"/>
        <v>0.2</v>
      </c>
      <c r="AI476" s="5">
        <v>2</v>
      </c>
      <c r="AJ476" s="5">
        <v>2</v>
      </c>
      <c r="AK476" s="5">
        <f t="shared" si="1072"/>
        <v>20</v>
      </c>
      <c r="AL476" s="5">
        <f t="shared" si="1141"/>
        <v>240</v>
      </c>
      <c r="AM476" s="5">
        <f t="shared" si="1142"/>
        <v>252</v>
      </c>
      <c r="AN476" s="8">
        <v>20</v>
      </c>
      <c r="AO476" s="5">
        <v>1</v>
      </c>
      <c r="AP476" s="28" t="s">
        <v>799</v>
      </c>
      <c r="AQ476" s="5">
        <v>0</v>
      </c>
      <c r="AR476" s="8">
        <v>0</v>
      </c>
      <c r="AS476" s="6">
        <f t="shared" si="1117"/>
        <v>0</v>
      </c>
      <c r="AT476" s="6">
        <f t="shared" si="1118"/>
        <v>12</v>
      </c>
      <c r="AU476" s="5">
        <v>0</v>
      </c>
      <c r="AV476" s="5">
        <v>0</v>
      </c>
      <c r="AW476" s="5">
        <v>0</v>
      </c>
      <c r="AX476" s="5">
        <v>1</v>
      </c>
      <c r="AY476" s="5">
        <v>0</v>
      </c>
      <c r="AZ476" s="5">
        <v>201474</v>
      </c>
      <c r="BA476" s="5">
        <f t="shared" si="1073"/>
        <v>203049</v>
      </c>
      <c r="BB476" s="5">
        <v>10</v>
      </c>
      <c r="BC476" s="5">
        <v>0</v>
      </c>
      <c r="BD476" s="5">
        <v>1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f t="shared" si="1110"/>
        <v>1</v>
      </c>
      <c r="BM476" s="5">
        <v>0</v>
      </c>
      <c r="BN476" s="5">
        <v>0</v>
      </c>
      <c r="BO476" s="5">
        <v>0</v>
      </c>
      <c r="BP476" s="5">
        <v>0</v>
      </c>
      <c r="BQ476" s="5"/>
      <c r="BR476" s="5"/>
      <c r="BS476" s="4">
        <v>0</v>
      </c>
      <c r="BT476" s="4">
        <f t="shared" si="1143"/>
        <v>4</v>
      </c>
      <c r="BU476" s="17">
        <v>64</v>
      </c>
      <c r="BV476" s="4">
        <f t="shared" ref="BV476:BY476" si="1156">BV466</f>
        <v>4</v>
      </c>
      <c r="BW476" s="4">
        <f t="shared" si="1156"/>
        <v>4</v>
      </c>
      <c r="BX476" s="4">
        <f t="shared" si="1156"/>
        <v>0.6399999999999999</v>
      </c>
      <c r="BY476" s="4">
        <f t="shared" si="1156"/>
        <v>0.4</v>
      </c>
      <c r="BZ476" s="27" t="s">
        <v>1007</v>
      </c>
      <c r="CA476" s="30" t="str">
        <f t="shared" si="1075"/>
        <v>4</v>
      </c>
      <c r="CB476" s="30" t="s">
        <v>917</v>
      </c>
      <c r="CC476" s="5">
        <v>0</v>
      </c>
      <c r="CD476" s="8">
        <v>3</v>
      </c>
      <c r="CE476" s="5">
        <f t="shared" si="1145"/>
        <v>4</v>
      </c>
      <c r="CF476" s="5">
        <v>1</v>
      </c>
      <c r="CG476" s="27" t="str">
        <f t="shared" si="1151"/>
        <v>4级幽冥龙</v>
      </c>
      <c r="CH476" s="5">
        <v>0</v>
      </c>
      <c r="CI476" s="5">
        <v>0</v>
      </c>
      <c r="CJ476" s="4">
        <v>0</v>
      </c>
      <c r="CK476" s="20">
        <v>0</v>
      </c>
      <c r="CL476" s="5">
        <v>0</v>
      </c>
      <c r="CM476" s="20">
        <v>114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20">
        <v>2.5</v>
      </c>
      <c r="CW476" s="20">
        <v>3</v>
      </c>
      <c r="CX476" s="20">
        <v>2.5</v>
      </c>
      <c r="CY476" s="20">
        <v>3.5</v>
      </c>
      <c r="CZ476" s="8">
        <v>200</v>
      </c>
      <c r="DA476" s="6">
        <f t="shared" si="1065"/>
        <v>20000</v>
      </c>
      <c r="DB476" s="5">
        <v>1</v>
      </c>
      <c r="DC476" s="20">
        <f t="shared" si="1146"/>
        <v>1.7249999999999999</v>
      </c>
      <c r="DD476" s="6">
        <f t="shared" si="1066"/>
        <v>0.57499999999999996</v>
      </c>
      <c r="DE476" s="6">
        <v>1</v>
      </c>
      <c r="DF476" s="5">
        <v>0</v>
      </c>
      <c r="DG476" s="6">
        <v>2.5</v>
      </c>
      <c r="DH476" s="5">
        <v>0</v>
      </c>
      <c r="DI476" s="8">
        <v>0</v>
      </c>
      <c r="DJ476" s="5">
        <v>0</v>
      </c>
      <c r="DK476" s="8">
        <v>0</v>
      </c>
      <c r="DL476" s="5">
        <f t="shared" si="1116"/>
        <v>0</v>
      </c>
      <c r="DM476" s="5" t="str">
        <f t="shared" si="1148"/>
        <v>4级幽冥龙</v>
      </c>
      <c r="DN476" s="5">
        <v>6</v>
      </c>
      <c r="DO476" s="5">
        <v>0</v>
      </c>
      <c r="DP476" s="5">
        <v>1</v>
      </c>
      <c r="DQ476" s="5">
        <v>1</v>
      </c>
      <c r="DR476" s="5">
        <v>2.5</v>
      </c>
      <c r="DS476" s="6">
        <v>3.5</v>
      </c>
      <c r="DT476" s="5">
        <v>-0.6</v>
      </c>
      <c r="DU476" s="5">
        <v>0.8</v>
      </c>
      <c r="DV476" s="6">
        <v>0.5</v>
      </c>
      <c r="DW476" s="5">
        <f t="shared" si="1067"/>
        <v>0.66666666666666663</v>
      </c>
      <c r="DX476" s="5">
        <v>8</v>
      </c>
      <c r="DY476" s="5">
        <f t="shared" si="1068"/>
        <v>0</v>
      </c>
      <c r="DZ476" s="5">
        <v>0</v>
      </c>
    </row>
    <row r="477" spans="1:130" x14ac:dyDescent="0.15">
      <c r="A477" s="5">
        <v>201475</v>
      </c>
      <c r="B477" s="28" t="s">
        <v>800</v>
      </c>
      <c r="C477" s="27">
        <v>30</v>
      </c>
      <c r="D477" s="27">
        <v>1</v>
      </c>
      <c r="E477" s="27">
        <v>3</v>
      </c>
      <c r="F477" s="5">
        <v>2</v>
      </c>
      <c r="G477" s="46">
        <f t="shared" si="1069"/>
        <v>-5.8100000000000068E-2</v>
      </c>
      <c r="H477" s="27"/>
      <c r="I477" s="27" t="s">
        <v>975</v>
      </c>
      <c r="J477" s="28">
        <v>0.05</v>
      </c>
      <c r="K477" s="5">
        <f t="shared" si="1136"/>
        <v>0.04</v>
      </c>
      <c r="L477" s="10">
        <v>0</v>
      </c>
      <c r="M477" s="5">
        <f t="shared" si="1137"/>
        <v>0.14000000000000001</v>
      </c>
      <c r="N477" s="10">
        <v>2</v>
      </c>
      <c r="O477" s="5">
        <v>0.2</v>
      </c>
      <c r="P477" s="5">
        <f t="shared" si="1139"/>
        <v>0.3</v>
      </c>
      <c r="Q477" s="5">
        <v>3</v>
      </c>
      <c r="R477" s="5">
        <f t="shared" si="1070"/>
        <v>903927</v>
      </c>
      <c r="S477" s="5">
        <v>30</v>
      </c>
      <c r="T477" s="5">
        <v>10</v>
      </c>
      <c r="U477" s="5">
        <v>0.3</v>
      </c>
      <c r="V477" s="5">
        <v>0.15</v>
      </c>
      <c r="W477" s="5">
        <v>9</v>
      </c>
      <c r="X477" s="5">
        <v>-0.6</v>
      </c>
      <c r="Y477" s="5">
        <v>1.8</v>
      </c>
      <c r="Z477" s="27" t="s">
        <v>1032</v>
      </c>
      <c r="AA477" s="5">
        <v>3</v>
      </c>
      <c r="AB477" s="5">
        <v>2</v>
      </c>
      <c r="AC477" s="5">
        <v>6</v>
      </c>
      <c r="AD477" s="27" t="s">
        <v>1033</v>
      </c>
      <c r="AE477" s="20">
        <v>0</v>
      </c>
      <c r="AF477" s="5">
        <f t="shared" si="1071"/>
        <v>903943</v>
      </c>
      <c r="AG477" s="5">
        <v>60</v>
      </c>
      <c r="AH477" s="5">
        <f t="shared" si="1140"/>
        <v>0.2</v>
      </c>
      <c r="AI477" s="5">
        <v>2</v>
      </c>
      <c r="AJ477" s="5">
        <v>2</v>
      </c>
      <c r="AK477" s="5">
        <f t="shared" si="1072"/>
        <v>25</v>
      </c>
      <c r="AL477" s="5">
        <f t="shared" si="1141"/>
        <v>300</v>
      </c>
      <c r="AM477" s="5">
        <f t="shared" si="1142"/>
        <v>315</v>
      </c>
      <c r="AN477" s="8">
        <v>20</v>
      </c>
      <c r="AO477" s="5">
        <v>1</v>
      </c>
      <c r="AP477" s="28" t="s">
        <v>800</v>
      </c>
      <c r="AQ477" s="5">
        <v>0</v>
      </c>
      <c r="AR477" s="8">
        <v>0</v>
      </c>
      <c r="AS477" s="6">
        <f t="shared" si="1117"/>
        <v>0</v>
      </c>
      <c r="AT477" s="6">
        <f t="shared" si="1118"/>
        <v>15</v>
      </c>
      <c r="AU477" s="5">
        <v>0</v>
      </c>
      <c r="AV477" s="5">
        <v>0</v>
      </c>
      <c r="AW477" s="5">
        <v>0</v>
      </c>
      <c r="AX477" s="5">
        <v>1</v>
      </c>
      <c r="AY477" s="5">
        <v>0</v>
      </c>
      <c r="AZ477" s="5">
        <v>201475</v>
      </c>
      <c r="BA477" s="5">
        <f t="shared" si="1073"/>
        <v>203049</v>
      </c>
      <c r="BB477" s="5">
        <v>10</v>
      </c>
      <c r="BC477" s="5">
        <v>0</v>
      </c>
      <c r="BD477" s="5">
        <v>1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f t="shared" si="1110"/>
        <v>1</v>
      </c>
      <c r="BM477" s="5">
        <v>0</v>
      </c>
      <c r="BN477" s="5">
        <v>0</v>
      </c>
      <c r="BO477" s="5">
        <v>0</v>
      </c>
      <c r="BP477" s="5">
        <v>0</v>
      </c>
      <c r="BQ477" s="5"/>
      <c r="BR477" s="5"/>
      <c r="BS477" s="4">
        <v>0</v>
      </c>
      <c r="BT477" s="4">
        <f t="shared" si="1143"/>
        <v>5</v>
      </c>
      <c r="BU477" s="17">
        <v>65</v>
      </c>
      <c r="BV477" s="4">
        <f t="shared" ref="BV477:BY477" si="1157">BV467</f>
        <v>5</v>
      </c>
      <c r="BW477" s="4">
        <f t="shared" si="1157"/>
        <v>5</v>
      </c>
      <c r="BX477" s="4">
        <f t="shared" si="1157"/>
        <v>0.56999999999999995</v>
      </c>
      <c r="BY477" s="4">
        <f t="shared" si="1157"/>
        <v>0.35000000000000003</v>
      </c>
      <c r="BZ477" s="27" t="s">
        <v>1007</v>
      </c>
      <c r="CA477" s="30" t="str">
        <f t="shared" si="1075"/>
        <v>5</v>
      </c>
      <c r="CB477" s="30" t="s">
        <v>917</v>
      </c>
      <c r="CC477" s="5">
        <v>0</v>
      </c>
      <c r="CD477" s="8">
        <v>3</v>
      </c>
      <c r="CE477" s="5">
        <f t="shared" si="1145"/>
        <v>5</v>
      </c>
      <c r="CF477" s="5">
        <v>1</v>
      </c>
      <c r="CG477" s="27" t="str">
        <f t="shared" si="1151"/>
        <v>5级幽冥龙</v>
      </c>
      <c r="CH477" s="5">
        <v>0</v>
      </c>
      <c r="CI477" s="5">
        <v>0</v>
      </c>
      <c r="CJ477" s="4">
        <v>0</v>
      </c>
      <c r="CK477" s="20">
        <v>0</v>
      </c>
      <c r="CL477" s="5">
        <v>0</v>
      </c>
      <c r="CM477" s="20">
        <v>114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20">
        <v>2.5</v>
      </c>
      <c r="CW477" s="20">
        <v>3</v>
      </c>
      <c r="CX477" s="20">
        <v>2.5</v>
      </c>
      <c r="CY477" s="20">
        <v>3.5</v>
      </c>
      <c r="CZ477" s="8">
        <v>200</v>
      </c>
      <c r="DA477" s="6">
        <f t="shared" ref="DA477:DA540" si="1158">CZ477*25*BV477</f>
        <v>25000</v>
      </c>
      <c r="DB477" s="5">
        <v>1</v>
      </c>
      <c r="DC477" s="20">
        <f t="shared" si="1146"/>
        <v>1.7999999999999998</v>
      </c>
      <c r="DD477" s="6">
        <f t="shared" ref="DD477:DD540" si="1159">(1+(BT477-1)*0.05)*DE477*0.5</f>
        <v>0.6</v>
      </c>
      <c r="DE477" s="6">
        <v>1</v>
      </c>
      <c r="DF477" s="5">
        <v>0</v>
      </c>
      <c r="DG477" s="6">
        <v>2.5</v>
      </c>
      <c r="DH477" s="5">
        <v>0</v>
      </c>
      <c r="DI477" s="8">
        <v>0</v>
      </c>
      <c r="DJ477" s="5">
        <v>0</v>
      </c>
      <c r="DK477" s="8">
        <v>0</v>
      </c>
      <c r="DL477" s="5">
        <f t="shared" si="1116"/>
        <v>0</v>
      </c>
      <c r="DM477" s="5" t="str">
        <f t="shared" si="1148"/>
        <v>5级幽冥龙</v>
      </c>
      <c r="DN477" s="5">
        <v>6</v>
      </c>
      <c r="DO477" s="5">
        <v>0</v>
      </c>
      <c r="DP477" s="5">
        <v>1</v>
      </c>
      <c r="DQ477" s="5">
        <v>1</v>
      </c>
      <c r="DR477" s="5">
        <v>2.5</v>
      </c>
      <c r="DS477" s="6">
        <v>3.5</v>
      </c>
      <c r="DT477" s="5">
        <v>-0.6</v>
      </c>
      <c r="DU477" s="5">
        <v>0.8</v>
      </c>
      <c r="DV477" s="6">
        <v>0.5</v>
      </c>
      <c r="DW477" s="5">
        <f t="shared" ref="DW477:DW540" si="1160">DX477/12</f>
        <v>0.66666666666666663</v>
      </c>
      <c r="DX477" s="5">
        <v>8</v>
      </c>
      <c r="DY477" s="5">
        <f t="shared" ref="DY477:DY540" si="1161">DZ477/12</f>
        <v>0</v>
      </c>
      <c r="DZ477" s="5">
        <v>0</v>
      </c>
    </row>
    <row r="478" spans="1:130" x14ac:dyDescent="0.15">
      <c r="A478" s="5">
        <v>201476</v>
      </c>
      <c r="B478" s="28" t="s">
        <v>801</v>
      </c>
      <c r="C478" s="27">
        <v>30</v>
      </c>
      <c r="D478" s="27">
        <v>1</v>
      </c>
      <c r="E478" s="27">
        <v>3</v>
      </c>
      <c r="F478" s="5">
        <v>2</v>
      </c>
      <c r="G478" s="46">
        <f t="shared" ref="G478:G541" si="1162">G468+0.0581</f>
        <v>-5.8100000000000068E-2</v>
      </c>
      <c r="H478" s="27"/>
      <c r="I478" s="27" t="s">
        <v>975</v>
      </c>
      <c r="J478" s="28">
        <v>0.05</v>
      </c>
      <c r="K478" s="5">
        <f t="shared" si="1136"/>
        <v>0.05</v>
      </c>
      <c r="L478" s="10">
        <v>0</v>
      </c>
      <c r="M478" s="5">
        <f t="shared" si="1137"/>
        <v>0.15000000000000002</v>
      </c>
      <c r="N478" s="10">
        <v>2</v>
      </c>
      <c r="O478" s="5">
        <v>0.2</v>
      </c>
      <c r="P478" s="5">
        <f t="shared" si="1139"/>
        <v>0.3</v>
      </c>
      <c r="Q478" s="5">
        <v>3</v>
      </c>
      <c r="R478" s="5">
        <f t="shared" ref="R478:R541" si="1163">R468+1</f>
        <v>903927</v>
      </c>
      <c r="S478" s="5">
        <v>30</v>
      </c>
      <c r="T478" s="5">
        <v>10</v>
      </c>
      <c r="U478" s="5">
        <v>0.3</v>
      </c>
      <c r="V478" s="5">
        <v>0.15</v>
      </c>
      <c r="W478" s="5">
        <v>9</v>
      </c>
      <c r="X478" s="5">
        <v>-0.6</v>
      </c>
      <c r="Y478" s="5">
        <v>1.8</v>
      </c>
      <c r="Z478" s="27" t="s">
        <v>1032</v>
      </c>
      <c r="AA478" s="5">
        <v>3</v>
      </c>
      <c r="AB478" s="5">
        <v>2</v>
      </c>
      <c r="AC478" s="5">
        <v>6</v>
      </c>
      <c r="AD478" s="27" t="s">
        <v>1033</v>
      </c>
      <c r="AE478" s="20">
        <v>0</v>
      </c>
      <c r="AF478" s="5">
        <f t="shared" ref="AF478:AF541" si="1164">AF468+1</f>
        <v>903943</v>
      </c>
      <c r="AG478" s="5">
        <v>60</v>
      </c>
      <c r="AH478" s="5">
        <f t="shared" si="1140"/>
        <v>0.2</v>
      </c>
      <c r="AI478" s="5">
        <v>2</v>
      </c>
      <c r="AJ478" s="5">
        <v>2</v>
      </c>
      <c r="AK478" s="5">
        <f t="shared" ref="AK478:AK541" si="1165">AK468</f>
        <v>30</v>
      </c>
      <c r="AL478" s="5">
        <f t="shared" si="1141"/>
        <v>360</v>
      </c>
      <c r="AM478" s="5">
        <f t="shared" si="1142"/>
        <v>378</v>
      </c>
      <c r="AN478" s="8">
        <v>20</v>
      </c>
      <c r="AO478" s="5">
        <v>1</v>
      </c>
      <c r="AP478" s="28" t="s">
        <v>801</v>
      </c>
      <c r="AQ478" s="5">
        <v>0</v>
      </c>
      <c r="AR478" s="8">
        <v>0</v>
      </c>
      <c r="AS478" s="6">
        <f t="shared" si="1117"/>
        <v>0</v>
      </c>
      <c r="AT478" s="6">
        <f t="shared" si="1118"/>
        <v>18</v>
      </c>
      <c r="AU478" s="5">
        <v>0</v>
      </c>
      <c r="AV478" s="5">
        <v>0</v>
      </c>
      <c r="AW478" s="5">
        <v>0</v>
      </c>
      <c r="AX478" s="5">
        <v>1</v>
      </c>
      <c r="AY478" s="5">
        <v>0</v>
      </c>
      <c r="AZ478" s="5">
        <v>201476</v>
      </c>
      <c r="BA478" s="5">
        <f t="shared" ref="BA478:BA541" si="1166">BA468+1</f>
        <v>203049</v>
      </c>
      <c r="BB478" s="5">
        <v>10</v>
      </c>
      <c r="BC478" s="5">
        <v>0</v>
      </c>
      <c r="BD478" s="5">
        <v>1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f t="shared" si="1110"/>
        <v>1</v>
      </c>
      <c r="BM478" s="5">
        <v>0</v>
      </c>
      <c r="BN478" s="5">
        <v>0</v>
      </c>
      <c r="BO478" s="5">
        <v>0</v>
      </c>
      <c r="BP478" s="5">
        <v>0</v>
      </c>
      <c r="BQ478" s="5"/>
      <c r="BR478" s="5"/>
      <c r="BS478" s="4">
        <v>0</v>
      </c>
      <c r="BT478" s="4">
        <f t="shared" si="1143"/>
        <v>6</v>
      </c>
      <c r="BU478" s="17">
        <v>66</v>
      </c>
      <c r="BV478" s="4">
        <f t="shared" ref="BV478:BY478" si="1167">BV468</f>
        <v>6</v>
      </c>
      <c r="BW478" s="4">
        <f t="shared" si="1167"/>
        <v>6</v>
      </c>
      <c r="BX478" s="4">
        <f t="shared" si="1167"/>
        <v>0.49999999999999994</v>
      </c>
      <c r="BY478" s="4">
        <f t="shared" si="1167"/>
        <v>0.30000000000000004</v>
      </c>
      <c r="BZ478" s="27" t="s">
        <v>1007</v>
      </c>
      <c r="CA478" s="30" t="str">
        <f t="shared" ref="CA478:CA541" si="1168">CA468</f>
        <v>6</v>
      </c>
      <c r="CB478" s="30" t="s">
        <v>917</v>
      </c>
      <c r="CC478" s="5">
        <v>0</v>
      </c>
      <c r="CD478" s="8">
        <v>3</v>
      </c>
      <c r="CE478" s="5">
        <f t="shared" si="1145"/>
        <v>6</v>
      </c>
      <c r="CF478" s="5">
        <v>1</v>
      </c>
      <c r="CG478" s="27" t="str">
        <f t="shared" si="1151"/>
        <v>6级幽冥龙</v>
      </c>
      <c r="CH478" s="5">
        <v>0</v>
      </c>
      <c r="CI478" s="5">
        <v>0</v>
      </c>
      <c r="CJ478" s="4">
        <v>0</v>
      </c>
      <c r="CK478" s="20">
        <v>0</v>
      </c>
      <c r="CL478" s="5">
        <v>0</v>
      </c>
      <c r="CM478" s="20">
        <v>114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20">
        <v>2.5</v>
      </c>
      <c r="CW478" s="20">
        <v>3</v>
      </c>
      <c r="CX478" s="20">
        <v>2.5</v>
      </c>
      <c r="CY478" s="20">
        <v>3.5</v>
      </c>
      <c r="CZ478" s="8">
        <v>200</v>
      </c>
      <c r="DA478" s="6">
        <f t="shared" si="1158"/>
        <v>30000</v>
      </c>
      <c r="DB478" s="5">
        <v>1</v>
      </c>
      <c r="DC478" s="20">
        <f t="shared" si="1146"/>
        <v>1.875</v>
      </c>
      <c r="DD478" s="6">
        <f t="shared" si="1159"/>
        <v>0.625</v>
      </c>
      <c r="DE478" s="6">
        <v>1</v>
      </c>
      <c r="DF478" s="5">
        <v>0</v>
      </c>
      <c r="DG478" s="6">
        <v>2.5</v>
      </c>
      <c r="DH478" s="5">
        <v>0</v>
      </c>
      <c r="DI478" s="8">
        <v>0</v>
      </c>
      <c r="DJ478" s="5">
        <v>0</v>
      </c>
      <c r="DK478" s="8">
        <v>0</v>
      </c>
      <c r="DL478" s="5">
        <f t="shared" si="1116"/>
        <v>0</v>
      </c>
      <c r="DM478" s="5" t="str">
        <f t="shared" si="1148"/>
        <v>6级幽冥龙</v>
      </c>
      <c r="DN478" s="5">
        <v>6</v>
      </c>
      <c r="DO478" s="5">
        <v>0</v>
      </c>
      <c r="DP478" s="5">
        <v>1</v>
      </c>
      <c r="DQ478" s="5">
        <v>1</v>
      </c>
      <c r="DR478" s="5">
        <v>2.5</v>
      </c>
      <c r="DS478" s="6">
        <v>3.5</v>
      </c>
      <c r="DT478" s="5">
        <v>-0.6</v>
      </c>
      <c r="DU478" s="5">
        <v>0.8</v>
      </c>
      <c r="DV478" s="6">
        <v>0.5</v>
      </c>
      <c r="DW478" s="5">
        <f t="shared" si="1160"/>
        <v>0.66666666666666663</v>
      </c>
      <c r="DX478" s="5">
        <v>8</v>
      </c>
      <c r="DY478" s="5">
        <f t="shared" si="1161"/>
        <v>0</v>
      </c>
      <c r="DZ478" s="5">
        <v>0</v>
      </c>
    </row>
    <row r="479" spans="1:130" x14ac:dyDescent="0.15">
      <c r="A479" s="5">
        <v>201477</v>
      </c>
      <c r="B479" s="28" t="s">
        <v>802</v>
      </c>
      <c r="C479" s="27">
        <v>30</v>
      </c>
      <c r="D479" s="27">
        <v>1</v>
      </c>
      <c r="E479" s="27">
        <v>3</v>
      </c>
      <c r="F479" s="5">
        <v>2</v>
      </c>
      <c r="G479" s="46">
        <f t="shared" si="1162"/>
        <v>-5.8100000000000068E-2</v>
      </c>
      <c r="H479" s="27"/>
      <c r="I479" s="27" t="s">
        <v>975</v>
      </c>
      <c r="J479" s="28">
        <v>0.05</v>
      </c>
      <c r="K479" s="5">
        <f t="shared" si="1136"/>
        <v>0.06</v>
      </c>
      <c r="L479" s="10">
        <v>0</v>
      </c>
      <c r="M479" s="5">
        <f t="shared" si="1137"/>
        <v>0.16</v>
      </c>
      <c r="N479" s="10">
        <v>2</v>
      </c>
      <c r="O479" s="5">
        <v>0.2</v>
      </c>
      <c r="P479" s="5">
        <f t="shared" si="1139"/>
        <v>0.3</v>
      </c>
      <c r="Q479" s="5">
        <v>3</v>
      </c>
      <c r="R479" s="5">
        <f t="shared" si="1163"/>
        <v>903927</v>
      </c>
      <c r="S479" s="5">
        <v>30</v>
      </c>
      <c r="T479" s="5">
        <v>10</v>
      </c>
      <c r="U479" s="5">
        <v>0.3</v>
      </c>
      <c r="V479" s="5">
        <v>0.15</v>
      </c>
      <c r="W479" s="5">
        <v>9</v>
      </c>
      <c r="X479" s="5">
        <v>-0.6</v>
      </c>
      <c r="Y479" s="5">
        <v>1.8</v>
      </c>
      <c r="Z479" s="27" t="s">
        <v>1032</v>
      </c>
      <c r="AA479" s="5">
        <v>3</v>
      </c>
      <c r="AB479" s="5">
        <v>2</v>
      </c>
      <c r="AC479" s="5">
        <v>6</v>
      </c>
      <c r="AD479" s="27" t="s">
        <v>1033</v>
      </c>
      <c r="AE479" s="20">
        <v>0</v>
      </c>
      <c r="AF479" s="5">
        <f t="shared" si="1164"/>
        <v>903943</v>
      </c>
      <c r="AG479" s="5">
        <v>60</v>
      </c>
      <c r="AH479" s="5">
        <f t="shared" si="1140"/>
        <v>0.2</v>
      </c>
      <c r="AI479" s="5">
        <v>2</v>
      </c>
      <c r="AJ479" s="5">
        <v>2</v>
      </c>
      <c r="AK479" s="5">
        <f t="shared" si="1165"/>
        <v>35</v>
      </c>
      <c r="AL479" s="5">
        <f t="shared" si="1141"/>
        <v>420</v>
      </c>
      <c r="AM479" s="5">
        <f t="shared" si="1142"/>
        <v>441</v>
      </c>
      <c r="AN479" s="8">
        <v>20</v>
      </c>
      <c r="AO479" s="5">
        <v>1</v>
      </c>
      <c r="AP479" s="28" t="s">
        <v>802</v>
      </c>
      <c r="AQ479" s="5">
        <v>0</v>
      </c>
      <c r="AR479" s="8">
        <v>0</v>
      </c>
      <c r="AS479" s="6">
        <f t="shared" si="1117"/>
        <v>0</v>
      </c>
      <c r="AT479" s="6">
        <f t="shared" si="1118"/>
        <v>21</v>
      </c>
      <c r="AU479" s="5">
        <v>0</v>
      </c>
      <c r="AV479" s="5">
        <v>0</v>
      </c>
      <c r="AW479" s="5">
        <v>0</v>
      </c>
      <c r="AX479" s="5">
        <v>1</v>
      </c>
      <c r="AY479" s="5">
        <v>0</v>
      </c>
      <c r="AZ479" s="5">
        <v>201477</v>
      </c>
      <c r="BA479" s="5">
        <f t="shared" si="1166"/>
        <v>203049</v>
      </c>
      <c r="BB479" s="5">
        <v>10</v>
      </c>
      <c r="BC479" s="5">
        <v>0</v>
      </c>
      <c r="BD479" s="5">
        <v>1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f t="shared" si="1110"/>
        <v>1</v>
      </c>
      <c r="BM479" s="5">
        <v>0</v>
      </c>
      <c r="BN479" s="5">
        <v>0</v>
      </c>
      <c r="BO479" s="5">
        <v>0</v>
      </c>
      <c r="BP479" s="5">
        <v>0</v>
      </c>
      <c r="BQ479" s="5"/>
      <c r="BR479" s="5"/>
      <c r="BS479" s="4">
        <v>0</v>
      </c>
      <c r="BT479" s="4">
        <f t="shared" si="1143"/>
        <v>7</v>
      </c>
      <c r="BU479" s="17">
        <v>67</v>
      </c>
      <c r="BV479" s="4">
        <f t="shared" ref="BV479:BY479" si="1169">BV469</f>
        <v>7</v>
      </c>
      <c r="BW479" s="4">
        <f t="shared" si="1169"/>
        <v>7</v>
      </c>
      <c r="BX479" s="4">
        <f t="shared" si="1169"/>
        <v>0.42999999999999994</v>
      </c>
      <c r="BY479" s="4">
        <f t="shared" si="1169"/>
        <v>0.25</v>
      </c>
      <c r="BZ479" s="27" t="s">
        <v>1007</v>
      </c>
      <c r="CA479" s="30" t="str">
        <f t="shared" si="1168"/>
        <v>7</v>
      </c>
      <c r="CB479" s="30" t="s">
        <v>917</v>
      </c>
      <c r="CC479" s="5">
        <v>0</v>
      </c>
      <c r="CD479" s="8">
        <v>3</v>
      </c>
      <c r="CE479" s="5">
        <f t="shared" si="1145"/>
        <v>7</v>
      </c>
      <c r="CF479" s="5">
        <v>1</v>
      </c>
      <c r="CG479" s="27" t="str">
        <f t="shared" si="1151"/>
        <v>7级幽冥龙</v>
      </c>
      <c r="CH479" s="5">
        <v>0</v>
      </c>
      <c r="CI479" s="5">
        <v>0</v>
      </c>
      <c r="CJ479" s="4">
        <v>0</v>
      </c>
      <c r="CK479" s="20">
        <v>0</v>
      </c>
      <c r="CL479" s="5">
        <v>0</v>
      </c>
      <c r="CM479" s="20">
        <v>114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20">
        <v>2.5</v>
      </c>
      <c r="CW479" s="20">
        <v>3</v>
      </c>
      <c r="CX479" s="20">
        <v>2.5</v>
      </c>
      <c r="CY479" s="20">
        <v>3.5</v>
      </c>
      <c r="CZ479" s="8">
        <v>200</v>
      </c>
      <c r="DA479" s="6">
        <f t="shared" si="1158"/>
        <v>35000</v>
      </c>
      <c r="DB479" s="5">
        <v>1</v>
      </c>
      <c r="DC479" s="20">
        <f t="shared" si="1146"/>
        <v>1.9500000000000002</v>
      </c>
      <c r="DD479" s="6">
        <f t="shared" si="1159"/>
        <v>0.65</v>
      </c>
      <c r="DE479" s="6">
        <v>1</v>
      </c>
      <c r="DF479" s="5">
        <v>0</v>
      </c>
      <c r="DG479" s="6">
        <v>2.5</v>
      </c>
      <c r="DH479" s="5">
        <v>0</v>
      </c>
      <c r="DI479" s="8">
        <v>0</v>
      </c>
      <c r="DJ479" s="5">
        <v>0</v>
      </c>
      <c r="DK479" s="8">
        <v>0</v>
      </c>
      <c r="DL479" s="5">
        <f t="shared" si="1116"/>
        <v>0</v>
      </c>
      <c r="DM479" s="5" t="str">
        <f t="shared" si="1148"/>
        <v>7级幽冥龙</v>
      </c>
      <c r="DN479" s="5">
        <v>6</v>
      </c>
      <c r="DO479" s="5">
        <v>0</v>
      </c>
      <c r="DP479" s="5">
        <v>1</v>
      </c>
      <c r="DQ479" s="5">
        <v>1</v>
      </c>
      <c r="DR479" s="5">
        <v>2.5</v>
      </c>
      <c r="DS479" s="6">
        <v>3.5</v>
      </c>
      <c r="DT479" s="5">
        <v>-0.6</v>
      </c>
      <c r="DU479" s="5">
        <v>0.8</v>
      </c>
      <c r="DV479" s="6">
        <v>0.5</v>
      </c>
      <c r="DW479" s="5">
        <f t="shared" si="1160"/>
        <v>0.66666666666666663</v>
      </c>
      <c r="DX479" s="5">
        <v>8</v>
      </c>
      <c r="DY479" s="5">
        <f t="shared" si="1161"/>
        <v>0</v>
      </c>
      <c r="DZ479" s="5">
        <v>0</v>
      </c>
    </row>
    <row r="480" spans="1:130" x14ac:dyDescent="0.15">
      <c r="A480" s="5">
        <v>201478</v>
      </c>
      <c r="B480" s="28" t="s">
        <v>803</v>
      </c>
      <c r="C480" s="27">
        <v>30</v>
      </c>
      <c r="D480" s="27">
        <v>1</v>
      </c>
      <c r="E480" s="27">
        <v>3</v>
      </c>
      <c r="F480" s="5">
        <v>2</v>
      </c>
      <c r="G480" s="46">
        <f t="shared" si="1162"/>
        <v>-5.8100000000000068E-2</v>
      </c>
      <c r="H480" s="27"/>
      <c r="I480" s="27" t="s">
        <v>975</v>
      </c>
      <c r="J480" s="28">
        <v>0.05</v>
      </c>
      <c r="K480" s="5">
        <f t="shared" si="1136"/>
        <v>7.0000000000000007E-2</v>
      </c>
      <c r="L480" s="10">
        <v>0</v>
      </c>
      <c r="M480" s="5">
        <f t="shared" si="1137"/>
        <v>0.17</v>
      </c>
      <c r="N480" s="10">
        <v>2</v>
      </c>
      <c r="O480" s="5">
        <v>0.2</v>
      </c>
      <c r="P480" s="5">
        <f t="shared" si="1139"/>
        <v>0.3</v>
      </c>
      <c r="Q480" s="5">
        <v>3</v>
      </c>
      <c r="R480" s="5">
        <f t="shared" si="1163"/>
        <v>903927</v>
      </c>
      <c r="S480" s="5">
        <v>30</v>
      </c>
      <c r="T480" s="5">
        <v>10</v>
      </c>
      <c r="U480" s="5">
        <v>0.3</v>
      </c>
      <c r="V480" s="5">
        <v>0.15</v>
      </c>
      <c r="W480" s="5">
        <v>9</v>
      </c>
      <c r="X480" s="5">
        <v>-0.6</v>
      </c>
      <c r="Y480" s="5">
        <v>1.8</v>
      </c>
      <c r="Z480" s="27" t="s">
        <v>1032</v>
      </c>
      <c r="AA480" s="5">
        <v>3</v>
      </c>
      <c r="AB480" s="5">
        <v>2</v>
      </c>
      <c r="AC480" s="5">
        <v>6</v>
      </c>
      <c r="AD480" s="27" t="s">
        <v>1033</v>
      </c>
      <c r="AE480" s="20">
        <v>0</v>
      </c>
      <c r="AF480" s="5">
        <f t="shared" si="1164"/>
        <v>903943</v>
      </c>
      <c r="AG480" s="5">
        <v>60</v>
      </c>
      <c r="AH480" s="5">
        <f t="shared" si="1140"/>
        <v>0.2</v>
      </c>
      <c r="AI480" s="5">
        <v>2</v>
      </c>
      <c r="AJ480" s="5">
        <v>2</v>
      </c>
      <c r="AK480" s="5">
        <f t="shared" si="1165"/>
        <v>40</v>
      </c>
      <c r="AL480" s="5">
        <f t="shared" si="1141"/>
        <v>480</v>
      </c>
      <c r="AM480" s="5">
        <f t="shared" si="1142"/>
        <v>504</v>
      </c>
      <c r="AN480" s="8">
        <v>20</v>
      </c>
      <c r="AO480" s="5">
        <v>1</v>
      </c>
      <c r="AP480" s="28" t="s">
        <v>803</v>
      </c>
      <c r="AQ480" s="5">
        <v>0</v>
      </c>
      <c r="AR480" s="8">
        <v>0</v>
      </c>
      <c r="AS480" s="6">
        <f t="shared" si="1117"/>
        <v>0</v>
      </c>
      <c r="AT480" s="6">
        <f t="shared" si="1118"/>
        <v>24</v>
      </c>
      <c r="AU480" s="5">
        <v>0</v>
      </c>
      <c r="AV480" s="5">
        <v>0</v>
      </c>
      <c r="AW480" s="5">
        <v>0</v>
      </c>
      <c r="AX480" s="5">
        <v>1</v>
      </c>
      <c r="AY480" s="5">
        <v>0</v>
      </c>
      <c r="AZ480" s="5">
        <v>201478</v>
      </c>
      <c r="BA480" s="5">
        <f t="shared" si="1166"/>
        <v>203049</v>
      </c>
      <c r="BB480" s="5">
        <v>10</v>
      </c>
      <c r="BC480" s="5">
        <v>0</v>
      </c>
      <c r="BD480" s="5">
        <v>1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f t="shared" si="1110"/>
        <v>1</v>
      </c>
      <c r="BM480" s="5">
        <v>0</v>
      </c>
      <c r="BN480" s="5">
        <v>0</v>
      </c>
      <c r="BO480" s="5">
        <v>0</v>
      </c>
      <c r="BP480" s="5">
        <v>0</v>
      </c>
      <c r="BQ480" s="5"/>
      <c r="BR480" s="5"/>
      <c r="BS480" s="4">
        <v>0</v>
      </c>
      <c r="BT480" s="4">
        <f t="shared" si="1143"/>
        <v>8</v>
      </c>
      <c r="BU480" s="17">
        <v>68</v>
      </c>
      <c r="BV480" s="4">
        <f t="shared" ref="BV480:BY480" si="1170">BV470</f>
        <v>8</v>
      </c>
      <c r="BW480" s="4">
        <f t="shared" si="1170"/>
        <v>8</v>
      </c>
      <c r="BX480" s="4">
        <f t="shared" si="1170"/>
        <v>0.35999999999999993</v>
      </c>
      <c r="BY480" s="4">
        <f t="shared" si="1170"/>
        <v>0.2</v>
      </c>
      <c r="BZ480" s="27" t="s">
        <v>1007</v>
      </c>
      <c r="CA480" s="30" t="str">
        <f t="shared" si="1168"/>
        <v>8</v>
      </c>
      <c r="CB480" s="30" t="s">
        <v>917</v>
      </c>
      <c r="CC480" s="5">
        <v>0</v>
      </c>
      <c r="CD480" s="8">
        <v>3</v>
      </c>
      <c r="CE480" s="5">
        <f t="shared" si="1145"/>
        <v>8</v>
      </c>
      <c r="CF480" s="5">
        <v>1</v>
      </c>
      <c r="CG480" s="27" t="str">
        <f t="shared" si="1151"/>
        <v>8级幽冥龙</v>
      </c>
      <c r="CH480" s="5">
        <v>0</v>
      </c>
      <c r="CI480" s="5">
        <v>0</v>
      </c>
      <c r="CJ480" s="4">
        <v>0</v>
      </c>
      <c r="CK480" s="20">
        <v>0</v>
      </c>
      <c r="CL480" s="5">
        <v>0</v>
      </c>
      <c r="CM480" s="20">
        <v>114</v>
      </c>
      <c r="CN480" s="5">
        <v>0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20">
        <v>2.5</v>
      </c>
      <c r="CW480" s="20">
        <v>3</v>
      </c>
      <c r="CX480" s="20">
        <v>2.5</v>
      </c>
      <c r="CY480" s="20">
        <v>3.5</v>
      </c>
      <c r="CZ480" s="8">
        <v>200</v>
      </c>
      <c r="DA480" s="6">
        <f t="shared" si="1158"/>
        <v>40000</v>
      </c>
      <c r="DB480" s="5">
        <v>1</v>
      </c>
      <c r="DC480" s="20">
        <f t="shared" si="1146"/>
        <v>2.0250000000000004</v>
      </c>
      <c r="DD480" s="6">
        <f t="shared" si="1159"/>
        <v>0.67500000000000004</v>
      </c>
      <c r="DE480" s="6">
        <v>1</v>
      </c>
      <c r="DF480" s="5">
        <v>0</v>
      </c>
      <c r="DG480" s="6">
        <v>2.5</v>
      </c>
      <c r="DH480" s="5">
        <v>0</v>
      </c>
      <c r="DI480" s="8">
        <v>0</v>
      </c>
      <c r="DJ480" s="5">
        <v>0</v>
      </c>
      <c r="DK480" s="8">
        <v>0</v>
      </c>
      <c r="DL480" s="5">
        <f t="shared" si="1116"/>
        <v>0</v>
      </c>
      <c r="DM480" s="5" t="str">
        <f t="shared" si="1148"/>
        <v>8级幽冥龙</v>
      </c>
      <c r="DN480" s="5">
        <v>6</v>
      </c>
      <c r="DO480" s="5">
        <v>0</v>
      </c>
      <c r="DP480" s="5">
        <v>1</v>
      </c>
      <c r="DQ480" s="5">
        <v>1</v>
      </c>
      <c r="DR480" s="5">
        <v>2.5</v>
      </c>
      <c r="DS480" s="6">
        <v>3.5</v>
      </c>
      <c r="DT480" s="5">
        <v>-0.6</v>
      </c>
      <c r="DU480" s="5">
        <v>0.8</v>
      </c>
      <c r="DV480" s="6">
        <v>0.5</v>
      </c>
      <c r="DW480" s="5">
        <f t="shared" si="1160"/>
        <v>0.66666666666666663</v>
      </c>
      <c r="DX480" s="5">
        <v>8</v>
      </c>
      <c r="DY480" s="5">
        <f t="shared" si="1161"/>
        <v>0</v>
      </c>
      <c r="DZ480" s="5">
        <v>0</v>
      </c>
    </row>
    <row r="481" spans="1:130" x14ac:dyDescent="0.15">
      <c r="A481" s="5">
        <v>201479</v>
      </c>
      <c r="B481" s="28" t="s">
        <v>804</v>
      </c>
      <c r="C481" s="27">
        <v>30</v>
      </c>
      <c r="D481" s="27">
        <v>1</v>
      </c>
      <c r="E481" s="27">
        <v>3</v>
      </c>
      <c r="F481" s="5">
        <v>2</v>
      </c>
      <c r="G481" s="46">
        <f t="shared" si="1162"/>
        <v>-5.8100000000000068E-2</v>
      </c>
      <c r="H481" s="27"/>
      <c r="I481" s="27" t="s">
        <v>975</v>
      </c>
      <c r="J481" s="28">
        <v>0.05</v>
      </c>
      <c r="K481" s="5">
        <f t="shared" si="1136"/>
        <v>0.08</v>
      </c>
      <c r="L481" s="10">
        <v>0</v>
      </c>
      <c r="M481" s="5">
        <f t="shared" si="1137"/>
        <v>0.18</v>
      </c>
      <c r="N481" s="10">
        <v>2</v>
      </c>
      <c r="O481" s="5">
        <v>0.2</v>
      </c>
      <c r="P481" s="5">
        <f t="shared" si="1139"/>
        <v>0.3</v>
      </c>
      <c r="Q481" s="5">
        <v>3</v>
      </c>
      <c r="R481" s="5">
        <f t="shared" si="1163"/>
        <v>903927</v>
      </c>
      <c r="S481" s="5">
        <v>30</v>
      </c>
      <c r="T481" s="5">
        <v>10</v>
      </c>
      <c r="U481" s="5">
        <v>0.3</v>
      </c>
      <c r="V481" s="5">
        <v>0.15</v>
      </c>
      <c r="W481" s="5">
        <v>9</v>
      </c>
      <c r="X481" s="5">
        <v>-0.6</v>
      </c>
      <c r="Y481" s="5">
        <v>1.8</v>
      </c>
      <c r="Z481" s="27" t="s">
        <v>1032</v>
      </c>
      <c r="AA481" s="5">
        <v>3</v>
      </c>
      <c r="AB481" s="5">
        <v>2</v>
      </c>
      <c r="AC481" s="5">
        <v>6</v>
      </c>
      <c r="AD481" s="27" t="s">
        <v>1033</v>
      </c>
      <c r="AE481" s="20">
        <v>0</v>
      </c>
      <c r="AF481" s="5">
        <f t="shared" si="1164"/>
        <v>903943</v>
      </c>
      <c r="AG481" s="5">
        <v>60</v>
      </c>
      <c r="AH481" s="5">
        <f t="shared" si="1140"/>
        <v>0.2</v>
      </c>
      <c r="AI481" s="5">
        <v>2</v>
      </c>
      <c r="AJ481" s="5">
        <v>2</v>
      </c>
      <c r="AK481" s="5">
        <f t="shared" si="1165"/>
        <v>45</v>
      </c>
      <c r="AL481" s="5">
        <f t="shared" si="1141"/>
        <v>540</v>
      </c>
      <c r="AM481" s="5">
        <f t="shared" si="1142"/>
        <v>567</v>
      </c>
      <c r="AN481" s="8">
        <v>20</v>
      </c>
      <c r="AO481" s="5">
        <v>1</v>
      </c>
      <c r="AP481" s="28" t="s">
        <v>804</v>
      </c>
      <c r="AQ481" s="5">
        <v>0</v>
      </c>
      <c r="AR481" s="8">
        <v>0</v>
      </c>
      <c r="AS481" s="6">
        <f t="shared" si="1117"/>
        <v>0</v>
      </c>
      <c r="AT481" s="6">
        <f t="shared" si="1118"/>
        <v>27</v>
      </c>
      <c r="AU481" s="5">
        <v>0</v>
      </c>
      <c r="AV481" s="5">
        <v>0</v>
      </c>
      <c r="AW481" s="5">
        <v>0</v>
      </c>
      <c r="AX481" s="5">
        <v>1</v>
      </c>
      <c r="AY481" s="5">
        <v>0</v>
      </c>
      <c r="AZ481" s="5">
        <v>201479</v>
      </c>
      <c r="BA481" s="5">
        <f t="shared" si="1166"/>
        <v>203049</v>
      </c>
      <c r="BB481" s="5">
        <v>10</v>
      </c>
      <c r="BC481" s="5">
        <v>0</v>
      </c>
      <c r="BD481" s="5">
        <v>1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f t="shared" si="1110"/>
        <v>1</v>
      </c>
      <c r="BM481" s="5">
        <v>0</v>
      </c>
      <c r="BN481" s="5">
        <v>0</v>
      </c>
      <c r="BO481" s="5">
        <v>0</v>
      </c>
      <c r="BP481" s="5">
        <v>0</v>
      </c>
      <c r="BQ481" s="5"/>
      <c r="BR481" s="5"/>
      <c r="BS481" s="4">
        <v>0</v>
      </c>
      <c r="BT481" s="4">
        <f t="shared" si="1143"/>
        <v>9</v>
      </c>
      <c r="BU481" s="17">
        <v>69</v>
      </c>
      <c r="BV481" s="4">
        <f t="shared" ref="BV481:BY481" si="1171">BV471</f>
        <v>9</v>
      </c>
      <c r="BW481" s="4">
        <f t="shared" si="1171"/>
        <v>9</v>
      </c>
      <c r="BX481" s="4">
        <f t="shared" si="1171"/>
        <v>0.28999999999999992</v>
      </c>
      <c r="BY481" s="4">
        <f t="shared" si="1171"/>
        <v>0.15000000000000002</v>
      </c>
      <c r="BZ481" s="27" t="s">
        <v>1007</v>
      </c>
      <c r="CA481" s="30" t="str">
        <f t="shared" si="1168"/>
        <v>9</v>
      </c>
      <c r="CB481" s="30" t="s">
        <v>917</v>
      </c>
      <c r="CC481" s="5">
        <v>0</v>
      </c>
      <c r="CD481" s="8">
        <v>3</v>
      </c>
      <c r="CE481" s="5">
        <f t="shared" si="1145"/>
        <v>9</v>
      </c>
      <c r="CF481" s="5">
        <v>1</v>
      </c>
      <c r="CG481" s="27" t="str">
        <f t="shared" si="1151"/>
        <v>9级幽冥龙</v>
      </c>
      <c r="CH481" s="5">
        <v>0</v>
      </c>
      <c r="CI481" s="5">
        <v>0</v>
      </c>
      <c r="CJ481" s="4">
        <v>0</v>
      </c>
      <c r="CK481" s="20">
        <v>0</v>
      </c>
      <c r="CL481" s="5">
        <v>0</v>
      </c>
      <c r="CM481" s="20">
        <v>114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20">
        <v>2.5</v>
      </c>
      <c r="CW481" s="20">
        <v>3</v>
      </c>
      <c r="CX481" s="20">
        <v>2.5</v>
      </c>
      <c r="CY481" s="20">
        <v>3.5</v>
      </c>
      <c r="CZ481" s="8">
        <v>200</v>
      </c>
      <c r="DA481" s="6">
        <f t="shared" si="1158"/>
        <v>45000</v>
      </c>
      <c r="DB481" s="5">
        <v>1</v>
      </c>
      <c r="DC481" s="20">
        <f t="shared" si="1146"/>
        <v>2.0999999999999996</v>
      </c>
      <c r="DD481" s="6">
        <f t="shared" si="1159"/>
        <v>0.7</v>
      </c>
      <c r="DE481" s="6">
        <v>1</v>
      </c>
      <c r="DF481" s="5">
        <v>0</v>
      </c>
      <c r="DG481" s="6">
        <v>2.5</v>
      </c>
      <c r="DH481" s="5">
        <v>0</v>
      </c>
      <c r="DI481" s="8">
        <v>0</v>
      </c>
      <c r="DJ481" s="5">
        <v>0</v>
      </c>
      <c r="DK481" s="8">
        <v>0</v>
      </c>
      <c r="DL481" s="5">
        <f t="shared" si="1116"/>
        <v>0</v>
      </c>
      <c r="DM481" s="5" t="str">
        <f t="shared" si="1148"/>
        <v>9级幽冥龙</v>
      </c>
      <c r="DN481" s="5">
        <v>6</v>
      </c>
      <c r="DO481" s="5">
        <v>0</v>
      </c>
      <c r="DP481" s="5">
        <v>1</v>
      </c>
      <c r="DQ481" s="5">
        <v>1</v>
      </c>
      <c r="DR481" s="5">
        <v>2.5</v>
      </c>
      <c r="DS481" s="6">
        <v>3.5</v>
      </c>
      <c r="DT481" s="5">
        <v>-0.6</v>
      </c>
      <c r="DU481" s="5">
        <v>0.8</v>
      </c>
      <c r="DV481" s="6">
        <v>0.5</v>
      </c>
      <c r="DW481" s="5">
        <f t="shared" si="1160"/>
        <v>0.66666666666666663</v>
      </c>
      <c r="DX481" s="5">
        <v>8</v>
      </c>
      <c r="DY481" s="5">
        <f t="shared" si="1161"/>
        <v>0</v>
      </c>
      <c r="DZ481" s="5">
        <v>0</v>
      </c>
    </row>
    <row r="482" spans="1:130" x14ac:dyDescent="0.15">
      <c r="A482" s="5">
        <v>201480</v>
      </c>
      <c r="B482" s="28" t="s">
        <v>805</v>
      </c>
      <c r="C482" s="27">
        <v>30</v>
      </c>
      <c r="D482" s="27">
        <v>1</v>
      </c>
      <c r="E482" s="27">
        <v>3</v>
      </c>
      <c r="F482" s="5">
        <v>2</v>
      </c>
      <c r="G482" s="46">
        <f t="shared" si="1162"/>
        <v>-5.8100000000000068E-2</v>
      </c>
      <c r="H482" s="27"/>
      <c r="I482" s="27" t="s">
        <v>975</v>
      </c>
      <c r="J482" s="28">
        <v>0.05</v>
      </c>
      <c r="K482" s="5">
        <f t="shared" si="1136"/>
        <v>0.09</v>
      </c>
      <c r="L482" s="10">
        <v>0</v>
      </c>
      <c r="M482" s="5">
        <f t="shared" si="1137"/>
        <v>0.19</v>
      </c>
      <c r="N482" s="10">
        <v>2</v>
      </c>
      <c r="O482" s="5">
        <v>0.2</v>
      </c>
      <c r="P482" s="5">
        <f t="shared" si="1139"/>
        <v>0.3</v>
      </c>
      <c r="Q482" s="5">
        <v>3</v>
      </c>
      <c r="R482" s="5">
        <f t="shared" si="1163"/>
        <v>903927</v>
      </c>
      <c r="S482" s="5">
        <v>30</v>
      </c>
      <c r="T482" s="5">
        <v>10</v>
      </c>
      <c r="U482" s="5">
        <v>0.3</v>
      </c>
      <c r="V482" s="5">
        <v>0.15</v>
      </c>
      <c r="W482" s="5">
        <v>9</v>
      </c>
      <c r="X482" s="5">
        <v>-0.6</v>
      </c>
      <c r="Y482" s="5">
        <v>1.8</v>
      </c>
      <c r="Z482" s="27" t="s">
        <v>1032</v>
      </c>
      <c r="AA482" s="5">
        <v>3</v>
      </c>
      <c r="AB482" s="5">
        <v>2</v>
      </c>
      <c r="AC482" s="5">
        <v>6</v>
      </c>
      <c r="AD482" s="27" t="s">
        <v>1033</v>
      </c>
      <c r="AE482" s="20">
        <v>0</v>
      </c>
      <c r="AF482" s="5">
        <f t="shared" si="1164"/>
        <v>903943</v>
      </c>
      <c r="AG482" s="5">
        <v>60</v>
      </c>
      <c r="AH482" s="5">
        <f t="shared" si="1140"/>
        <v>0.2</v>
      </c>
      <c r="AI482" s="5">
        <v>2</v>
      </c>
      <c r="AJ482" s="5">
        <v>2</v>
      </c>
      <c r="AK482" s="5">
        <f t="shared" si="1165"/>
        <v>50</v>
      </c>
      <c r="AL482" s="5">
        <f t="shared" si="1141"/>
        <v>600</v>
      </c>
      <c r="AM482" s="5">
        <f t="shared" si="1142"/>
        <v>630</v>
      </c>
      <c r="AN482" s="8">
        <v>20</v>
      </c>
      <c r="AO482" s="5">
        <v>1</v>
      </c>
      <c r="AP482" s="28" t="s">
        <v>805</v>
      </c>
      <c r="AQ482" s="5">
        <v>0</v>
      </c>
      <c r="AR482" s="8">
        <v>0</v>
      </c>
      <c r="AS482" s="6">
        <f t="shared" si="1117"/>
        <v>0</v>
      </c>
      <c r="AT482" s="6">
        <f t="shared" si="1118"/>
        <v>30</v>
      </c>
      <c r="AU482" s="5">
        <v>0</v>
      </c>
      <c r="AV482" s="5">
        <v>0</v>
      </c>
      <c r="AW482" s="5">
        <v>0</v>
      </c>
      <c r="AX482" s="5">
        <v>1</v>
      </c>
      <c r="AY482" s="5">
        <v>0</v>
      </c>
      <c r="AZ482" s="5">
        <v>201480</v>
      </c>
      <c r="BA482" s="5">
        <f t="shared" si="1166"/>
        <v>203049</v>
      </c>
      <c r="BB482" s="5">
        <v>10</v>
      </c>
      <c r="BC482" s="5">
        <v>0</v>
      </c>
      <c r="BD482" s="5">
        <v>1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f t="shared" si="1110"/>
        <v>1</v>
      </c>
      <c r="BM482" s="5">
        <v>0</v>
      </c>
      <c r="BN482" s="5">
        <v>0</v>
      </c>
      <c r="BO482" s="5">
        <v>0</v>
      </c>
      <c r="BP482" s="5">
        <v>0</v>
      </c>
      <c r="BQ482" s="5"/>
      <c r="BR482" s="5"/>
      <c r="BS482" s="4">
        <v>0</v>
      </c>
      <c r="BT482" s="4">
        <f t="shared" si="1143"/>
        <v>10</v>
      </c>
      <c r="BU482" s="17">
        <v>70</v>
      </c>
      <c r="BV482" s="4">
        <f t="shared" ref="BV482:BY482" si="1172">BV472</f>
        <v>10</v>
      </c>
      <c r="BW482" s="4">
        <f t="shared" si="1172"/>
        <v>10</v>
      </c>
      <c r="BX482" s="4">
        <f t="shared" si="1172"/>
        <v>0.21999999999999986</v>
      </c>
      <c r="BY482" s="4">
        <f t="shared" si="1172"/>
        <v>0.10000000000000003</v>
      </c>
      <c r="BZ482" s="27" t="s">
        <v>1007</v>
      </c>
      <c r="CA482" s="30" t="str">
        <f t="shared" si="1168"/>
        <v>10</v>
      </c>
      <c r="CB482" s="30" t="s">
        <v>917</v>
      </c>
      <c r="CC482" s="5">
        <v>0</v>
      </c>
      <c r="CD482" s="8">
        <v>3</v>
      </c>
      <c r="CE482" s="5">
        <f t="shared" si="1145"/>
        <v>10</v>
      </c>
      <c r="CF482" s="5">
        <v>1</v>
      </c>
      <c r="CG482" s="27" t="str">
        <f t="shared" si="1151"/>
        <v>10级幽冥龙</v>
      </c>
      <c r="CH482" s="5">
        <v>0</v>
      </c>
      <c r="CI482" s="5">
        <v>0</v>
      </c>
      <c r="CJ482" s="4">
        <v>0</v>
      </c>
      <c r="CK482" s="20">
        <v>0</v>
      </c>
      <c r="CL482" s="5">
        <v>0</v>
      </c>
      <c r="CM482" s="20">
        <v>114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20">
        <v>2.5</v>
      </c>
      <c r="CW482" s="20">
        <v>3</v>
      </c>
      <c r="CX482" s="20">
        <v>2.5</v>
      </c>
      <c r="CY482" s="20">
        <v>3.5</v>
      </c>
      <c r="CZ482" s="8">
        <v>200</v>
      </c>
      <c r="DA482" s="6">
        <f t="shared" si="1158"/>
        <v>50000</v>
      </c>
      <c r="DB482" s="5">
        <v>1</v>
      </c>
      <c r="DC482" s="20">
        <f t="shared" si="1146"/>
        <v>2.1749999999999998</v>
      </c>
      <c r="DD482" s="6">
        <f t="shared" si="1159"/>
        <v>0.72499999999999998</v>
      </c>
      <c r="DE482" s="6">
        <v>1</v>
      </c>
      <c r="DF482" s="5">
        <v>0</v>
      </c>
      <c r="DG482" s="6">
        <v>2.5</v>
      </c>
      <c r="DH482" s="5">
        <v>0</v>
      </c>
      <c r="DI482" s="8">
        <v>0</v>
      </c>
      <c r="DJ482" s="5">
        <v>0</v>
      </c>
      <c r="DK482" s="8">
        <v>0</v>
      </c>
      <c r="DL482" s="5">
        <f t="shared" si="1116"/>
        <v>0</v>
      </c>
      <c r="DM482" s="5" t="str">
        <f t="shared" si="1148"/>
        <v>10级幽冥龙</v>
      </c>
      <c r="DN482" s="5">
        <v>6</v>
      </c>
      <c r="DO482" s="5">
        <v>0</v>
      </c>
      <c r="DP482" s="5">
        <v>1</v>
      </c>
      <c r="DQ482" s="5">
        <v>1</v>
      </c>
      <c r="DR482" s="5">
        <v>2.5</v>
      </c>
      <c r="DS482" s="6">
        <v>3.5</v>
      </c>
      <c r="DT482" s="5">
        <v>-0.6</v>
      </c>
      <c r="DU482" s="5">
        <v>0.8</v>
      </c>
      <c r="DV482" s="6">
        <v>0.5</v>
      </c>
      <c r="DW482" s="5">
        <f t="shared" si="1160"/>
        <v>0.66666666666666663</v>
      </c>
      <c r="DX482" s="5">
        <v>8</v>
      </c>
      <c r="DY482" s="5">
        <f t="shared" si="1161"/>
        <v>0</v>
      </c>
      <c r="DZ482" s="5">
        <v>0</v>
      </c>
    </row>
    <row r="483" spans="1:130" x14ac:dyDescent="0.15">
      <c r="A483" s="6">
        <v>201481</v>
      </c>
      <c r="B483" s="28" t="s">
        <v>806</v>
      </c>
      <c r="C483" s="28">
        <v>35</v>
      </c>
      <c r="D483" s="28">
        <v>1</v>
      </c>
      <c r="E483" s="28">
        <v>3</v>
      </c>
      <c r="F483" s="6">
        <v>2</v>
      </c>
      <c r="G483" s="46">
        <f>G473+0.0581</f>
        <v>-6.9388939039072284E-17</v>
      </c>
      <c r="H483" s="28"/>
      <c r="I483" s="28" t="s">
        <v>975</v>
      </c>
      <c r="J483" s="28"/>
      <c r="K483" s="5">
        <f t="shared" si="1136"/>
        <v>0.15</v>
      </c>
      <c r="L483" s="10">
        <v>3</v>
      </c>
      <c r="M483" s="5">
        <f t="shared" si="1137"/>
        <v>0.1</v>
      </c>
      <c r="N483" s="10">
        <v>2</v>
      </c>
      <c r="O483" s="5">
        <v>0</v>
      </c>
      <c r="P483" s="5">
        <f t="shared" si="1139"/>
        <v>0.2</v>
      </c>
      <c r="Q483" s="5">
        <v>2</v>
      </c>
      <c r="R483" s="5">
        <f t="shared" si="1163"/>
        <v>903928</v>
      </c>
      <c r="S483" s="5">
        <v>30</v>
      </c>
      <c r="T483" s="5">
        <v>10</v>
      </c>
      <c r="U483" s="5">
        <v>0.3</v>
      </c>
      <c r="V483" s="5">
        <v>0.15</v>
      </c>
      <c r="W483" s="5">
        <v>9</v>
      </c>
      <c r="X483" s="5">
        <v>-0.6</v>
      </c>
      <c r="Y483" s="5">
        <v>1.8</v>
      </c>
      <c r="Z483" s="27" t="s">
        <v>1034</v>
      </c>
      <c r="AA483" s="5">
        <v>3</v>
      </c>
      <c r="AB483" s="5">
        <v>2</v>
      </c>
      <c r="AC483" s="5">
        <v>6</v>
      </c>
      <c r="AD483" s="27" t="s">
        <v>1035</v>
      </c>
      <c r="AE483" s="20">
        <v>105</v>
      </c>
      <c r="AF483" s="5">
        <f t="shared" si="1164"/>
        <v>903944</v>
      </c>
      <c r="AG483" s="5">
        <v>60</v>
      </c>
      <c r="AH483" s="5">
        <f t="shared" si="1140"/>
        <v>0.1</v>
      </c>
      <c r="AI483" s="5">
        <v>2</v>
      </c>
      <c r="AJ483" s="5">
        <v>1</v>
      </c>
      <c r="AK483" s="5">
        <f t="shared" si="1165"/>
        <v>5</v>
      </c>
      <c r="AL483" s="5">
        <f t="shared" si="1141"/>
        <v>0</v>
      </c>
      <c r="AM483" s="5">
        <f t="shared" si="1142"/>
        <v>3</v>
      </c>
      <c r="AN483" s="8">
        <v>0</v>
      </c>
      <c r="AO483" s="5">
        <v>0</v>
      </c>
      <c r="AP483" s="28" t="s">
        <v>806</v>
      </c>
      <c r="AQ483" s="5">
        <v>0</v>
      </c>
      <c r="AR483" s="8">
        <v>5</v>
      </c>
      <c r="AS483" s="6">
        <f t="shared" si="1117"/>
        <v>15</v>
      </c>
      <c r="AT483" s="6">
        <f t="shared" si="1118"/>
        <v>18</v>
      </c>
      <c r="AU483" s="5">
        <v>0</v>
      </c>
      <c r="AV483" s="5">
        <v>0</v>
      </c>
      <c r="AW483" s="5">
        <v>0</v>
      </c>
      <c r="AX483" s="5">
        <v>1</v>
      </c>
      <c r="AY483" s="5">
        <v>0</v>
      </c>
      <c r="AZ483" s="5">
        <v>201481</v>
      </c>
      <c r="BA483" s="5">
        <f t="shared" si="1166"/>
        <v>203050</v>
      </c>
      <c r="BB483" s="5">
        <v>10</v>
      </c>
      <c r="BC483" s="5">
        <v>0</v>
      </c>
      <c r="BD483" s="5">
        <v>1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f t="shared" si="1110"/>
        <v>1</v>
      </c>
      <c r="BM483" s="5">
        <v>0</v>
      </c>
      <c r="BN483" s="5">
        <v>0</v>
      </c>
      <c r="BO483" s="5">
        <v>0</v>
      </c>
      <c r="BP483" s="5">
        <v>0</v>
      </c>
      <c r="BQ483" s="5"/>
      <c r="BR483" s="5"/>
      <c r="BS483" s="4">
        <v>0</v>
      </c>
      <c r="BT483" s="4">
        <f t="shared" si="1143"/>
        <v>1</v>
      </c>
      <c r="BU483" s="17">
        <v>71</v>
      </c>
      <c r="BV483" s="4">
        <f t="shared" ref="BV483:BY483" si="1173">BV473</f>
        <v>1</v>
      </c>
      <c r="BW483" s="4">
        <f t="shared" si="1173"/>
        <v>1</v>
      </c>
      <c r="BX483" s="4">
        <f t="shared" si="1173"/>
        <v>0.85</v>
      </c>
      <c r="BY483" s="4">
        <f t="shared" si="1173"/>
        <v>0.55000000000000004</v>
      </c>
      <c r="BZ483" s="27" t="s">
        <v>1008</v>
      </c>
      <c r="CA483" s="30" t="str">
        <f t="shared" si="1168"/>
        <v>1</v>
      </c>
      <c r="CB483" s="30" t="s">
        <v>917</v>
      </c>
      <c r="CC483" s="5">
        <v>0</v>
      </c>
      <c r="CD483" s="8">
        <v>3</v>
      </c>
      <c r="CE483" s="5">
        <f t="shared" si="1145"/>
        <v>1</v>
      </c>
      <c r="CF483" s="5">
        <v>1</v>
      </c>
      <c r="CG483" s="27" t="str">
        <f t="shared" si="1151"/>
        <v>1级冰龙</v>
      </c>
      <c r="CH483" s="5">
        <v>0</v>
      </c>
      <c r="CI483" s="5">
        <v>0</v>
      </c>
      <c r="CJ483" s="4">
        <v>0</v>
      </c>
      <c r="CK483" s="20">
        <v>0</v>
      </c>
      <c r="CL483" s="5">
        <v>0</v>
      </c>
      <c r="CM483" s="20">
        <v>114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20">
        <v>2.5</v>
      </c>
      <c r="CW483" s="20">
        <v>3</v>
      </c>
      <c r="CX483" s="20">
        <v>2.5</v>
      </c>
      <c r="CY483" s="20">
        <v>3.5</v>
      </c>
      <c r="CZ483" s="8">
        <v>200</v>
      </c>
      <c r="DA483" s="6">
        <f t="shared" si="1158"/>
        <v>5000</v>
      </c>
      <c r="DB483" s="5">
        <v>1</v>
      </c>
      <c r="DC483" s="20">
        <f t="shared" si="1146"/>
        <v>1.5</v>
      </c>
      <c r="DD483" s="6">
        <f t="shared" si="1159"/>
        <v>0.5</v>
      </c>
      <c r="DE483" s="6">
        <v>1</v>
      </c>
      <c r="DF483" s="5">
        <v>0</v>
      </c>
      <c r="DG483" s="6">
        <v>2.5</v>
      </c>
      <c r="DH483" s="5">
        <v>0</v>
      </c>
      <c r="DI483" s="8">
        <v>0</v>
      </c>
      <c r="DJ483" s="5">
        <v>0</v>
      </c>
      <c r="DK483" s="8">
        <v>0</v>
      </c>
      <c r="DL483" s="5">
        <f t="shared" si="1116"/>
        <v>0</v>
      </c>
      <c r="DM483" s="5" t="str">
        <f t="shared" si="1148"/>
        <v>1级冰龙</v>
      </c>
      <c r="DN483" s="5">
        <v>6</v>
      </c>
      <c r="DO483" s="5">
        <v>0</v>
      </c>
      <c r="DP483" s="5">
        <v>1</v>
      </c>
      <c r="DQ483" s="5">
        <v>1</v>
      </c>
      <c r="DR483" s="5">
        <v>2.5</v>
      </c>
      <c r="DS483" s="6">
        <v>3.5</v>
      </c>
      <c r="DT483" s="5">
        <v>-0.6</v>
      </c>
      <c r="DU483" s="5">
        <v>0.8</v>
      </c>
      <c r="DV483" s="6">
        <v>0.5</v>
      </c>
      <c r="DW483" s="5">
        <f t="shared" si="1160"/>
        <v>0.66666666666666663</v>
      </c>
      <c r="DX483" s="5">
        <v>8</v>
      </c>
      <c r="DY483" s="5">
        <f t="shared" si="1161"/>
        <v>0</v>
      </c>
      <c r="DZ483" s="5">
        <v>0</v>
      </c>
    </row>
    <row r="484" spans="1:130" x14ac:dyDescent="0.15">
      <c r="A484" s="5">
        <v>201482</v>
      </c>
      <c r="B484" s="28" t="s">
        <v>807</v>
      </c>
      <c r="C484" s="27">
        <v>35</v>
      </c>
      <c r="D484" s="27">
        <v>1</v>
      </c>
      <c r="E484" s="27">
        <v>3</v>
      </c>
      <c r="F484" s="5">
        <v>2</v>
      </c>
      <c r="G484" s="46">
        <f t="shared" si="1162"/>
        <v>-6.9388939039072284E-17</v>
      </c>
      <c r="H484" s="27"/>
      <c r="I484" s="27" t="s">
        <v>975</v>
      </c>
      <c r="J484" s="27"/>
      <c r="K484" s="5">
        <f t="shared" si="1136"/>
        <v>0.16</v>
      </c>
      <c r="L484" s="10">
        <v>3</v>
      </c>
      <c r="M484" s="5">
        <f t="shared" si="1137"/>
        <v>0.01</v>
      </c>
      <c r="N484" s="10">
        <v>0</v>
      </c>
      <c r="O484" s="5">
        <v>0</v>
      </c>
      <c r="P484" s="5">
        <f t="shared" si="1139"/>
        <v>0.2</v>
      </c>
      <c r="Q484" s="5">
        <v>2</v>
      </c>
      <c r="R484" s="5">
        <f t="shared" si="1163"/>
        <v>903928</v>
      </c>
      <c r="S484" s="5">
        <v>30</v>
      </c>
      <c r="T484" s="5">
        <v>10</v>
      </c>
      <c r="U484" s="5">
        <v>0.3</v>
      </c>
      <c r="V484" s="5">
        <v>0.15</v>
      </c>
      <c r="W484" s="5">
        <v>9</v>
      </c>
      <c r="X484" s="5">
        <v>-0.6</v>
      </c>
      <c r="Y484" s="5">
        <v>1.8</v>
      </c>
      <c r="Z484" s="27" t="s">
        <v>1034</v>
      </c>
      <c r="AA484" s="5">
        <v>3</v>
      </c>
      <c r="AB484" s="5">
        <v>2</v>
      </c>
      <c r="AC484" s="5">
        <v>6</v>
      </c>
      <c r="AD484" s="27" t="s">
        <v>1035</v>
      </c>
      <c r="AE484" s="20">
        <v>105</v>
      </c>
      <c r="AF484" s="5">
        <f t="shared" si="1164"/>
        <v>903944</v>
      </c>
      <c r="AG484" s="5">
        <v>60</v>
      </c>
      <c r="AH484" s="5">
        <f t="shared" si="1140"/>
        <v>0.1</v>
      </c>
      <c r="AI484" s="5">
        <v>2</v>
      </c>
      <c r="AJ484" s="5">
        <v>1</v>
      </c>
      <c r="AK484" s="5">
        <f t="shared" si="1165"/>
        <v>10</v>
      </c>
      <c r="AL484" s="5">
        <f t="shared" si="1141"/>
        <v>0</v>
      </c>
      <c r="AM484" s="5">
        <f t="shared" si="1142"/>
        <v>6</v>
      </c>
      <c r="AN484" s="8">
        <v>0</v>
      </c>
      <c r="AO484" s="5">
        <v>0</v>
      </c>
      <c r="AP484" s="28" t="s">
        <v>807</v>
      </c>
      <c r="AQ484" s="5">
        <v>0</v>
      </c>
      <c r="AR484" s="8">
        <v>5</v>
      </c>
      <c r="AS484" s="6">
        <f t="shared" si="1117"/>
        <v>30</v>
      </c>
      <c r="AT484" s="6">
        <f t="shared" si="1118"/>
        <v>36</v>
      </c>
      <c r="AU484" s="5">
        <v>0</v>
      </c>
      <c r="AV484" s="5">
        <v>0</v>
      </c>
      <c r="AW484" s="5">
        <v>0</v>
      </c>
      <c r="AX484" s="5">
        <v>1</v>
      </c>
      <c r="AY484" s="5">
        <v>0</v>
      </c>
      <c r="AZ484" s="5">
        <v>201482</v>
      </c>
      <c r="BA484" s="5">
        <f t="shared" si="1166"/>
        <v>203050</v>
      </c>
      <c r="BB484" s="5">
        <v>10</v>
      </c>
      <c r="BC484" s="5">
        <v>0</v>
      </c>
      <c r="BD484" s="5">
        <v>1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f t="shared" si="1110"/>
        <v>1</v>
      </c>
      <c r="BM484" s="5">
        <v>0</v>
      </c>
      <c r="BN484" s="5">
        <v>0</v>
      </c>
      <c r="BO484" s="5">
        <v>0</v>
      </c>
      <c r="BP484" s="5">
        <v>0</v>
      </c>
      <c r="BQ484" s="5"/>
      <c r="BR484" s="5"/>
      <c r="BS484" s="4">
        <v>0</v>
      </c>
      <c r="BT484" s="4">
        <f t="shared" si="1143"/>
        <v>2</v>
      </c>
      <c r="BU484" s="17">
        <v>72</v>
      </c>
      <c r="BV484" s="4">
        <f t="shared" ref="BV484:BY484" si="1174">BV474</f>
        <v>2</v>
      </c>
      <c r="BW484" s="4">
        <f t="shared" si="1174"/>
        <v>2</v>
      </c>
      <c r="BX484" s="4">
        <f t="shared" si="1174"/>
        <v>0.78</v>
      </c>
      <c r="BY484" s="4">
        <f t="shared" si="1174"/>
        <v>0.5</v>
      </c>
      <c r="BZ484" s="27" t="s">
        <v>1008</v>
      </c>
      <c r="CA484" s="30" t="str">
        <f t="shared" si="1168"/>
        <v>2</v>
      </c>
      <c r="CB484" s="30" t="s">
        <v>917</v>
      </c>
      <c r="CC484" s="5">
        <v>0</v>
      </c>
      <c r="CD484" s="8">
        <v>3</v>
      </c>
      <c r="CE484" s="5">
        <f t="shared" si="1145"/>
        <v>2</v>
      </c>
      <c r="CF484" s="5">
        <v>1</v>
      </c>
      <c r="CG484" s="27" t="str">
        <f t="shared" si="1151"/>
        <v>2级冰龙</v>
      </c>
      <c r="CH484" s="5">
        <v>0</v>
      </c>
      <c r="CI484" s="5">
        <v>0</v>
      </c>
      <c r="CJ484" s="4">
        <v>0</v>
      </c>
      <c r="CK484" s="20">
        <v>0</v>
      </c>
      <c r="CL484" s="5">
        <v>0</v>
      </c>
      <c r="CM484" s="20">
        <v>114</v>
      </c>
      <c r="CN484" s="5">
        <v>0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20">
        <v>2.5</v>
      </c>
      <c r="CW484" s="20">
        <v>3</v>
      </c>
      <c r="CX484" s="20">
        <v>2.5</v>
      </c>
      <c r="CY484" s="20">
        <v>3.5</v>
      </c>
      <c r="CZ484" s="8">
        <v>200</v>
      </c>
      <c r="DA484" s="6">
        <f t="shared" si="1158"/>
        <v>10000</v>
      </c>
      <c r="DB484" s="5">
        <v>1</v>
      </c>
      <c r="DC484" s="20">
        <f t="shared" si="1146"/>
        <v>1.5750000000000002</v>
      </c>
      <c r="DD484" s="6">
        <f t="shared" si="1159"/>
        <v>0.52500000000000002</v>
      </c>
      <c r="DE484" s="6">
        <v>1</v>
      </c>
      <c r="DF484" s="5">
        <v>0</v>
      </c>
      <c r="DG484" s="6">
        <v>2.5</v>
      </c>
      <c r="DH484" s="5">
        <v>0</v>
      </c>
      <c r="DI484" s="8">
        <v>0</v>
      </c>
      <c r="DJ484" s="5">
        <v>0</v>
      </c>
      <c r="DK484" s="8">
        <v>0</v>
      </c>
      <c r="DL484" s="5">
        <f t="shared" si="1116"/>
        <v>0</v>
      </c>
      <c r="DM484" s="5" t="str">
        <f t="shared" si="1148"/>
        <v>2级冰龙</v>
      </c>
      <c r="DN484" s="5">
        <v>6</v>
      </c>
      <c r="DO484" s="5">
        <v>0</v>
      </c>
      <c r="DP484" s="5">
        <v>1</v>
      </c>
      <c r="DQ484" s="5">
        <v>1</v>
      </c>
      <c r="DR484" s="5">
        <v>2.5</v>
      </c>
      <c r="DS484" s="6">
        <v>3.5</v>
      </c>
      <c r="DT484" s="5">
        <v>-0.6</v>
      </c>
      <c r="DU484" s="5">
        <v>0.8</v>
      </c>
      <c r="DV484" s="6">
        <v>0.5</v>
      </c>
      <c r="DW484" s="5">
        <f t="shared" si="1160"/>
        <v>0.66666666666666663</v>
      </c>
      <c r="DX484" s="5">
        <v>8</v>
      </c>
      <c r="DY484" s="5">
        <f t="shared" si="1161"/>
        <v>0</v>
      </c>
      <c r="DZ484" s="5">
        <v>0</v>
      </c>
    </row>
    <row r="485" spans="1:130" x14ac:dyDescent="0.15">
      <c r="A485" s="5">
        <v>201483</v>
      </c>
      <c r="B485" s="28" t="s">
        <v>808</v>
      </c>
      <c r="C485" s="27">
        <v>35</v>
      </c>
      <c r="D485" s="27">
        <v>1</v>
      </c>
      <c r="E485" s="27">
        <v>3</v>
      </c>
      <c r="F485" s="5">
        <v>2</v>
      </c>
      <c r="G485" s="46">
        <f t="shared" si="1162"/>
        <v>-6.9388939039072284E-17</v>
      </c>
      <c r="H485" s="27"/>
      <c r="I485" s="27" t="s">
        <v>975</v>
      </c>
      <c r="J485" s="27"/>
      <c r="K485" s="5">
        <f t="shared" si="1136"/>
        <v>0.16999999999999998</v>
      </c>
      <c r="L485" s="10">
        <v>3</v>
      </c>
      <c r="M485" s="5">
        <f t="shared" si="1137"/>
        <v>0.02</v>
      </c>
      <c r="N485" s="10">
        <v>0</v>
      </c>
      <c r="O485" s="5">
        <v>0</v>
      </c>
      <c r="P485" s="5">
        <f t="shared" si="1139"/>
        <v>0.2</v>
      </c>
      <c r="Q485" s="5">
        <v>2</v>
      </c>
      <c r="R485" s="5">
        <f t="shared" si="1163"/>
        <v>903928</v>
      </c>
      <c r="S485" s="5">
        <v>30</v>
      </c>
      <c r="T485" s="5">
        <v>10</v>
      </c>
      <c r="U485" s="5">
        <v>0.3</v>
      </c>
      <c r="V485" s="5">
        <v>0.15</v>
      </c>
      <c r="W485" s="5">
        <v>9</v>
      </c>
      <c r="X485" s="5">
        <v>-0.6</v>
      </c>
      <c r="Y485" s="5">
        <v>1.8</v>
      </c>
      <c r="Z485" s="27" t="s">
        <v>1034</v>
      </c>
      <c r="AA485" s="5">
        <v>3</v>
      </c>
      <c r="AB485" s="5">
        <v>2</v>
      </c>
      <c r="AC485" s="5">
        <v>6</v>
      </c>
      <c r="AD485" s="27" t="s">
        <v>1035</v>
      </c>
      <c r="AE485" s="20">
        <v>105</v>
      </c>
      <c r="AF485" s="5">
        <f t="shared" si="1164"/>
        <v>903944</v>
      </c>
      <c r="AG485" s="5">
        <v>60</v>
      </c>
      <c r="AH485" s="5">
        <f t="shared" si="1140"/>
        <v>0.1</v>
      </c>
      <c r="AI485" s="5">
        <v>2</v>
      </c>
      <c r="AJ485" s="5">
        <v>1</v>
      </c>
      <c r="AK485" s="5">
        <f t="shared" si="1165"/>
        <v>15</v>
      </c>
      <c r="AL485" s="5">
        <f t="shared" si="1141"/>
        <v>0</v>
      </c>
      <c r="AM485" s="5">
        <f t="shared" si="1142"/>
        <v>9</v>
      </c>
      <c r="AN485" s="8">
        <v>0</v>
      </c>
      <c r="AO485" s="5">
        <v>0</v>
      </c>
      <c r="AP485" s="28" t="s">
        <v>808</v>
      </c>
      <c r="AQ485" s="5">
        <v>0</v>
      </c>
      <c r="AR485" s="8">
        <v>5</v>
      </c>
      <c r="AS485" s="6">
        <f t="shared" si="1117"/>
        <v>45</v>
      </c>
      <c r="AT485" s="6">
        <f t="shared" si="1118"/>
        <v>54</v>
      </c>
      <c r="AU485" s="5">
        <v>0</v>
      </c>
      <c r="AV485" s="5">
        <v>0</v>
      </c>
      <c r="AW485" s="5">
        <v>0</v>
      </c>
      <c r="AX485" s="5">
        <v>1</v>
      </c>
      <c r="AY485" s="5">
        <v>0</v>
      </c>
      <c r="AZ485" s="5">
        <v>201483</v>
      </c>
      <c r="BA485" s="5">
        <f t="shared" si="1166"/>
        <v>203050</v>
      </c>
      <c r="BB485" s="5">
        <v>10</v>
      </c>
      <c r="BC485" s="5">
        <v>0</v>
      </c>
      <c r="BD485" s="5">
        <v>1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f t="shared" si="1110"/>
        <v>1</v>
      </c>
      <c r="BM485" s="5">
        <v>0</v>
      </c>
      <c r="BN485" s="5">
        <v>0</v>
      </c>
      <c r="BO485" s="5">
        <v>0</v>
      </c>
      <c r="BP485" s="5">
        <v>0</v>
      </c>
      <c r="BQ485" s="5"/>
      <c r="BR485" s="5"/>
      <c r="BS485" s="4">
        <v>0</v>
      </c>
      <c r="BT485" s="4">
        <f t="shared" si="1143"/>
        <v>3</v>
      </c>
      <c r="BU485" s="17">
        <v>73</v>
      </c>
      <c r="BV485" s="4">
        <f t="shared" ref="BV485:BY485" si="1175">BV475</f>
        <v>3</v>
      </c>
      <c r="BW485" s="4">
        <f t="shared" si="1175"/>
        <v>3</v>
      </c>
      <c r="BX485" s="4">
        <f t="shared" si="1175"/>
        <v>0.71</v>
      </c>
      <c r="BY485" s="4">
        <f t="shared" si="1175"/>
        <v>0.45000000000000007</v>
      </c>
      <c r="BZ485" s="27" t="s">
        <v>1008</v>
      </c>
      <c r="CA485" s="30" t="str">
        <f t="shared" si="1168"/>
        <v>3</v>
      </c>
      <c r="CB485" s="30" t="s">
        <v>917</v>
      </c>
      <c r="CC485" s="5">
        <v>0</v>
      </c>
      <c r="CD485" s="8">
        <v>3</v>
      </c>
      <c r="CE485" s="5">
        <f t="shared" si="1145"/>
        <v>3</v>
      </c>
      <c r="CF485" s="5">
        <v>1</v>
      </c>
      <c r="CG485" s="27" t="str">
        <f t="shared" si="1151"/>
        <v>3级冰龙</v>
      </c>
      <c r="CH485" s="5">
        <v>0</v>
      </c>
      <c r="CI485" s="5">
        <v>0</v>
      </c>
      <c r="CJ485" s="4">
        <v>0</v>
      </c>
      <c r="CK485" s="20">
        <v>0</v>
      </c>
      <c r="CL485" s="5">
        <v>0</v>
      </c>
      <c r="CM485" s="20">
        <v>114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20">
        <v>2.5</v>
      </c>
      <c r="CW485" s="20">
        <v>3</v>
      </c>
      <c r="CX485" s="20">
        <v>2.5</v>
      </c>
      <c r="CY485" s="20">
        <v>3.5</v>
      </c>
      <c r="CZ485" s="8">
        <v>200</v>
      </c>
      <c r="DA485" s="6">
        <f t="shared" si="1158"/>
        <v>15000</v>
      </c>
      <c r="DB485" s="5">
        <v>1</v>
      </c>
      <c r="DC485" s="20">
        <f t="shared" si="1146"/>
        <v>1.6500000000000001</v>
      </c>
      <c r="DD485" s="6">
        <f t="shared" si="1159"/>
        <v>0.55000000000000004</v>
      </c>
      <c r="DE485" s="6">
        <v>1</v>
      </c>
      <c r="DF485" s="5">
        <v>0</v>
      </c>
      <c r="DG485" s="6">
        <v>2.5</v>
      </c>
      <c r="DH485" s="5">
        <v>0</v>
      </c>
      <c r="DI485" s="8">
        <v>0</v>
      </c>
      <c r="DJ485" s="5">
        <v>0</v>
      </c>
      <c r="DK485" s="8">
        <v>0</v>
      </c>
      <c r="DL485" s="5">
        <f t="shared" si="1116"/>
        <v>0</v>
      </c>
      <c r="DM485" s="5" t="str">
        <f t="shared" si="1148"/>
        <v>3级冰龙</v>
      </c>
      <c r="DN485" s="5">
        <v>6</v>
      </c>
      <c r="DO485" s="5">
        <v>0</v>
      </c>
      <c r="DP485" s="5">
        <v>1</v>
      </c>
      <c r="DQ485" s="5">
        <v>1</v>
      </c>
      <c r="DR485" s="5">
        <v>2.5</v>
      </c>
      <c r="DS485" s="6">
        <v>3.5</v>
      </c>
      <c r="DT485" s="5">
        <v>-0.6</v>
      </c>
      <c r="DU485" s="5">
        <v>0.8</v>
      </c>
      <c r="DV485" s="6">
        <v>0.5</v>
      </c>
      <c r="DW485" s="5">
        <f t="shared" si="1160"/>
        <v>0.66666666666666663</v>
      </c>
      <c r="DX485" s="5">
        <v>8</v>
      </c>
      <c r="DY485" s="5">
        <f t="shared" si="1161"/>
        <v>0</v>
      </c>
      <c r="DZ485" s="5">
        <v>0</v>
      </c>
    </row>
    <row r="486" spans="1:130" x14ac:dyDescent="0.15">
      <c r="A486" s="5">
        <v>201484</v>
      </c>
      <c r="B486" s="28" t="s">
        <v>809</v>
      </c>
      <c r="C486" s="27">
        <v>35</v>
      </c>
      <c r="D486" s="27">
        <v>1</v>
      </c>
      <c r="E486" s="27">
        <v>3</v>
      </c>
      <c r="F486" s="5">
        <v>2</v>
      </c>
      <c r="G486" s="46">
        <f t="shared" si="1162"/>
        <v>-6.9388939039072284E-17</v>
      </c>
      <c r="H486" s="27"/>
      <c r="I486" s="27" t="s">
        <v>975</v>
      </c>
      <c r="J486" s="27"/>
      <c r="K486" s="5">
        <f t="shared" si="1136"/>
        <v>0.18</v>
      </c>
      <c r="L486" s="10">
        <v>3</v>
      </c>
      <c r="M486" s="5">
        <f t="shared" si="1137"/>
        <v>0.03</v>
      </c>
      <c r="N486" s="10">
        <v>0</v>
      </c>
      <c r="O486" s="5">
        <v>0</v>
      </c>
      <c r="P486" s="5">
        <f t="shared" si="1139"/>
        <v>0.2</v>
      </c>
      <c r="Q486" s="5">
        <v>2</v>
      </c>
      <c r="R486" s="5">
        <f t="shared" si="1163"/>
        <v>903928</v>
      </c>
      <c r="S486" s="5">
        <v>30</v>
      </c>
      <c r="T486" s="5">
        <v>10</v>
      </c>
      <c r="U486" s="5">
        <v>0.3</v>
      </c>
      <c r="V486" s="5">
        <v>0.15</v>
      </c>
      <c r="W486" s="5">
        <v>9</v>
      </c>
      <c r="X486" s="5">
        <v>-0.6</v>
      </c>
      <c r="Y486" s="5">
        <v>1.8</v>
      </c>
      <c r="Z486" s="27" t="s">
        <v>1034</v>
      </c>
      <c r="AA486" s="5">
        <v>3</v>
      </c>
      <c r="AB486" s="5">
        <v>2</v>
      </c>
      <c r="AC486" s="5">
        <v>6</v>
      </c>
      <c r="AD486" s="27" t="s">
        <v>1035</v>
      </c>
      <c r="AE486" s="20">
        <v>105</v>
      </c>
      <c r="AF486" s="5">
        <f t="shared" si="1164"/>
        <v>903944</v>
      </c>
      <c r="AG486" s="5">
        <v>60</v>
      </c>
      <c r="AH486" s="5">
        <f t="shared" si="1140"/>
        <v>0.1</v>
      </c>
      <c r="AI486" s="5">
        <v>2</v>
      </c>
      <c r="AJ486" s="5">
        <v>1</v>
      </c>
      <c r="AK486" s="5">
        <f t="shared" si="1165"/>
        <v>20</v>
      </c>
      <c r="AL486" s="5">
        <f t="shared" si="1141"/>
        <v>0</v>
      </c>
      <c r="AM486" s="5">
        <f t="shared" si="1142"/>
        <v>12</v>
      </c>
      <c r="AN486" s="8">
        <v>0</v>
      </c>
      <c r="AO486" s="5">
        <v>0</v>
      </c>
      <c r="AP486" s="28" t="s">
        <v>809</v>
      </c>
      <c r="AQ486" s="5">
        <v>0</v>
      </c>
      <c r="AR486" s="8">
        <v>5</v>
      </c>
      <c r="AS486" s="6">
        <f t="shared" si="1117"/>
        <v>60</v>
      </c>
      <c r="AT486" s="6">
        <f t="shared" si="1118"/>
        <v>72</v>
      </c>
      <c r="AU486" s="5">
        <v>0</v>
      </c>
      <c r="AV486" s="5">
        <v>0</v>
      </c>
      <c r="AW486" s="5">
        <v>0</v>
      </c>
      <c r="AX486" s="5">
        <v>1</v>
      </c>
      <c r="AY486" s="5">
        <v>0</v>
      </c>
      <c r="AZ486" s="5">
        <v>201484</v>
      </c>
      <c r="BA486" s="5">
        <f t="shared" si="1166"/>
        <v>203050</v>
      </c>
      <c r="BB486" s="5">
        <v>10</v>
      </c>
      <c r="BC486" s="5">
        <v>0</v>
      </c>
      <c r="BD486" s="5">
        <v>1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f t="shared" si="1110"/>
        <v>1</v>
      </c>
      <c r="BM486" s="5">
        <v>0</v>
      </c>
      <c r="BN486" s="5">
        <v>0</v>
      </c>
      <c r="BO486" s="5">
        <v>0</v>
      </c>
      <c r="BP486" s="5">
        <v>0</v>
      </c>
      <c r="BQ486" s="5"/>
      <c r="BR486" s="5"/>
      <c r="BS486" s="4">
        <v>0</v>
      </c>
      <c r="BT486" s="4">
        <f t="shared" si="1143"/>
        <v>4</v>
      </c>
      <c r="BU486" s="17">
        <v>74</v>
      </c>
      <c r="BV486" s="4">
        <f t="shared" ref="BV486:BY486" si="1176">BV476</f>
        <v>4</v>
      </c>
      <c r="BW486" s="4">
        <f t="shared" si="1176"/>
        <v>4</v>
      </c>
      <c r="BX486" s="4">
        <f t="shared" si="1176"/>
        <v>0.6399999999999999</v>
      </c>
      <c r="BY486" s="4">
        <f t="shared" si="1176"/>
        <v>0.4</v>
      </c>
      <c r="BZ486" s="27" t="s">
        <v>1008</v>
      </c>
      <c r="CA486" s="30" t="str">
        <f t="shared" si="1168"/>
        <v>4</v>
      </c>
      <c r="CB486" s="30" t="s">
        <v>917</v>
      </c>
      <c r="CC486" s="5">
        <v>0</v>
      </c>
      <c r="CD486" s="8">
        <v>3</v>
      </c>
      <c r="CE486" s="5">
        <f t="shared" si="1145"/>
        <v>4</v>
      </c>
      <c r="CF486" s="5">
        <v>1</v>
      </c>
      <c r="CG486" s="27" t="str">
        <f t="shared" si="1151"/>
        <v>4级冰龙</v>
      </c>
      <c r="CH486" s="5">
        <v>0</v>
      </c>
      <c r="CI486" s="5">
        <v>0</v>
      </c>
      <c r="CJ486" s="4">
        <v>0</v>
      </c>
      <c r="CK486" s="20">
        <v>0</v>
      </c>
      <c r="CL486" s="5">
        <v>0</v>
      </c>
      <c r="CM486" s="20">
        <v>114</v>
      </c>
      <c r="CN486" s="5">
        <v>0</v>
      </c>
      <c r="CO486" s="5">
        <v>0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20">
        <v>2.5</v>
      </c>
      <c r="CW486" s="20">
        <v>3</v>
      </c>
      <c r="CX486" s="20">
        <v>2.5</v>
      </c>
      <c r="CY486" s="20">
        <v>3.5</v>
      </c>
      <c r="CZ486" s="8">
        <v>200</v>
      </c>
      <c r="DA486" s="6">
        <f t="shared" si="1158"/>
        <v>20000</v>
      </c>
      <c r="DB486" s="5">
        <v>1</v>
      </c>
      <c r="DC486" s="20">
        <f t="shared" si="1146"/>
        <v>1.7249999999999999</v>
      </c>
      <c r="DD486" s="6">
        <f t="shared" si="1159"/>
        <v>0.57499999999999996</v>
      </c>
      <c r="DE486" s="6">
        <v>1</v>
      </c>
      <c r="DF486" s="5">
        <v>0</v>
      </c>
      <c r="DG486" s="6">
        <v>2.5</v>
      </c>
      <c r="DH486" s="5">
        <v>0</v>
      </c>
      <c r="DI486" s="8">
        <v>0</v>
      </c>
      <c r="DJ486" s="5">
        <v>0</v>
      </c>
      <c r="DK486" s="8">
        <v>0</v>
      </c>
      <c r="DL486" s="5">
        <f t="shared" si="1116"/>
        <v>0</v>
      </c>
      <c r="DM486" s="5" t="str">
        <f t="shared" si="1148"/>
        <v>4级冰龙</v>
      </c>
      <c r="DN486" s="5">
        <v>6</v>
      </c>
      <c r="DO486" s="5">
        <v>0</v>
      </c>
      <c r="DP486" s="5">
        <v>1</v>
      </c>
      <c r="DQ486" s="5">
        <v>1</v>
      </c>
      <c r="DR486" s="5">
        <v>2.5</v>
      </c>
      <c r="DS486" s="6">
        <v>3.5</v>
      </c>
      <c r="DT486" s="5">
        <v>-0.6</v>
      </c>
      <c r="DU486" s="5">
        <v>0.8</v>
      </c>
      <c r="DV486" s="6">
        <v>0.5</v>
      </c>
      <c r="DW486" s="5">
        <f t="shared" si="1160"/>
        <v>0.66666666666666663</v>
      </c>
      <c r="DX486" s="5">
        <v>8</v>
      </c>
      <c r="DY486" s="5">
        <f t="shared" si="1161"/>
        <v>0</v>
      </c>
      <c r="DZ486" s="5">
        <v>0</v>
      </c>
    </row>
    <row r="487" spans="1:130" x14ac:dyDescent="0.15">
      <c r="A487" s="5">
        <v>201485</v>
      </c>
      <c r="B487" s="28" t="s">
        <v>810</v>
      </c>
      <c r="C487" s="27">
        <v>35</v>
      </c>
      <c r="D487" s="27">
        <v>1</v>
      </c>
      <c r="E487" s="27">
        <v>3</v>
      </c>
      <c r="F487" s="5">
        <v>2</v>
      </c>
      <c r="G487" s="46">
        <f t="shared" si="1162"/>
        <v>-6.9388939039072284E-17</v>
      </c>
      <c r="H487" s="27"/>
      <c r="I487" s="27" t="s">
        <v>975</v>
      </c>
      <c r="J487" s="27"/>
      <c r="K487" s="5">
        <f t="shared" si="1136"/>
        <v>0.19</v>
      </c>
      <c r="L487" s="10">
        <v>3</v>
      </c>
      <c r="M487" s="5">
        <f t="shared" si="1137"/>
        <v>0.04</v>
      </c>
      <c r="N487" s="10">
        <v>0</v>
      </c>
      <c r="O487" s="5">
        <v>0</v>
      </c>
      <c r="P487" s="5">
        <f t="shared" si="1139"/>
        <v>0.2</v>
      </c>
      <c r="Q487" s="5">
        <v>2</v>
      </c>
      <c r="R487" s="5">
        <f t="shared" si="1163"/>
        <v>903928</v>
      </c>
      <c r="S487" s="5">
        <v>30</v>
      </c>
      <c r="T487" s="5">
        <v>10</v>
      </c>
      <c r="U487" s="5">
        <v>0.3</v>
      </c>
      <c r="V487" s="5">
        <v>0.15</v>
      </c>
      <c r="W487" s="5">
        <v>9</v>
      </c>
      <c r="X487" s="5">
        <v>-0.6</v>
      </c>
      <c r="Y487" s="5">
        <v>1.8</v>
      </c>
      <c r="Z487" s="27" t="s">
        <v>1034</v>
      </c>
      <c r="AA487" s="5">
        <v>3</v>
      </c>
      <c r="AB487" s="5">
        <v>2</v>
      </c>
      <c r="AC487" s="5">
        <v>6</v>
      </c>
      <c r="AD487" s="27" t="s">
        <v>1035</v>
      </c>
      <c r="AE487" s="20">
        <v>105</v>
      </c>
      <c r="AF487" s="5">
        <f t="shared" si="1164"/>
        <v>903944</v>
      </c>
      <c r="AG487" s="5">
        <v>60</v>
      </c>
      <c r="AH487" s="5">
        <f t="shared" si="1140"/>
        <v>0.1</v>
      </c>
      <c r="AI487" s="5">
        <v>2</v>
      </c>
      <c r="AJ487" s="5">
        <v>1</v>
      </c>
      <c r="AK487" s="5">
        <f t="shared" si="1165"/>
        <v>25</v>
      </c>
      <c r="AL487" s="5">
        <f t="shared" si="1141"/>
        <v>0</v>
      </c>
      <c r="AM487" s="5">
        <f t="shared" si="1142"/>
        <v>15</v>
      </c>
      <c r="AN487" s="8">
        <v>0</v>
      </c>
      <c r="AO487" s="5">
        <v>0</v>
      </c>
      <c r="AP487" s="28" t="s">
        <v>810</v>
      </c>
      <c r="AQ487" s="5">
        <v>0</v>
      </c>
      <c r="AR487" s="8">
        <v>5</v>
      </c>
      <c r="AS487" s="6">
        <f t="shared" si="1117"/>
        <v>75</v>
      </c>
      <c r="AT487" s="6">
        <f t="shared" si="1118"/>
        <v>90</v>
      </c>
      <c r="AU487" s="5">
        <v>0</v>
      </c>
      <c r="AV487" s="5">
        <v>0</v>
      </c>
      <c r="AW487" s="5">
        <v>0</v>
      </c>
      <c r="AX487" s="5">
        <v>1</v>
      </c>
      <c r="AY487" s="5">
        <v>0</v>
      </c>
      <c r="AZ487" s="5">
        <v>201485</v>
      </c>
      <c r="BA487" s="5">
        <f t="shared" si="1166"/>
        <v>203050</v>
      </c>
      <c r="BB487" s="5">
        <v>10</v>
      </c>
      <c r="BC487" s="5">
        <v>0</v>
      </c>
      <c r="BD487" s="5">
        <v>1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f t="shared" si="1110"/>
        <v>1</v>
      </c>
      <c r="BM487" s="5">
        <v>0</v>
      </c>
      <c r="BN487" s="5">
        <v>0</v>
      </c>
      <c r="BO487" s="5">
        <v>0</v>
      </c>
      <c r="BP487" s="5">
        <v>0</v>
      </c>
      <c r="BQ487" s="5"/>
      <c r="BR487" s="5"/>
      <c r="BS487" s="4">
        <v>0</v>
      </c>
      <c r="BT487" s="4">
        <f t="shared" si="1143"/>
        <v>5</v>
      </c>
      <c r="BU487" s="17">
        <v>75</v>
      </c>
      <c r="BV487" s="4">
        <f t="shared" ref="BV487:BY487" si="1177">BV477</f>
        <v>5</v>
      </c>
      <c r="BW487" s="4">
        <f t="shared" si="1177"/>
        <v>5</v>
      </c>
      <c r="BX487" s="4">
        <f t="shared" si="1177"/>
        <v>0.56999999999999995</v>
      </c>
      <c r="BY487" s="4">
        <f t="shared" si="1177"/>
        <v>0.35000000000000003</v>
      </c>
      <c r="BZ487" s="27" t="s">
        <v>1008</v>
      </c>
      <c r="CA487" s="30" t="str">
        <f t="shared" si="1168"/>
        <v>5</v>
      </c>
      <c r="CB487" s="30" t="s">
        <v>917</v>
      </c>
      <c r="CC487" s="5">
        <v>0</v>
      </c>
      <c r="CD487" s="8">
        <v>3</v>
      </c>
      <c r="CE487" s="5">
        <f t="shared" si="1145"/>
        <v>5</v>
      </c>
      <c r="CF487" s="5">
        <v>1</v>
      </c>
      <c r="CG487" s="27" t="str">
        <f t="shared" si="1151"/>
        <v>5级冰龙</v>
      </c>
      <c r="CH487" s="5">
        <v>0</v>
      </c>
      <c r="CI487" s="5">
        <v>0</v>
      </c>
      <c r="CJ487" s="4">
        <v>0</v>
      </c>
      <c r="CK487" s="20">
        <v>0</v>
      </c>
      <c r="CL487" s="5">
        <v>0</v>
      </c>
      <c r="CM487" s="20">
        <v>114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20">
        <v>2.5</v>
      </c>
      <c r="CW487" s="20">
        <v>3</v>
      </c>
      <c r="CX487" s="20">
        <v>2.5</v>
      </c>
      <c r="CY487" s="20">
        <v>3.5</v>
      </c>
      <c r="CZ487" s="8">
        <v>200</v>
      </c>
      <c r="DA487" s="6">
        <f t="shared" si="1158"/>
        <v>25000</v>
      </c>
      <c r="DB487" s="5">
        <v>1</v>
      </c>
      <c r="DC487" s="20">
        <f t="shared" si="1146"/>
        <v>1.7999999999999998</v>
      </c>
      <c r="DD487" s="6">
        <f t="shared" si="1159"/>
        <v>0.6</v>
      </c>
      <c r="DE487" s="6">
        <v>1</v>
      </c>
      <c r="DF487" s="5">
        <v>0</v>
      </c>
      <c r="DG487" s="6">
        <v>2.5</v>
      </c>
      <c r="DH487" s="5">
        <v>0</v>
      </c>
      <c r="DI487" s="8">
        <v>0</v>
      </c>
      <c r="DJ487" s="5">
        <v>0</v>
      </c>
      <c r="DK487" s="8">
        <v>0</v>
      </c>
      <c r="DL487" s="5">
        <f t="shared" si="1116"/>
        <v>0</v>
      </c>
      <c r="DM487" s="5" t="str">
        <f t="shared" si="1148"/>
        <v>5级冰龙</v>
      </c>
      <c r="DN487" s="5">
        <v>6</v>
      </c>
      <c r="DO487" s="5">
        <v>0</v>
      </c>
      <c r="DP487" s="5">
        <v>1</v>
      </c>
      <c r="DQ487" s="5">
        <v>1</v>
      </c>
      <c r="DR487" s="5">
        <v>2.5</v>
      </c>
      <c r="DS487" s="6">
        <v>3.5</v>
      </c>
      <c r="DT487" s="5">
        <v>-0.6</v>
      </c>
      <c r="DU487" s="5">
        <v>0.8</v>
      </c>
      <c r="DV487" s="6">
        <v>0.5</v>
      </c>
      <c r="DW487" s="5">
        <f t="shared" si="1160"/>
        <v>0.66666666666666663</v>
      </c>
      <c r="DX487" s="5">
        <v>8</v>
      </c>
      <c r="DY487" s="5">
        <f t="shared" si="1161"/>
        <v>0</v>
      </c>
      <c r="DZ487" s="5">
        <v>0</v>
      </c>
    </row>
    <row r="488" spans="1:130" x14ac:dyDescent="0.15">
      <c r="A488" s="5">
        <v>201486</v>
      </c>
      <c r="B488" s="28" t="s">
        <v>811</v>
      </c>
      <c r="C488" s="27">
        <v>35</v>
      </c>
      <c r="D488" s="27">
        <v>1</v>
      </c>
      <c r="E488" s="27">
        <v>3</v>
      </c>
      <c r="F488" s="5">
        <v>2</v>
      </c>
      <c r="G488" s="46">
        <f t="shared" si="1162"/>
        <v>-6.9388939039072284E-17</v>
      </c>
      <c r="H488" s="27"/>
      <c r="I488" s="27" t="s">
        <v>975</v>
      </c>
      <c r="J488" s="27"/>
      <c r="K488" s="5">
        <f t="shared" si="1136"/>
        <v>0.2</v>
      </c>
      <c r="L488" s="10">
        <v>3</v>
      </c>
      <c r="M488" s="5">
        <f t="shared" si="1137"/>
        <v>0.05</v>
      </c>
      <c r="N488" s="10">
        <v>0</v>
      </c>
      <c r="O488" s="5">
        <v>0</v>
      </c>
      <c r="P488" s="5">
        <f t="shared" si="1139"/>
        <v>0.2</v>
      </c>
      <c r="Q488" s="5">
        <v>2</v>
      </c>
      <c r="R488" s="5">
        <f t="shared" si="1163"/>
        <v>903928</v>
      </c>
      <c r="S488" s="5">
        <v>30</v>
      </c>
      <c r="T488" s="5">
        <v>10</v>
      </c>
      <c r="U488" s="5">
        <v>0.3</v>
      </c>
      <c r="V488" s="5">
        <v>0.15</v>
      </c>
      <c r="W488" s="5">
        <v>9</v>
      </c>
      <c r="X488" s="5">
        <v>-0.6</v>
      </c>
      <c r="Y488" s="5">
        <v>1.8</v>
      </c>
      <c r="Z488" s="27" t="s">
        <v>1034</v>
      </c>
      <c r="AA488" s="5">
        <v>3</v>
      </c>
      <c r="AB488" s="5">
        <v>2</v>
      </c>
      <c r="AC488" s="5">
        <v>6</v>
      </c>
      <c r="AD488" s="27" t="s">
        <v>1035</v>
      </c>
      <c r="AE488" s="20">
        <v>105</v>
      </c>
      <c r="AF488" s="5">
        <f t="shared" si="1164"/>
        <v>903944</v>
      </c>
      <c r="AG488" s="5">
        <v>60</v>
      </c>
      <c r="AH488" s="5">
        <f t="shared" si="1140"/>
        <v>0.1</v>
      </c>
      <c r="AI488" s="5">
        <v>2</v>
      </c>
      <c r="AJ488" s="5">
        <v>1</v>
      </c>
      <c r="AK488" s="5">
        <f t="shared" si="1165"/>
        <v>30</v>
      </c>
      <c r="AL488" s="5">
        <f t="shared" si="1141"/>
        <v>0</v>
      </c>
      <c r="AM488" s="5">
        <f t="shared" si="1142"/>
        <v>18</v>
      </c>
      <c r="AN488" s="8">
        <v>0</v>
      </c>
      <c r="AO488" s="5">
        <v>0</v>
      </c>
      <c r="AP488" s="28" t="s">
        <v>811</v>
      </c>
      <c r="AQ488" s="5">
        <v>0</v>
      </c>
      <c r="AR488" s="8">
        <v>5</v>
      </c>
      <c r="AS488" s="6">
        <f t="shared" si="1117"/>
        <v>90</v>
      </c>
      <c r="AT488" s="6">
        <f t="shared" si="1118"/>
        <v>108</v>
      </c>
      <c r="AU488" s="5">
        <v>0</v>
      </c>
      <c r="AV488" s="5">
        <v>0</v>
      </c>
      <c r="AW488" s="5">
        <v>0</v>
      </c>
      <c r="AX488" s="5">
        <v>1</v>
      </c>
      <c r="AY488" s="5">
        <v>0</v>
      </c>
      <c r="AZ488" s="5">
        <v>201486</v>
      </c>
      <c r="BA488" s="5">
        <f t="shared" si="1166"/>
        <v>203050</v>
      </c>
      <c r="BB488" s="5">
        <v>10</v>
      </c>
      <c r="BC488" s="5">
        <v>0</v>
      </c>
      <c r="BD488" s="5">
        <v>1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f t="shared" si="1110"/>
        <v>1</v>
      </c>
      <c r="BM488" s="5">
        <v>0</v>
      </c>
      <c r="BN488" s="5">
        <v>0</v>
      </c>
      <c r="BO488" s="5">
        <v>0</v>
      </c>
      <c r="BP488" s="5">
        <v>0</v>
      </c>
      <c r="BQ488" s="5"/>
      <c r="BR488" s="5"/>
      <c r="BS488" s="4">
        <v>0</v>
      </c>
      <c r="BT488" s="4">
        <f t="shared" si="1143"/>
        <v>6</v>
      </c>
      <c r="BU488" s="17">
        <v>76</v>
      </c>
      <c r="BV488" s="4">
        <f t="shared" ref="BV488:BY488" si="1178">BV478</f>
        <v>6</v>
      </c>
      <c r="BW488" s="4">
        <f t="shared" si="1178"/>
        <v>6</v>
      </c>
      <c r="BX488" s="4">
        <f t="shared" si="1178"/>
        <v>0.49999999999999994</v>
      </c>
      <c r="BY488" s="4">
        <f t="shared" si="1178"/>
        <v>0.30000000000000004</v>
      </c>
      <c r="BZ488" s="27" t="s">
        <v>1008</v>
      </c>
      <c r="CA488" s="30" t="str">
        <f t="shared" si="1168"/>
        <v>6</v>
      </c>
      <c r="CB488" s="30" t="s">
        <v>917</v>
      </c>
      <c r="CC488" s="5">
        <v>0</v>
      </c>
      <c r="CD488" s="8">
        <v>3</v>
      </c>
      <c r="CE488" s="5">
        <f t="shared" si="1145"/>
        <v>6</v>
      </c>
      <c r="CF488" s="5">
        <v>1</v>
      </c>
      <c r="CG488" s="27" t="str">
        <f t="shared" si="1151"/>
        <v>6级冰龙</v>
      </c>
      <c r="CH488" s="5">
        <v>0</v>
      </c>
      <c r="CI488" s="5">
        <v>0</v>
      </c>
      <c r="CJ488" s="4">
        <v>0</v>
      </c>
      <c r="CK488" s="20">
        <v>0</v>
      </c>
      <c r="CL488" s="5">
        <v>0</v>
      </c>
      <c r="CM488" s="20">
        <v>114</v>
      </c>
      <c r="CN488" s="5">
        <v>0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20">
        <v>2.5</v>
      </c>
      <c r="CW488" s="20">
        <v>3</v>
      </c>
      <c r="CX488" s="20">
        <v>2.5</v>
      </c>
      <c r="CY488" s="20">
        <v>3.5</v>
      </c>
      <c r="CZ488" s="8">
        <v>200</v>
      </c>
      <c r="DA488" s="6">
        <f t="shared" si="1158"/>
        <v>30000</v>
      </c>
      <c r="DB488" s="5">
        <v>1</v>
      </c>
      <c r="DC488" s="20">
        <f t="shared" si="1146"/>
        <v>1.875</v>
      </c>
      <c r="DD488" s="6">
        <f t="shared" si="1159"/>
        <v>0.625</v>
      </c>
      <c r="DE488" s="6">
        <v>1</v>
      </c>
      <c r="DF488" s="5">
        <v>0</v>
      </c>
      <c r="DG488" s="6">
        <v>2.5</v>
      </c>
      <c r="DH488" s="5">
        <v>0</v>
      </c>
      <c r="DI488" s="8">
        <v>0</v>
      </c>
      <c r="DJ488" s="5">
        <v>0</v>
      </c>
      <c r="DK488" s="8">
        <v>0</v>
      </c>
      <c r="DL488" s="5">
        <f t="shared" si="1116"/>
        <v>0</v>
      </c>
      <c r="DM488" s="5" t="str">
        <f t="shared" si="1148"/>
        <v>6级冰龙</v>
      </c>
      <c r="DN488" s="5">
        <v>6</v>
      </c>
      <c r="DO488" s="5">
        <v>0</v>
      </c>
      <c r="DP488" s="5">
        <v>1</v>
      </c>
      <c r="DQ488" s="5">
        <v>1</v>
      </c>
      <c r="DR488" s="5">
        <v>2.5</v>
      </c>
      <c r="DS488" s="6">
        <v>3.5</v>
      </c>
      <c r="DT488" s="5">
        <v>-0.6</v>
      </c>
      <c r="DU488" s="5">
        <v>0.8</v>
      </c>
      <c r="DV488" s="6">
        <v>0.5</v>
      </c>
      <c r="DW488" s="5">
        <f t="shared" si="1160"/>
        <v>0.66666666666666663</v>
      </c>
      <c r="DX488" s="5">
        <v>8</v>
      </c>
      <c r="DY488" s="5">
        <f t="shared" si="1161"/>
        <v>0</v>
      </c>
      <c r="DZ488" s="5">
        <v>0</v>
      </c>
    </row>
    <row r="489" spans="1:130" x14ac:dyDescent="0.15">
      <c r="A489" s="5">
        <v>201487</v>
      </c>
      <c r="B489" s="28" t="s">
        <v>812</v>
      </c>
      <c r="C489" s="27">
        <v>35</v>
      </c>
      <c r="D489" s="27">
        <v>1</v>
      </c>
      <c r="E489" s="27">
        <v>3</v>
      </c>
      <c r="F489" s="5">
        <v>2</v>
      </c>
      <c r="G489" s="46">
        <f t="shared" si="1162"/>
        <v>-6.9388939039072284E-17</v>
      </c>
      <c r="H489" s="27"/>
      <c r="I489" s="27" t="s">
        <v>975</v>
      </c>
      <c r="J489" s="27"/>
      <c r="K489" s="5">
        <f t="shared" si="1136"/>
        <v>0.21</v>
      </c>
      <c r="L489" s="10">
        <v>3</v>
      </c>
      <c r="M489" s="5">
        <f t="shared" si="1137"/>
        <v>0.06</v>
      </c>
      <c r="N489" s="10">
        <v>0</v>
      </c>
      <c r="O489" s="5">
        <v>0</v>
      </c>
      <c r="P489" s="5">
        <f t="shared" si="1139"/>
        <v>0.2</v>
      </c>
      <c r="Q489" s="5">
        <v>2</v>
      </c>
      <c r="R489" s="5">
        <f t="shared" si="1163"/>
        <v>903928</v>
      </c>
      <c r="S489" s="5">
        <v>30</v>
      </c>
      <c r="T489" s="5">
        <v>10</v>
      </c>
      <c r="U489" s="5">
        <v>0.3</v>
      </c>
      <c r="V489" s="5">
        <v>0.15</v>
      </c>
      <c r="W489" s="5">
        <v>9</v>
      </c>
      <c r="X489" s="5">
        <v>-0.6</v>
      </c>
      <c r="Y489" s="5">
        <v>1.8</v>
      </c>
      <c r="Z489" s="27" t="s">
        <v>1034</v>
      </c>
      <c r="AA489" s="5">
        <v>3</v>
      </c>
      <c r="AB489" s="5">
        <v>2</v>
      </c>
      <c r="AC489" s="5">
        <v>6</v>
      </c>
      <c r="AD489" s="27" t="s">
        <v>1035</v>
      </c>
      <c r="AE489" s="20">
        <v>105</v>
      </c>
      <c r="AF489" s="5">
        <f t="shared" si="1164"/>
        <v>903944</v>
      </c>
      <c r="AG489" s="5">
        <v>60</v>
      </c>
      <c r="AH489" s="5">
        <f t="shared" si="1140"/>
        <v>0.1</v>
      </c>
      <c r="AI489" s="5">
        <v>2</v>
      </c>
      <c r="AJ489" s="5">
        <v>1</v>
      </c>
      <c r="AK489" s="5">
        <f t="shared" si="1165"/>
        <v>35</v>
      </c>
      <c r="AL489" s="5">
        <f t="shared" si="1141"/>
        <v>0</v>
      </c>
      <c r="AM489" s="5">
        <f t="shared" si="1142"/>
        <v>21</v>
      </c>
      <c r="AN489" s="8">
        <v>0</v>
      </c>
      <c r="AO489" s="5">
        <v>0</v>
      </c>
      <c r="AP489" s="28" t="s">
        <v>812</v>
      </c>
      <c r="AQ489" s="5">
        <v>0</v>
      </c>
      <c r="AR489" s="8">
        <v>5</v>
      </c>
      <c r="AS489" s="6">
        <f t="shared" si="1117"/>
        <v>105</v>
      </c>
      <c r="AT489" s="6">
        <f t="shared" si="1118"/>
        <v>126</v>
      </c>
      <c r="AU489" s="5">
        <v>0</v>
      </c>
      <c r="AV489" s="5">
        <v>0</v>
      </c>
      <c r="AW489" s="5">
        <v>0</v>
      </c>
      <c r="AX489" s="5">
        <v>1</v>
      </c>
      <c r="AY489" s="5">
        <v>0</v>
      </c>
      <c r="AZ489" s="5">
        <v>201487</v>
      </c>
      <c r="BA489" s="5">
        <f t="shared" si="1166"/>
        <v>203050</v>
      </c>
      <c r="BB489" s="5">
        <v>10</v>
      </c>
      <c r="BC489" s="5">
        <v>0</v>
      </c>
      <c r="BD489" s="5">
        <v>1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f t="shared" si="1110"/>
        <v>1</v>
      </c>
      <c r="BM489" s="5">
        <v>0</v>
      </c>
      <c r="BN489" s="5">
        <v>0</v>
      </c>
      <c r="BO489" s="5">
        <v>0</v>
      </c>
      <c r="BP489" s="5">
        <v>0</v>
      </c>
      <c r="BQ489" s="5"/>
      <c r="BR489" s="5"/>
      <c r="BS489" s="4">
        <v>0</v>
      </c>
      <c r="BT489" s="4">
        <f t="shared" si="1143"/>
        <v>7</v>
      </c>
      <c r="BU489" s="17">
        <v>77</v>
      </c>
      <c r="BV489" s="4">
        <f t="shared" ref="BV489:BY489" si="1179">BV479</f>
        <v>7</v>
      </c>
      <c r="BW489" s="4">
        <f t="shared" si="1179"/>
        <v>7</v>
      </c>
      <c r="BX489" s="4">
        <f t="shared" si="1179"/>
        <v>0.42999999999999994</v>
      </c>
      <c r="BY489" s="4">
        <f t="shared" si="1179"/>
        <v>0.25</v>
      </c>
      <c r="BZ489" s="27" t="s">
        <v>1008</v>
      </c>
      <c r="CA489" s="30" t="str">
        <f t="shared" si="1168"/>
        <v>7</v>
      </c>
      <c r="CB489" s="30" t="s">
        <v>917</v>
      </c>
      <c r="CC489" s="5">
        <v>0</v>
      </c>
      <c r="CD489" s="8">
        <v>3</v>
      </c>
      <c r="CE489" s="5">
        <f t="shared" si="1145"/>
        <v>7</v>
      </c>
      <c r="CF489" s="5">
        <v>1</v>
      </c>
      <c r="CG489" s="27" t="str">
        <f t="shared" si="1151"/>
        <v>7级冰龙</v>
      </c>
      <c r="CH489" s="5">
        <v>0</v>
      </c>
      <c r="CI489" s="5">
        <v>0</v>
      </c>
      <c r="CJ489" s="4">
        <v>0</v>
      </c>
      <c r="CK489" s="20">
        <v>0</v>
      </c>
      <c r="CL489" s="5">
        <v>0</v>
      </c>
      <c r="CM489" s="20">
        <v>114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20">
        <v>2.5</v>
      </c>
      <c r="CW489" s="20">
        <v>3</v>
      </c>
      <c r="CX489" s="20">
        <v>2.5</v>
      </c>
      <c r="CY489" s="20">
        <v>3.5</v>
      </c>
      <c r="CZ489" s="8">
        <v>200</v>
      </c>
      <c r="DA489" s="6">
        <f t="shared" si="1158"/>
        <v>35000</v>
      </c>
      <c r="DB489" s="5">
        <v>1</v>
      </c>
      <c r="DC489" s="20">
        <f t="shared" si="1146"/>
        <v>1.9500000000000002</v>
      </c>
      <c r="DD489" s="6">
        <f t="shared" si="1159"/>
        <v>0.65</v>
      </c>
      <c r="DE489" s="6">
        <v>1</v>
      </c>
      <c r="DF489" s="5">
        <v>0</v>
      </c>
      <c r="DG489" s="6">
        <v>2.5</v>
      </c>
      <c r="DH489" s="5">
        <v>0</v>
      </c>
      <c r="DI489" s="8">
        <v>0</v>
      </c>
      <c r="DJ489" s="5">
        <v>0</v>
      </c>
      <c r="DK489" s="8">
        <v>0</v>
      </c>
      <c r="DL489" s="5">
        <f t="shared" si="1116"/>
        <v>0</v>
      </c>
      <c r="DM489" s="5" t="str">
        <f t="shared" si="1148"/>
        <v>7级冰龙</v>
      </c>
      <c r="DN489" s="5">
        <v>6</v>
      </c>
      <c r="DO489" s="5">
        <v>0</v>
      </c>
      <c r="DP489" s="5">
        <v>1</v>
      </c>
      <c r="DQ489" s="5">
        <v>1</v>
      </c>
      <c r="DR489" s="5">
        <v>2.5</v>
      </c>
      <c r="DS489" s="6">
        <v>3.5</v>
      </c>
      <c r="DT489" s="5">
        <v>-0.6</v>
      </c>
      <c r="DU489" s="5">
        <v>0.8</v>
      </c>
      <c r="DV489" s="6">
        <v>0.5</v>
      </c>
      <c r="DW489" s="5">
        <f t="shared" si="1160"/>
        <v>0.66666666666666663</v>
      </c>
      <c r="DX489" s="5">
        <v>8</v>
      </c>
      <c r="DY489" s="5">
        <f t="shared" si="1161"/>
        <v>0</v>
      </c>
      <c r="DZ489" s="5">
        <v>0</v>
      </c>
    </row>
    <row r="490" spans="1:130" x14ac:dyDescent="0.15">
      <c r="A490" s="5">
        <v>201488</v>
      </c>
      <c r="B490" s="28" t="s">
        <v>813</v>
      </c>
      <c r="C490" s="27">
        <v>35</v>
      </c>
      <c r="D490" s="27">
        <v>1</v>
      </c>
      <c r="E490" s="27">
        <v>3</v>
      </c>
      <c r="F490" s="5">
        <v>2</v>
      </c>
      <c r="G490" s="46">
        <f t="shared" si="1162"/>
        <v>-6.9388939039072284E-17</v>
      </c>
      <c r="H490" s="27"/>
      <c r="I490" s="27" t="s">
        <v>975</v>
      </c>
      <c r="J490" s="27"/>
      <c r="K490" s="5">
        <f t="shared" si="1136"/>
        <v>0.22</v>
      </c>
      <c r="L490" s="10">
        <v>3</v>
      </c>
      <c r="M490" s="5">
        <f t="shared" si="1137"/>
        <v>7.0000000000000007E-2</v>
      </c>
      <c r="N490" s="10">
        <v>0</v>
      </c>
      <c r="O490" s="5">
        <v>0</v>
      </c>
      <c r="P490" s="5">
        <f t="shared" si="1139"/>
        <v>0.2</v>
      </c>
      <c r="Q490" s="5">
        <v>2</v>
      </c>
      <c r="R490" s="5">
        <f t="shared" si="1163"/>
        <v>903928</v>
      </c>
      <c r="S490" s="5">
        <v>30</v>
      </c>
      <c r="T490" s="5">
        <v>10</v>
      </c>
      <c r="U490" s="5">
        <v>0.3</v>
      </c>
      <c r="V490" s="5">
        <v>0.15</v>
      </c>
      <c r="W490" s="5">
        <v>9</v>
      </c>
      <c r="X490" s="5">
        <v>-0.6</v>
      </c>
      <c r="Y490" s="5">
        <v>1.8</v>
      </c>
      <c r="Z490" s="27" t="s">
        <v>1034</v>
      </c>
      <c r="AA490" s="5">
        <v>3</v>
      </c>
      <c r="AB490" s="5">
        <v>2</v>
      </c>
      <c r="AC490" s="5">
        <v>6</v>
      </c>
      <c r="AD490" s="27" t="s">
        <v>1035</v>
      </c>
      <c r="AE490" s="20">
        <v>105</v>
      </c>
      <c r="AF490" s="5">
        <f t="shared" si="1164"/>
        <v>903944</v>
      </c>
      <c r="AG490" s="5">
        <v>60</v>
      </c>
      <c r="AH490" s="5">
        <f t="shared" si="1140"/>
        <v>0.1</v>
      </c>
      <c r="AI490" s="5">
        <v>2</v>
      </c>
      <c r="AJ490" s="5">
        <v>1</v>
      </c>
      <c r="AK490" s="5">
        <f t="shared" si="1165"/>
        <v>40</v>
      </c>
      <c r="AL490" s="5">
        <f t="shared" si="1141"/>
        <v>0</v>
      </c>
      <c r="AM490" s="5">
        <f t="shared" si="1142"/>
        <v>24</v>
      </c>
      <c r="AN490" s="8">
        <v>0</v>
      </c>
      <c r="AO490" s="5">
        <v>0</v>
      </c>
      <c r="AP490" s="28" t="s">
        <v>813</v>
      </c>
      <c r="AQ490" s="5">
        <v>0</v>
      </c>
      <c r="AR490" s="8">
        <v>5</v>
      </c>
      <c r="AS490" s="6">
        <f t="shared" si="1117"/>
        <v>120</v>
      </c>
      <c r="AT490" s="6">
        <f t="shared" si="1118"/>
        <v>144</v>
      </c>
      <c r="AU490" s="5">
        <v>0</v>
      </c>
      <c r="AV490" s="5">
        <v>0</v>
      </c>
      <c r="AW490" s="5">
        <v>0</v>
      </c>
      <c r="AX490" s="5">
        <v>1</v>
      </c>
      <c r="AY490" s="5">
        <v>0</v>
      </c>
      <c r="AZ490" s="5">
        <v>201488</v>
      </c>
      <c r="BA490" s="5">
        <f t="shared" si="1166"/>
        <v>203050</v>
      </c>
      <c r="BB490" s="5">
        <v>10</v>
      </c>
      <c r="BC490" s="5">
        <v>0</v>
      </c>
      <c r="BD490" s="5">
        <v>1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f t="shared" si="1110"/>
        <v>1</v>
      </c>
      <c r="BM490" s="5">
        <v>0</v>
      </c>
      <c r="BN490" s="5">
        <v>0</v>
      </c>
      <c r="BO490" s="5">
        <v>0</v>
      </c>
      <c r="BP490" s="5">
        <v>0</v>
      </c>
      <c r="BQ490" s="5"/>
      <c r="BR490" s="5"/>
      <c r="BS490" s="4">
        <v>0</v>
      </c>
      <c r="BT490" s="4">
        <f t="shared" si="1143"/>
        <v>8</v>
      </c>
      <c r="BU490" s="17">
        <v>78</v>
      </c>
      <c r="BV490" s="4">
        <f t="shared" ref="BV490:BY490" si="1180">BV480</f>
        <v>8</v>
      </c>
      <c r="BW490" s="4">
        <f t="shared" si="1180"/>
        <v>8</v>
      </c>
      <c r="BX490" s="4">
        <f t="shared" si="1180"/>
        <v>0.35999999999999993</v>
      </c>
      <c r="BY490" s="4">
        <f t="shared" si="1180"/>
        <v>0.2</v>
      </c>
      <c r="BZ490" s="27" t="s">
        <v>1008</v>
      </c>
      <c r="CA490" s="30" t="str">
        <f t="shared" si="1168"/>
        <v>8</v>
      </c>
      <c r="CB490" s="30" t="s">
        <v>917</v>
      </c>
      <c r="CC490" s="5">
        <v>0</v>
      </c>
      <c r="CD490" s="8">
        <v>3</v>
      </c>
      <c r="CE490" s="5">
        <f t="shared" si="1145"/>
        <v>8</v>
      </c>
      <c r="CF490" s="5">
        <v>1</v>
      </c>
      <c r="CG490" s="27" t="str">
        <f t="shared" si="1151"/>
        <v>8级冰龙</v>
      </c>
      <c r="CH490" s="5">
        <v>0</v>
      </c>
      <c r="CI490" s="5">
        <v>0</v>
      </c>
      <c r="CJ490" s="4">
        <v>0</v>
      </c>
      <c r="CK490" s="20">
        <v>0</v>
      </c>
      <c r="CL490" s="5">
        <v>0</v>
      </c>
      <c r="CM490" s="20">
        <v>114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20">
        <v>2.5</v>
      </c>
      <c r="CW490" s="20">
        <v>3</v>
      </c>
      <c r="CX490" s="20">
        <v>2.5</v>
      </c>
      <c r="CY490" s="20">
        <v>3.5</v>
      </c>
      <c r="CZ490" s="8">
        <v>200</v>
      </c>
      <c r="DA490" s="6">
        <f t="shared" si="1158"/>
        <v>40000</v>
      </c>
      <c r="DB490" s="5">
        <v>1</v>
      </c>
      <c r="DC490" s="20">
        <f t="shared" si="1146"/>
        <v>2.0250000000000004</v>
      </c>
      <c r="DD490" s="6">
        <f t="shared" si="1159"/>
        <v>0.67500000000000004</v>
      </c>
      <c r="DE490" s="6">
        <v>1</v>
      </c>
      <c r="DF490" s="5">
        <v>0</v>
      </c>
      <c r="DG490" s="6">
        <v>2.5</v>
      </c>
      <c r="DH490" s="5">
        <v>0</v>
      </c>
      <c r="DI490" s="8">
        <v>0</v>
      </c>
      <c r="DJ490" s="5">
        <v>0</v>
      </c>
      <c r="DK490" s="8">
        <v>0</v>
      </c>
      <c r="DL490" s="5">
        <f t="shared" si="1116"/>
        <v>0</v>
      </c>
      <c r="DM490" s="5" t="str">
        <f t="shared" si="1148"/>
        <v>8级冰龙</v>
      </c>
      <c r="DN490" s="5">
        <v>6</v>
      </c>
      <c r="DO490" s="5">
        <v>0</v>
      </c>
      <c r="DP490" s="5">
        <v>1</v>
      </c>
      <c r="DQ490" s="5">
        <v>1</v>
      </c>
      <c r="DR490" s="5">
        <v>2.5</v>
      </c>
      <c r="DS490" s="6">
        <v>3.5</v>
      </c>
      <c r="DT490" s="5">
        <v>-0.6</v>
      </c>
      <c r="DU490" s="5">
        <v>0.8</v>
      </c>
      <c r="DV490" s="6">
        <v>0.5</v>
      </c>
      <c r="DW490" s="5">
        <f t="shared" si="1160"/>
        <v>0.66666666666666663</v>
      </c>
      <c r="DX490" s="5">
        <v>8</v>
      </c>
      <c r="DY490" s="5">
        <f t="shared" si="1161"/>
        <v>0</v>
      </c>
      <c r="DZ490" s="5">
        <v>0</v>
      </c>
    </row>
    <row r="491" spans="1:130" x14ac:dyDescent="0.15">
      <c r="A491" s="5">
        <v>201489</v>
      </c>
      <c r="B491" s="28" t="s">
        <v>814</v>
      </c>
      <c r="C491" s="27">
        <v>35</v>
      </c>
      <c r="D491" s="27">
        <v>1</v>
      </c>
      <c r="E491" s="27">
        <v>3</v>
      </c>
      <c r="F491" s="5">
        <v>2</v>
      </c>
      <c r="G491" s="46">
        <f t="shared" si="1162"/>
        <v>-6.9388939039072284E-17</v>
      </c>
      <c r="H491" s="27"/>
      <c r="I491" s="27" t="s">
        <v>975</v>
      </c>
      <c r="J491" s="27"/>
      <c r="K491" s="5">
        <f t="shared" si="1136"/>
        <v>0.22999999999999998</v>
      </c>
      <c r="L491" s="10">
        <v>3</v>
      </c>
      <c r="M491" s="5">
        <f t="shared" si="1137"/>
        <v>0.08</v>
      </c>
      <c r="N491" s="10">
        <v>0</v>
      </c>
      <c r="O491" s="5">
        <v>0</v>
      </c>
      <c r="P491" s="5">
        <f t="shared" si="1139"/>
        <v>0.2</v>
      </c>
      <c r="Q491" s="5">
        <v>2</v>
      </c>
      <c r="R491" s="5">
        <f t="shared" si="1163"/>
        <v>903928</v>
      </c>
      <c r="S491" s="5">
        <v>30</v>
      </c>
      <c r="T491" s="5">
        <v>10</v>
      </c>
      <c r="U491" s="5">
        <v>0.3</v>
      </c>
      <c r="V491" s="5">
        <v>0.15</v>
      </c>
      <c r="W491" s="5">
        <v>9</v>
      </c>
      <c r="X491" s="5">
        <v>-0.6</v>
      </c>
      <c r="Y491" s="5">
        <v>1.8</v>
      </c>
      <c r="Z491" s="27" t="s">
        <v>1034</v>
      </c>
      <c r="AA491" s="5">
        <v>3</v>
      </c>
      <c r="AB491" s="5">
        <v>2</v>
      </c>
      <c r="AC491" s="5">
        <v>6</v>
      </c>
      <c r="AD491" s="27" t="s">
        <v>1035</v>
      </c>
      <c r="AE491" s="20">
        <v>105</v>
      </c>
      <c r="AF491" s="5">
        <f t="shared" si="1164"/>
        <v>903944</v>
      </c>
      <c r="AG491" s="5">
        <v>60</v>
      </c>
      <c r="AH491" s="5">
        <f t="shared" si="1140"/>
        <v>0.1</v>
      </c>
      <c r="AI491" s="5">
        <v>2</v>
      </c>
      <c r="AJ491" s="5">
        <v>1</v>
      </c>
      <c r="AK491" s="5">
        <f t="shared" si="1165"/>
        <v>45</v>
      </c>
      <c r="AL491" s="5">
        <f t="shared" si="1141"/>
        <v>0</v>
      </c>
      <c r="AM491" s="5">
        <f t="shared" si="1142"/>
        <v>27</v>
      </c>
      <c r="AN491" s="8">
        <v>0</v>
      </c>
      <c r="AO491" s="5">
        <v>0</v>
      </c>
      <c r="AP491" s="28" t="s">
        <v>814</v>
      </c>
      <c r="AQ491" s="5">
        <v>0</v>
      </c>
      <c r="AR491" s="8">
        <v>5</v>
      </c>
      <c r="AS491" s="6">
        <f t="shared" si="1117"/>
        <v>135</v>
      </c>
      <c r="AT491" s="6">
        <f t="shared" si="1118"/>
        <v>162</v>
      </c>
      <c r="AU491" s="5">
        <v>0</v>
      </c>
      <c r="AV491" s="5">
        <v>0</v>
      </c>
      <c r="AW491" s="5">
        <v>0</v>
      </c>
      <c r="AX491" s="5">
        <v>1</v>
      </c>
      <c r="AY491" s="5">
        <v>0</v>
      </c>
      <c r="AZ491" s="5">
        <v>201489</v>
      </c>
      <c r="BA491" s="5">
        <f t="shared" si="1166"/>
        <v>203050</v>
      </c>
      <c r="BB491" s="5">
        <v>10</v>
      </c>
      <c r="BC491" s="5">
        <v>0</v>
      </c>
      <c r="BD491" s="5">
        <v>1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f t="shared" si="1110"/>
        <v>1</v>
      </c>
      <c r="BM491" s="5">
        <v>0</v>
      </c>
      <c r="BN491" s="5">
        <v>0</v>
      </c>
      <c r="BO491" s="5">
        <v>0</v>
      </c>
      <c r="BP491" s="5">
        <v>0</v>
      </c>
      <c r="BQ491" s="5"/>
      <c r="BR491" s="5"/>
      <c r="BS491" s="4">
        <v>0</v>
      </c>
      <c r="BT491" s="4">
        <f t="shared" si="1143"/>
        <v>9</v>
      </c>
      <c r="BU491" s="17">
        <v>79</v>
      </c>
      <c r="BV491" s="4">
        <f t="shared" ref="BV491:BY491" si="1181">BV481</f>
        <v>9</v>
      </c>
      <c r="BW491" s="4">
        <f t="shared" si="1181"/>
        <v>9</v>
      </c>
      <c r="BX491" s="4">
        <f t="shared" si="1181"/>
        <v>0.28999999999999992</v>
      </c>
      <c r="BY491" s="4">
        <f t="shared" si="1181"/>
        <v>0.15000000000000002</v>
      </c>
      <c r="BZ491" s="27" t="s">
        <v>1008</v>
      </c>
      <c r="CA491" s="30" t="str">
        <f t="shared" si="1168"/>
        <v>9</v>
      </c>
      <c r="CB491" s="30" t="s">
        <v>917</v>
      </c>
      <c r="CC491" s="5">
        <v>0</v>
      </c>
      <c r="CD491" s="8">
        <v>3</v>
      </c>
      <c r="CE491" s="5">
        <f t="shared" si="1145"/>
        <v>9</v>
      </c>
      <c r="CF491" s="5">
        <v>1</v>
      </c>
      <c r="CG491" s="27" t="str">
        <f t="shared" si="1151"/>
        <v>9级冰龙</v>
      </c>
      <c r="CH491" s="5">
        <v>0</v>
      </c>
      <c r="CI491" s="5">
        <v>0</v>
      </c>
      <c r="CJ491" s="4">
        <v>0</v>
      </c>
      <c r="CK491" s="20">
        <v>0</v>
      </c>
      <c r="CL491" s="5">
        <v>0</v>
      </c>
      <c r="CM491" s="20">
        <v>114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20">
        <v>2.5</v>
      </c>
      <c r="CW491" s="20">
        <v>3</v>
      </c>
      <c r="CX491" s="20">
        <v>2.5</v>
      </c>
      <c r="CY491" s="20">
        <v>3.5</v>
      </c>
      <c r="CZ491" s="8">
        <v>200</v>
      </c>
      <c r="DA491" s="6">
        <f t="shared" si="1158"/>
        <v>45000</v>
      </c>
      <c r="DB491" s="5">
        <v>1</v>
      </c>
      <c r="DC491" s="20">
        <f t="shared" si="1146"/>
        <v>2.0999999999999996</v>
      </c>
      <c r="DD491" s="6">
        <f t="shared" si="1159"/>
        <v>0.7</v>
      </c>
      <c r="DE491" s="6">
        <v>1</v>
      </c>
      <c r="DF491" s="5">
        <v>0</v>
      </c>
      <c r="DG491" s="6">
        <v>2.5</v>
      </c>
      <c r="DH491" s="5">
        <v>0</v>
      </c>
      <c r="DI491" s="8">
        <v>0</v>
      </c>
      <c r="DJ491" s="5">
        <v>0</v>
      </c>
      <c r="DK491" s="8">
        <v>0</v>
      </c>
      <c r="DL491" s="5">
        <f t="shared" si="1116"/>
        <v>0</v>
      </c>
      <c r="DM491" s="5" t="str">
        <f t="shared" si="1148"/>
        <v>9级冰龙</v>
      </c>
      <c r="DN491" s="5">
        <v>6</v>
      </c>
      <c r="DO491" s="5">
        <v>0</v>
      </c>
      <c r="DP491" s="5">
        <v>1</v>
      </c>
      <c r="DQ491" s="5">
        <v>1</v>
      </c>
      <c r="DR491" s="5">
        <v>2.5</v>
      </c>
      <c r="DS491" s="6">
        <v>3.5</v>
      </c>
      <c r="DT491" s="5">
        <v>-0.6</v>
      </c>
      <c r="DU491" s="5">
        <v>0.8</v>
      </c>
      <c r="DV491" s="6">
        <v>0.5</v>
      </c>
      <c r="DW491" s="5">
        <f t="shared" si="1160"/>
        <v>0.66666666666666663</v>
      </c>
      <c r="DX491" s="5">
        <v>8</v>
      </c>
      <c r="DY491" s="5">
        <f t="shared" si="1161"/>
        <v>0</v>
      </c>
      <c r="DZ491" s="5">
        <v>0</v>
      </c>
    </row>
    <row r="492" spans="1:130" x14ac:dyDescent="0.15">
      <c r="A492" s="5">
        <v>201490</v>
      </c>
      <c r="B492" s="28" t="s">
        <v>815</v>
      </c>
      <c r="C492" s="27">
        <v>35</v>
      </c>
      <c r="D492" s="27">
        <v>1</v>
      </c>
      <c r="E492" s="27">
        <v>3</v>
      </c>
      <c r="F492" s="5">
        <v>2</v>
      </c>
      <c r="G492" s="46">
        <f t="shared" si="1162"/>
        <v>-6.9388939039072284E-17</v>
      </c>
      <c r="H492" s="27"/>
      <c r="I492" s="27" t="s">
        <v>975</v>
      </c>
      <c r="J492" s="27"/>
      <c r="K492" s="5">
        <f t="shared" si="1136"/>
        <v>0.24</v>
      </c>
      <c r="L492" s="10">
        <v>3</v>
      </c>
      <c r="M492" s="5">
        <f t="shared" si="1137"/>
        <v>0.09</v>
      </c>
      <c r="N492" s="10">
        <v>0</v>
      </c>
      <c r="O492" s="5">
        <v>0</v>
      </c>
      <c r="P492" s="5">
        <f t="shared" si="1139"/>
        <v>0.2</v>
      </c>
      <c r="Q492" s="5">
        <v>2</v>
      </c>
      <c r="R492" s="5">
        <f t="shared" si="1163"/>
        <v>903928</v>
      </c>
      <c r="S492" s="5">
        <v>30</v>
      </c>
      <c r="T492" s="5">
        <v>10</v>
      </c>
      <c r="U492" s="5">
        <v>0.3</v>
      </c>
      <c r="V492" s="5">
        <v>0.15</v>
      </c>
      <c r="W492" s="5">
        <v>9</v>
      </c>
      <c r="X492" s="5">
        <v>-0.6</v>
      </c>
      <c r="Y492" s="5">
        <v>1.8</v>
      </c>
      <c r="Z492" s="27" t="s">
        <v>1034</v>
      </c>
      <c r="AA492" s="5">
        <v>3</v>
      </c>
      <c r="AB492" s="5">
        <v>2</v>
      </c>
      <c r="AC492" s="5">
        <v>6</v>
      </c>
      <c r="AD492" s="27" t="s">
        <v>1035</v>
      </c>
      <c r="AE492" s="20">
        <v>105</v>
      </c>
      <c r="AF492" s="5">
        <f t="shared" si="1164"/>
        <v>903944</v>
      </c>
      <c r="AG492" s="5">
        <v>60</v>
      </c>
      <c r="AH492" s="5">
        <f t="shared" si="1140"/>
        <v>0.1</v>
      </c>
      <c r="AI492" s="5">
        <v>2</v>
      </c>
      <c r="AJ492" s="5">
        <v>1</v>
      </c>
      <c r="AK492" s="5">
        <f t="shared" si="1165"/>
        <v>50</v>
      </c>
      <c r="AL492" s="5">
        <f t="shared" si="1141"/>
        <v>0</v>
      </c>
      <c r="AM492" s="5">
        <f t="shared" si="1142"/>
        <v>30</v>
      </c>
      <c r="AN492" s="8">
        <v>0</v>
      </c>
      <c r="AO492" s="5">
        <v>0</v>
      </c>
      <c r="AP492" s="28" t="s">
        <v>815</v>
      </c>
      <c r="AQ492" s="5">
        <v>0</v>
      </c>
      <c r="AR492" s="8">
        <v>5</v>
      </c>
      <c r="AS492" s="6">
        <f t="shared" si="1117"/>
        <v>150</v>
      </c>
      <c r="AT492" s="6">
        <f t="shared" si="1118"/>
        <v>180</v>
      </c>
      <c r="AU492" s="5">
        <v>0</v>
      </c>
      <c r="AV492" s="5">
        <v>0</v>
      </c>
      <c r="AW492" s="5">
        <v>0</v>
      </c>
      <c r="AX492" s="5">
        <v>1</v>
      </c>
      <c r="AY492" s="5">
        <v>0</v>
      </c>
      <c r="AZ492" s="5">
        <v>201490</v>
      </c>
      <c r="BA492" s="5">
        <f t="shared" si="1166"/>
        <v>203050</v>
      </c>
      <c r="BB492" s="5">
        <v>10</v>
      </c>
      <c r="BC492" s="5">
        <v>0</v>
      </c>
      <c r="BD492" s="5">
        <v>1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f t="shared" si="1110"/>
        <v>1</v>
      </c>
      <c r="BM492" s="5">
        <v>0</v>
      </c>
      <c r="BN492" s="5">
        <v>0</v>
      </c>
      <c r="BO492" s="5">
        <v>0</v>
      </c>
      <c r="BP492" s="5">
        <v>0</v>
      </c>
      <c r="BQ492" s="5"/>
      <c r="BR492" s="5"/>
      <c r="BS492" s="4">
        <v>0</v>
      </c>
      <c r="BT492" s="4">
        <f t="shared" si="1143"/>
        <v>10</v>
      </c>
      <c r="BU492" s="17">
        <v>80</v>
      </c>
      <c r="BV492" s="4">
        <f t="shared" ref="BV492:BY492" si="1182">BV482</f>
        <v>10</v>
      </c>
      <c r="BW492" s="4">
        <f t="shared" si="1182"/>
        <v>10</v>
      </c>
      <c r="BX492" s="4">
        <f t="shared" si="1182"/>
        <v>0.21999999999999986</v>
      </c>
      <c r="BY492" s="4">
        <f t="shared" si="1182"/>
        <v>0.10000000000000003</v>
      </c>
      <c r="BZ492" s="27" t="s">
        <v>1008</v>
      </c>
      <c r="CA492" s="30" t="str">
        <f t="shared" si="1168"/>
        <v>10</v>
      </c>
      <c r="CB492" s="30" t="s">
        <v>917</v>
      </c>
      <c r="CC492" s="5">
        <v>0</v>
      </c>
      <c r="CD492" s="8">
        <v>3</v>
      </c>
      <c r="CE492" s="5">
        <f t="shared" si="1145"/>
        <v>10</v>
      </c>
      <c r="CF492" s="5">
        <v>1</v>
      </c>
      <c r="CG492" s="27" t="str">
        <f t="shared" si="1151"/>
        <v>10级冰龙</v>
      </c>
      <c r="CH492" s="5">
        <v>0</v>
      </c>
      <c r="CI492" s="5">
        <v>0</v>
      </c>
      <c r="CJ492" s="4">
        <v>0</v>
      </c>
      <c r="CK492" s="20">
        <v>0</v>
      </c>
      <c r="CL492" s="5">
        <v>0</v>
      </c>
      <c r="CM492" s="20">
        <v>114</v>
      </c>
      <c r="CN492" s="5">
        <v>0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0</v>
      </c>
      <c r="CV492" s="20">
        <v>2.5</v>
      </c>
      <c r="CW492" s="20">
        <v>3</v>
      </c>
      <c r="CX492" s="20">
        <v>2.5</v>
      </c>
      <c r="CY492" s="20">
        <v>3.5</v>
      </c>
      <c r="CZ492" s="8">
        <v>200</v>
      </c>
      <c r="DA492" s="6">
        <f t="shared" si="1158"/>
        <v>50000</v>
      </c>
      <c r="DB492" s="5">
        <v>1</v>
      </c>
      <c r="DC492" s="20">
        <f t="shared" si="1146"/>
        <v>2.1749999999999998</v>
      </c>
      <c r="DD492" s="6">
        <f t="shared" si="1159"/>
        <v>0.72499999999999998</v>
      </c>
      <c r="DE492" s="6">
        <v>1</v>
      </c>
      <c r="DF492" s="5">
        <v>0</v>
      </c>
      <c r="DG492" s="6">
        <v>2.5</v>
      </c>
      <c r="DH492" s="5">
        <v>0</v>
      </c>
      <c r="DI492" s="8">
        <v>0</v>
      </c>
      <c r="DJ492" s="5">
        <v>0</v>
      </c>
      <c r="DK492" s="8">
        <v>0</v>
      </c>
      <c r="DL492" s="5">
        <f t="shared" si="1116"/>
        <v>0</v>
      </c>
      <c r="DM492" s="5" t="str">
        <f t="shared" si="1148"/>
        <v>10级冰龙</v>
      </c>
      <c r="DN492" s="5">
        <v>6</v>
      </c>
      <c r="DO492" s="5">
        <v>0</v>
      </c>
      <c r="DP492" s="5">
        <v>1</v>
      </c>
      <c r="DQ492" s="5">
        <v>1</v>
      </c>
      <c r="DR492" s="5">
        <v>2.5</v>
      </c>
      <c r="DS492" s="6">
        <v>3.5</v>
      </c>
      <c r="DT492" s="5">
        <v>-0.6</v>
      </c>
      <c r="DU492" s="5">
        <v>0.8</v>
      </c>
      <c r="DV492" s="6">
        <v>0.5</v>
      </c>
      <c r="DW492" s="5">
        <f t="shared" si="1160"/>
        <v>0.66666666666666663</v>
      </c>
      <c r="DX492" s="5">
        <v>8</v>
      </c>
      <c r="DY492" s="5">
        <f t="shared" si="1161"/>
        <v>0</v>
      </c>
      <c r="DZ492" s="5">
        <v>0</v>
      </c>
    </row>
    <row r="493" spans="1:130" x14ac:dyDescent="0.15">
      <c r="A493" s="6">
        <v>201491</v>
      </c>
      <c r="B493" s="28" t="s">
        <v>816</v>
      </c>
      <c r="C493" s="28">
        <v>35</v>
      </c>
      <c r="D493" s="28">
        <v>1</v>
      </c>
      <c r="E493" s="28">
        <v>3</v>
      </c>
      <c r="F493" s="6">
        <v>2</v>
      </c>
      <c r="G493" s="46">
        <f t="shared" si="1162"/>
        <v>5.8099999999999929E-2</v>
      </c>
      <c r="H493" s="28"/>
      <c r="I493" s="28" t="s">
        <v>975</v>
      </c>
      <c r="J493" s="28"/>
      <c r="K493" s="5">
        <f t="shared" si="1136"/>
        <v>0</v>
      </c>
      <c r="L493" s="10">
        <v>0</v>
      </c>
      <c r="M493" s="5">
        <f t="shared" si="1137"/>
        <v>0.15</v>
      </c>
      <c r="N493" s="10">
        <v>3</v>
      </c>
      <c r="O493" s="5">
        <v>0</v>
      </c>
      <c r="P493" s="5">
        <f t="shared" si="1139"/>
        <v>0.2</v>
      </c>
      <c r="Q493" s="5">
        <v>2</v>
      </c>
      <c r="R493" s="5">
        <f t="shared" si="1163"/>
        <v>903929</v>
      </c>
      <c r="S493" s="5">
        <v>30</v>
      </c>
      <c r="T493" s="5">
        <v>10</v>
      </c>
      <c r="U493" s="5">
        <v>0.3</v>
      </c>
      <c r="V493" s="5">
        <v>0.15</v>
      </c>
      <c r="W493" s="5">
        <v>9</v>
      </c>
      <c r="X493" s="5">
        <v>-0.6</v>
      </c>
      <c r="Y493" s="5">
        <v>1.8</v>
      </c>
      <c r="Z493" s="27" t="s">
        <v>1038</v>
      </c>
      <c r="AA493" s="5">
        <v>3</v>
      </c>
      <c r="AB493" s="5">
        <v>2</v>
      </c>
      <c r="AC493" s="5">
        <v>6</v>
      </c>
      <c r="AD493" s="27" t="s">
        <v>1039</v>
      </c>
      <c r="AE493" s="20">
        <v>123</v>
      </c>
      <c r="AF493" s="5">
        <f t="shared" si="1164"/>
        <v>903945</v>
      </c>
      <c r="AG493" s="5">
        <v>60</v>
      </c>
      <c r="AH493" s="5">
        <f t="shared" si="1140"/>
        <v>0.1</v>
      </c>
      <c r="AI493" s="5">
        <v>2</v>
      </c>
      <c r="AJ493" s="5">
        <v>1</v>
      </c>
      <c r="AK493" s="5">
        <f t="shared" si="1165"/>
        <v>5</v>
      </c>
      <c r="AL493" s="5">
        <f t="shared" si="1141"/>
        <v>15</v>
      </c>
      <c r="AM493" s="5">
        <f t="shared" si="1142"/>
        <v>18</v>
      </c>
      <c r="AN493" s="8">
        <v>5</v>
      </c>
      <c r="AO493" s="5">
        <v>1</v>
      </c>
      <c r="AP493" s="28" t="s">
        <v>816</v>
      </c>
      <c r="AQ493" s="5">
        <v>0</v>
      </c>
      <c r="AR493" s="8">
        <v>0</v>
      </c>
      <c r="AS493" s="6">
        <f t="shared" si="1117"/>
        <v>0</v>
      </c>
      <c r="AT493" s="6">
        <f t="shared" si="1118"/>
        <v>3</v>
      </c>
      <c r="AU493" s="5">
        <v>0</v>
      </c>
      <c r="AV493" s="5">
        <v>0</v>
      </c>
      <c r="AW493" s="5">
        <v>0</v>
      </c>
      <c r="AX493" s="5">
        <v>1</v>
      </c>
      <c r="AY493" s="5">
        <v>0</v>
      </c>
      <c r="AZ493" s="5">
        <v>201491</v>
      </c>
      <c r="BA493" s="5">
        <f t="shared" si="1166"/>
        <v>203051</v>
      </c>
      <c r="BB493" s="5">
        <v>10</v>
      </c>
      <c r="BC493" s="5">
        <v>0</v>
      </c>
      <c r="BD493" s="5">
        <v>1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f t="shared" si="1110"/>
        <v>1</v>
      </c>
      <c r="BM493" s="5">
        <v>0</v>
      </c>
      <c r="BN493" s="5">
        <v>0</v>
      </c>
      <c r="BO493" s="5">
        <v>0</v>
      </c>
      <c r="BP493" s="5">
        <v>0</v>
      </c>
      <c r="BQ493" s="5"/>
      <c r="BR493" s="5"/>
      <c r="BS493" s="4">
        <v>0</v>
      </c>
      <c r="BT493" s="4">
        <f t="shared" si="1143"/>
        <v>1</v>
      </c>
      <c r="BU493" s="17">
        <v>81</v>
      </c>
      <c r="BV493" s="4">
        <f t="shared" ref="BV493:BY493" si="1183">BV483</f>
        <v>1</v>
      </c>
      <c r="BW493" s="4">
        <f t="shared" si="1183"/>
        <v>1</v>
      </c>
      <c r="BX493" s="4">
        <f t="shared" si="1183"/>
        <v>0.85</v>
      </c>
      <c r="BY493" s="4">
        <f t="shared" si="1183"/>
        <v>0.55000000000000004</v>
      </c>
      <c r="BZ493" s="27" t="s">
        <v>1009</v>
      </c>
      <c r="CA493" s="30" t="str">
        <f t="shared" si="1168"/>
        <v>1</v>
      </c>
      <c r="CB493" s="30" t="s">
        <v>917</v>
      </c>
      <c r="CC493" s="5">
        <v>0</v>
      </c>
      <c r="CD493" s="8">
        <v>3</v>
      </c>
      <c r="CE493" s="5">
        <f t="shared" si="1145"/>
        <v>1</v>
      </c>
      <c r="CF493" s="5">
        <v>1</v>
      </c>
      <c r="CG493" s="27" t="str">
        <f t="shared" si="1151"/>
        <v>1级毒龙</v>
      </c>
      <c r="CH493" s="5">
        <v>0</v>
      </c>
      <c r="CI493" s="5">
        <v>0</v>
      </c>
      <c r="CJ493" s="4">
        <v>0</v>
      </c>
      <c r="CK493" s="20">
        <v>0</v>
      </c>
      <c r="CL493" s="5">
        <v>0</v>
      </c>
      <c r="CM493" s="20">
        <v>114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20">
        <v>2.5</v>
      </c>
      <c r="CW493" s="20">
        <v>3</v>
      </c>
      <c r="CX493" s="20">
        <v>2.5</v>
      </c>
      <c r="CY493" s="20">
        <v>3.5</v>
      </c>
      <c r="CZ493" s="8">
        <v>200</v>
      </c>
      <c r="DA493" s="6">
        <f t="shared" si="1158"/>
        <v>5000</v>
      </c>
      <c r="DB493" s="5">
        <v>1</v>
      </c>
      <c r="DC493" s="20">
        <f t="shared" si="1146"/>
        <v>1.5</v>
      </c>
      <c r="DD493" s="6">
        <f t="shared" si="1159"/>
        <v>0.5</v>
      </c>
      <c r="DE493" s="6">
        <v>1</v>
      </c>
      <c r="DF493" s="5">
        <v>0</v>
      </c>
      <c r="DG493" s="6">
        <v>2.5</v>
      </c>
      <c r="DH493" s="5">
        <v>0</v>
      </c>
      <c r="DI493" s="8">
        <v>0</v>
      </c>
      <c r="DJ493" s="5">
        <v>0</v>
      </c>
      <c r="DK493" s="8">
        <v>0</v>
      </c>
      <c r="DL493" s="5">
        <f t="shared" si="1116"/>
        <v>0</v>
      </c>
      <c r="DM493" s="5" t="str">
        <f t="shared" si="1148"/>
        <v>1级毒龙</v>
      </c>
      <c r="DN493" s="5">
        <v>6</v>
      </c>
      <c r="DO493" s="5">
        <v>0</v>
      </c>
      <c r="DP493" s="5">
        <v>1</v>
      </c>
      <c r="DQ493" s="5">
        <v>1</v>
      </c>
      <c r="DR493" s="5">
        <v>2.5</v>
      </c>
      <c r="DS493" s="6">
        <v>3.5</v>
      </c>
      <c r="DT493" s="5">
        <v>-0.6</v>
      </c>
      <c r="DU493" s="5">
        <v>0.8</v>
      </c>
      <c r="DV493" s="6">
        <v>0.5</v>
      </c>
      <c r="DW493" s="5">
        <f t="shared" si="1160"/>
        <v>0.66666666666666663</v>
      </c>
      <c r="DX493" s="5">
        <v>8</v>
      </c>
      <c r="DY493" s="5">
        <f t="shared" si="1161"/>
        <v>0</v>
      </c>
      <c r="DZ493" s="5">
        <v>0</v>
      </c>
    </row>
    <row r="494" spans="1:130" x14ac:dyDescent="0.15">
      <c r="A494" s="5">
        <v>201492</v>
      </c>
      <c r="B494" s="28" t="s">
        <v>817</v>
      </c>
      <c r="C494" s="27">
        <v>35</v>
      </c>
      <c r="D494" s="27">
        <v>1</v>
      </c>
      <c r="E494" s="27">
        <v>3</v>
      </c>
      <c r="F494" s="5">
        <v>2</v>
      </c>
      <c r="G494" s="46">
        <f t="shared" si="1162"/>
        <v>5.8099999999999929E-2</v>
      </c>
      <c r="H494" s="27"/>
      <c r="I494" s="27" t="s">
        <v>975</v>
      </c>
      <c r="J494" s="27"/>
      <c r="K494" s="5">
        <f t="shared" si="1136"/>
        <v>0.01</v>
      </c>
      <c r="L494" s="10">
        <f>L493</f>
        <v>0</v>
      </c>
      <c r="M494" s="5">
        <f t="shared" si="1137"/>
        <v>0.16</v>
      </c>
      <c r="N494" s="10">
        <v>3</v>
      </c>
      <c r="O494" s="5">
        <v>0</v>
      </c>
      <c r="P494" s="5">
        <f t="shared" si="1139"/>
        <v>0.2</v>
      </c>
      <c r="Q494" s="5">
        <v>2</v>
      </c>
      <c r="R494" s="5">
        <f t="shared" si="1163"/>
        <v>903929</v>
      </c>
      <c r="S494" s="5">
        <v>30</v>
      </c>
      <c r="T494" s="5">
        <v>10</v>
      </c>
      <c r="U494" s="5">
        <v>0.3</v>
      </c>
      <c r="V494" s="5">
        <v>0.15</v>
      </c>
      <c r="W494" s="5">
        <v>9</v>
      </c>
      <c r="X494" s="5">
        <v>-0.6</v>
      </c>
      <c r="Y494" s="5">
        <v>1.8</v>
      </c>
      <c r="Z494" s="27" t="s">
        <v>1038</v>
      </c>
      <c r="AA494" s="5">
        <v>3</v>
      </c>
      <c r="AB494" s="5">
        <v>2</v>
      </c>
      <c r="AC494" s="5">
        <v>6</v>
      </c>
      <c r="AD494" s="27" t="s">
        <v>1039</v>
      </c>
      <c r="AE494" s="20">
        <v>123</v>
      </c>
      <c r="AF494" s="5">
        <f t="shared" si="1164"/>
        <v>903945</v>
      </c>
      <c r="AG494" s="5">
        <v>60</v>
      </c>
      <c r="AH494" s="5">
        <f t="shared" si="1140"/>
        <v>0.1</v>
      </c>
      <c r="AI494" s="5">
        <v>2</v>
      </c>
      <c r="AJ494" s="5">
        <v>1</v>
      </c>
      <c r="AK494" s="5">
        <f t="shared" si="1165"/>
        <v>10</v>
      </c>
      <c r="AL494" s="5">
        <f t="shared" si="1141"/>
        <v>30</v>
      </c>
      <c r="AM494" s="5">
        <f t="shared" si="1142"/>
        <v>36</v>
      </c>
      <c r="AN494" s="8">
        <v>5</v>
      </c>
      <c r="AO494" s="5">
        <v>1</v>
      </c>
      <c r="AP494" s="28" t="s">
        <v>817</v>
      </c>
      <c r="AQ494" s="5">
        <v>0</v>
      </c>
      <c r="AR494" s="8">
        <v>0</v>
      </c>
      <c r="AS494" s="6">
        <f t="shared" si="1117"/>
        <v>0</v>
      </c>
      <c r="AT494" s="6">
        <f t="shared" si="1118"/>
        <v>6</v>
      </c>
      <c r="AU494" s="5">
        <v>0</v>
      </c>
      <c r="AV494" s="5">
        <v>0</v>
      </c>
      <c r="AW494" s="5">
        <v>0</v>
      </c>
      <c r="AX494" s="5">
        <v>1</v>
      </c>
      <c r="AY494" s="5">
        <v>0</v>
      </c>
      <c r="AZ494" s="5">
        <v>201492</v>
      </c>
      <c r="BA494" s="5">
        <f t="shared" si="1166"/>
        <v>203051</v>
      </c>
      <c r="BB494" s="5">
        <v>10</v>
      </c>
      <c r="BC494" s="5">
        <v>0</v>
      </c>
      <c r="BD494" s="5">
        <v>1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f t="shared" si="1110"/>
        <v>1</v>
      </c>
      <c r="BM494" s="5">
        <v>0</v>
      </c>
      <c r="BN494" s="5">
        <v>0</v>
      </c>
      <c r="BO494" s="5">
        <v>0</v>
      </c>
      <c r="BP494" s="5">
        <v>0</v>
      </c>
      <c r="BQ494" s="5"/>
      <c r="BR494" s="5"/>
      <c r="BS494" s="4">
        <v>0</v>
      </c>
      <c r="BT494" s="4">
        <f t="shared" si="1143"/>
        <v>2</v>
      </c>
      <c r="BU494" s="17">
        <v>82</v>
      </c>
      <c r="BV494" s="4">
        <f t="shared" ref="BV494:BY494" si="1184">BV484</f>
        <v>2</v>
      </c>
      <c r="BW494" s="4">
        <f t="shared" si="1184"/>
        <v>2</v>
      </c>
      <c r="BX494" s="4">
        <f t="shared" si="1184"/>
        <v>0.78</v>
      </c>
      <c r="BY494" s="4">
        <f t="shared" si="1184"/>
        <v>0.5</v>
      </c>
      <c r="BZ494" s="27" t="s">
        <v>1009</v>
      </c>
      <c r="CA494" s="30" t="str">
        <f t="shared" si="1168"/>
        <v>2</v>
      </c>
      <c r="CB494" s="30" t="s">
        <v>917</v>
      </c>
      <c r="CC494" s="5">
        <v>0</v>
      </c>
      <c r="CD494" s="8">
        <v>3</v>
      </c>
      <c r="CE494" s="5">
        <f t="shared" si="1145"/>
        <v>2</v>
      </c>
      <c r="CF494" s="5">
        <v>1</v>
      </c>
      <c r="CG494" s="27" t="str">
        <f t="shared" si="1151"/>
        <v>2级毒龙</v>
      </c>
      <c r="CH494" s="5">
        <v>0</v>
      </c>
      <c r="CI494" s="5">
        <v>0</v>
      </c>
      <c r="CJ494" s="4">
        <v>0</v>
      </c>
      <c r="CK494" s="20">
        <v>0</v>
      </c>
      <c r="CL494" s="5">
        <v>0</v>
      </c>
      <c r="CM494" s="20">
        <v>114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20">
        <v>2.5</v>
      </c>
      <c r="CW494" s="20">
        <v>3</v>
      </c>
      <c r="CX494" s="20">
        <v>2.5</v>
      </c>
      <c r="CY494" s="20">
        <v>3.5</v>
      </c>
      <c r="CZ494" s="8">
        <v>200</v>
      </c>
      <c r="DA494" s="6">
        <f t="shared" si="1158"/>
        <v>10000</v>
      </c>
      <c r="DB494" s="5">
        <v>1</v>
      </c>
      <c r="DC494" s="20">
        <f t="shared" si="1146"/>
        <v>1.5750000000000002</v>
      </c>
      <c r="DD494" s="6">
        <f t="shared" si="1159"/>
        <v>0.52500000000000002</v>
      </c>
      <c r="DE494" s="6">
        <v>1</v>
      </c>
      <c r="DF494" s="5">
        <v>0</v>
      </c>
      <c r="DG494" s="6">
        <v>2.5</v>
      </c>
      <c r="DH494" s="5">
        <v>0</v>
      </c>
      <c r="DI494" s="8">
        <v>0</v>
      </c>
      <c r="DJ494" s="5">
        <v>0</v>
      </c>
      <c r="DK494" s="8">
        <v>0</v>
      </c>
      <c r="DL494" s="5">
        <f t="shared" si="1116"/>
        <v>0</v>
      </c>
      <c r="DM494" s="5" t="str">
        <f t="shared" si="1148"/>
        <v>2级毒龙</v>
      </c>
      <c r="DN494" s="5">
        <v>6</v>
      </c>
      <c r="DO494" s="5">
        <v>0</v>
      </c>
      <c r="DP494" s="5">
        <v>1</v>
      </c>
      <c r="DQ494" s="5">
        <v>1</v>
      </c>
      <c r="DR494" s="5">
        <v>2.5</v>
      </c>
      <c r="DS494" s="6">
        <v>3.5</v>
      </c>
      <c r="DT494" s="5">
        <v>-0.6</v>
      </c>
      <c r="DU494" s="5">
        <v>0.8</v>
      </c>
      <c r="DV494" s="6">
        <v>0.5</v>
      </c>
      <c r="DW494" s="5">
        <f t="shared" si="1160"/>
        <v>0.66666666666666663</v>
      </c>
      <c r="DX494" s="5">
        <v>8</v>
      </c>
      <c r="DY494" s="5">
        <f t="shared" si="1161"/>
        <v>0</v>
      </c>
      <c r="DZ494" s="5">
        <v>0</v>
      </c>
    </row>
    <row r="495" spans="1:130" x14ac:dyDescent="0.15">
      <c r="A495" s="5">
        <v>201493</v>
      </c>
      <c r="B495" s="28" t="s">
        <v>818</v>
      </c>
      <c r="C495" s="27">
        <v>35</v>
      </c>
      <c r="D495" s="27">
        <v>1</v>
      </c>
      <c r="E495" s="27">
        <v>3</v>
      </c>
      <c r="F495" s="5">
        <v>2</v>
      </c>
      <c r="G495" s="46">
        <f t="shared" si="1162"/>
        <v>5.8099999999999929E-2</v>
      </c>
      <c r="H495" s="27"/>
      <c r="I495" s="27" t="s">
        <v>975</v>
      </c>
      <c r="J495" s="27"/>
      <c r="K495" s="5">
        <f t="shared" si="1136"/>
        <v>0.02</v>
      </c>
      <c r="L495" s="10">
        <f t="shared" ref="L495:L502" si="1185">L494</f>
        <v>0</v>
      </c>
      <c r="M495" s="5">
        <f t="shared" si="1137"/>
        <v>0.16999999999999998</v>
      </c>
      <c r="N495" s="10">
        <v>3</v>
      </c>
      <c r="O495" s="5">
        <v>0</v>
      </c>
      <c r="P495" s="5">
        <f t="shared" si="1139"/>
        <v>0.2</v>
      </c>
      <c r="Q495" s="5">
        <v>2</v>
      </c>
      <c r="R495" s="5">
        <f t="shared" si="1163"/>
        <v>903929</v>
      </c>
      <c r="S495" s="5">
        <v>30</v>
      </c>
      <c r="T495" s="5">
        <v>10</v>
      </c>
      <c r="U495" s="5">
        <v>0.3</v>
      </c>
      <c r="V495" s="5">
        <v>0.15</v>
      </c>
      <c r="W495" s="5">
        <v>9</v>
      </c>
      <c r="X495" s="5">
        <v>-0.6</v>
      </c>
      <c r="Y495" s="5">
        <v>1.8</v>
      </c>
      <c r="Z495" s="27" t="s">
        <v>1038</v>
      </c>
      <c r="AA495" s="5">
        <v>3</v>
      </c>
      <c r="AB495" s="5">
        <v>2</v>
      </c>
      <c r="AC495" s="5">
        <v>6</v>
      </c>
      <c r="AD495" s="27" t="s">
        <v>1039</v>
      </c>
      <c r="AE495" s="20">
        <v>123</v>
      </c>
      <c r="AF495" s="5">
        <f t="shared" si="1164"/>
        <v>903945</v>
      </c>
      <c r="AG495" s="5">
        <v>60</v>
      </c>
      <c r="AH495" s="5">
        <f t="shared" si="1140"/>
        <v>0.1</v>
      </c>
      <c r="AI495" s="5">
        <v>2</v>
      </c>
      <c r="AJ495" s="5">
        <v>1</v>
      </c>
      <c r="AK495" s="5">
        <f t="shared" si="1165"/>
        <v>15</v>
      </c>
      <c r="AL495" s="5">
        <f t="shared" si="1141"/>
        <v>45</v>
      </c>
      <c r="AM495" s="5">
        <f t="shared" si="1142"/>
        <v>54</v>
      </c>
      <c r="AN495" s="8">
        <v>5</v>
      </c>
      <c r="AO495" s="5">
        <v>1</v>
      </c>
      <c r="AP495" s="28" t="s">
        <v>818</v>
      </c>
      <c r="AQ495" s="5">
        <v>0</v>
      </c>
      <c r="AR495" s="8">
        <v>0</v>
      </c>
      <c r="AS495" s="6">
        <f t="shared" si="1117"/>
        <v>0</v>
      </c>
      <c r="AT495" s="6">
        <f t="shared" si="1118"/>
        <v>9</v>
      </c>
      <c r="AU495" s="5">
        <v>0</v>
      </c>
      <c r="AV495" s="5">
        <v>0</v>
      </c>
      <c r="AW495" s="5">
        <v>0</v>
      </c>
      <c r="AX495" s="5">
        <v>1</v>
      </c>
      <c r="AY495" s="5">
        <v>0</v>
      </c>
      <c r="AZ495" s="5">
        <v>201493</v>
      </c>
      <c r="BA495" s="5">
        <f t="shared" si="1166"/>
        <v>203051</v>
      </c>
      <c r="BB495" s="5">
        <v>10</v>
      </c>
      <c r="BC495" s="5">
        <v>0</v>
      </c>
      <c r="BD495" s="5">
        <v>1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f t="shared" si="1110"/>
        <v>1</v>
      </c>
      <c r="BM495" s="5">
        <v>0</v>
      </c>
      <c r="BN495" s="5">
        <v>0</v>
      </c>
      <c r="BO495" s="5">
        <v>0</v>
      </c>
      <c r="BP495" s="5">
        <v>0</v>
      </c>
      <c r="BQ495" s="5"/>
      <c r="BR495" s="5"/>
      <c r="BS495" s="4">
        <v>0</v>
      </c>
      <c r="BT495" s="4">
        <f t="shared" si="1143"/>
        <v>3</v>
      </c>
      <c r="BU495" s="17">
        <v>83</v>
      </c>
      <c r="BV495" s="4">
        <f t="shared" ref="BV495:BY495" si="1186">BV485</f>
        <v>3</v>
      </c>
      <c r="BW495" s="4">
        <f t="shared" si="1186"/>
        <v>3</v>
      </c>
      <c r="BX495" s="4">
        <f t="shared" si="1186"/>
        <v>0.71</v>
      </c>
      <c r="BY495" s="4">
        <f t="shared" si="1186"/>
        <v>0.45000000000000007</v>
      </c>
      <c r="BZ495" s="27" t="s">
        <v>1009</v>
      </c>
      <c r="CA495" s="30" t="str">
        <f t="shared" si="1168"/>
        <v>3</v>
      </c>
      <c r="CB495" s="30" t="s">
        <v>917</v>
      </c>
      <c r="CC495" s="5">
        <v>0</v>
      </c>
      <c r="CD495" s="8">
        <v>3</v>
      </c>
      <c r="CE495" s="5">
        <f t="shared" si="1145"/>
        <v>3</v>
      </c>
      <c r="CF495" s="5">
        <v>1</v>
      </c>
      <c r="CG495" s="27" t="str">
        <f t="shared" si="1151"/>
        <v>3级毒龙</v>
      </c>
      <c r="CH495" s="5">
        <v>0</v>
      </c>
      <c r="CI495" s="5">
        <v>0</v>
      </c>
      <c r="CJ495" s="4">
        <v>0</v>
      </c>
      <c r="CK495" s="20">
        <v>0</v>
      </c>
      <c r="CL495" s="5">
        <v>0</v>
      </c>
      <c r="CM495" s="20">
        <v>114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0</v>
      </c>
      <c r="CV495" s="20">
        <v>2.5</v>
      </c>
      <c r="CW495" s="20">
        <v>3</v>
      </c>
      <c r="CX495" s="20">
        <v>2.5</v>
      </c>
      <c r="CY495" s="20">
        <v>3.5</v>
      </c>
      <c r="CZ495" s="8">
        <v>200</v>
      </c>
      <c r="DA495" s="6">
        <f t="shared" si="1158"/>
        <v>15000</v>
      </c>
      <c r="DB495" s="5">
        <v>1</v>
      </c>
      <c r="DC495" s="20">
        <f t="shared" si="1146"/>
        <v>1.6500000000000001</v>
      </c>
      <c r="DD495" s="6">
        <f t="shared" si="1159"/>
        <v>0.55000000000000004</v>
      </c>
      <c r="DE495" s="6">
        <v>1</v>
      </c>
      <c r="DF495" s="5">
        <v>0</v>
      </c>
      <c r="DG495" s="6">
        <v>2.5</v>
      </c>
      <c r="DH495" s="5">
        <v>0</v>
      </c>
      <c r="DI495" s="8">
        <v>0</v>
      </c>
      <c r="DJ495" s="5">
        <v>0</v>
      </c>
      <c r="DK495" s="8">
        <v>0</v>
      </c>
      <c r="DL495" s="5">
        <f t="shared" si="1116"/>
        <v>0</v>
      </c>
      <c r="DM495" s="5" t="str">
        <f t="shared" si="1148"/>
        <v>3级毒龙</v>
      </c>
      <c r="DN495" s="5">
        <v>6</v>
      </c>
      <c r="DO495" s="5">
        <v>0</v>
      </c>
      <c r="DP495" s="5">
        <v>1</v>
      </c>
      <c r="DQ495" s="5">
        <v>1</v>
      </c>
      <c r="DR495" s="5">
        <v>2.5</v>
      </c>
      <c r="DS495" s="6">
        <v>3.5</v>
      </c>
      <c r="DT495" s="5">
        <v>-0.6</v>
      </c>
      <c r="DU495" s="5">
        <v>0.8</v>
      </c>
      <c r="DV495" s="6">
        <v>0.5</v>
      </c>
      <c r="DW495" s="5">
        <f t="shared" si="1160"/>
        <v>0.66666666666666663</v>
      </c>
      <c r="DX495" s="5">
        <v>8</v>
      </c>
      <c r="DY495" s="5">
        <f t="shared" si="1161"/>
        <v>0</v>
      </c>
      <c r="DZ495" s="5">
        <v>0</v>
      </c>
    </row>
    <row r="496" spans="1:130" x14ac:dyDescent="0.15">
      <c r="A496" s="5">
        <v>201494</v>
      </c>
      <c r="B496" s="28" t="s">
        <v>819</v>
      </c>
      <c r="C496" s="27">
        <v>35</v>
      </c>
      <c r="D496" s="27">
        <v>1</v>
      </c>
      <c r="E496" s="27">
        <v>3</v>
      </c>
      <c r="F496" s="5">
        <v>2</v>
      </c>
      <c r="G496" s="46">
        <f t="shared" si="1162"/>
        <v>5.8099999999999929E-2</v>
      </c>
      <c r="H496" s="27"/>
      <c r="I496" s="27" t="s">
        <v>975</v>
      </c>
      <c r="J496" s="27"/>
      <c r="K496" s="5">
        <f t="shared" si="1136"/>
        <v>0.03</v>
      </c>
      <c r="L496" s="10">
        <f t="shared" si="1185"/>
        <v>0</v>
      </c>
      <c r="M496" s="5">
        <f t="shared" si="1137"/>
        <v>0.18</v>
      </c>
      <c r="N496" s="10">
        <v>3</v>
      </c>
      <c r="O496" s="5">
        <v>0</v>
      </c>
      <c r="P496" s="5">
        <f t="shared" si="1139"/>
        <v>0.2</v>
      </c>
      <c r="Q496" s="5">
        <v>2</v>
      </c>
      <c r="R496" s="5">
        <f t="shared" si="1163"/>
        <v>903929</v>
      </c>
      <c r="S496" s="5">
        <v>30</v>
      </c>
      <c r="T496" s="5">
        <v>10</v>
      </c>
      <c r="U496" s="5">
        <v>0.3</v>
      </c>
      <c r="V496" s="5">
        <v>0.15</v>
      </c>
      <c r="W496" s="5">
        <v>9</v>
      </c>
      <c r="X496" s="5">
        <v>-0.6</v>
      </c>
      <c r="Y496" s="5">
        <v>1.8</v>
      </c>
      <c r="Z496" s="27" t="s">
        <v>1038</v>
      </c>
      <c r="AA496" s="5">
        <v>3</v>
      </c>
      <c r="AB496" s="5">
        <v>2</v>
      </c>
      <c r="AC496" s="5">
        <v>6</v>
      </c>
      <c r="AD496" s="27" t="s">
        <v>1039</v>
      </c>
      <c r="AE496" s="20">
        <v>123</v>
      </c>
      <c r="AF496" s="5">
        <f t="shared" si="1164"/>
        <v>903945</v>
      </c>
      <c r="AG496" s="5">
        <v>60</v>
      </c>
      <c r="AH496" s="5">
        <f t="shared" si="1140"/>
        <v>0.1</v>
      </c>
      <c r="AI496" s="5">
        <v>2</v>
      </c>
      <c r="AJ496" s="5">
        <v>1</v>
      </c>
      <c r="AK496" s="5">
        <f t="shared" si="1165"/>
        <v>20</v>
      </c>
      <c r="AL496" s="5">
        <f t="shared" si="1141"/>
        <v>60</v>
      </c>
      <c r="AM496" s="5">
        <f t="shared" si="1142"/>
        <v>72</v>
      </c>
      <c r="AN496" s="8">
        <v>5</v>
      </c>
      <c r="AO496" s="5">
        <v>1</v>
      </c>
      <c r="AP496" s="28" t="s">
        <v>819</v>
      </c>
      <c r="AQ496" s="5">
        <v>0</v>
      </c>
      <c r="AR496" s="8">
        <v>0</v>
      </c>
      <c r="AS496" s="6">
        <f t="shared" si="1117"/>
        <v>0</v>
      </c>
      <c r="AT496" s="6">
        <f t="shared" si="1118"/>
        <v>12</v>
      </c>
      <c r="AU496" s="5">
        <v>0</v>
      </c>
      <c r="AV496" s="5">
        <v>0</v>
      </c>
      <c r="AW496" s="5">
        <v>0</v>
      </c>
      <c r="AX496" s="5">
        <v>1</v>
      </c>
      <c r="AY496" s="5">
        <v>0</v>
      </c>
      <c r="AZ496" s="5">
        <v>201494</v>
      </c>
      <c r="BA496" s="5">
        <f t="shared" si="1166"/>
        <v>203051</v>
      </c>
      <c r="BB496" s="5">
        <v>10</v>
      </c>
      <c r="BC496" s="5">
        <v>0</v>
      </c>
      <c r="BD496" s="5">
        <v>1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f t="shared" si="1110"/>
        <v>1</v>
      </c>
      <c r="BM496" s="5">
        <v>0</v>
      </c>
      <c r="BN496" s="5">
        <v>0</v>
      </c>
      <c r="BO496" s="5">
        <v>0</v>
      </c>
      <c r="BP496" s="5">
        <v>0</v>
      </c>
      <c r="BQ496" s="5"/>
      <c r="BR496" s="5"/>
      <c r="BS496" s="4">
        <v>0</v>
      </c>
      <c r="BT496" s="4">
        <f t="shared" si="1143"/>
        <v>4</v>
      </c>
      <c r="BU496" s="17">
        <v>84</v>
      </c>
      <c r="BV496" s="4">
        <f t="shared" ref="BV496:BY496" si="1187">BV486</f>
        <v>4</v>
      </c>
      <c r="BW496" s="4">
        <f t="shared" si="1187"/>
        <v>4</v>
      </c>
      <c r="BX496" s="4">
        <f t="shared" si="1187"/>
        <v>0.6399999999999999</v>
      </c>
      <c r="BY496" s="4">
        <f t="shared" si="1187"/>
        <v>0.4</v>
      </c>
      <c r="BZ496" s="27" t="s">
        <v>1009</v>
      </c>
      <c r="CA496" s="30" t="str">
        <f t="shared" si="1168"/>
        <v>4</v>
      </c>
      <c r="CB496" s="30" t="s">
        <v>917</v>
      </c>
      <c r="CC496" s="5">
        <v>0</v>
      </c>
      <c r="CD496" s="8">
        <v>3</v>
      </c>
      <c r="CE496" s="5">
        <f t="shared" si="1145"/>
        <v>4</v>
      </c>
      <c r="CF496" s="5">
        <v>1</v>
      </c>
      <c r="CG496" s="27" t="str">
        <f t="shared" si="1151"/>
        <v>4级毒龙</v>
      </c>
      <c r="CH496" s="5">
        <v>0</v>
      </c>
      <c r="CI496" s="5">
        <v>0</v>
      </c>
      <c r="CJ496" s="4">
        <v>0</v>
      </c>
      <c r="CK496" s="20">
        <v>0</v>
      </c>
      <c r="CL496" s="5">
        <v>0</v>
      </c>
      <c r="CM496" s="20">
        <v>114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20">
        <v>2.5</v>
      </c>
      <c r="CW496" s="20">
        <v>3</v>
      </c>
      <c r="CX496" s="20">
        <v>2.5</v>
      </c>
      <c r="CY496" s="20">
        <v>3.5</v>
      </c>
      <c r="CZ496" s="8">
        <v>200</v>
      </c>
      <c r="DA496" s="6">
        <f t="shared" si="1158"/>
        <v>20000</v>
      </c>
      <c r="DB496" s="5">
        <v>1</v>
      </c>
      <c r="DC496" s="20">
        <f t="shared" si="1146"/>
        <v>1.7249999999999999</v>
      </c>
      <c r="DD496" s="6">
        <f t="shared" si="1159"/>
        <v>0.57499999999999996</v>
      </c>
      <c r="DE496" s="6">
        <v>1</v>
      </c>
      <c r="DF496" s="5">
        <v>0</v>
      </c>
      <c r="DG496" s="6">
        <v>2.5</v>
      </c>
      <c r="DH496" s="5">
        <v>0</v>
      </c>
      <c r="DI496" s="8">
        <v>0</v>
      </c>
      <c r="DJ496" s="5">
        <v>0</v>
      </c>
      <c r="DK496" s="8">
        <v>0</v>
      </c>
      <c r="DL496" s="5">
        <f t="shared" si="1116"/>
        <v>0</v>
      </c>
      <c r="DM496" s="5" t="str">
        <f t="shared" si="1148"/>
        <v>4级毒龙</v>
      </c>
      <c r="DN496" s="5">
        <v>6</v>
      </c>
      <c r="DO496" s="5">
        <v>0</v>
      </c>
      <c r="DP496" s="5">
        <v>1</v>
      </c>
      <c r="DQ496" s="5">
        <v>1</v>
      </c>
      <c r="DR496" s="5">
        <v>2.5</v>
      </c>
      <c r="DS496" s="6">
        <v>3.5</v>
      </c>
      <c r="DT496" s="5">
        <v>-0.6</v>
      </c>
      <c r="DU496" s="5">
        <v>0.8</v>
      </c>
      <c r="DV496" s="6">
        <v>0.5</v>
      </c>
      <c r="DW496" s="5">
        <f t="shared" si="1160"/>
        <v>0.66666666666666663</v>
      </c>
      <c r="DX496" s="5">
        <v>8</v>
      </c>
      <c r="DY496" s="5">
        <f t="shared" si="1161"/>
        <v>0</v>
      </c>
      <c r="DZ496" s="5">
        <v>0</v>
      </c>
    </row>
    <row r="497" spans="1:130" x14ac:dyDescent="0.15">
      <c r="A497" s="5">
        <v>201495</v>
      </c>
      <c r="B497" s="28" t="s">
        <v>820</v>
      </c>
      <c r="C497" s="27">
        <v>35</v>
      </c>
      <c r="D497" s="27">
        <v>1</v>
      </c>
      <c r="E497" s="27">
        <v>3</v>
      </c>
      <c r="F497" s="5">
        <v>2</v>
      </c>
      <c r="G497" s="46">
        <f t="shared" si="1162"/>
        <v>5.8099999999999929E-2</v>
      </c>
      <c r="H497" s="27"/>
      <c r="I497" s="27" t="s">
        <v>975</v>
      </c>
      <c r="J497" s="27"/>
      <c r="K497" s="5">
        <f t="shared" si="1136"/>
        <v>0.04</v>
      </c>
      <c r="L497" s="10">
        <f t="shared" si="1185"/>
        <v>0</v>
      </c>
      <c r="M497" s="5">
        <f t="shared" si="1137"/>
        <v>0.19</v>
      </c>
      <c r="N497" s="10">
        <v>3</v>
      </c>
      <c r="O497" s="5">
        <v>0</v>
      </c>
      <c r="P497" s="5">
        <f t="shared" si="1139"/>
        <v>0.2</v>
      </c>
      <c r="Q497" s="5">
        <v>2</v>
      </c>
      <c r="R497" s="5">
        <f t="shared" si="1163"/>
        <v>903929</v>
      </c>
      <c r="S497" s="5">
        <v>30</v>
      </c>
      <c r="T497" s="5">
        <v>10</v>
      </c>
      <c r="U497" s="5">
        <v>0.3</v>
      </c>
      <c r="V497" s="5">
        <v>0.15</v>
      </c>
      <c r="W497" s="5">
        <v>9</v>
      </c>
      <c r="X497" s="5">
        <v>-0.6</v>
      </c>
      <c r="Y497" s="5">
        <v>1.8</v>
      </c>
      <c r="Z497" s="27" t="s">
        <v>1038</v>
      </c>
      <c r="AA497" s="5">
        <v>3</v>
      </c>
      <c r="AB497" s="5">
        <v>2</v>
      </c>
      <c r="AC497" s="5">
        <v>6</v>
      </c>
      <c r="AD497" s="27" t="s">
        <v>1039</v>
      </c>
      <c r="AE497" s="20">
        <v>123</v>
      </c>
      <c r="AF497" s="5">
        <f t="shared" si="1164"/>
        <v>903945</v>
      </c>
      <c r="AG497" s="5">
        <v>60</v>
      </c>
      <c r="AH497" s="5">
        <f t="shared" si="1140"/>
        <v>0.1</v>
      </c>
      <c r="AI497" s="5">
        <v>2</v>
      </c>
      <c r="AJ497" s="5">
        <v>1</v>
      </c>
      <c r="AK497" s="5">
        <f t="shared" si="1165"/>
        <v>25</v>
      </c>
      <c r="AL497" s="5">
        <f t="shared" si="1141"/>
        <v>75</v>
      </c>
      <c r="AM497" s="5">
        <f t="shared" si="1142"/>
        <v>90</v>
      </c>
      <c r="AN497" s="8">
        <v>5</v>
      </c>
      <c r="AO497" s="5">
        <v>1</v>
      </c>
      <c r="AP497" s="28" t="s">
        <v>820</v>
      </c>
      <c r="AQ497" s="5">
        <v>0</v>
      </c>
      <c r="AR497" s="8">
        <v>0</v>
      </c>
      <c r="AS497" s="6">
        <f t="shared" si="1117"/>
        <v>0</v>
      </c>
      <c r="AT497" s="6">
        <f t="shared" si="1118"/>
        <v>15</v>
      </c>
      <c r="AU497" s="5">
        <v>0</v>
      </c>
      <c r="AV497" s="5">
        <v>0</v>
      </c>
      <c r="AW497" s="5">
        <v>0</v>
      </c>
      <c r="AX497" s="5">
        <v>1</v>
      </c>
      <c r="AY497" s="5">
        <v>0</v>
      </c>
      <c r="AZ497" s="5">
        <v>201495</v>
      </c>
      <c r="BA497" s="5">
        <f t="shared" si="1166"/>
        <v>203051</v>
      </c>
      <c r="BB497" s="5">
        <v>10</v>
      </c>
      <c r="BC497" s="5">
        <v>0</v>
      </c>
      <c r="BD497" s="5">
        <v>1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f t="shared" si="1110"/>
        <v>1</v>
      </c>
      <c r="BM497" s="5">
        <v>0</v>
      </c>
      <c r="BN497" s="5">
        <v>0</v>
      </c>
      <c r="BO497" s="5">
        <v>0</v>
      </c>
      <c r="BP497" s="5">
        <v>0</v>
      </c>
      <c r="BQ497" s="5"/>
      <c r="BR497" s="5"/>
      <c r="BS497" s="4">
        <v>0</v>
      </c>
      <c r="BT497" s="4">
        <f t="shared" si="1143"/>
        <v>5</v>
      </c>
      <c r="BU497" s="17">
        <v>85</v>
      </c>
      <c r="BV497" s="4">
        <f t="shared" ref="BV497:BY497" si="1188">BV487</f>
        <v>5</v>
      </c>
      <c r="BW497" s="4">
        <f t="shared" si="1188"/>
        <v>5</v>
      </c>
      <c r="BX497" s="4">
        <f t="shared" si="1188"/>
        <v>0.56999999999999995</v>
      </c>
      <c r="BY497" s="4">
        <f t="shared" si="1188"/>
        <v>0.35000000000000003</v>
      </c>
      <c r="BZ497" s="27" t="s">
        <v>1009</v>
      </c>
      <c r="CA497" s="30" t="str">
        <f t="shared" si="1168"/>
        <v>5</v>
      </c>
      <c r="CB497" s="30" t="s">
        <v>917</v>
      </c>
      <c r="CC497" s="5">
        <v>0</v>
      </c>
      <c r="CD497" s="8">
        <v>3</v>
      </c>
      <c r="CE497" s="5">
        <f t="shared" si="1145"/>
        <v>5</v>
      </c>
      <c r="CF497" s="5">
        <v>1</v>
      </c>
      <c r="CG497" s="27" t="str">
        <f t="shared" si="1151"/>
        <v>5级毒龙</v>
      </c>
      <c r="CH497" s="5">
        <v>0</v>
      </c>
      <c r="CI497" s="5">
        <v>0</v>
      </c>
      <c r="CJ497" s="4">
        <v>0</v>
      </c>
      <c r="CK497" s="20">
        <v>0</v>
      </c>
      <c r="CL497" s="5">
        <v>0</v>
      </c>
      <c r="CM497" s="20">
        <v>114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20">
        <v>2.5</v>
      </c>
      <c r="CW497" s="20">
        <v>3</v>
      </c>
      <c r="CX497" s="20">
        <v>2.5</v>
      </c>
      <c r="CY497" s="20">
        <v>3.5</v>
      </c>
      <c r="CZ497" s="8">
        <v>200</v>
      </c>
      <c r="DA497" s="6">
        <f t="shared" si="1158"/>
        <v>25000</v>
      </c>
      <c r="DB497" s="5">
        <v>1</v>
      </c>
      <c r="DC497" s="20">
        <f t="shared" si="1146"/>
        <v>1.7999999999999998</v>
      </c>
      <c r="DD497" s="6">
        <f t="shared" si="1159"/>
        <v>0.6</v>
      </c>
      <c r="DE497" s="6">
        <v>1</v>
      </c>
      <c r="DF497" s="5">
        <v>0</v>
      </c>
      <c r="DG497" s="6">
        <v>2.5</v>
      </c>
      <c r="DH497" s="5">
        <v>0</v>
      </c>
      <c r="DI497" s="8">
        <v>0</v>
      </c>
      <c r="DJ497" s="5">
        <v>0</v>
      </c>
      <c r="DK497" s="8">
        <v>0</v>
      </c>
      <c r="DL497" s="5">
        <f t="shared" si="1116"/>
        <v>0</v>
      </c>
      <c r="DM497" s="5" t="str">
        <f t="shared" si="1148"/>
        <v>5级毒龙</v>
      </c>
      <c r="DN497" s="5">
        <v>6</v>
      </c>
      <c r="DO497" s="5">
        <v>0</v>
      </c>
      <c r="DP497" s="5">
        <v>1</v>
      </c>
      <c r="DQ497" s="5">
        <v>1</v>
      </c>
      <c r="DR497" s="5">
        <v>2.5</v>
      </c>
      <c r="DS497" s="6">
        <v>3.5</v>
      </c>
      <c r="DT497" s="5">
        <v>-0.6</v>
      </c>
      <c r="DU497" s="5">
        <v>0.8</v>
      </c>
      <c r="DV497" s="6">
        <v>0.5</v>
      </c>
      <c r="DW497" s="5">
        <f t="shared" si="1160"/>
        <v>0.66666666666666663</v>
      </c>
      <c r="DX497" s="5">
        <v>8</v>
      </c>
      <c r="DY497" s="5">
        <f t="shared" si="1161"/>
        <v>0</v>
      </c>
      <c r="DZ497" s="5">
        <v>0</v>
      </c>
    </row>
    <row r="498" spans="1:130" x14ac:dyDescent="0.15">
      <c r="A498" s="5">
        <v>201496</v>
      </c>
      <c r="B498" s="28" t="s">
        <v>821</v>
      </c>
      <c r="C498" s="27">
        <v>35</v>
      </c>
      <c r="D498" s="27">
        <v>1</v>
      </c>
      <c r="E498" s="27">
        <v>3</v>
      </c>
      <c r="F498" s="5">
        <v>2</v>
      </c>
      <c r="G498" s="46">
        <f t="shared" si="1162"/>
        <v>5.8099999999999929E-2</v>
      </c>
      <c r="H498" s="27"/>
      <c r="I498" s="27" t="s">
        <v>975</v>
      </c>
      <c r="J498" s="27"/>
      <c r="K498" s="5">
        <f t="shared" si="1136"/>
        <v>0.05</v>
      </c>
      <c r="L498" s="10">
        <f t="shared" si="1185"/>
        <v>0</v>
      </c>
      <c r="M498" s="5">
        <f t="shared" si="1137"/>
        <v>0.2</v>
      </c>
      <c r="N498" s="10">
        <v>3</v>
      </c>
      <c r="O498" s="5">
        <v>0</v>
      </c>
      <c r="P498" s="5">
        <f t="shared" si="1139"/>
        <v>0.2</v>
      </c>
      <c r="Q498" s="5">
        <v>2</v>
      </c>
      <c r="R498" s="5">
        <f t="shared" si="1163"/>
        <v>903929</v>
      </c>
      <c r="S498" s="5">
        <v>30</v>
      </c>
      <c r="T498" s="5">
        <v>10</v>
      </c>
      <c r="U498" s="5">
        <v>0.3</v>
      </c>
      <c r="V498" s="5">
        <v>0.15</v>
      </c>
      <c r="W498" s="5">
        <v>9</v>
      </c>
      <c r="X498" s="5">
        <v>-0.6</v>
      </c>
      <c r="Y498" s="5">
        <v>1.8</v>
      </c>
      <c r="Z498" s="27" t="s">
        <v>1038</v>
      </c>
      <c r="AA498" s="5">
        <v>3</v>
      </c>
      <c r="AB498" s="5">
        <v>2</v>
      </c>
      <c r="AC498" s="5">
        <v>6</v>
      </c>
      <c r="AD498" s="27" t="s">
        <v>1039</v>
      </c>
      <c r="AE498" s="20">
        <v>123</v>
      </c>
      <c r="AF498" s="5">
        <f t="shared" si="1164"/>
        <v>903945</v>
      </c>
      <c r="AG498" s="5">
        <v>60</v>
      </c>
      <c r="AH498" s="5">
        <f t="shared" si="1140"/>
        <v>0.1</v>
      </c>
      <c r="AI498" s="5">
        <v>2</v>
      </c>
      <c r="AJ498" s="5">
        <v>1</v>
      </c>
      <c r="AK498" s="5">
        <f t="shared" si="1165"/>
        <v>30</v>
      </c>
      <c r="AL498" s="5">
        <f t="shared" si="1141"/>
        <v>90</v>
      </c>
      <c r="AM498" s="5">
        <f t="shared" si="1142"/>
        <v>108</v>
      </c>
      <c r="AN498" s="8">
        <v>5</v>
      </c>
      <c r="AO498" s="5">
        <v>1</v>
      </c>
      <c r="AP498" s="28" t="s">
        <v>821</v>
      </c>
      <c r="AQ498" s="5">
        <v>0</v>
      </c>
      <c r="AR498" s="8">
        <v>0</v>
      </c>
      <c r="AS498" s="6">
        <f t="shared" si="1117"/>
        <v>0</v>
      </c>
      <c r="AT498" s="6">
        <f t="shared" si="1118"/>
        <v>18</v>
      </c>
      <c r="AU498" s="5">
        <v>0</v>
      </c>
      <c r="AV498" s="5">
        <v>0</v>
      </c>
      <c r="AW498" s="5">
        <v>0</v>
      </c>
      <c r="AX498" s="5">
        <v>1</v>
      </c>
      <c r="AY498" s="5">
        <v>0</v>
      </c>
      <c r="AZ498" s="5">
        <v>201496</v>
      </c>
      <c r="BA498" s="5">
        <f t="shared" si="1166"/>
        <v>203051</v>
      </c>
      <c r="BB498" s="5">
        <v>10</v>
      </c>
      <c r="BC498" s="5">
        <v>0</v>
      </c>
      <c r="BD498" s="5">
        <v>1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f t="shared" si="1110"/>
        <v>1</v>
      </c>
      <c r="BM498" s="5">
        <v>0</v>
      </c>
      <c r="BN498" s="5">
        <v>0</v>
      </c>
      <c r="BO498" s="5">
        <v>0</v>
      </c>
      <c r="BP498" s="5">
        <v>0</v>
      </c>
      <c r="BQ498" s="5"/>
      <c r="BR498" s="5"/>
      <c r="BS498" s="4">
        <v>0</v>
      </c>
      <c r="BT498" s="4">
        <f t="shared" si="1143"/>
        <v>6</v>
      </c>
      <c r="BU498" s="17">
        <v>86</v>
      </c>
      <c r="BV498" s="4">
        <f t="shared" ref="BV498:BY498" si="1189">BV488</f>
        <v>6</v>
      </c>
      <c r="BW498" s="4">
        <f t="shared" si="1189"/>
        <v>6</v>
      </c>
      <c r="BX498" s="4">
        <f t="shared" si="1189"/>
        <v>0.49999999999999994</v>
      </c>
      <c r="BY498" s="4">
        <f t="shared" si="1189"/>
        <v>0.30000000000000004</v>
      </c>
      <c r="BZ498" s="27" t="s">
        <v>1009</v>
      </c>
      <c r="CA498" s="30" t="str">
        <f t="shared" si="1168"/>
        <v>6</v>
      </c>
      <c r="CB498" s="30" t="s">
        <v>917</v>
      </c>
      <c r="CC498" s="5">
        <v>0</v>
      </c>
      <c r="CD498" s="8">
        <v>3</v>
      </c>
      <c r="CE498" s="5">
        <f t="shared" si="1145"/>
        <v>6</v>
      </c>
      <c r="CF498" s="5">
        <v>1</v>
      </c>
      <c r="CG498" s="27" t="str">
        <f t="shared" si="1151"/>
        <v>6级毒龙</v>
      </c>
      <c r="CH498" s="5">
        <v>0</v>
      </c>
      <c r="CI498" s="5">
        <v>0</v>
      </c>
      <c r="CJ498" s="4">
        <v>0</v>
      </c>
      <c r="CK498" s="20">
        <v>0</v>
      </c>
      <c r="CL498" s="5">
        <v>0</v>
      </c>
      <c r="CM498" s="20">
        <v>114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20">
        <v>2.5</v>
      </c>
      <c r="CW498" s="20">
        <v>3</v>
      </c>
      <c r="CX498" s="20">
        <v>2.5</v>
      </c>
      <c r="CY498" s="20">
        <v>3.5</v>
      </c>
      <c r="CZ498" s="8">
        <v>200</v>
      </c>
      <c r="DA498" s="6">
        <f t="shared" si="1158"/>
        <v>30000</v>
      </c>
      <c r="DB498" s="5">
        <v>1</v>
      </c>
      <c r="DC498" s="20">
        <f t="shared" si="1146"/>
        <v>1.875</v>
      </c>
      <c r="DD498" s="6">
        <f t="shared" si="1159"/>
        <v>0.625</v>
      </c>
      <c r="DE498" s="6">
        <v>1</v>
      </c>
      <c r="DF498" s="5">
        <v>0</v>
      </c>
      <c r="DG498" s="6">
        <v>2.5</v>
      </c>
      <c r="DH498" s="5">
        <v>0</v>
      </c>
      <c r="DI498" s="8">
        <v>0</v>
      </c>
      <c r="DJ498" s="5">
        <v>0</v>
      </c>
      <c r="DK498" s="8">
        <v>0</v>
      </c>
      <c r="DL498" s="5">
        <f t="shared" si="1116"/>
        <v>0</v>
      </c>
      <c r="DM498" s="5" t="str">
        <f t="shared" si="1148"/>
        <v>6级毒龙</v>
      </c>
      <c r="DN498" s="5">
        <v>6</v>
      </c>
      <c r="DO498" s="5">
        <v>0</v>
      </c>
      <c r="DP498" s="5">
        <v>1</v>
      </c>
      <c r="DQ498" s="5">
        <v>1</v>
      </c>
      <c r="DR498" s="5">
        <v>2.5</v>
      </c>
      <c r="DS498" s="6">
        <v>3.5</v>
      </c>
      <c r="DT498" s="5">
        <v>-0.6</v>
      </c>
      <c r="DU498" s="5">
        <v>0.8</v>
      </c>
      <c r="DV498" s="6">
        <v>0.5</v>
      </c>
      <c r="DW498" s="5">
        <f t="shared" si="1160"/>
        <v>0.66666666666666663</v>
      </c>
      <c r="DX498" s="5">
        <v>8</v>
      </c>
      <c r="DY498" s="5">
        <f t="shared" si="1161"/>
        <v>0</v>
      </c>
      <c r="DZ498" s="5">
        <v>0</v>
      </c>
    </row>
    <row r="499" spans="1:130" x14ac:dyDescent="0.15">
      <c r="A499" s="5">
        <v>201497</v>
      </c>
      <c r="B499" s="28" t="s">
        <v>822</v>
      </c>
      <c r="C499" s="27">
        <v>35</v>
      </c>
      <c r="D499" s="27">
        <v>1</v>
      </c>
      <c r="E499" s="27">
        <v>3</v>
      </c>
      <c r="F499" s="5">
        <v>2</v>
      </c>
      <c r="G499" s="46">
        <f t="shared" si="1162"/>
        <v>5.8099999999999929E-2</v>
      </c>
      <c r="H499" s="27"/>
      <c r="I499" s="27" t="s">
        <v>975</v>
      </c>
      <c r="J499" s="27"/>
      <c r="K499" s="5">
        <f t="shared" ref="K499:K530" si="1190">L499*5/100 + 0.01*(BT499-1)</f>
        <v>0.06</v>
      </c>
      <c r="L499" s="10">
        <f t="shared" si="1185"/>
        <v>0</v>
      </c>
      <c r="M499" s="5">
        <f t="shared" ref="M499:M530" si="1191">N499*5/100 + 0.01*(BT499-1)</f>
        <v>0.21</v>
      </c>
      <c r="N499" s="10">
        <v>3</v>
      </c>
      <c r="O499" s="5">
        <v>0</v>
      </c>
      <c r="P499" s="5">
        <f t="shared" si="1139"/>
        <v>0.2</v>
      </c>
      <c r="Q499" s="5">
        <v>2</v>
      </c>
      <c r="R499" s="5">
        <f t="shared" si="1163"/>
        <v>903929</v>
      </c>
      <c r="S499" s="5">
        <v>30</v>
      </c>
      <c r="T499" s="5">
        <v>10</v>
      </c>
      <c r="U499" s="5">
        <v>0.3</v>
      </c>
      <c r="V499" s="5">
        <v>0.15</v>
      </c>
      <c r="W499" s="5">
        <v>9</v>
      </c>
      <c r="X499" s="5">
        <v>-0.6</v>
      </c>
      <c r="Y499" s="5">
        <v>1.8</v>
      </c>
      <c r="Z499" s="27" t="s">
        <v>1038</v>
      </c>
      <c r="AA499" s="5">
        <v>3</v>
      </c>
      <c r="AB499" s="5">
        <v>2</v>
      </c>
      <c r="AC499" s="5">
        <v>6</v>
      </c>
      <c r="AD499" s="27" t="s">
        <v>1039</v>
      </c>
      <c r="AE499" s="20">
        <v>123</v>
      </c>
      <c r="AF499" s="5">
        <f t="shared" si="1164"/>
        <v>903945</v>
      </c>
      <c r="AG499" s="5">
        <v>60</v>
      </c>
      <c r="AH499" s="5">
        <f t="shared" si="1140"/>
        <v>0.1</v>
      </c>
      <c r="AI499" s="5">
        <v>2</v>
      </c>
      <c r="AJ499" s="5">
        <v>1</v>
      </c>
      <c r="AK499" s="5">
        <f t="shared" si="1165"/>
        <v>35</v>
      </c>
      <c r="AL499" s="5">
        <f t="shared" si="1141"/>
        <v>105</v>
      </c>
      <c r="AM499" s="5">
        <f t="shared" si="1142"/>
        <v>126</v>
      </c>
      <c r="AN499" s="8">
        <v>5</v>
      </c>
      <c r="AO499" s="5">
        <v>1</v>
      </c>
      <c r="AP499" s="28" t="s">
        <v>822</v>
      </c>
      <c r="AQ499" s="5">
        <v>0</v>
      </c>
      <c r="AR499" s="8">
        <v>0</v>
      </c>
      <c r="AS499" s="6">
        <f t="shared" si="1117"/>
        <v>0</v>
      </c>
      <c r="AT499" s="6">
        <f t="shared" si="1118"/>
        <v>21</v>
      </c>
      <c r="AU499" s="5">
        <v>0</v>
      </c>
      <c r="AV499" s="5">
        <v>0</v>
      </c>
      <c r="AW499" s="5">
        <v>0</v>
      </c>
      <c r="AX499" s="5">
        <v>1</v>
      </c>
      <c r="AY499" s="5">
        <v>0</v>
      </c>
      <c r="AZ499" s="5">
        <v>201497</v>
      </c>
      <c r="BA499" s="5">
        <f t="shared" si="1166"/>
        <v>203051</v>
      </c>
      <c r="BB499" s="5">
        <v>10</v>
      </c>
      <c r="BC499" s="5">
        <v>0</v>
      </c>
      <c r="BD499" s="5">
        <v>1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f t="shared" si="1110"/>
        <v>1</v>
      </c>
      <c r="BM499" s="5">
        <v>0</v>
      </c>
      <c r="BN499" s="5">
        <v>0</v>
      </c>
      <c r="BO499" s="5">
        <v>0</v>
      </c>
      <c r="BP499" s="5">
        <v>0</v>
      </c>
      <c r="BQ499" s="5"/>
      <c r="BR499" s="5"/>
      <c r="BS499" s="4">
        <v>0</v>
      </c>
      <c r="BT499" s="4">
        <f t="shared" si="1143"/>
        <v>7</v>
      </c>
      <c r="BU499" s="17">
        <v>87</v>
      </c>
      <c r="BV499" s="4">
        <f t="shared" ref="BV499:BY499" si="1192">BV489</f>
        <v>7</v>
      </c>
      <c r="BW499" s="4">
        <f t="shared" si="1192"/>
        <v>7</v>
      </c>
      <c r="BX499" s="4">
        <f t="shared" si="1192"/>
        <v>0.42999999999999994</v>
      </c>
      <c r="BY499" s="4">
        <f t="shared" si="1192"/>
        <v>0.25</v>
      </c>
      <c r="BZ499" s="27" t="s">
        <v>1009</v>
      </c>
      <c r="CA499" s="30" t="str">
        <f t="shared" si="1168"/>
        <v>7</v>
      </c>
      <c r="CB499" s="30" t="s">
        <v>917</v>
      </c>
      <c r="CC499" s="5">
        <v>0</v>
      </c>
      <c r="CD499" s="8">
        <v>3</v>
      </c>
      <c r="CE499" s="5">
        <f t="shared" si="1145"/>
        <v>7</v>
      </c>
      <c r="CF499" s="5">
        <v>1</v>
      </c>
      <c r="CG499" s="27" t="str">
        <f t="shared" si="1151"/>
        <v>7级毒龙</v>
      </c>
      <c r="CH499" s="5">
        <v>0</v>
      </c>
      <c r="CI499" s="5">
        <v>0</v>
      </c>
      <c r="CJ499" s="4">
        <v>0</v>
      </c>
      <c r="CK499" s="20">
        <v>0</v>
      </c>
      <c r="CL499" s="5">
        <v>0</v>
      </c>
      <c r="CM499" s="20">
        <v>114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20">
        <v>2.5</v>
      </c>
      <c r="CW499" s="20">
        <v>3</v>
      </c>
      <c r="CX499" s="20">
        <v>2.5</v>
      </c>
      <c r="CY499" s="20">
        <v>3.5</v>
      </c>
      <c r="CZ499" s="8">
        <v>200</v>
      </c>
      <c r="DA499" s="6">
        <f t="shared" si="1158"/>
        <v>35000</v>
      </c>
      <c r="DB499" s="5">
        <v>1</v>
      </c>
      <c r="DC499" s="20">
        <f t="shared" si="1146"/>
        <v>1.9500000000000002</v>
      </c>
      <c r="DD499" s="6">
        <f t="shared" si="1159"/>
        <v>0.65</v>
      </c>
      <c r="DE499" s="6">
        <v>1</v>
      </c>
      <c r="DF499" s="5">
        <v>0</v>
      </c>
      <c r="DG499" s="6">
        <v>2.5</v>
      </c>
      <c r="DH499" s="5">
        <v>0</v>
      </c>
      <c r="DI499" s="8">
        <v>0</v>
      </c>
      <c r="DJ499" s="5">
        <v>0</v>
      </c>
      <c r="DK499" s="8">
        <v>0</v>
      </c>
      <c r="DL499" s="5">
        <f t="shared" si="1116"/>
        <v>0</v>
      </c>
      <c r="DM499" s="5" t="str">
        <f t="shared" si="1148"/>
        <v>7级毒龙</v>
      </c>
      <c r="DN499" s="5">
        <v>6</v>
      </c>
      <c r="DO499" s="5">
        <v>0</v>
      </c>
      <c r="DP499" s="5">
        <v>1</v>
      </c>
      <c r="DQ499" s="5">
        <v>1</v>
      </c>
      <c r="DR499" s="5">
        <v>2.5</v>
      </c>
      <c r="DS499" s="6">
        <v>3.5</v>
      </c>
      <c r="DT499" s="5">
        <v>-0.6</v>
      </c>
      <c r="DU499" s="5">
        <v>0.8</v>
      </c>
      <c r="DV499" s="6">
        <v>0.5</v>
      </c>
      <c r="DW499" s="5">
        <f t="shared" si="1160"/>
        <v>0.66666666666666663</v>
      </c>
      <c r="DX499" s="5">
        <v>8</v>
      </c>
      <c r="DY499" s="5">
        <f t="shared" si="1161"/>
        <v>0</v>
      </c>
      <c r="DZ499" s="5">
        <v>0</v>
      </c>
    </row>
    <row r="500" spans="1:130" x14ac:dyDescent="0.15">
      <c r="A500" s="5">
        <v>201498</v>
      </c>
      <c r="B500" s="28" t="s">
        <v>823</v>
      </c>
      <c r="C500" s="27">
        <v>35</v>
      </c>
      <c r="D500" s="27">
        <v>1</v>
      </c>
      <c r="E500" s="27">
        <v>3</v>
      </c>
      <c r="F500" s="5">
        <v>2</v>
      </c>
      <c r="G500" s="46">
        <f t="shared" si="1162"/>
        <v>5.8099999999999929E-2</v>
      </c>
      <c r="H500" s="27"/>
      <c r="I500" s="27" t="s">
        <v>975</v>
      </c>
      <c r="J500" s="27"/>
      <c r="K500" s="5">
        <f t="shared" si="1190"/>
        <v>7.0000000000000007E-2</v>
      </c>
      <c r="L500" s="10">
        <f t="shared" si="1185"/>
        <v>0</v>
      </c>
      <c r="M500" s="5">
        <f t="shared" si="1191"/>
        <v>0.22</v>
      </c>
      <c r="N500" s="10">
        <v>3</v>
      </c>
      <c r="O500" s="5">
        <v>0</v>
      </c>
      <c r="P500" s="5">
        <f t="shared" si="1139"/>
        <v>0.2</v>
      </c>
      <c r="Q500" s="5">
        <v>2</v>
      </c>
      <c r="R500" s="5">
        <f t="shared" si="1163"/>
        <v>903929</v>
      </c>
      <c r="S500" s="5">
        <v>30</v>
      </c>
      <c r="T500" s="5">
        <v>10</v>
      </c>
      <c r="U500" s="5">
        <v>0.3</v>
      </c>
      <c r="V500" s="5">
        <v>0.15</v>
      </c>
      <c r="W500" s="5">
        <v>9</v>
      </c>
      <c r="X500" s="5">
        <v>-0.6</v>
      </c>
      <c r="Y500" s="5">
        <v>1.8</v>
      </c>
      <c r="Z500" s="27" t="s">
        <v>1038</v>
      </c>
      <c r="AA500" s="5">
        <v>3</v>
      </c>
      <c r="AB500" s="5">
        <v>2</v>
      </c>
      <c r="AC500" s="5">
        <v>6</v>
      </c>
      <c r="AD500" s="27" t="s">
        <v>1039</v>
      </c>
      <c r="AE500" s="20">
        <v>123</v>
      </c>
      <c r="AF500" s="5">
        <f t="shared" si="1164"/>
        <v>903945</v>
      </c>
      <c r="AG500" s="5">
        <v>60</v>
      </c>
      <c r="AH500" s="5">
        <f t="shared" si="1140"/>
        <v>0.1</v>
      </c>
      <c r="AI500" s="5">
        <v>2</v>
      </c>
      <c r="AJ500" s="5">
        <v>1</v>
      </c>
      <c r="AK500" s="5">
        <f t="shared" si="1165"/>
        <v>40</v>
      </c>
      <c r="AL500" s="5">
        <f t="shared" si="1141"/>
        <v>120</v>
      </c>
      <c r="AM500" s="5">
        <f t="shared" si="1142"/>
        <v>144</v>
      </c>
      <c r="AN500" s="8">
        <v>5</v>
      </c>
      <c r="AO500" s="5">
        <v>1</v>
      </c>
      <c r="AP500" s="28" t="s">
        <v>823</v>
      </c>
      <c r="AQ500" s="5">
        <v>0</v>
      </c>
      <c r="AR500" s="8">
        <v>0</v>
      </c>
      <c r="AS500" s="6">
        <f t="shared" si="1117"/>
        <v>0</v>
      </c>
      <c r="AT500" s="6">
        <f t="shared" si="1118"/>
        <v>24</v>
      </c>
      <c r="AU500" s="5">
        <v>0</v>
      </c>
      <c r="AV500" s="5">
        <v>0</v>
      </c>
      <c r="AW500" s="5">
        <v>0</v>
      </c>
      <c r="AX500" s="5">
        <v>1</v>
      </c>
      <c r="AY500" s="5">
        <v>0</v>
      </c>
      <c r="AZ500" s="5">
        <v>201498</v>
      </c>
      <c r="BA500" s="5">
        <f t="shared" si="1166"/>
        <v>203051</v>
      </c>
      <c r="BB500" s="5">
        <v>10</v>
      </c>
      <c r="BC500" s="5">
        <v>0</v>
      </c>
      <c r="BD500" s="5">
        <v>1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f t="shared" si="1110"/>
        <v>1</v>
      </c>
      <c r="BM500" s="5">
        <v>0</v>
      </c>
      <c r="BN500" s="5">
        <v>0</v>
      </c>
      <c r="BO500" s="5">
        <v>0</v>
      </c>
      <c r="BP500" s="5">
        <v>0</v>
      </c>
      <c r="BQ500" s="5"/>
      <c r="BR500" s="5"/>
      <c r="BS500" s="4">
        <v>0</v>
      </c>
      <c r="BT500" s="4">
        <f t="shared" si="1143"/>
        <v>8</v>
      </c>
      <c r="BU500" s="17">
        <v>88</v>
      </c>
      <c r="BV500" s="4">
        <f t="shared" ref="BV500:BY500" si="1193">BV490</f>
        <v>8</v>
      </c>
      <c r="BW500" s="4">
        <f t="shared" si="1193"/>
        <v>8</v>
      </c>
      <c r="BX500" s="4">
        <f t="shared" si="1193"/>
        <v>0.35999999999999993</v>
      </c>
      <c r="BY500" s="4">
        <f t="shared" si="1193"/>
        <v>0.2</v>
      </c>
      <c r="BZ500" s="27" t="s">
        <v>1009</v>
      </c>
      <c r="CA500" s="30" t="str">
        <f t="shared" si="1168"/>
        <v>8</v>
      </c>
      <c r="CB500" s="30" t="s">
        <v>917</v>
      </c>
      <c r="CC500" s="5">
        <v>0</v>
      </c>
      <c r="CD500" s="8">
        <v>3</v>
      </c>
      <c r="CE500" s="5">
        <f t="shared" si="1145"/>
        <v>8</v>
      </c>
      <c r="CF500" s="5">
        <v>1</v>
      </c>
      <c r="CG500" s="27" t="str">
        <f t="shared" si="1151"/>
        <v>8级毒龙</v>
      </c>
      <c r="CH500" s="5">
        <v>0</v>
      </c>
      <c r="CI500" s="5">
        <v>0</v>
      </c>
      <c r="CJ500" s="4">
        <v>0</v>
      </c>
      <c r="CK500" s="20">
        <v>0</v>
      </c>
      <c r="CL500" s="5">
        <v>0</v>
      </c>
      <c r="CM500" s="20">
        <v>114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20">
        <v>2.5</v>
      </c>
      <c r="CW500" s="20">
        <v>3</v>
      </c>
      <c r="CX500" s="20">
        <v>2.5</v>
      </c>
      <c r="CY500" s="20">
        <v>3.5</v>
      </c>
      <c r="CZ500" s="8">
        <v>200</v>
      </c>
      <c r="DA500" s="6">
        <f t="shared" si="1158"/>
        <v>40000</v>
      </c>
      <c r="DB500" s="5">
        <v>1</v>
      </c>
      <c r="DC500" s="20">
        <f t="shared" si="1146"/>
        <v>2.0250000000000004</v>
      </c>
      <c r="DD500" s="6">
        <f t="shared" si="1159"/>
        <v>0.67500000000000004</v>
      </c>
      <c r="DE500" s="6">
        <v>1</v>
      </c>
      <c r="DF500" s="5">
        <v>0</v>
      </c>
      <c r="DG500" s="6">
        <v>2.5</v>
      </c>
      <c r="DH500" s="5">
        <v>0</v>
      </c>
      <c r="DI500" s="8">
        <v>0</v>
      </c>
      <c r="DJ500" s="5">
        <v>0</v>
      </c>
      <c r="DK500" s="8">
        <v>0</v>
      </c>
      <c r="DL500" s="5">
        <f t="shared" si="1116"/>
        <v>0</v>
      </c>
      <c r="DM500" s="5" t="str">
        <f t="shared" si="1148"/>
        <v>8级毒龙</v>
      </c>
      <c r="DN500" s="5">
        <v>6</v>
      </c>
      <c r="DO500" s="5">
        <v>0</v>
      </c>
      <c r="DP500" s="5">
        <v>1</v>
      </c>
      <c r="DQ500" s="5">
        <v>1</v>
      </c>
      <c r="DR500" s="5">
        <v>2.5</v>
      </c>
      <c r="DS500" s="6">
        <v>3.5</v>
      </c>
      <c r="DT500" s="5">
        <v>-0.6</v>
      </c>
      <c r="DU500" s="5">
        <v>0.8</v>
      </c>
      <c r="DV500" s="6">
        <v>0.5</v>
      </c>
      <c r="DW500" s="5">
        <f t="shared" si="1160"/>
        <v>0.66666666666666663</v>
      </c>
      <c r="DX500" s="5">
        <v>8</v>
      </c>
      <c r="DY500" s="5">
        <f t="shared" si="1161"/>
        <v>0</v>
      </c>
      <c r="DZ500" s="5">
        <v>0</v>
      </c>
    </row>
    <row r="501" spans="1:130" x14ac:dyDescent="0.15">
      <c r="A501" s="5">
        <v>201499</v>
      </c>
      <c r="B501" s="28" t="s">
        <v>824</v>
      </c>
      <c r="C501" s="27">
        <v>35</v>
      </c>
      <c r="D501" s="27">
        <v>1</v>
      </c>
      <c r="E501" s="27">
        <v>3</v>
      </c>
      <c r="F501" s="5">
        <v>2</v>
      </c>
      <c r="G501" s="46">
        <f t="shared" si="1162"/>
        <v>5.8099999999999929E-2</v>
      </c>
      <c r="H501" s="27"/>
      <c r="I501" s="27" t="s">
        <v>975</v>
      </c>
      <c r="J501" s="27"/>
      <c r="K501" s="5">
        <f t="shared" si="1190"/>
        <v>0.08</v>
      </c>
      <c r="L501" s="10">
        <f t="shared" si="1185"/>
        <v>0</v>
      </c>
      <c r="M501" s="5">
        <f t="shared" si="1191"/>
        <v>0.22999999999999998</v>
      </c>
      <c r="N501" s="10">
        <v>3</v>
      </c>
      <c r="O501" s="5">
        <v>0</v>
      </c>
      <c r="P501" s="5">
        <f t="shared" si="1139"/>
        <v>0.2</v>
      </c>
      <c r="Q501" s="5">
        <v>2</v>
      </c>
      <c r="R501" s="5">
        <f t="shared" si="1163"/>
        <v>903929</v>
      </c>
      <c r="S501" s="5">
        <v>30</v>
      </c>
      <c r="T501" s="5">
        <v>10</v>
      </c>
      <c r="U501" s="5">
        <v>0.3</v>
      </c>
      <c r="V501" s="5">
        <v>0.15</v>
      </c>
      <c r="W501" s="5">
        <v>9</v>
      </c>
      <c r="X501" s="5">
        <v>-0.6</v>
      </c>
      <c r="Y501" s="5">
        <v>1.8</v>
      </c>
      <c r="Z501" s="27" t="s">
        <v>1038</v>
      </c>
      <c r="AA501" s="5">
        <v>3</v>
      </c>
      <c r="AB501" s="5">
        <v>2</v>
      </c>
      <c r="AC501" s="5">
        <v>6</v>
      </c>
      <c r="AD501" s="27" t="s">
        <v>1039</v>
      </c>
      <c r="AE501" s="20">
        <v>123</v>
      </c>
      <c r="AF501" s="5">
        <f t="shared" si="1164"/>
        <v>903945</v>
      </c>
      <c r="AG501" s="5">
        <v>60</v>
      </c>
      <c r="AH501" s="5">
        <f t="shared" si="1140"/>
        <v>0.1</v>
      </c>
      <c r="AI501" s="5">
        <v>2</v>
      </c>
      <c r="AJ501" s="5">
        <v>1</v>
      </c>
      <c r="AK501" s="5">
        <f t="shared" si="1165"/>
        <v>45</v>
      </c>
      <c r="AL501" s="5">
        <f t="shared" si="1141"/>
        <v>135</v>
      </c>
      <c r="AM501" s="5">
        <f t="shared" si="1142"/>
        <v>162</v>
      </c>
      <c r="AN501" s="8">
        <v>5</v>
      </c>
      <c r="AO501" s="5">
        <v>1</v>
      </c>
      <c r="AP501" s="28" t="s">
        <v>824</v>
      </c>
      <c r="AQ501" s="5">
        <v>0</v>
      </c>
      <c r="AR501" s="8">
        <v>0</v>
      </c>
      <c r="AS501" s="6">
        <f t="shared" si="1117"/>
        <v>0</v>
      </c>
      <c r="AT501" s="6">
        <f t="shared" si="1118"/>
        <v>27</v>
      </c>
      <c r="AU501" s="5">
        <v>0</v>
      </c>
      <c r="AV501" s="5">
        <v>0</v>
      </c>
      <c r="AW501" s="5">
        <v>0</v>
      </c>
      <c r="AX501" s="5">
        <v>1</v>
      </c>
      <c r="AY501" s="5">
        <v>0</v>
      </c>
      <c r="AZ501" s="5">
        <v>201499</v>
      </c>
      <c r="BA501" s="5">
        <f t="shared" si="1166"/>
        <v>203051</v>
      </c>
      <c r="BB501" s="5">
        <v>10</v>
      </c>
      <c r="BC501" s="5">
        <v>0</v>
      </c>
      <c r="BD501" s="5">
        <v>1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f t="shared" si="1110"/>
        <v>1</v>
      </c>
      <c r="BM501" s="5">
        <v>0</v>
      </c>
      <c r="BN501" s="5">
        <v>0</v>
      </c>
      <c r="BO501" s="5">
        <v>0</v>
      </c>
      <c r="BP501" s="5">
        <v>0</v>
      </c>
      <c r="BQ501" s="5"/>
      <c r="BR501" s="5"/>
      <c r="BS501" s="4">
        <v>0</v>
      </c>
      <c r="BT501" s="4">
        <f t="shared" si="1143"/>
        <v>9</v>
      </c>
      <c r="BU501" s="17">
        <v>89</v>
      </c>
      <c r="BV501" s="4">
        <f t="shared" ref="BV501:BY501" si="1194">BV491</f>
        <v>9</v>
      </c>
      <c r="BW501" s="4">
        <f t="shared" si="1194"/>
        <v>9</v>
      </c>
      <c r="BX501" s="4">
        <f t="shared" si="1194"/>
        <v>0.28999999999999992</v>
      </c>
      <c r="BY501" s="4">
        <f t="shared" si="1194"/>
        <v>0.15000000000000002</v>
      </c>
      <c r="BZ501" s="27" t="s">
        <v>1009</v>
      </c>
      <c r="CA501" s="30" t="str">
        <f t="shared" si="1168"/>
        <v>9</v>
      </c>
      <c r="CB501" s="30" t="s">
        <v>917</v>
      </c>
      <c r="CC501" s="5">
        <v>0</v>
      </c>
      <c r="CD501" s="8">
        <v>3</v>
      </c>
      <c r="CE501" s="5">
        <f t="shared" si="1145"/>
        <v>9</v>
      </c>
      <c r="CF501" s="5">
        <v>1</v>
      </c>
      <c r="CG501" s="27" t="str">
        <f t="shared" si="1151"/>
        <v>9级毒龙</v>
      </c>
      <c r="CH501" s="5">
        <v>0</v>
      </c>
      <c r="CI501" s="5">
        <v>0</v>
      </c>
      <c r="CJ501" s="4">
        <v>0</v>
      </c>
      <c r="CK501" s="20">
        <v>0</v>
      </c>
      <c r="CL501" s="5">
        <v>0</v>
      </c>
      <c r="CM501" s="20">
        <v>114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20">
        <v>2.5</v>
      </c>
      <c r="CW501" s="20">
        <v>3</v>
      </c>
      <c r="CX501" s="20">
        <v>2.5</v>
      </c>
      <c r="CY501" s="20">
        <v>3.5</v>
      </c>
      <c r="CZ501" s="8">
        <v>200</v>
      </c>
      <c r="DA501" s="6">
        <f t="shared" si="1158"/>
        <v>45000</v>
      </c>
      <c r="DB501" s="5">
        <v>1</v>
      </c>
      <c r="DC501" s="20">
        <f t="shared" si="1146"/>
        <v>2.0999999999999996</v>
      </c>
      <c r="DD501" s="6">
        <f t="shared" si="1159"/>
        <v>0.7</v>
      </c>
      <c r="DE501" s="6">
        <v>1</v>
      </c>
      <c r="DF501" s="5">
        <v>0</v>
      </c>
      <c r="DG501" s="6">
        <v>2.5</v>
      </c>
      <c r="DH501" s="5">
        <v>0</v>
      </c>
      <c r="DI501" s="8">
        <v>0</v>
      </c>
      <c r="DJ501" s="5">
        <v>0</v>
      </c>
      <c r="DK501" s="8">
        <v>0</v>
      </c>
      <c r="DL501" s="5">
        <f t="shared" si="1116"/>
        <v>0</v>
      </c>
      <c r="DM501" s="5" t="str">
        <f t="shared" si="1148"/>
        <v>9级毒龙</v>
      </c>
      <c r="DN501" s="5">
        <v>6</v>
      </c>
      <c r="DO501" s="5">
        <v>0</v>
      </c>
      <c r="DP501" s="5">
        <v>1</v>
      </c>
      <c r="DQ501" s="5">
        <v>1</v>
      </c>
      <c r="DR501" s="5">
        <v>2.5</v>
      </c>
      <c r="DS501" s="6">
        <v>3.5</v>
      </c>
      <c r="DT501" s="5">
        <v>-0.6</v>
      </c>
      <c r="DU501" s="5">
        <v>0.8</v>
      </c>
      <c r="DV501" s="6">
        <v>0.5</v>
      </c>
      <c r="DW501" s="5">
        <f t="shared" si="1160"/>
        <v>0.66666666666666663</v>
      </c>
      <c r="DX501" s="5">
        <v>8</v>
      </c>
      <c r="DY501" s="5">
        <f t="shared" si="1161"/>
        <v>0</v>
      </c>
      <c r="DZ501" s="5">
        <v>0</v>
      </c>
    </row>
    <row r="502" spans="1:130" x14ac:dyDescent="0.15">
      <c r="A502" s="5">
        <v>201500</v>
      </c>
      <c r="B502" s="28" t="s">
        <v>825</v>
      </c>
      <c r="C502" s="27">
        <v>35</v>
      </c>
      <c r="D502" s="27">
        <v>1</v>
      </c>
      <c r="E502" s="27">
        <v>3</v>
      </c>
      <c r="F502" s="5">
        <v>2</v>
      </c>
      <c r="G502" s="46">
        <f t="shared" si="1162"/>
        <v>5.8099999999999929E-2</v>
      </c>
      <c r="H502" s="27"/>
      <c r="I502" s="27" t="s">
        <v>975</v>
      </c>
      <c r="J502" s="27"/>
      <c r="K502" s="5">
        <f t="shared" si="1190"/>
        <v>0.09</v>
      </c>
      <c r="L502" s="10">
        <f t="shared" si="1185"/>
        <v>0</v>
      </c>
      <c r="M502" s="5">
        <f t="shared" si="1191"/>
        <v>0.24</v>
      </c>
      <c r="N502" s="10">
        <v>3</v>
      </c>
      <c r="O502" s="5">
        <v>0</v>
      </c>
      <c r="P502" s="5">
        <f t="shared" si="1139"/>
        <v>0.2</v>
      </c>
      <c r="Q502" s="5">
        <v>2</v>
      </c>
      <c r="R502" s="5">
        <f t="shared" si="1163"/>
        <v>903929</v>
      </c>
      <c r="S502" s="5">
        <v>30</v>
      </c>
      <c r="T502" s="5">
        <v>10</v>
      </c>
      <c r="U502" s="5">
        <v>0.3</v>
      </c>
      <c r="V502" s="5">
        <v>0.15</v>
      </c>
      <c r="W502" s="5">
        <v>9</v>
      </c>
      <c r="X502" s="5">
        <v>-0.6</v>
      </c>
      <c r="Y502" s="5">
        <v>1.8</v>
      </c>
      <c r="Z502" s="27" t="s">
        <v>1038</v>
      </c>
      <c r="AA502" s="5">
        <v>3</v>
      </c>
      <c r="AB502" s="5">
        <v>2</v>
      </c>
      <c r="AC502" s="5">
        <v>6</v>
      </c>
      <c r="AD502" s="27" t="s">
        <v>1039</v>
      </c>
      <c r="AE502" s="20">
        <v>123</v>
      </c>
      <c r="AF502" s="5">
        <f t="shared" si="1164"/>
        <v>903945</v>
      </c>
      <c r="AG502" s="5">
        <v>60</v>
      </c>
      <c r="AH502" s="5">
        <f t="shared" si="1140"/>
        <v>0.1</v>
      </c>
      <c r="AI502" s="5">
        <v>2</v>
      </c>
      <c r="AJ502" s="5">
        <v>1</v>
      </c>
      <c r="AK502" s="5">
        <f t="shared" si="1165"/>
        <v>50</v>
      </c>
      <c r="AL502" s="5">
        <f t="shared" si="1141"/>
        <v>150</v>
      </c>
      <c r="AM502" s="5">
        <f t="shared" si="1142"/>
        <v>180</v>
      </c>
      <c r="AN502" s="8">
        <v>5</v>
      </c>
      <c r="AO502" s="5">
        <v>1</v>
      </c>
      <c r="AP502" s="28" t="s">
        <v>825</v>
      </c>
      <c r="AQ502" s="5">
        <v>0</v>
      </c>
      <c r="AR502" s="8">
        <v>0</v>
      </c>
      <c r="AS502" s="6">
        <f t="shared" si="1117"/>
        <v>0</v>
      </c>
      <c r="AT502" s="6">
        <f t="shared" si="1118"/>
        <v>30</v>
      </c>
      <c r="AU502" s="5">
        <v>0</v>
      </c>
      <c r="AV502" s="5">
        <v>0</v>
      </c>
      <c r="AW502" s="5">
        <v>0</v>
      </c>
      <c r="AX502" s="5">
        <v>1</v>
      </c>
      <c r="AY502" s="5">
        <v>0</v>
      </c>
      <c r="AZ502" s="5">
        <v>201500</v>
      </c>
      <c r="BA502" s="5">
        <f t="shared" si="1166"/>
        <v>203051</v>
      </c>
      <c r="BB502" s="5">
        <v>10</v>
      </c>
      <c r="BC502" s="5">
        <v>0</v>
      </c>
      <c r="BD502" s="5">
        <v>1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f t="shared" si="1110"/>
        <v>1</v>
      </c>
      <c r="BM502" s="5">
        <v>0</v>
      </c>
      <c r="BN502" s="5">
        <v>0</v>
      </c>
      <c r="BO502" s="5">
        <v>0</v>
      </c>
      <c r="BP502" s="5">
        <v>0</v>
      </c>
      <c r="BQ502" s="5"/>
      <c r="BR502" s="5"/>
      <c r="BS502" s="4">
        <v>0</v>
      </c>
      <c r="BT502" s="4">
        <f t="shared" si="1143"/>
        <v>10</v>
      </c>
      <c r="BU502" s="17">
        <v>90</v>
      </c>
      <c r="BV502" s="4">
        <f t="shared" ref="BV502:BY502" si="1195">BV492</f>
        <v>10</v>
      </c>
      <c r="BW502" s="4">
        <f t="shared" si="1195"/>
        <v>10</v>
      </c>
      <c r="BX502" s="4">
        <f t="shared" si="1195"/>
        <v>0.21999999999999986</v>
      </c>
      <c r="BY502" s="4">
        <f t="shared" si="1195"/>
        <v>0.10000000000000003</v>
      </c>
      <c r="BZ502" s="27" t="s">
        <v>1009</v>
      </c>
      <c r="CA502" s="30" t="str">
        <f t="shared" si="1168"/>
        <v>10</v>
      </c>
      <c r="CB502" s="30" t="s">
        <v>917</v>
      </c>
      <c r="CC502" s="5">
        <v>0</v>
      </c>
      <c r="CD502" s="8">
        <v>3</v>
      </c>
      <c r="CE502" s="5">
        <f t="shared" si="1145"/>
        <v>10</v>
      </c>
      <c r="CF502" s="5">
        <v>1</v>
      </c>
      <c r="CG502" s="27" t="str">
        <f t="shared" si="1151"/>
        <v>10级毒龙</v>
      </c>
      <c r="CH502" s="5">
        <v>0</v>
      </c>
      <c r="CI502" s="5">
        <v>0</v>
      </c>
      <c r="CJ502" s="4">
        <v>0</v>
      </c>
      <c r="CK502" s="20">
        <v>0</v>
      </c>
      <c r="CL502" s="5">
        <v>0</v>
      </c>
      <c r="CM502" s="20">
        <v>114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20">
        <v>2.5</v>
      </c>
      <c r="CW502" s="20">
        <v>3</v>
      </c>
      <c r="CX502" s="20">
        <v>2.5</v>
      </c>
      <c r="CY502" s="20">
        <v>3.5</v>
      </c>
      <c r="CZ502" s="8">
        <v>200</v>
      </c>
      <c r="DA502" s="6">
        <f t="shared" si="1158"/>
        <v>50000</v>
      </c>
      <c r="DB502" s="5">
        <v>1</v>
      </c>
      <c r="DC502" s="20">
        <f t="shared" si="1146"/>
        <v>2.1749999999999998</v>
      </c>
      <c r="DD502" s="6">
        <f t="shared" si="1159"/>
        <v>0.72499999999999998</v>
      </c>
      <c r="DE502" s="6">
        <v>1</v>
      </c>
      <c r="DF502" s="5">
        <v>0</v>
      </c>
      <c r="DG502" s="6">
        <v>2.5</v>
      </c>
      <c r="DH502" s="5">
        <v>0</v>
      </c>
      <c r="DI502" s="8">
        <v>0</v>
      </c>
      <c r="DJ502" s="5">
        <v>0</v>
      </c>
      <c r="DK502" s="8">
        <v>0</v>
      </c>
      <c r="DL502" s="5">
        <f t="shared" si="1116"/>
        <v>0</v>
      </c>
      <c r="DM502" s="5" t="str">
        <f t="shared" si="1148"/>
        <v>10级毒龙</v>
      </c>
      <c r="DN502" s="5">
        <v>6</v>
      </c>
      <c r="DO502" s="5">
        <v>0</v>
      </c>
      <c r="DP502" s="5">
        <v>1</v>
      </c>
      <c r="DQ502" s="5">
        <v>1</v>
      </c>
      <c r="DR502" s="5">
        <v>2.5</v>
      </c>
      <c r="DS502" s="6">
        <v>3.5</v>
      </c>
      <c r="DT502" s="5">
        <v>-0.6</v>
      </c>
      <c r="DU502" s="5">
        <v>0.8</v>
      </c>
      <c r="DV502" s="6">
        <v>0.5</v>
      </c>
      <c r="DW502" s="5">
        <f t="shared" si="1160"/>
        <v>0.66666666666666663</v>
      </c>
      <c r="DX502" s="5">
        <v>8</v>
      </c>
      <c r="DY502" s="5">
        <f t="shared" si="1161"/>
        <v>0</v>
      </c>
      <c r="DZ502" s="5">
        <v>0</v>
      </c>
    </row>
    <row r="503" spans="1:130" x14ac:dyDescent="0.15">
      <c r="A503" s="6">
        <v>201501</v>
      </c>
      <c r="B503" s="28" t="s">
        <v>826</v>
      </c>
      <c r="C503" s="28">
        <v>35</v>
      </c>
      <c r="D503" s="28">
        <v>1</v>
      </c>
      <c r="E503" s="28">
        <v>3</v>
      </c>
      <c r="F503" s="6">
        <v>2</v>
      </c>
      <c r="G503" s="46">
        <f t="shared" si="1162"/>
        <v>0.11619999999999993</v>
      </c>
      <c r="H503" s="28"/>
      <c r="I503" s="28" t="s">
        <v>975</v>
      </c>
      <c r="J503" s="28"/>
      <c r="K503" s="5">
        <f t="shared" si="1190"/>
        <v>0.15</v>
      </c>
      <c r="L503" s="10">
        <v>3</v>
      </c>
      <c r="M503" s="5">
        <f t="shared" si="1191"/>
        <v>0</v>
      </c>
      <c r="N503" s="10">
        <v>0</v>
      </c>
      <c r="O503" s="5">
        <v>0</v>
      </c>
      <c r="P503" s="5">
        <f t="shared" si="1139"/>
        <v>0.2</v>
      </c>
      <c r="Q503" s="5">
        <v>2</v>
      </c>
      <c r="R503" s="5">
        <f t="shared" si="1163"/>
        <v>903930</v>
      </c>
      <c r="S503" s="5">
        <v>30</v>
      </c>
      <c r="T503" s="5">
        <v>10</v>
      </c>
      <c r="U503" s="5">
        <v>0.3</v>
      </c>
      <c r="V503" s="5">
        <v>0.15</v>
      </c>
      <c r="W503" s="5">
        <v>9</v>
      </c>
      <c r="X503" s="5">
        <v>-0.6</v>
      </c>
      <c r="Y503" s="5">
        <v>1.8</v>
      </c>
      <c r="Z503" s="27" t="s">
        <v>1040</v>
      </c>
      <c r="AA503" s="5">
        <v>3</v>
      </c>
      <c r="AB503" s="5">
        <v>2</v>
      </c>
      <c r="AC503" s="5">
        <v>6</v>
      </c>
      <c r="AD503" s="27" t="s">
        <v>1041</v>
      </c>
      <c r="AE503" s="20">
        <v>124</v>
      </c>
      <c r="AF503" s="5">
        <f t="shared" si="1164"/>
        <v>903946</v>
      </c>
      <c r="AG503" s="5">
        <v>60</v>
      </c>
      <c r="AH503" s="5">
        <f t="shared" si="1140"/>
        <v>0.1</v>
      </c>
      <c r="AI503" s="5">
        <v>2</v>
      </c>
      <c r="AJ503" s="5">
        <v>1</v>
      </c>
      <c r="AK503" s="5">
        <f t="shared" si="1165"/>
        <v>5</v>
      </c>
      <c r="AL503" s="5">
        <f t="shared" si="1141"/>
        <v>0</v>
      </c>
      <c r="AM503" s="5">
        <f t="shared" si="1142"/>
        <v>3</v>
      </c>
      <c r="AN503" s="8">
        <v>0</v>
      </c>
      <c r="AO503" s="5">
        <v>0</v>
      </c>
      <c r="AP503" s="28" t="s">
        <v>826</v>
      </c>
      <c r="AQ503" s="5">
        <v>0</v>
      </c>
      <c r="AR503" s="8">
        <v>6</v>
      </c>
      <c r="AS503" s="6">
        <f t="shared" si="1117"/>
        <v>18</v>
      </c>
      <c r="AT503" s="6">
        <f t="shared" si="1118"/>
        <v>21</v>
      </c>
      <c r="AU503" s="5">
        <v>0</v>
      </c>
      <c r="AV503" s="5">
        <v>0</v>
      </c>
      <c r="AW503" s="5">
        <v>0</v>
      </c>
      <c r="AX503" s="5">
        <v>1</v>
      </c>
      <c r="AY503" s="5">
        <v>0</v>
      </c>
      <c r="AZ503" s="5">
        <v>201501</v>
      </c>
      <c r="BA503" s="5">
        <f t="shared" si="1166"/>
        <v>203052</v>
      </c>
      <c r="BB503" s="5">
        <v>10</v>
      </c>
      <c r="BC503" s="5">
        <v>0</v>
      </c>
      <c r="BD503" s="5">
        <v>1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f t="shared" si="1110"/>
        <v>1</v>
      </c>
      <c r="BM503" s="5">
        <v>0</v>
      </c>
      <c r="BN503" s="5">
        <v>0</v>
      </c>
      <c r="BO503" s="5">
        <v>0</v>
      </c>
      <c r="BP503" s="5">
        <v>0</v>
      </c>
      <c r="BQ503" s="5"/>
      <c r="BR503" s="5"/>
      <c r="BS503" s="4">
        <v>0</v>
      </c>
      <c r="BT503" s="4">
        <f t="shared" si="1143"/>
        <v>1</v>
      </c>
      <c r="BU503" s="17">
        <v>91</v>
      </c>
      <c r="BV503" s="4">
        <f t="shared" ref="BV503:BY503" si="1196">BV493</f>
        <v>1</v>
      </c>
      <c r="BW503" s="4">
        <f t="shared" si="1196"/>
        <v>1</v>
      </c>
      <c r="BX503" s="4">
        <f t="shared" si="1196"/>
        <v>0.85</v>
      </c>
      <c r="BY503" s="4">
        <f t="shared" si="1196"/>
        <v>0.55000000000000004</v>
      </c>
      <c r="BZ503" s="27" t="s">
        <v>1010</v>
      </c>
      <c r="CA503" s="30" t="str">
        <f t="shared" si="1168"/>
        <v>1</v>
      </c>
      <c r="CB503" s="30" t="s">
        <v>917</v>
      </c>
      <c r="CC503" s="5">
        <v>0</v>
      </c>
      <c r="CD503" s="8">
        <v>3</v>
      </c>
      <c r="CE503" s="5">
        <f t="shared" si="1145"/>
        <v>1</v>
      </c>
      <c r="CF503" s="5">
        <v>1</v>
      </c>
      <c r="CG503" s="27" t="str">
        <f t="shared" si="1151"/>
        <v>1级风暴龙</v>
      </c>
      <c r="CH503" s="5">
        <v>0</v>
      </c>
      <c r="CI503" s="5">
        <v>0</v>
      </c>
      <c r="CJ503" s="4">
        <v>0</v>
      </c>
      <c r="CK503" s="20">
        <v>0</v>
      </c>
      <c r="CL503" s="5">
        <v>0</v>
      </c>
      <c r="CM503" s="20">
        <v>114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20">
        <v>2.5</v>
      </c>
      <c r="CW503" s="20">
        <v>3</v>
      </c>
      <c r="CX503" s="20">
        <v>2.5</v>
      </c>
      <c r="CY503" s="20">
        <v>3.5</v>
      </c>
      <c r="CZ503" s="8">
        <v>200</v>
      </c>
      <c r="DA503" s="6">
        <f t="shared" si="1158"/>
        <v>5000</v>
      </c>
      <c r="DB503" s="5">
        <v>1</v>
      </c>
      <c r="DC503" s="20">
        <f t="shared" si="1146"/>
        <v>1.5</v>
      </c>
      <c r="DD503" s="6">
        <f t="shared" si="1159"/>
        <v>0.5</v>
      </c>
      <c r="DE503" s="6">
        <v>1</v>
      </c>
      <c r="DF503" s="5">
        <v>0</v>
      </c>
      <c r="DG503" s="6">
        <v>2.5</v>
      </c>
      <c r="DH503" s="5">
        <v>0</v>
      </c>
      <c r="DI503" s="8">
        <v>0</v>
      </c>
      <c r="DJ503" s="5">
        <v>0</v>
      </c>
      <c r="DK503" s="8">
        <v>0</v>
      </c>
      <c r="DL503" s="5">
        <f t="shared" si="1116"/>
        <v>0</v>
      </c>
      <c r="DM503" s="5" t="str">
        <f t="shared" si="1148"/>
        <v>1级风暴龙</v>
      </c>
      <c r="DN503" s="5">
        <v>6</v>
      </c>
      <c r="DO503" s="5">
        <v>0</v>
      </c>
      <c r="DP503" s="5">
        <v>1</v>
      </c>
      <c r="DQ503" s="5">
        <v>1</v>
      </c>
      <c r="DR503" s="5">
        <v>2.5</v>
      </c>
      <c r="DS503" s="6">
        <v>3.5</v>
      </c>
      <c r="DT503" s="5">
        <v>-0.6</v>
      </c>
      <c r="DU503" s="5">
        <v>0.8</v>
      </c>
      <c r="DV503" s="6">
        <v>0.5</v>
      </c>
      <c r="DW503" s="5">
        <f t="shared" si="1160"/>
        <v>0.66666666666666663</v>
      </c>
      <c r="DX503" s="5">
        <v>8</v>
      </c>
      <c r="DY503" s="5">
        <f t="shared" si="1161"/>
        <v>0</v>
      </c>
      <c r="DZ503" s="5">
        <v>0</v>
      </c>
    </row>
    <row r="504" spans="1:130" x14ac:dyDescent="0.15">
      <c r="A504" s="5">
        <v>201502</v>
      </c>
      <c r="B504" s="28" t="s">
        <v>827</v>
      </c>
      <c r="C504" s="27">
        <v>35</v>
      </c>
      <c r="D504" s="27">
        <v>1</v>
      </c>
      <c r="E504" s="27">
        <v>3</v>
      </c>
      <c r="F504" s="5">
        <v>2</v>
      </c>
      <c r="G504" s="46">
        <f t="shared" si="1162"/>
        <v>0.11619999999999993</v>
      </c>
      <c r="H504" s="27"/>
      <c r="I504" s="27" t="s">
        <v>975</v>
      </c>
      <c r="J504" s="27"/>
      <c r="K504" s="5">
        <f t="shared" si="1190"/>
        <v>0.16</v>
      </c>
      <c r="L504" s="10">
        <v>3</v>
      </c>
      <c r="M504" s="5">
        <f t="shared" si="1191"/>
        <v>0.01</v>
      </c>
      <c r="N504" s="10">
        <v>0</v>
      </c>
      <c r="O504" s="5">
        <v>0</v>
      </c>
      <c r="P504" s="5">
        <f t="shared" si="1139"/>
        <v>0.2</v>
      </c>
      <c r="Q504" s="5">
        <v>2</v>
      </c>
      <c r="R504" s="5">
        <f t="shared" si="1163"/>
        <v>903930</v>
      </c>
      <c r="S504" s="5">
        <v>30</v>
      </c>
      <c r="T504" s="5">
        <v>10</v>
      </c>
      <c r="U504" s="5">
        <v>0.3</v>
      </c>
      <c r="V504" s="5">
        <v>0.15</v>
      </c>
      <c r="W504" s="5">
        <v>9</v>
      </c>
      <c r="X504" s="5">
        <v>-0.6</v>
      </c>
      <c r="Y504" s="5">
        <v>1.8</v>
      </c>
      <c r="Z504" s="27" t="s">
        <v>1040</v>
      </c>
      <c r="AA504" s="5">
        <v>3</v>
      </c>
      <c r="AB504" s="5">
        <v>2</v>
      </c>
      <c r="AC504" s="5">
        <v>6</v>
      </c>
      <c r="AD504" s="27" t="s">
        <v>1041</v>
      </c>
      <c r="AE504" s="20">
        <v>124</v>
      </c>
      <c r="AF504" s="5">
        <f t="shared" si="1164"/>
        <v>903946</v>
      </c>
      <c r="AG504" s="5">
        <v>60</v>
      </c>
      <c r="AH504" s="5">
        <f t="shared" si="1140"/>
        <v>0.1</v>
      </c>
      <c r="AI504" s="5">
        <v>2</v>
      </c>
      <c r="AJ504" s="5">
        <v>1</v>
      </c>
      <c r="AK504" s="5">
        <f t="shared" si="1165"/>
        <v>10</v>
      </c>
      <c r="AL504" s="5">
        <f t="shared" si="1141"/>
        <v>0</v>
      </c>
      <c r="AM504" s="5">
        <f t="shared" si="1142"/>
        <v>6</v>
      </c>
      <c r="AN504" s="8">
        <v>0</v>
      </c>
      <c r="AO504" s="5">
        <v>0</v>
      </c>
      <c r="AP504" s="28" t="s">
        <v>827</v>
      </c>
      <c r="AQ504" s="5">
        <v>0</v>
      </c>
      <c r="AR504" s="8">
        <v>6</v>
      </c>
      <c r="AS504" s="6">
        <f t="shared" si="1117"/>
        <v>36</v>
      </c>
      <c r="AT504" s="6">
        <f t="shared" si="1118"/>
        <v>42</v>
      </c>
      <c r="AU504" s="5">
        <v>0</v>
      </c>
      <c r="AV504" s="5">
        <v>0</v>
      </c>
      <c r="AW504" s="5">
        <v>0</v>
      </c>
      <c r="AX504" s="5">
        <v>1</v>
      </c>
      <c r="AY504" s="5">
        <v>0</v>
      </c>
      <c r="AZ504" s="5">
        <v>201502</v>
      </c>
      <c r="BA504" s="5">
        <f t="shared" si="1166"/>
        <v>203052</v>
      </c>
      <c r="BB504" s="5">
        <v>10</v>
      </c>
      <c r="BC504" s="5">
        <v>0</v>
      </c>
      <c r="BD504" s="5">
        <v>1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f t="shared" si="1110"/>
        <v>1</v>
      </c>
      <c r="BM504" s="5">
        <v>0</v>
      </c>
      <c r="BN504" s="5">
        <v>0</v>
      </c>
      <c r="BO504" s="5">
        <v>0</v>
      </c>
      <c r="BP504" s="5">
        <v>0</v>
      </c>
      <c r="BQ504" s="5"/>
      <c r="BR504" s="5"/>
      <c r="BS504" s="4">
        <v>0</v>
      </c>
      <c r="BT504" s="4">
        <f t="shared" si="1143"/>
        <v>2</v>
      </c>
      <c r="BU504" s="17">
        <v>92</v>
      </c>
      <c r="BV504" s="4">
        <f t="shared" ref="BV504:BY504" si="1197">BV494</f>
        <v>2</v>
      </c>
      <c r="BW504" s="4">
        <f t="shared" si="1197"/>
        <v>2</v>
      </c>
      <c r="BX504" s="4">
        <f t="shared" si="1197"/>
        <v>0.78</v>
      </c>
      <c r="BY504" s="4">
        <f t="shared" si="1197"/>
        <v>0.5</v>
      </c>
      <c r="BZ504" s="27" t="s">
        <v>1010</v>
      </c>
      <c r="CA504" s="30" t="str">
        <f t="shared" si="1168"/>
        <v>2</v>
      </c>
      <c r="CB504" s="30" t="s">
        <v>917</v>
      </c>
      <c r="CC504" s="5">
        <v>0</v>
      </c>
      <c r="CD504" s="8">
        <v>3</v>
      </c>
      <c r="CE504" s="5">
        <f t="shared" si="1145"/>
        <v>2</v>
      </c>
      <c r="CF504" s="5">
        <v>1</v>
      </c>
      <c r="CG504" s="27" t="str">
        <f t="shared" si="1151"/>
        <v>2级风暴龙</v>
      </c>
      <c r="CH504" s="5">
        <v>0</v>
      </c>
      <c r="CI504" s="5">
        <v>0</v>
      </c>
      <c r="CJ504" s="4">
        <v>0</v>
      </c>
      <c r="CK504" s="20">
        <v>0</v>
      </c>
      <c r="CL504" s="5">
        <v>0</v>
      </c>
      <c r="CM504" s="20">
        <v>114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20">
        <v>2.5</v>
      </c>
      <c r="CW504" s="20">
        <v>3</v>
      </c>
      <c r="CX504" s="20">
        <v>2.5</v>
      </c>
      <c r="CY504" s="20">
        <v>3.5</v>
      </c>
      <c r="CZ504" s="8">
        <v>200</v>
      </c>
      <c r="DA504" s="6">
        <f t="shared" si="1158"/>
        <v>10000</v>
      </c>
      <c r="DB504" s="5">
        <v>1</v>
      </c>
      <c r="DC504" s="20">
        <f t="shared" si="1146"/>
        <v>1.5750000000000002</v>
      </c>
      <c r="DD504" s="6">
        <f t="shared" si="1159"/>
        <v>0.52500000000000002</v>
      </c>
      <c r="DE504" s="6">
        <v>1</v>
      </c>
      <c r="DF504" s="5">
        <v>0</v>
      </c>
      <c r="DG504" s="6">
        <v>2.5</v>
      </c>
      <c r="DH504" s="5">
        <v>0</v>
      </c>
      <c r="DI504" s="8">
        <v>0</v>
      </c>
      <c r="DJ504" s="5">
        <v>0</v>
      </c>
      <c r="DK504" s="8">
        <v>0</v>
      </c>
      <c r="DL504" s="5">
        <f t="shared" si="1116"/>
        <v>0</v>
      </c>
      <c r="DM504" s="5" t="str">
        <f t="shared" si="1148"/>
        <v>2级风暴龙</v>
      </c>
      <c r="DN504" s="5">
        <v>6</v>
      </c>
      <c r="DO504" s="5">
        <v>0</v>
      </c>
      <c r="DP504" s="5">
        <v>1</v>
      </c>
      <c r="DQ504" s="5">
        <v>1</v>
      </c>
      <c r="DR504" s="5">
        <v>2.5</v>
      </c>
      <c r="DS504" s="6">
        <v>3.5</v>
      </c>
      <c r="DT504" s="5">
        <v>-0.6</v>
      </c>
      <c r="DU504" s="5">
        <v>0.8</v>
      </c>
      <c r="DV504" s="6">
        <v>0.5</v>
      </c>
      <c r="DW504" s="5">
        <f t="shared" si="1160"/>
        <v>0.66666666666666663</v>
      </c>
      <c r="DX504" s="5">
        <v>8</v>
      </c>
      <c r="DY504" s="5">
        <f t="shared" si="1161"/>
        <v>0</v>
      </c>
      <c r="DZ504" s="5">
        <v>0</v>
      </c>
    </row>
    <row r="505" spans="1:130" x14ac:dyDescent="0.15">
      <c r="A505" s="5">
        <v>201503</v>
      </c>
      <c r="B505" s="28" t="s">
        <v>828</v>
      </c>
      <c r="C505" s="27">
        <v>35</v>
      </c>
      <c r="D505" s="27">
        <v>1</v>
      </c>
      <c r="E505" s="27">
        <v>3</v>
      </c>
      <c r="F505" s="5">
        <v>2</v>
      </c>
      <c r="G505" s="46">
        <f t="shared" si="1162"/>
        <v>0.11619999999999993</v>
      </c>
      <c r="H505" s="27"/>
      <c r="I505" s="27" t="s">
        <v>975</v>
      </c>
      <c r="J505" s="27"/>
      <c r="K505" s="5">
        <f t="shared" si="1190"/>
        <v>0.16999999999999998</v>
      </c>
      <c r="L505" s="10">
        <v>3</v>
      </c>
      <c r="M505" s="5">
        <f t="shared" si="1191"/>
        <v>0.02</v>
      </c>
      <c r="N505" s="10">
        <v>0</v>
      </c>
      <c r="O505" s="5">
        <v>0</v>
      </c>
      <c r="P505" s="5">
        <f t="shared" si="1139"/>
        <v>0.2</v>
      </c>
      <c r="Q505" s="5">
        <v>2</v>
      </c>
      <c r="R505" s="5">
        <f t="shared" si="1163"/>
        <v>903930</v>
      </c>
      <c r="S505" s="5">
        <v>30</v>
      </c>
      <c r="T505" s="5">
        <v>10</v>
      </c>
      <c r="U505" s="5">
        <v>0.3</v>
      </c>
      <c r="V505" s="5">
        <v>0.15</v>
      </c>
      <c r="W505" s="5">
        <v>9</v>
      </c>
      <c r="X505" s="5">
        <v>-0.6</v>
      </c>
      <c r="Y505" s="5">
        <v>1.8</v>
      </c>
      <c r="Z505" s="27" t="s">
        <v>1040</v>
      </c>
      <c r="AA505" s="5">
        <v>3</v>
      </c>
      <c r="AB505" s="5">
        <v>2</v>
      </c>
      <c r="AC505" s="5">
        <v>6</v>
      </c>
      <c r="AD505" s="27" t="s">
        <v>1041</v>
      </c>
      <c r="AE505" s="20">
        <v>124</v>
      </c>
      <c r="AF505" s="5">
        <f t="shared" si="1164"/>
        <v>903946</v>
      </c>
      <c r="AG505" s="5">
        <v>60</v>
      </c>
      <c r="AH505" s="5">
        <f t="shared" si="1140"/>
        <v>0.1</v>
      </c>
      <c r="AI505" s="5">
        <v>2</v>
      </c>
      <c r="AJ505" s="5">
        <v>1</v>
      </c>
      <c r="AK505" s="5">
        <f t="shared" si="1165"/>
        <v>15</v>
      </c>
      <c r="AL505" s="5">
        <f t="shared" si="1141"/>
        <v>0</v>
      </c>
      <c r="AM505" s="5">
        <f t="shared" si="1142"/>
        <v>9</v>
      </c>
      <c r="AN505" s="8">
        <v>0</v>
      </c>
      <c r="AO505" s="5">
        <v>0</v>
      </c>
      <c r="AP505" s="28" t="s">
        <v>828</v>
      </c>
      <c r="AQ505" s="5">
        <v>0</v>
      </c>
      <c r="AR505" s="8">
        <v>6</v>
      </c>
      <c r="AS505" s="6">
        <f t="shared" si="1117"/>
        <v>54</v>
      </c>
      <c r="AT505" s="6">
        <f t="shared" si="1118"/>
        <v>63</v>
      </c>
      <c r="AU505" s="5">
        <v>0</v>
      </c>
      <c r="AV505" s="5">
        <v>0</v>
      </c>
      <c r="AW505" s="5">
        <v>0</v>
      </c>
      <c r="AX505" s="5">
        <v>1</v>
      </c>
      <c r="AY505" s="5">
        <v>0</v>
      </c>
      <c r="AZ505" s="5">
        <v>201503</v>
      </c>
      <c r="BA505" s="5">
        <f t="shared" si="1166"/>
        <v>203052</v>
      </c>
      <c r="BB505" s="5">
        <v>10</v>
      </c>
      <c r="BC505" s="5">
        <v>0</v>
      </c>
      <c r="BD505" s="5">
        <v>1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f t="shared" si="1110"/>
        <v>1</v>
      </c>
      <c r="BM505" s="5">
        <v>0</v>
      </c>
      <c r="BN505" s="5">
        <v>0</v>
      </c>
      <c r="BO505" s="5">
        <v>0</v>
      </c>
      <c r="BP505" s="5">
        <v>0</v>
      </c>
      <c r="BQ505" s="5"/>
      <c r="BR505" s="5"/>
      <c r="BS505" s="4">
        <v>0</v>
      </c>
      <c r="BT505" s="4">
        <f t="shared" si="1143"/>
        <v>3</v>
      </c>
      <c r="BU505" s="17">
        <v>93</v>
      </c>
      <c r="BV505" s="4">
        <f t="shared" ref="BV505:BY505" si="1198">BV495</f>
        <v>3</v>
      </c>
      <c r="BW505" s="4">
        <f t="shared" si="1198"/>
        <v>3</v>
      </c>
      <c r="BX505" s="4">
        <f t="shared" si="1198"/>
        <v>0.71</v>
      </c>
      <c r="BY505" s="4">
        <f t="shared" si="1198"/>
        <v>0.45000000000000007</v>
      </c>
      <c r="BZ505" s="27" t="s">
        <v>1010</v>
      </c>
      <c r="CA505" s="30" t="str">
        <f t="shared" si="1168"/>
        <v>3</v>
      </c>
      <c r="CB505" s="30" t="s">
        <v>917</v>
      </c>
      <c r="CC505" s="5">
        <v>0</v>
      </c>
      <c r="CD505" s="8">
        <v>3</v>
      </c>
      <c r="CE505" s="5">
        <f t="shared" si="1145"/>
        <v>3</v>
      </c>
      <c r="CF505" s="5">
        <v>1</v>
      </c>
      <c r="CG505" s="27" t="str">
        <f t="shared" si="1151"/>
        <v>3级风暴龙</v>
      </c>
      <c r="CH505" s="5">
        <v>0</v>
      </c>
      <c r="CI505" s="5">
        <v>0</v>
      </c>
      <c r="CJ505" s="4">
        <v>0</v>
      </c>
      <c r="CK505" s="20">
        <v>0</v>
      </c>
      <c r="CL505" s="5">
        <v>0</v>
      </c>
      <c r="CM505" s="20">
        <v>114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20">
        <v>2.5</v>
      </c>
      <c r="CW505" s="20">
        <v>3</v>
      </c>
      <c r="CX505" s="20">
        <v>2.5</v>
      </c>
      <c r="CY505" s="20">
        <v>3.5</v>
      </c>
      <c r="CZ505" s="8">
        <v>200</v>
      </c>
      <c r="DA505" s="6">
        <f t="shared" si="1158"/>
        <v>15000</v>
      </c>
      <c r="DB505" s="5">
        <v>1</v>
      </c>
      <c r="DC505" s="20">
        <f t="shared" si="1146"/>
        <v>1.6500000000000001</v>
      </c>
      <c r="DD505" s="6">
        <f t="shared" si="1159"/>
        <v>0.55000000000000004</v>
      </c>
      <c r="DE505" s="6">
        <v>1</v>
      </c>
      <c r="DF505" s="5">
        <v>0</v>
      </c>
      <c r="DG505" s="6">
        <v>2.5</v>
      </c>
      <c r="DH505" s="5">
        <v>0</v>
      </c>
      <c r="DI505" s="8">
        <v>0</v>
      </c>
      <c r="DJ505" s="5">
        <v>0</v>
      </c>
      <c r="DK505" s="8">
        <v>0</v>
      </c>
      <c r="DL505" s="5">
        <f t="shared" si="1116"/>
        <v>0</v>
      </c>
      <c r="DM505" s="5" t="str">
        <f t="shared" si="1148"/>
        <v>3级风暴龙</v>
      </c>
      <c r="DN505" s="5">
        <v>6</v>
      </c>
      <c r="DO505" s="5">
        <v>0</v>
      </c>
      <c r="DP505" s="5">
        <v>1</v>
      </c>
      <c r="DQ505" s="5">
        <v>1</v>
      </c>
      <c r="DR505" s="5">
        <v>2.5</v>
      </c>
      <c r="DS505" s="6">
        <v>3.5</v>
      </c>
      <c r="DT505" s="5">
        <v>-0.6</v>
      </c>
      <c r="DU505" s="5">
        <v>0.8</v>
      </c>
      <c r="DV505" s="6">
        <v>0.5</v>
      </c>
      <c r="DW505" s="5">
        <f t="shared" si="1160"/>
        <v>0.66666666666666663</v>
      </c>
      <c r="DX505" s="5">
        <v>8</v>
      </c>
      <c r="DY505" s="5">
        <f t="shared" si="1161"/>
        <v>0</v>
      </c>
      <c r="DZ505" s="5">
        <v>0</v>
      </c>
    </row>
    <row r="506" spans="1:130" x14ac:dyDescent="0.15">
      <c r="A506" s="5">
        <v>201504</v>
      </c>
      <c r="B506" s="28" t="s">
        <v>829</v>
      </c>
      <c r="C506" s="27">
        <v>35</v>
      </c>
      <c r="D506" s="27">
        <v>1</v>
      </c>
      <c r="E506" s="27">
        <v>3</v>
      </c>
      <c r="F506" s="5">
        <v>2</v>
      </c>
      <c r="G506" s="46">
        <f t="shared" si="1162"/>
        <v>0.11619999999999993</v>
      </c>
      <c r="H506" s="27"/>
      <c r="I506" s="27" t="s">
        <v>975</v>
      </c>
      <c r="J506" s="27"/>
      <c r="K506" s="5">
        <f t="shared" si="1190"/>
        <v>0.18</v>
      </c>
      <c r="L506" s="10">
        <v>3</v>
      </c>
      <c r="M506" s="5">
        <f t="shared" si="1191"/>
        <v>0.03</v>
      </c>
      <c r="N506" s="10">
        <v>0</v>
      </c>
      <c r="O506" s="5">
        <v>0</v>
      </c>
      <c r="P506" s="5">
        <f t="shared" si="1139"/>
        <v>0.2</v>
      </c>
      <c r="Q506" s="5">
        <v>2</v>
      </c>
      <c r="R506" s="5">
        <f t="shared" si="1163"/>
        <v>903930</v>
      </c>
      <c r="S506" s="5">
        <v>30</v>
      </c>
      <c r="T506" s="5">
        <v>10</v>
      </c>
      <c r="U506" s="5">
        <v>0.3</v>
      </c>
      <c r="V506" s="5">
        <v>0.15</v>
      </c>
      <c r="W506" s="5">
        <v>9</v>
      </c>
      <c r="X506" s="5">
        <v>-0.6</v>
      </c>
      <c r="Y506" s="5">
        <v>1.8</v>
      </c>
      <c r="Z506" s="27" t="s">
        <v>1040</v>
      </c>
      <c r="AA506" s="5">
        <v>3</v>
      </c>
      <c r="AB506" s="5">
        <v>2</v>
      </c>
      <c r="AC506" s="5">
        <v>6</v>
      </c>
      <c r="AD506" s="27" t="s">
        <v>1041</v>
      </c>
      <c r="AE506" s="20">
        <v>124</v>
      </c>
      <c r="AF506" s="5">
        <f t="shared" si="1164"/>
        <v>903946</v>
      </c>
      <c r="AG506" s="5">
        <v>60</v>
      </c>
      <c r="AH506" s="5">
        <f t="shared" si="1140"/>
        <v>0.1</v>
      </c>
      <c r="AI506" s="5">
        <v>2</v>
      </c>
      <c r="AJ506" s="5">
        <v>1</v>
      </c>
      <c r="AK506" s="5">
        <f t="shared" si="1165"/>
        <v>20</v>
      </c>
      <c r="AL506" s="5">
        <f t="shared" si="1141"/>
        <v>0</v>
      </c>
      <c r="AM506" s="5">
        <f t="shared" si="1142"/>
        <v>12</v>
      </c>
      <c r="AN506" s="8">
        <v>0</v>
      </c>
      <c r="AO506" s="5">
        <v>0</v>
      </c>
      <c r="AP506" s="28" t="s">
        <v>829</v>
      </c>
      <c r="AQ506" s="5">
        <v>0</v>
      </c>
      <c r="AR506" s="8">
        <v>6</v>
      </c>
      <c r="AS506" s="6">
        <f t="shared" si="1117"/>
        <v>72</v>
      </c>
      <c r="AT506" s="6">
        <f t="shared" si="1118"/>
        <v>84</v>
      </c>
      <c r="AU506" s="5">
        <v>0</v>
      </c>
      <c r="AV506" s="5">
        <v>0</v>
      </c>
      <c r="AW506" s="5">
        <v>0</v>
      </c>
      <c r="AX506" s="5">
        <v>1</v>
      </c>
      <c r="AY506" s="5">
        <v>0</v>
      </c>
      <c r="AZ506" s="5">
        <v>201504</v>
      </c>
      <c r="BA506" s="5">
        <f t="shared" si="1166"/>
        <v>203052</v>
      </c>
      <c r="BB506" s="5">
        <v>10</v>
      </c>
      <c r="BC506" s="5">
        <v>0</v>
      </c>
      <c r="BD506" s="5">
        <v>1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f t="shared" si="1110"/>
        <v>1</v>
      </c>
      <c r="BM506" s="5">
        <v>0</v>
      </c>
      <c r="BN506" s="5">
        <v>0</v>
      </c>
      <c r="BO506" s="5">
        <v>0</v>
      </c>
      <c r="BP506" s="5">
        <v>0</v>
      </c>
      <c r="BQ506" s="5"/>
      <c r="BR506" s="5"/>
      <c r="BS506" s="4">
        <v>0</v>
      </c>
      <c r="BT506" s="4">
        <f t="shared" si="1143"/>
        <v>4</v>
      </c>
      <c r="BU506" s="17">
        <v>94</v>
      </c>
      <c r="BV506" s="4">
        <f t="shared" ref="BV506:BY506" si="1199">BV496</f>
        <v>4</v>
      </c>
      <c r="BW506" s="4">
        <f t="shared" si="1199"/>
        <v>4</v>
      </c>
      <c r="BX506" s="4">
        <f t="shared" si="1199"/>
        <v>0.6399999999999999</v>
      </c>
      <c r="BY506" s="4">
        <f t="shared" si="1199"/>
        <v>0.4</v>
      </c>
      <c r="BZ506" s="27" t="s">
        <v>1010</v>
      </c>
      <c r="CA506" s="30" t="str">
        <f t="shared" si="1168"/>
        <v>4</v>
      </c>
      <c r="CB506" s="30" t="s">
        <v>917</v>
      </c>
      <c r="CC506" s="5">
        <v>0</v>
      </c>
      <c r="CD506" s="8">
        <v>3</v>
      </c>
      <c r="CE506" s="5">
        <f t="shared" si="1145"/>
        <v>4</v>
      </c>
      <c r="CF506" s="5">
        <v>1</v>
      </c>
      <c r="CG506" s="27" t="str">
        <f t="shared" si="1151"/>
        <v>4级风暴龙</v>
      </c>
      <c r="CH506" s="5">
        <v>0</v>
      </c>
      <c r="CI506" s="5">
        <v>0</v>
      </c>
      <c r="CJ506" s="4">
        <v>0</v>
      </c>
      <c r="CK506" s="20">
        <v>0</v>
      </c>
      <c r="CL506" s="5">
        <v>0</v>
      </c>
      <c r="CM506" s="20">
        <v>114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20">
        <v>2.5</v>
      </c>
      <c r="CW506" s="20">
        <v>3</v>
      </c>
      <c r="CX506" s="20">
        <v>2.5</v>
      </c>
      <c r="CY506" s="20">
        <v>3.5</v>
      </c>
      <c r="CZ506" s="8">
        <v>200</v>
      </c>
      <c r="DA506" s="6">
        <f t="shared" si="1158"/>
        <v>20000</v>
      </c>
      <c r="DB506" s="5">
        <v>1</v>
      </c>
      <c r="DC506" s="20">
        <f t="shared" si="1146"/>
        <v>1.7249999999999999</v>
      </c>
      <c r="DD506" s="6">
        <f t="shared" si="1159"/>
        <v>0.57499999999999996</v>
      </c>
      <c r="DE506" s="6">
        <v>1</v>
      </c>
      <c r="DF506" s="5">
        <v>0</v>
      </c>
      <c r="DG506" s="6">
        <v>2.5</v>
      </c>
      <c r="DH506" s="5">
        <v>0</v>
      </c>
      <c r="DI506" s="8">
        <v>0</v>
      </c>
      <c r="DJ506" s="5">
        <v>0</v>
      </c>
      <c r="DK506" s="8">
        <v>0</v>
      </c>
      <c r="DL506" s="5">
        <f t="shared" si="1116"/>
        <v>0</v>
      </c>
      <c r="DM506" s="5" t="str">
        <f t="shared" si="1148"/>
        <v>4级风暴龙</v>
      </c>
      <c r="DN506" s="5">
        <v>6</v>
      </c>
      <c r="DO506" s="5">
        <v>0</v>
      </c>
      <c r="DP506" s="5">
        <v>1</v>
      </c>
      <c r="DQ506" s="5">
        <v>1</v>
      </c>
      <c r="DR506" s="5">
        <v>2.5</v>
      </c>
      <c r="DS506" s="6">
        <v>3.5</v>
      </c>
      <c r="DT506" s="5">
        <v>-0.6</v>
      </c>
      <c r="DU506" s="5">
        <v>0.8</v>
      </c>
      <c r="DV506" s="6">
        <v>0.5</v>
      </c>
      <c r="DW506" s="5">
        <f t="shared" si="1160"/>
        <v>0.66666666666666663</v>
      </c>
      <c r="DX506" s="5">
        <v>8</v>
      </c>
      <c r="DY506" s="5">
        <f t="shared" si="1161"/>
        <v>0</v>
      </c>
      <c r="DZ506" s="5">
        <v>0</v>
      </c>
    </row>
    <row r="507" spans="1:130" x14ac:dyDescent="0.15">
      <c r="A507" s="5">
        <v>201505</v>
      </c>
      <c r="B507" s="28" t="s">
        <v>830</v>
      </c>
      <c r="C507" s="27">
        <v>35</v>
      </c>
      <c r="D507" s="27">
        <v>1</v>
      </c>
      <c r="E507" s="27">
        <v>3</v>
      </c>
      <c r="F507" s="5">
        <v>2</v>
      </c>
      <c r="G507" s="46">
        <f t="shared" si="1162"/>
        <v>0.11619999999999993</v>
      </c>
      <c r="H507" s="27"/>
      <c r="I507" s="27" t="s">
        <v>975</v>
      </c>
      <c r="J507" s="27"/>
      <c r="K507" s="5">
        <f t="shared" si="1190"/>
        <v>0.19</v>
      </c>
      <c r="L507" s="10">
        <v>3</v>
      </c>
      <c r="M507" s="5">
        <f t="shared" si="1191"/>
        <v>0.04</v>
      </c>
      <c r="N507" s="10">
        <v>0</v>
      </c>
      <c r="O507" s="5">
        <v>0</v>
      </c>
      <c r="P507" s="5">
        <f t="shared" si="1139"/>
        <v>0.2</v>
      </c>
      <c r="Q507" s="5">
        <v>2</v>
      </c>
      <c r="R507" s="5">
        <f t="shared" si="1163"/>
        <v>903930</v>
      </c>
      <c r="S507" s="5">
        <v>30</v>
      </c>
      <c r="T507" s="5">
        <v>10</v>
      </c>
      <c r="U507" s="5">
        <v>0.3</v>
      </c>
      <c r="V507" s="5">
        <v>0.15</v>
      </c>
      <c r="W507" s="5">
        <v>9</v>
      </c>
      <c r="X507" s="5">
        <v>-0.6</v>
      </c>
      <c r="Y507" s="5">
        <v>1.8</v>
      </c>
      <c r="Z507" s="27" t="s">
        <v>1040</v>
      </c>
      <c r="AA507" s="5">
        <v>3</v>
      </c>
      <c r="AB507" s="5">
        <v>2</v>
      </c>
      <c r="AC507" s="5">
        <v>6</v>
      </c>
      <c r="AD507" s="27" t="s">
        <v>1041</v>
      </c>
      <c r="AE507" s="20">
        <v>124</v>
      </c>
      <c r="AF507" s="5">
        <f t="shared" si="1164"/>
        <v>903946</v>
      </c>
      <c r="AG507" s="5">
        <v>60</v>
      </c>
      <c r="AH507" s="5">
        <f t="shared" si="1140"/>
        <v>0.1</v>
      </c>
      <c r="AI507" s="5">
        <v>2</v>
      </c>
      <c r="AJ507" s="5">
        <v>1</v>
      </c>
      <c r="AK507" s="5">
        <f t="shared" si="1165"/>
        <v>25</v>
      </c>
      <c r="AL507" s="5">
        <f t="shared" si="1141"/>
        <v>0</v>
      </c>
      <c r="AM507" s="5">
        <f t="shared" si="1142"/>
        <v>15</v>
      </c>
      <c r="AN507" s="8">
        <v>0</v>
      </c>
      <c r="AO507" s="5">
        <v>0</v>
      </c>
      <c r="AP507" s="28" t="s">
        <v>830</v>
      </c>
      <c r="AQ507" s="5">
        <v>0</v>
      </c>
      <c r="AR507" s="8">
        <v>6</v>
      </c>
      <c r="AS507" s="6">
        <f t="shared" si="1117"/>
        <v>90</v>
      </c>
      <c r="AT507" s="6">
        <f t="shared" si="1118"/>
        <v>105</v>
      </c>
      <c r="AU507" s="5">
        <v>0</v>
      </c>
      <c r="AV507" s="5">
        <v>0</v>
      </c>
      <c r="AW507" s="5">
        <v>0</v>
      </c>
      <c r="AX507" s="5">
        <v>1</v>
      </c>
      <c r="AY507" s="5">
        <v>0</v>
      </c>
      <c r="AZ507" s="5">
        <v>201505</v>
      </c>
      <c r="BA507" s="5">
        <f t="shared" si="1166"/>
        <v>203052</v>
      </c>
      <c r="BB507" s="5">
        <v>10</v>
      </c>
      <c r="BC507" s="5">
        <v>0</v>
      </c>
      <c r="BD507" s="5">
        <v>1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f t="shared" si="1110"/>
        <v>1</v>
      </c>
      <c r="BM507" s="5">
        <v>0</v>
      </c>
      <c r="BN507" s="5">
        <v>0</v>
      </c>
      <c r="BO507" s="5">
        <v>0</v>
      </c>
      <c r="BP507" s="5">
        <v>0</v>
      </c>
      <c r="BQ507" s="5"/>
      <c r="BR507" s="5"/>
      <c r="BS507" s="4">
        <v>0</v>
      </c>
      <c r="BT507" s="4">
        <f t="shared" si="1143"/>
        <v>5</v>
      </c>
      <c r="BU507" s="17">
        <v>95</v>
      </c>
      <c r="BV507" s="4">
        <f t="shared" ref="BV507:BY507" si="1200">BV497</f>
        <v>5</v>
      </c>
      <c r="BW507" s="4">
        <f t="shared" si="1200"/>
        <v>5</v>
      </c>
      <c r="BX507" s="4">
        <f t="shared" si="1200"/>
        <v>0.56999999999999995</v>
      </c>
      <c r="BY507" s="4">
        <f t="shared" si="1200"/>
        <v>0.35000000000000003</v>
      </c>
      <c r="BZ507" s="27" t="s">
        <v>1010</v>
      </c>
      <c r="CA507" s="30" t="str">
        <f t="shared" si="1168"/>
        <v>5</v>
      </c>
      <c r="CB507" s="30" t="s">
        <v>917</v>
      </c>
      <c r="CC507" s="5">
        <v>0</v>
      </c>
      <c r="CD507" s="8">
        <v>3</v>
      </c>
      <c r="CE507" s="5">
        <f t="shared" si="1145"/>
        <v>5</v>
      </c>
      <c r="CF507" s="5">
        <v>1</v>
      </c>
      <c r="CG507" s="27" t="str">
        <f t="shared" si="1151"/>
        <v>5级风暴龙</v>
      </c>
      <c r="CH507" s="5">
        <v>0</v>
      </c>
      <c r="CI507" s="5">
        <v>0</v>
      </c>
      <c r="CJ507" s="4">
        <v>0</v>
      </c>
      <c r="CK507" s="20">
        <v>0</v>
      </c>
      <c r="CL507" s="5">
        <v>0</v>
      </c>
      <c r="CM507" s="20">
        <v>114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20">
        <v>2.5</v>
      </c>
      <c r="CW507" s="20">
        <v>3</v>
      </c>
      <c r="CX507" s="20">
        <v>2.5</v>
      </c>
      <c r="CY507" s="20">
        <v>3.5</v>
      </c>
      <c r="CZ507" s="8">
        <v>200</v>
      </c>
      <c r="DA507" s="6">
        <f t="shared" si="1158"/>
        <v>25000</v>
      </c>
      <c r="DB507" s="5">
        <v>1</v>
      </c>
      <c r="DC507" s="20">
        <f t="shared" si="1146"/>
        <v>1.7999999999999998</v>
      </c>
      <c r="DD507" s="6">
        <f t="shared" si="1159"/>
        <v>0.6</v>
      </c>
      <c r="DE507" s="6">
        <v>1</v>
      </c>
      <c r="DF507" s="5">
        <v>0</v>
      </c>
      <c r="DG507" s="6">
        <v>2.5</v>
      </c>
      <c r="DH507" s="5">
        <v>0</v>
      </c>
      <c r="DI507" s="8">
        <v>0</v>
      </c>
      <c r="DJ507" s="5">
        <v>0</v>
      </c>
      <c r="DK507" s="8">
        <v>0</v>
      </c>
      <c r="DL507" s="5">
        <f t="shared" si="1116"/>
        <v>0</v>
      </c>
      <c r="DM507" s="5" t="str">
        <f t="shared" si="1148"/>
        <v>5级风暴龙</v>
      </c>
      <c r="DN507" s="5">
        <v>6</v>
      </c>
      <c r="DO507" s="5">
        <v>0</v>
      </c>
      <c r="DP507" s="5">
        <v>1</v>
      </c>
      <c r="DQ507" s="5">
        <v>1</v>
      </c>
      <c r="DR507" s="5">
        <v>2.5</v>
      </c>
      <c r="DS507" s="6">
        <v>3.5</v>
      </c>
      <c r="DT507" s="5">
        <v>-0.6</v>
      </c>
      <c r="DU507" s="5">
        <v>0.8</v>
      </c>
      <c r="DV507" s="6">
        <v>0.5</v>
      </c>
      <c r="DW507" s="5">
        <f t="shared" si="1160"/>
        <v>0.66666666666666663</v>
      </c>
      <c r="DX507" s="5">
        <v>8</v>
      </c>
      <c r="DY507" s="5">
        <f t="shared" si="1161"/>
        <v>0</v>
      </c>
      <c r="DZ507" s="5">
        <v>0</v>
      </c>
    </row>
    <row r="508" spans="1:130" x14ac:dyDescent="0.15">
      <c r="A508" s="5">
        <v>201506</v>
      </c>
      <c r="B508" s="28" t="s">
        <v>831</v>
      </c>
      <c r="C508" s="27">
        <v>35</v>
      </c>
      <c r="D508" s="27">
        <v>1</v>
      </c>
      <c r="E508" s="27">
        <v>3</v>
      </c>
      <c r="F508" s="5">
        <v>2</v>
      </c>
      <c r="G508" s="46">
        <f t="shared" si="1162"/>
        <v>0.11619999999999993</v>
      </c>
      <c r="H508" s="27"/>
      <c r="I508" s="27" t="s">
        <v>975</v>
      </c>
      <c r="J508" s="27"/>
      <c r="K508" s="5">
        <f t="shared" si="1190"/>
        <v>0.2</v>
      </c>
      <c r="L508" s="10">
        <v>3</v>
      </c>
      <c r="M508" s="5">
        <f t="shared" si="1191"/>
        <v>0.05</v>
      </c>
      <c r="N508" s="10">
        <v>0</v>
      </c>
      <c r="O508" s="5">
        <v>0</v>
      </c>
      <c r="P508" s="5">
        <f t="shared" si="1139"/>
        <v>0.2</v>
      </c>
      <c r="Q508" s="5">
        <v>2</v>
      </c>
      <c r="R508" s="5">
        <f t="shared" si="1163"/>
        <v>903930</v>
      </c>
      <c r="S508" s="5">
        <v>30</v>
      </c>
      <c r="T508" s="5">
        <v>10</v>
      </c>
      <c r="U508" s="5">
        <v>0.3</v>
      </c>
      <c r="V508" s="5">
        <v>0.15</v>
      </c>
      <c r="W508" s="5">
        <v>9</v>
      </c>
      <c r="X508" s="5">
        <v>-0.6</v>
      </c>
      <c r="Y508" s="5">
        <v>1.8</v>
      </c>
      <c r="Z508" s="27" t="s">
        <v>1040</v>
      </c>
      <c r="AA508" s="5">
        <v>3</v>
      </c>
      <c r="AB508" s="5">
        <v>2</v>
      </c>
      <c r="AC508" s="5">
        <v>6</v>
      </c>
      <c r="AD508" s="27" t="s">
        <v>1041</v>
      </c>
      <c r="AE508" s="20">
        <v>124</v>
      </c>
      <c r="AF508" s="5">
        <f t="shared" si="1164"/>
        <v>903946</v>
      </c>
      <c r="AG508" s="5">
        <v>60</v>
      </c>
      <c r="AH508" s="5">
        <f t="shared" si="1140"/>
        <v>0.1</v>
      </c>
      <c r="AI508" s="5">
        <v>2</v>
      </c>
      <c r="AJ508" s="5">
        <v>1</v>
      </c>
      <c r="AK508" s="5">
        <f t="shared" si="1165"/>
        <v>30</v>
      </c>
      <c r="AL508" s="5">
        <f t="shared" si="1141"/>
        <v>0</v>
      </c>
      <c r="AM508" s="5">
        <f t="shared" si="1142"/>
        <v>18</v>
      </c>
      <c r="AN508" s="8">
        <v>0</v>
      </c>
      <c r="AO508" s="5">
        <v>0</v>
      </c>
      <c r="AP508" s="28" t="s">
        <v>831</v>
      </c>
      <c r="AQ508" s="5">
        <v>0</v>
      </c>
      <c r="AR508" s="8">
        <v>6</v>
      </c>
      <c r="AS508" s="6">
        <f t="shared" si="1117"/>
        <v>108</v>
      </c>
      <c r="AT508" s="6">
        <f t="shared" si="1118"/>
        <v>126</v>
      </c>
      <c r="AU508" s="5">
        <v>0</v>
      </c>
      <c r="AV508" s="5">
        <v>0</v>
      </c>
      <c r="AW508" s="5">
        <v>0</v>
      </c>
      <c r="AX508" s="5">
        <v>1</v>
      </c>
      <c r="AY508" s="5">
        <v>0</v>
      </c>
      <c r="AZ508" s="5">
        <v>201506</v>
      </c>
      <c r="BA508" s="5">
        <f t="shared" si="1166"/>
        <v>203052</v>
      </c>
      <c r="BB508" s="5">
        <v>10</v>
      </c>
      <c r="BC508" s="5">
        <v>0</v>
      </c>
      <c r="BD508" s="5">
        <v>1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f t="shared" si="1110"/>
        <v>1</v>
      </c>
      <c r="BM508" s="5">
        <v>0</v>
      </c>
      <c r="BN508" s="5">
        <v>0</v>
      </c>
      <c r="BO508" s="5">
        <v>0</v>
      </c>
      <c r="BP508" s="5">
        <v>0</v>
      </c>
      <c r="BQ508" s="5"/>
      <c r="BR508" s="5"/>
      <c r="BS508" s="4">
        <v>0</v>
      </c>
      <c r="BT508" s="4">
        <f t="shared" si="1143"/>
        <v>6</v>
      </c>
      <c r="BU508" s="17">
        <v>96</v>
      </c>
      <c r="BV508" s="4">
        <f t="shared" ref="BV508:BY508" si="1201">BV498</f>
        <v>6</v>
      </c>
      <c r="BW508" s="4">
        <f t="shared" si="1201"/>
        <v>6</v>
      </c>
      <c r="BX508" s="4">
        <f t="shared" si="1201"/>
        <v>0.49999999999999994</v>
      </c>
      <c r="BY508" s="4">
        <f t="shared" si="1201"/>
        <v>0.30000000000000004</v>
      </c>
      <c r="BZ508" s="27" t="s">
        <v>1010</v>
      </c>
      <c r="CA508" s="30" t="str">
        <f t="shared" si="1168"/>
        <v>6</v>
      </c>
      <c r="CB508" s="30" t="s">
        <v>917</v>
      </c>
      <c r="CC508" s="5">
        <v>0</v>
      </c>
      <c r="CD508" s="8">
        <v>3</v>
      </c>
      <c r="CE508" s="5">
        <f t="shared" si="1145"/>
        <v>6</v>
      </c>
      <c r="CF508" s="5">
        <v>1</v>
      </c>
      <c r="CG508" s="27" t="str">
        <f t="shared" si="1151"/>
        <v>6级风暴龙</v>
      </c>
      <c r="CH508" s="5">
        <v>0</v>
      </c>
      <c r="CI508" s="5">
        <v>0</v>
      </c>
      <c r="CJ508" s="4">
        <v>0</v>
      </c>
      <c r="CK508" s="20">
        <v>0</v>
      </c>
      <c r="CL508" s="5">
        <v>0</v>
      </c>
      <c r="CM508" s="20">
        <v>114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20">
        <v>2.5</v>
      </c>
      <c r="CW508" s="20">
        <v>3</v>
      </c>
      <c r="CX508" s="20">
        <v>2.5</v>
      </c>
      <c r="CY508" s="20">
        <v>3.5</v>
      </c>
      <c r="CZ508" s="8">
        <v>200</v>
      </c>
      <c r="DA508" s="6">
        <f t="shared" si="1158"/>
        <v>30000</v>
      </c>
      <c r="DB508" s="5">
        <v>1</v>
      </c>
      <c r="DC508" s="20">
        <f t="shared" si="1146"/>
        <v>1.875</v>
      </c>
      <c r="DD508" s="6">
        <f t="shared" si="1159"/>
        <v>0.625</v>
      </c>
      <c r="DE508" s="6">
        <v>1</v>
      </c>
      <c r="DF508" s="5">
        <v>0</v>
      </c>
      <c r="DG508" s="6">
        <v>2.5</v>
      </c>
      <c r="DH508" s="5">
        <v>0</v>
      </c>
      <c r="DI508" s="8">
        <v>0</v>
      </c>
      <c r="DJ508" s="5">
        <v>0</v>
      </c>
      <c r="DK508" s="8">
        <v>0</v>
      </c>
      <c r="DL508" s="5">
        <f t="shared" si="1116"/>
        <v>0</v>
      </c>
      <c r="DM508" s="5" t="str">
        <f t="shared" si="1148"/>
        <v>6级风暴龙</v>
      </c>
      <c r="DN508" s="5">
        <v>6</v>
      </c>
      <c r="DO508" s="5">
        <v>0</v>
      </c>
      <c r="DP508" s="5">
        <v>1</v>
      </c>
      <c r="DQ508" s="5">
        <v>1</v>
      </c>
      <c r="DR508" s="5">
        <v>2.5</v>
      </c>
      <c r="DS508" s="6">
        <v>3.5</v>
      </c>
      <c r="DT508" s="5">
        <v>-0.6</v>
      </c>
      <c r="DU508" s="5">
        <v>0.8</v>
      </c>
      <c r="DV508" s="6">
        <v>0.5</v>
      </c>
      <c r="DW508" s="5">
        <f t="shared" si="1160"/>
        <v>0.66666666666666663</v>
      </c>
      <c r="DX508" s="5">
        <v>8</v>
      </c>
      <c r="DY508" s="5">
        <f t="shared" si="1161"/>
        <v>0</v>
      </c>
      <c r="DZ508" s="5">
        <v>0</v>
      </c>
    </row>
    <row r="509" spans="1:130" x14ac:dyDescent="0.15">
      <c r="A509" s="5">
        <v>201507</v>
      </c>
      <c r="B509" s="28" t="s">
        <v>832</v>
      </c>
      <c r="C509" s="27">
        <v>35</v>
      </c>
      <c r="D509" s="27">
        <v>1</v>
      </c>
      <c r="E509" s="27">
        <v>3</v>
      </c>
      <c r="F509" s="5">
        <v>2</v>
      </c>
      <c r="G509" s="46">
        <f t="shared" si="1162"/>
        <v>0.11619999999999993</v>
      </c>
      <c r="H509" s="27"/>
      <c r="I509" s="27" t="s">
        <v>975</v>
      </c>
      <c r="J509" s="27"/>
      <c r="K509" s="5">
        <f t="shared" si="1190"/>
        <v>0.21</v>
      </c>
      <c r="L509" s="10">
        <v>3</v>
      </c>
      <c r="M509" s="5">
        <f t="shared" si="1191"/>
        <v>0.06</v>
      </c>
      <c r="N509" s="10">
        <v>0</v>
      </c>
      <c r="O509" s="5">
        <v>0</v>
      </c>
      <c r="P509" s="5">
        <f t="shared" si="1139"/>
        <v>0.2</v>
      </c>
      <c r="Q509" s="5">
        <v>2</v>
      </c>
      <c r="R509" s="5">
        <f t="shared" si="1163"/>
        <v>903930</v>
      </c>
      <c r="S509" s="5">
        <v>30</v>
      </c>
      <c r="T509" s="5">
        <v>10</v>
      </c>
      <c r="U509" s="5">
        <v>0.3</v>
      </c>
      <c r="V509" s="5">
        <v>0.15</v>
      </c>
      <c r="W509" s="5">
        <v>9</v>
      </c>
      <c r="X509" s="5">
        <v>-0.6</v>
      </c>
      <c r="Y509" s="5">
        <v>1.8</v>
      </c>
      <c r="Z509" s="27" t="s">
        <v>1040</v>
      </c>
      <c r="AA509" s="5">
        <v>3</v>
      </c>
      <c r="AB509" s="5">
        <v>2</v>
      </c>
      <c r="AC509" s="5">
        <v>6</v>
      </c>
      <c r="AD509" s="27" t="s">
        <v>1041</v>
      </c>
      <c r="AE509" s="20">
        <v>124</v>
      </c>
      <c r="AF509" s="5">
        <f t="shared" si="1164"/>
        <v>903946</v>
      </c>
      <c r="AG509" s="5">
        <v>60</v>
      </c>
      <c r="AH509" s="5">
        <f t="shared" si="1140"/>
        <v>0.1</v>
      </c>
      <c r="AI509" s="5">
        <v>2</v>
      </c>
      <c r="AJ509" s="5">
        <v>1</v>
      </c>
      <c r="AK509" s="5">
        <f t="shared" si="1165"/>
        <v>35</v>
      </c>
      <c r="AL509" s="5">
        <f t="shared" si="1141"/>
        <v>0</v>
      </c>
      <c r="AM509" s="5">
        <f t="shared" si="1142"/>
        <v>21</v>
      </c>
      <c r="AN509" s="8">
        <v>0</v>
      </c>
      <c r="AO509" s="5">
        <v>0</v>
      </c>
      <c r="AP509" s="28" t="s">
        <v>832</v>
      </c>
      <c r="AQ509" s="5">
        <v>0</v>
      </c>
      <c r="AR509" s="8">
        <v>6</v>
      </c>
      <c r="AS509" s="6">
        <f t="shared" si="1117"/>
        <v>126</v>
      </c>
      <c r="AT509" s="6">
        <f t="shared" si="1118"/>
        <v>147</v>
      </c>
      <c r="AU509" s="5">
        <v>0</v>
      </c>
      <c r="AV509" s="5">
        <v>0</v>
      </c>
      <c r="AW509" s="5">
        <v>0</v>
      </c>
      <c r="AX509" s="5">
        <v>1</v>
      </c>
      <c r="AY509" s="5">
        <v>0</v>
      </c>
      <c r="AZ509" s="5">
        <v>201507</v>
      </c>
      <c r="BA509" s="5">
        <f t="shared" si="1166"/>
        <v>203052</v>
      </c>
      <c r="BB509" s="5">
        <v>10</v>
      </c>
      <c r="BC509" s="5">
        <v>0</v>
      </c>
      <c r="BD509" s="5">
        <v>1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f t="shared" si="1110"/>
        <v>1</v>
      </c>
      <c r="BM509" s="5">
        <v>0</v>
      </c>
      <c r="BN509" s="5">
        <v>0</v>
      </c>
      <c r="BO509" s="5">
        <v>0</v>
      </c>
      <c r="BP509" s="5">
        <v>0</v>
      </c>
      <c r="BQ509" s="5"/>
      <c r="BR509" s="5"/>
      <c r="BS509" s="4">
        <v>0</v>
      </c>
      <c r="BT509" s="4">
        <f t="shared" si="1143"/>
        <v>7</v>
      </c>
      <c r="BU509" s="17">
        <v>97</v>
      </c>
      <c r="BV509" s="4">
        <f t="shared" ref="BV509:BY509" si="1202">BV499</f>
        <v>7</v>
      </c>
      <c r="BW509" s="4">
        <f t="shared" si="1202"/>
        <v>7</v>
      </c>
      <c r="BX509" s="4">
        <f t="shared" si="1202"/>
        <v>0.42999999999999994</v>
      </c>
      <c r="BY509" s="4">
        <f t="shared" si="1202"/>
        <v>0.25</v>
      </c>
      <c r="BZ509" s="27" t="s">
        <v>1010</v>
      </c>
      <c r="CA509" s="30" t="str">
        <f t="shared" si="1168"/>
        <v>7</v>
      </c>
      <c r="CB509" s="30" t="s">
        <v>917</v>
      </c>
      <c r="CC509" s="5">
        <v>0</v>
      </c>
      <c r="CD509" s="8">
        <v>3</v>
      </c>
      <c r="CE509" s="5">
        <f t="shared" si="1145"/>
        <v>7</v>
      </c>
      <c r="CF509" s="5">
        <v>1</v>
      </c>
      <c r="CG509" s="27" t="str">
        <f t="shared" si="1151"/>
        <v>7级风暴龙</v>
      </c>
      <c r="CH509" s="5">
        <v>0</v>
      </c>
      <c r="CI509" s="5">
        <v>0</v>
      </c>
      <c r="CJ509" s="4">
        <v>0</v>
      </c>
      <c r="CK509" s="20">
        <v>0</v>
      </c>
      <c r="CL509" s="5">
        <v>0</v>
      </c>
      <c r="CM509" s="20">
        <v>114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20">
        <v>2.5</v>
      </c>
      <c r="CW509" s="20">
        <v>3</v>
      </c>
      <c r="CX509" s="20">
        <v>2.5</v>
      </c>
      <c r="CY509" s="20">
        <v>3.5</v>
      </c>
      <c r="CZ509" s="8">
        <v>200</v>
      </c>
      <c r="DA509" s="6">
        <f t="shared" si="1158"/>
        <v>35000</v>
      </c>
      <c r="DB509" s="5">
        <v>1</v>
      </c>
      <c r="DC509" s="20">
        <f t="shared" si="1146"/>
        <v>1.9500000000000002</v>
      </c>
      <c r="DD509" s="6">
        <f t="shared" si="1159"/>
        <v>0.65</v>
      </c>
      <c r="DE509" s="6">
        <v>1</v>
      </c>
      <c r="DF509" s="5">
        <v>0</v>
      </c>
      <c r="DG509" s="6">
        <v>2.5</v>
      </c>
      <c r="DH509" s="5">
        <v>0</v>
      </c>
      <c r="DI509" s="8">
        <v>0</v>
      </c>
      <c r="DJ509" s="5">
        <v>0</v>
      </c>
      <c r="DK509" s="8">
        <v>0</v>
      </c>
      <c r="DL509" s="5">
        <f t="shared" si="1116"/>
        <v>0</v>
      </c>
      <c r="DM509" s="5" t="str">
        <f t="shared" si="1148"/>
        <v>7级风暴龙</v>
      </c>
      <c r="DN509" s="5">
        <v>6</v>
      </c>
      <c r="DO509" s="5">
        <v>0</v>
      </c>
      <c r="DP509" s="5">
        <v>1</v>
      </c>
      <c r="DQ509" s="5">
        <v>1</v>
      </c>
      <c r="DR509" s="5">
        <v>2.5</v>
      </c>
      <c r="DS509" s="6">
        <v>3.5</v>
      </c>
      <c r="DT509" s="5">
        <v>-0.6</v>
      </c>
      <c r="DU509" s="5">
        <v>0.8</v>
      </c>
      <c r="DV509" s="6">
        <v>0.5</v>
      </c>
      <c r="DW509" s="5">
        <f t="shared" si="1160"/>
        <v>0.66666666666666663</v>
      </c>
      <c r="DX509" s="5">
        <v>8</v>
      </c>
      <c r="DY509" s="5">
        <f t="shared" si="1161"/>
        <v>0</v>
      </c>
      <c r="DZ509" s="5">
        <v>0</v>
      </c>
    </row>
    <row r="510" spans="1:130" x14ac:dyDescent="0.15">
      <c r="A510" s="5">
        <v>201508</v>
      </c>
      <c r="B510" s="28" t="s">
        <v>833</v>
      </c>
      <c r="C510" s="27">
        <v>35</v>
      </c>
      <c r="D510" s="27">
        <v>1</v>
      </c>
      <c r="E510" s="27">
        <v>3</v>
      </c>
      <c r="F510" s="5">
        <v>2</v>
      </c>
      <c r="G510" s="46">
        <f t="shared" si="1162"/>
        <v>0.11619999999999993</v>
      </c>
      <c r="H510" s="27"/>
      <c r="I510" s="27" t="s">
        <v>975</v>
      </c>
      <c r="J510" s="27"/>
      <c r="K510" s="5">
        <f t="shared" si="1190"/>
        <v>0.22</v>
      </c>
      <c r="L510" s="10">
        <v>3</v>
      </c>
      <c r="M510" s="5">
        <f t="shared" si="1191"/>
        <v>7.0000000000000007E-2</v>
      </c>
      <c r="N510" s="10">
        <v>0</v>
      </c>
      <c r="O510" s="5">
        <v>0</v>
      </c>
      <c r="P510" s="5">
        <f t="shared" si="1139"/>
        <v>0.2</v>
      </c>
      <c r="Q510" s="5">
        <v>2</v>
      </c>
      <c r="R510" s="5">
        <f t="shared" si="1163"/>
        <v>903930</v>
      </c>
      <c r="S510" s="5">
        <v>30</v>
      </c>
      <c r="T510" s="5">
        <v>10</v>
      </c>
      <c r="U510" s="5">
        <v>0.3</v>
      </c>
      <c r="V510" s="5">
        <v>0.15</v>
      </c>
      <c r="W510" s="5">
        <v>9</v>
      </c>
      <c r="X510" s="5">
        <v>-0.6</v>
      </c>
      <c r="Y510" s="5">
        <v>1.8</v>
      </c>
      <c r="Z510" s="27" t="s">
        <v>1040</v>
      </c>
      <c r="AA510" s="5">
        <v>3</v>
      </c>
      <c r="AB510" s="5">
        <v>2</v>
      </c>
      <c r="AC510" s="5">
        <v>6</v>
      </c>
      <c r="AD510" s="27" t="s">
        <v>1041</v>
      </c>
      <c r="AE510" s="20">
        <v>124</v>
      </c>
      <c r="AF510" s="5">
        <f t="shared" si="1164"/>
        <v>903946</v>
      </c>
      <c r="AG510" s="5">
        <v>60</v>
      </c>
      <c r="AH510" s="5">
        <f t="shared" si="1140"/>
        <v>0.1</v>
      </c>
      <c r="AI510" s="5">
        <v>2</v>
      </c>
      <c r="AJ510" s="5">
        <v>1</v>
      </c>
      <c r="AK510" s="5">
        <f t="shared" si="1165"/>
        <v>40</v>
      </c>
      <c r="AL510" s="5">
        <f t="shared" si="1141"/>
        <v>0</v>
      </c>
      <c r="AM510" s="5">
        <f t="shared" si="1142"/>
        <v>24</v>
      </c>
      <c r="AN510" s="8">
        <v>0</v>
      </c>
      <c r="AO510" s="5">
        <v>0</v>
      </c>
      <c r="AP510" s="28" t="s">
        <v>833</v>
      </c>
      <c r="AQ510" s="5">
        <v>0</v>
      </c>
      <c r="AR510" s="8">
        <v>6</v>
      </c>
      <c r="AS510" s="6">
        <f t="shared" si="1117"/>
        <v>144</v>
      </c>
      <c r="AT510" s="6">
        <f t="shared" si="1118"/>
        <v>168</v>
      </c>
      <c r="AU510" s="5">
        <v>0</v>
      </c>
      <c r="AV510" s="5">
        <v>0</v>
      </c>
      <c r="AW510" s="5">
        <v>0</v>
      </c>
      <c r="AX510" s="5">
        <v>1</v>
      </c>
      <c r="AY510" s="5">
        <v>0</v>
      </c>
      <c r="AZ510" s="5">
        <v>201508</v>
      </c>
      <c r="BA510" s="5">
        <f t="shared" si="1166"/>
        <v>203052</v>
      </c>
      <c r="BB510" s="5">
        <v>10</v>
      </c>
      <c r="BC510" s="5">
        <v>0</v>
      </c>
      <c r="BD510" s="5">
        <v>1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f t="shared" si="1110"/>
        <v>1</v>
      </c>
      <c r="BM510" s="5">
        <v>0</v>
      </c>
      <c r="BN510" s="5">
        <v>0</v>
      </c>
      <c r="BO510" s="5">
        <v>0</v>
      </c>
      <c r="BP510" s="5">
        <v>0</v>
      </c>
      <c r="BQ510" s="5"/>
      <c r="BR510" s="5"/>
      <c r="BS510" s="4">
        <v>0</v>
      </c>
      <c r="BT510" s="4">
        <f t="shared" si="1143"/>
        <v>8</v>
      </c>
      <c r="BU510" s="17">
        <v>98</v>
      </c>
      <c r="BV510" s="4">
        <f t="shared" ref="BV510:BY510" si="1203">BV500</f>
        <v>8</v>
      </c>
      <c r="BW510" s="4">
        <f t="shared" si="1203"/>
        <v>8</v>
      </c>
      <c r="BX510" s="4">
        <f t="shared" si="1203"/>
        <v>0.35999999999999993</v>
      </c>
      <c r="BY510" s="4">
        <f t="shared" si="1203"/>
        <v>0.2</v>
      </c>
      <c r="BZ510" s="27" t="s">
        <v>1010</v>
      </c>
      <c r="CA510" s="30" t="str">
        <f t="shared" si="1168"/>
        <v>8</v>
      </c>
      <c r="CB510" s="30" t="s">
        <v>917</v>
      </c>
      <c r="CC510" s="5">
        <v>0</v>
      </c>
      <c r="CD510" s="8">
        <v>3</v>
      </c>
      <c r="CE510" s="5">
        <f t="shared" si="1145"/>
        <v>8</v>
      </c>
      <c r="CF510" s="5">
        <v>1</v>
      </c>
      <c r="CG510" s="27" t="str">
        <f t="shared" si="1151"/>
        <v>8级风暴龙</v>
      </c>
      <c r="CH510" s="5">
        <v>0</v>
      </c>
      <c r="CI510" s="5">
        <v>0</v>
      </c>
      <c r="CJ510" s="4">
        <v>0</v>
      </c>
      <c r="CK510" s="20">
        <v>0</v>
      </c>
      <c r="CL510" s="5">
        <v>0</v>
      </c>
      <c r="CM510" s="20">
        <v>114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20">
        <v>2.5</v>
      </c>
      <c r="CW510" s="20">
        <v>3</v>
      </c>
      <c r="CX510" s="20">
        <v>2.5</v>
      </c>
      <c r="CY510" s="20">
        <v>3.5</v>
      </c>
      <c r="CZ510" s="8">
        <v>200</v>
      </c>
      <c r="DA510" s="6">
        <f t="shared" si="1158"/>
        <v>40000</v>
      </c>
      <c r="DB510" s="5">
        <v>1</v>
      </c>
      <c r="DC510" s="20">
        <f t="shared" si="1146"/>
        <v>2.0250000000000004</v>
      </c>
      <c r="DD510" s="6">
        <f t="shared" si="1159"/>
        <v>0.67500000000000004</v>
      </c>
      <c r="DE510" s="6">
        <v>1</v>
      </c>
      <c r="DF510" s="5">
        <v>0</v>
      </c>
      <c r="DG510" s="6">
        <v>2.5</v>
      </c>
      <c r="DH510" s="5">
        <v>0</v>
      </c>
      <c r="DI510" s="8">
        <v>0</v>
      </c>
      <c r="DJ510" s="5">
        <v>0</v>
      </c>
      <c r="DK510" s="8">
        <v>0</v>
      </c>
      <c r="DL510" s="5">
        <f t="shared" si="1116"/>
        <v>0</v>
      </c>
      <c r="DM510" s="5" t="str">
        <f t="shared" si="1148"/>
        <v>8级风暴龙</v>
      </c>
      <c r="DN510" s="5">
        <v>6</v>
      </c>
      <c r="DO510" s="5">
        <v>0</v>
      </c>
      <c r="DP510" s="5">
        <v>1</v>
      </c>
      <c r="DQ510" s="5">
        <v>1</v>
      </c>
      <c r="DR510" s="5">
        <v>2.5</v>
      </c>
      <c r="DS510" s="6">
        <v>3.5</v>
      </c>
      <c r="DT510" s="5">
        <v>-0.6</v>
      </c>
      <c r="DU510" s="5">
        <v>0.8</v>
      </c>
      <c r="DV510" s="6">
        <v>0.5</v>
      </c>
      <c r="DW510" s="5">
        <f t="shared" si="1160"/>
        <v>0.66666666666666663</v>
      </c>
      <c r="DX510" s="5">
        <v>8</v>
      </c>
      <c r="DY510" s="5">
        <f t="shared" si="1161"/>
        <v>0</v>
      </c>
      <c r="DZ510" s="5">
        <v>0</v>
      </c>
    </row>
    <row r="511" spans="1:130" x14ac:dyDescent="0.15">
      <c r="A511" s="5">
        <v>201509</v>
      </c>
      <c r="B511" s="28" t="s">
        <v>834</v>
      </c>
      <c r="C511" s="27">
        <v>35</v>
      </c>
      <c r="D511" s="27">
        <v>1</v>
      </c>
      <c r="E511" s="27">
        <v>3</v>
      </c>
      <c r="F511" s="5">
        <v>2</v>
      </c>
      <c r="G511" s="46">
        <f t="shared" si="1162"/>
        <v>0.11619999999999993</v>
      </c>
      <c r="H511" s="27"/>
      <c r="I511" s="27" t="s">
        <v>975</v>
      </c>
      <c r="J511" s="27"/>
      <c r="K511" s="5">
        <f t="shared" si="1190"/>
        <v>0.22999999999999998</v>
      </c>
      <c r="L511" s="10">
        <v>3</v>
      </c>
      <c r="M511" s="5">
        <f t="shared" si="1191"/>
        <v>0.08</v>
      </c>
      <c r="N511" s="10">
        <v>0</v>
      </c>
      <c r="O511" s="5">
        <v>0</v>
      </c>
      <c r="P511" s="5">
        <f t="shared" si="1139"/>
        <v>0.2</v>
      </c>
      <c r="Q511" s="5">
        <v>2</v>
      </c>
      <c r="R511" s="5">
        <f t="shared" si="1163"/>
        <v>903930</v>
      </c>
      <c r="S511" s="5">
        <v>30</v>
      </c>
      <c r="T511" s="5">
        <v>10</v>
      </c>
      <c r="U511" s="5">
        <v>0.3</v>
      </c>
      <c r="V511" s="5">
        <v>0.15</v>
      </c>
      <c r="W511" s="5">
        <v>9</v>
      </c>
      <c r="X511" s="5">
        <v>-0.6</v>
      </c>
      <c r="Y511" s="5">
        <v>1.8</v>
      </c>
      <c r="Z511" s="27" t="s">
        <v>1040</v>
      </c>
      <c r="AA511" s="5">
        <v>3</v>
      </c>
      <c r="AB511" s="5">
        <v>2</v>
      </c>
      <c r="AC511" s="5">
        <v>6</v>
      </c>
      <c r="AD511" s="27" t="s">
        <v>1041</v>
      </c>
      <c r="AE511" s="20">
        <v>124</v>
      </c>
      <c r="AF511" s="5">
        <f t="shared" si="1164"/>
        <v>903946</v>
      </c>
      <c r="AG511" s="5">
        <v>60</v>
      </c>
      <c r="AH511" s="5">
        <f t="shared" si="1140"/>
        <v>0.1</v>
      </c>
      <c r="AI511" s="5">
        <v>2</v>
      </c>
      <c r="AJ511" s="5">
        <v>1</v>
      </c>
      <c r="AK511" s="5">
        <f t="shared" si="1165"/>
        <v>45</v>
      </c>
      <c r="AL511" s="5">
        <f t="shared" si="1141"/>
        <v>0</v>
      </c>
      <c r="AM511" s="5">
        <f t="shared" si="1142"/>
        <v>27</v>
      </c>
      <c r="AN511" s="8">
        <v>0</v>
      </c>
      <c r="AO511" s="5">
        <v>0</v>
      </c>
      <c r="AP511" s="28" t="s">
        <v>834</v>
      </c>
      <c r="AQ511" s="5">
        <v>0</v>
      </c>
      <c r="AR511" s="8">
        <v>6</v>
      </c>
      <c r="AS511" s="6">
        <f t="shared" si="1117"/>
        <v>162</v>
      </c>
      <c r="AT511" s="6">
        <f t="shared" si="1118"/>
        <v>189</v>
      </c>
      <c r="AU511" s="5">
        <v>0</v>
      </c>
      <c r="AV511" s="5">
        <v>0</v>
      </c>
      <c r="AW511" s="5">
        <v>0</v>
      </c>
      <c r="AX511" s="5">
        <v>1</v>
      </c>
      <c r="AY511" s="5">
        <v>0</v>
      </c>
      <c r="AZ511" s="5">
        <v>201509</v>
      </c>
      <c r="BA511" s="5">
        <f t="shared" si="1166"/>
        <v>203052</v>
      </c>
      <c r="BB511" s="5">
        <v>10</v>
      </c>
      <c r="BC511" s="5">
        <v>0</v>
      </c>
      <c r="BD511" s="5">
        <v>1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f t="shared" ref="BL511:BL574" si="1204">BL490</f>
        <v>1</v>
      </c>
      <c r="BM511" s="5">
        <v>0</v>
      </c>
      <c r="BN511" s="5">
        <v>0</v>
      </c>
      <c r="BO511" s="5">
        <v>0</v>
      </c>
      <c r="BP511" s="5">
        <v>0</v>
      </c>
      <c r="BQ511" s="5"/>
      <c r="BR511" s="5"/>
      <c r="BS511" s="4">
        <v>0</v>
      </c>
      <c r="BT511" s="4">
        <f t="shared" si="1143"/>
        <v>9</v>
      </c>
      <c r="BU511" s="17">
        <v>99</v>
      </c>
      <c r="BV511" s="4">
        <f t="shared" ref="BV511:BY511" si="1205">BV501</f>
        <v>9</v>
      </c>
      <c r="BW511" s="4">
        <f t="shared" si="1205"/>
        <v>9</v>
      </c>
      <c r="BX511" s="4">
        <f t="shared" si="1205"/>
        <v>0.28999999999999992</v>
      </c>
      <c r="BY511" s="4">
        <f t="shared" si="1205"/>
        <v>0.15000000000000002</v>
      </c>
      <c r="BZ511" s="27" t="s">
        <v>1010</v>
      </c>
      <c r="CA511" s="30" t="str">
        <f t="shared" si="1168"/>
        <v>9</v>
      </c>
      <c r="CB511" s="30" t="s">
        <v>917</v>
      </c>
      <c r="CC511" s="5">
        <v>0</v>
      </c>
      <c r="CD511" s="8">
        <v>3</v>
      </c>
      <c r="CE511" s="5">
        <f t="shared" si="1145"/>
        <v>9</v>
      </c>
      <c r="CF511" s="5">
        <v>1</v>
      </c>
      <c r="CG511" s="27" t="str">
        <f t="shared" si="1151"/>
        <v>9级风暴龙</v>
      </c>
      <c r="CH511" s="5">
        <v>0</v>
      </c>
      <c r="CI511" s="5">
        <v>0</v>
      </c>
      <c r="CJ511" s="4">
        <v>0</v>
      </c>
      <c r="CK511" s="20">
        <v>0</v>
      </c>
      <c r="CL511" s="5">
        <v>0</v>
      </c>
      <c r="CM511" s="20">
        <v>114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20">
        <v>2.5</v>
      </c>
      <c r="CW511" s="20">
        <v>3</v>
      </c>
      <c r="CX511" s="20">
        <v>2.5</v>
      </c>
      <c r="CY511" s="20">
        <v>3.5</v>
      </c>
      <c r="CZ511" s="8">
        <v>200</v>
      </c>
      <c r="DA511" s="6">
        <f t="shared" si="1158"/>
        <v>45000</v>
      </c>
      <c r="DB511" s="5">
        <v>1</v>
      </c>
      <c r="DC511" s="20">
        <f t="shared" si="1146"/>
        <v>2.0999999999999996</v>
      </c>
      <c r="DD511" s="6">
        <f t="shared" si="1159"/>
        <v>0.7</v>
      </c>
      <c r="DE511" s="6">
        <v>1</v>
      </c>
      <c r="DF511" s="5">
        <v>0</v>
      </c>
      <c r="DG511" s="6">
        <v>2.5</v>
      </c>
      <c r="DH511" s="5">
        <v>0</v>
      </c>
      <c r="DI511" s="8">
        <v>0</v>
      </c>
      <c r="DJ511" s="5">
        <v>0</v>
      </c>
      <c r="DK511" s="8">
        <v>0</v>
      </c>
      <c r="DL511" s="5">
        <f t="shared" si="1116"/>
        <v>0</v>
      </c>
      <c r="DM511" s="5" t="str">
        <f t="shared" si="1148"/>
        <v>9级风暴龙</v>
      </c>
      <c r="DN511" s="5">
        <v>6</v>
      </c>
      <c r="DO511" s="5">
        <v>0</v>
      </c>
      <c r="DP511" s="5">
        <v>1</v>
      </c>
      <c r="DQ511" s="5">
        <v>1</v>
      </c>
      <c r="DR511" s="5">
        <v>2.5</v>
      </c>
      <c r="DS511" s="6">
        <v>3.5</v>
      </c>
      <c r="DT511" s="5">
        <v>-0.6</v>
      </c>
      <c r="DU511" s="5">
        <v>0.8</v>
      </c>
      <c r="DV511" s="6">
        <v>0.5</v>
      </c>
      <c r="DW511" s="5">
        <f t="shared" si="1160"/>
        <v>0.66666666666666663</v>
      </c>
      <c r="DX511" s="5">
        <v>8</v>
      </c>
      <c r="DY511" s="5">
        <f t="shared" si="1161"/>
        <v>0</v>
      </c>
      <c r="DZ511" s="5">
        <v>0</v>
      </c>
    </row>
    <row r="512" spans="1:130" x14ac:dyDescent="0.15">
      <c r="A512" s="5">
        <v>201510</v>
      </c>
      <c r="B512" s="28" t="s">
        <v>835</v>
      </c>
      <c r="C512" s="27">
        <v>35</v>
      </c>
      <c r="D512" s="27">
        <v>1</v>
      </c>
      <c r="E512" s="27">
        <v>3</v>
      </c>
      <c r="F512" s="5">
        <v>2</v>
      </c>
      <c r="G512" s="46">
        <f t="shared" si="1162"/>
        <v>0.11619999999999993</v>
      </c>
      <c r="H512" s="27"/>
      <c r="I512" s="27" t="s">
        <v>975</v>
      </c>
      <c r="J512" s="27"/>
      <c r="K512" s="5">
        <f t="shared" si="1190"/>
        <v>0.24</v>
      </c>
      <c r="L512" s="10">
        <v>3</v>
      </c>
      <c r="M512" s="5">
        <f t="shared" si="1191"/>
        <v>0.09</v>
      </c>
      <c r="N512" s="10">
        <v>0</v>
      </c>
      <c r="O512" s="5">
        <v>0</v>
      </c>
      <c r="P512" s="5">
        <f t="shared" si="1139"/>
        <v>0.2</v>
      </c>
      <c r="Q512" s="5">
        <v>2</v>
      </c>
      <c r="R512" s="5">
        <f t="shared" si="1163"/>
        <v>903930</v>
      </c>
      <c r="S512" s="5">
        <v>30</v>
      </c>
      <c r="T512" s="5">
        <v>10</v>
      </c>
      <c r="U512" s="5">
        <v>0.3</v>
      </c>
      <c r="V512" s="5">
        <v>0.15</v>
      </c>
      <c r="W512" s="5">
        <v>9</v>
      </c>
      <c r="X512" s="5">
        <v>-0.6</v>
      </c>
      <c r="Y512" s="5">
        <v>1.8</v>
      </c>
      <c r="Z512" s="27" t="s">
        <v>1040</v>
      </c>
      <c r="AA512" s="5">
        <v>3</v>
      </c>
      <c r="AB512" s="5">
        <v>2</v>
      </c>
      <c r="AC512" s="5">
        <v>6</v>
      </c>
      <c r="AD512" s="27" t="s">
        <v>1041</v>
      </c>
      <c r="AE512" s="20">
        <v>124</v>
      </c>
      <c r="AF512" s="5">
        <f t="shared" si="1164"/>
        <v>903946</v>
      </c>
      <c r="AG512" s="5">
        <v>60</v>
      </c>
      <c r="AH512" s="5">
        <f t="shared" si="1140"/>
        <v>0.1</v>
      </c>
      <c r="AI512" s="5">
        <v>2</v>
      </c>
      <c r="AJ512" s="5">
        <v>1</v>
      </c>
      <c r="AK512" s="5">
        <f t="shared" si="1165"/>
        <v>50</v>
      </c>
      <c r="AL512" s="5">
        <f t="shared" si="1141"/>
        <v>0</v>
      </c>
      <c r="AM512" s="5">
        <f t="shared" si="1142"/>
        <v>30</v>
      </c>
      <c r="AN512" s="8">
        <v>0</v>
      </c>
      <c r="AO512" s="5">
        <v>0</v>
      </c>
      <c r="AP512" s="28" t="s">
        <v>835</v>
      </c>
      <c r="AQ512" s="5">
        <v>0</v>
      </c>
      <c r="AR512" s="8">
        <v>6</v>
      </c>
      <c r="AS512" s="6">
        <f t="shared" si="1117"/>
        <v>180</v>
      </c>
      <c r="AT512" s="6">
        <f t="shared" si="1118"/>
        <v>210</v>
      </c>
      <c r="AU512" s="5">
        <v>0</v>
      </c>
      <c r="AV512" s="5">
        <v>0</v>
      </c>
      <c r="AW512" s="5">
        <v>0</v>
      </c>
      <c r="AX512" s="5">
        <v>1</v>
      </c>
      <c r="AY512" s="5">
        <v>0</v>
      </c>
      <c r="AZ512" s="5">
        <v>201510</v>
      </c>
      <c r="BA512" s="5">
        <f t="shared" si="1166"/>
        <v>203052</v>
      </c>
      <c r="BB512" s="5">
        <v>10</v>
      </c>
      <c r="BC512" s="5">
        <v>0</v>
      </c>
      <c r="BD512" s="5">
        <v>1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f t="shared" si="1204"/>
        <v>1</v>
      </c>
      <c r="BM512" s="5">
        <v>0</v>
      </c>
      <c r="BN512" s="5">
        <v>0</v>
      </c>
      <c r="BO512" s="5">
        <v>0</v>
      </c>
      <c r="BP512" s="5">
        <v>0</v>
      </c>
      <c r="BQ512" s="5"/>
      <c r="BR512" s="5"/>
      <c r="BS512" s="4">
        <v>0</v>
      </c>
      <c r="BT512" s="4">
        <f t="shared" si="1143"/>
        <v>10</v>
      </c>
      <c r="BU512" s="17">
        <v>100</v>
      </c>
      <c r="BV512" s="4">
        <f t="shared" ref="BV512:BY512" si="1206">BV502</f>
        <v>10</v>
      </c>
      <c r="BW512" s="4">
        <f t="shared" si="1206"/>
        <v>10</v>
      </c>
      <c r="BX512" s="4">
        <f t="shared" si="1206"/>
        <v>0.21999999999999986</v>
      </c>
      <c r="BY512" s="4">
        <f t="shared" si="1206"/>
        <v>0.10000000000000003</v>
      </c>
      <c r="BZ512" s="27" t="s">
        <v>1010</v>
      </c>
      <c r="CA512" s="30" t="str">
        <f t="shared" si="1168"/>
        <v>10</v>
      </c>
      <c r="CB512" s="30" t="s">
        <v>917</v>
      </c>
      <c r="CC512" s="5">
        <v>0</v>
      </c>
      <c r="CD512" s="8">
        <v>3</v>
      </c>
      <c r="CE512" s="5">
        <f t="shared" si="1145"/>
        <v>10</v>
      </c>
      <c r="CF512" s="5">
        <v>1</v>
      </c>
      <c r="CG512" s="27" t="str">
        <f t="shared" si="1151"/>
        <v>10级风暴龙</v>
      </c>
      <c r="CH512" s="5">
        <v>0</v>
      </c>
      <c r="CI512" s="5">
        <v>0</v>
      </c>
      <c r="CJ512" s="4">
        <v>0</v>
      </c>
      <c r="CK512" s="20">
        <v>0</v>
      </c>
      <c r="CL512" s="5">
        <v>0</v>
      </c>
      <c r="CM512" s="20">
        <v>114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20">
        <v>2.5</v>
      </c>
      <c r="CW512" s="20">
        <v>3</v>
      </c>
      <c r="CX512" s="20">
        <v>2.5</v>
      </c>
      <c r="CY512" s="20">
        <v>3.5</v>
      </c>
      <c r="CZ512" s="8">
        <v>200</v>
      </c>
      <c r="DA512" s="6">
        <f t="shared" si="1158"/>
        <v>50000</v>
      </c>
      <c r="DB512" s="5">
        <v>1</v>
      </c>
      <c r="DC512" s="20">
        <f t="shared" si="1146"/>
        <v>2.1749999999999998</v>
      </c>
      <c r="DD512" s="6">
        <f t="shared" si="1159"/>
        <v>0.72499999999999998</v>
      </c>
      <c r="DE512" s="6">
        <v>1</v>
      </c>
      <c r="DF512" s="5">
        <v>0</v>
      </c>
      <c r="DG512" s="6">
        <v>2.5</v>
      </c>
      <c r="DH512" s="5">
        <v>0</v>
      </c>
      <c r="DI512" s="8">
        <v>0</v>
      </c>
      <c r="DJ512" s="5">
        <v>0</v>
      </c>
      <c r="DK512" s="8">
        <v>0</v>
      </c>
      <c r="DL512" s="5">
        <f t="shared" si="1116"/>
        <v>0</v>
      </c>
      <c r="DM512" s="5" t="str">
        <f t="shared" si="1148"/>
        <v>10级风暴龙</v>
      </c>
      <c r="DN512" s="5">
        <v>6</v>
      </c>
      <c r="DO512" s="5">
        <v>0</v>
      </c>
      <c r="DP512" s="5">
        <v>1</v>
      </c>
      <c r="DQ512" s="5">
        <v>1</v>
      </c>
      <c r="DR512" s="5">
        <v>2.5</v>
      </c>
      <c r="DS512" s="6">
        <v>3.5</v>
      </c>
      <c r="DT512" s="5">
        <v>-0.6</v>
      </c>
      <c r="DU512" s="5">
        <v>0.8</v>
      </c>
      <c r="DV512" s="6">
        <v>0.5</v>
      </c>
      <c r="DW512" s="5">
        <f t="shared" si="1160"/>
        <v>0.66666666666666663</v>
      </c>
      <c r="DX512" s="5">
        <v>8</v>
      </c>
      <c r="DY512" s="5">
        <f t="shared" si="1161"/>
        <v>0</v>
      </c>
      <c r="DZ512" s="5">
        <v>0</v>
      </c>
    </row>
    <row r="513" spans="1:130" x14ac:dyDescent="0.15">
      <c r="A513" s="6">
        <v>201511</v>
      </c>
      <c r="B513" s="28" t="s">
        <v>836</v>
      </c>
      <c r="C513" s="28">
        <v>35</v>
      </c>
      <c r="D513" s="28">
        <v>1</v>
      </c>
      <c r="E513" s="28">
        <v>3</v>
      </c>
      <c r="F513" s="6">
        <v>2</v>
      </c>
      <c r="G513" s="46">
        <f t="shared" si="1162"/>
        <v>0.17429999999999993</v>
      </c>
      <c r="H513" s="28"/>
      <c r="I513" s="28" t="s">
        <v>975</v>
      </c>
      <c r="J513" s="28"/>
      <c r="K513" s="5">
        <f t="shared" si="1190"/>
        <v>0</v>
      </c>
      <c r="L513" s="10">
        <v>0</v>
      </c>
      <c r="M513" s="5">
        <f t="shared" si="1191"/>
        <v>0.15</v>
      </c>
      <c r="N513" s="10">
        <v>3</v>
      </c>
      <c r="O513" s="5">
        <v>0</v>
      </c>
      <c r="P513" s="5">
        <f t="shared" si="1139"/>
        <v>0.2</v>
      </c>
      <c r="Q513" s="5">
        <v>2</v>
      </c>
      <c r="R513" s="5">
        <f t="shared" si="1163"/>
        <v>903931</v>
      </c>
      <c r="S513" s="5">
        <v>30</v>
      </c>
      <c r="T513" s="5">
        <v>10</v>
      </c>
      <c r="U513" s="5">
        <v>0.3</v>
      </c>
      <c r="V513" s="5">
        <v>0.15</v>
      </c>
      <c r="W513" s="5">
        <v>9</v>
      </c>
      <c r="X513" s="5">
        <v>-0.6</v>
      </c>
      <c r="Y513" s="5">
        <v>1.8</v>
      </c>
      <c r="Z513" s="27" t="s">
        <v>1042</v>
      </c>
      <c r="AA513" s="5">
        <v>3</v>
      </c>
      <c r="AB513" s="5">
        <v>2</v>
      </c>
      <c r="AC513" s="5">
        <v>6</v>
      </c>
      <c r="AD513" s="27" t="s">
        <v>1043</v>
      </c>
      <c r="AE513" s="20">
        <v>126</v>
      </c>
      <c r="AF513" s="5">
        <f t="shared" si="1164"/>
        <v>903947</v>
      </c>
      <c r="AG513" s="5">
        <v>60</v>
      </c>
      <c r="AH513" s="5">
        <f t="shared" si="1140"/>
        <v>0.1</v>
      </c>
      <c r="AI513" s="5">
        <v>2</v>
      </c>
      <c r="AJ513" s="5">
        <v>1</v>
      </c>
      <c r="AK513" s="5">
        <f t="shared" si="1165"/>
        <v>5</v>
      </c>
      <c r="AL513" s="5">
        <f t="shared" si="1141"/>
        <v>15</v>
      </c>
      <c r="AM513" s="5">
        <f t="shared" si="1142"/>
        <v>18</v>
      </c>
      <c r="AN513" s="8">
        <v>5</v>
      </c>
      <c r="AO513" s="5">
        <v>1</v>
      </c>
      <c r="AP513" s="28" t="s">
        <v>836</v>
      </c>
      <c r="AQ513" s="5">
        <v>5</v>
      </c>
      <c r="AR513" s="8">
        <v>0</v>
      </c>
      <c r="AS513" s="6">
        <f t="shared" si="1117"/>
        <v>0</v>
      </c>
      <c r="AT513" s="6">
        <f t="shared" si="1118"/>
        <v>3</v>
      </c>
      <c r="AU513" s="5">
        <v>0</v>
      </c>
      <c r="AV513" s="5">
        <v>0</v>
      </c>
      <c r="AW513" s="5">
        <v>0</v>
      </c>
      <c r="AX513" s="5">
        <v>1</v>
      </c>
      <c r="AY513" s="5">
        <v>0</v>
      </c>
      <c r="AZ513" s="5">
        <v>201511</v>
      </c>
      <c r="BA513" s="5">
        <f t="shared" si="1166"/>
        <v>203053</v>
      </c>
      <c r="BB513" s="5">
        <v>10</v>
      </c>
      <c r="BC513" s="5">
        <v>0</v>
      </c>
      <c r="BD513" s="5">
        <v>1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f t="shared" si="1204"/>
        <v>1</v>
      </c>
      <c r="BM513" s="5">
        <v>0</v>
      </c>
      <c r="BN513" s="5">
        <v>0</v>
      </c>
      <c r="BO513" s="5">
        <v>0</v>
      </c>
      <c r="BP513" s="5">
        <v>0</v>
      </c>
      <c r="BQ513" s="5"/>
      <c r="BR513" s="5"/>
      <c r="BS513" s="4">
        <v>0</v>
      </c>
      <c r="BT513" s="4">
        <f t="shared" si="1143"/>
        <v>1</v>
      </c>
      <c r="BU513" s="17">
        <v>101</v>
      </c>
      <c r="BV513" s="4">
        <f t="shared" ref="BV513:BY513" si="1207">BV503</f>
        <v>1</v>
      </c>
      <c r="BW513" s="4">
        <f t="shared" si="1207"/>
        <v>1</v>
      </c>
      <c r="BX513" s="4">
        <f t="shared" si="1207"/>
        <v>0.85</v>
      </c>
      <c r="BY513" s="4">
        <f t="shared" si="1207"/>
        <v>0.55000000000000004</v>
      </c>
      <c r="BZ513" s="27" t="s">
        <v>1011</v>
      </c>
      <c r="CA513" s="30" t="str">
        <f t="shared" si="1168"/>
        <v>1</v>
      </c>
      <c r="CB513" s="30" t="s">
        <v>917</v>
      </c>
      <c r="CC513" s="5">
        <v>0</v>
      </c>
      <c r="CD513" s="8">
        <v>3</v>
      </c>
      <c r="CE513" s="5">
        <f t="shared" si="1145"/>
        <v>1</v>
      </c>
      <c r="CF513" s="5">
        <v>1</v>
      </c>
      <c r="CG513" s="27" t="str">
        <f t="shared" si="1151"/>
        <v>1级幻心龙</v>
      </c>
      <c r="CH513" s="5">
        <v>0</v>
      </c>
      <c r="CI513" s="5">
        <v>0</v>
      </c>
      <c r="CJ513" s="4">
        <v>0</v>
      </c>
      <c r="CK513" s="20">
        <v>0</v>
      </c>
      <c r="CL513" s="5">
        <v>0</v>
      </c>
      <c r="CM513" s="20">
        <v>114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20">
        <v>2.5</v>
      </c>
      <c r="CW513" s="20">
        <v>3</v>
      </c>
      <c r="CX513" s="20">
        <v>2.5</v>
      </c>
      <c r="CY513" s="20">
        <v>3.5</v>
      </c>
      <c r="CZ513" s="8">
        <v>200</v>
      </c>
      <c r="DA513" s="6">
        <f t="shared" si="1158"/>
        <v>5000</v>
      </c>
      <c r="DB513" s="5">
        <v>1</v>
      </c>
      <c r="DC513" s="20">
        <f t="shared" si="1146"/>
        <v>1.5</v>
      </c>
      <c r="DD513" s="6">
        <f t="shared" si="1159"/>
        <v>0.5</v>
      </c>
      <c r="DE513" s="6">
        <v>1</v>
      </c>
      <c r="DF513" s="5">
        <v>0</v>
      </c>
      <c r="DG513" s="6">
        <v>2.5</v>
      </c>
      <c r="DH513" s="5">
        <v>0</v>
      </c>
      <c r="DI513" s="8">
        <v>0</v>
      </c>
      <c r="DJ513" s="5">
        <v>0</v>
      </c>
      <c r="DK513" s="8">
        <v>0</v>
      </c>
      <c r="DL513" s="5">
        <f t="shared" si="1116"/>
        <v>0</v>
      </c>
      <c r="DM513" s="5" t="str">
        <f t="shared" si="1148"/>
        <v>1级幻心龙</v>
      </c>
      <c r="DN513" s="5">
        <v>6</v>
      </c>
      <c r="DO513" s="5">
        <v>0</v>
      </c>
      <c r="DP513" s="5">
        <v>1</v>
      </c>
      <c r="DQ513" s="5">
        <v>1</v>
      </c>
      <c r="DR513" s="5">
        <v>2.5</v>
      </c>
      <c r="DS513" s="6">
        <v>3.5</v>
      </c>
      <c r="DT513" s="5">
        <v>-0.6</v>
      </c>
      <c r="DU513" s="5">
        <v>0.8</v>
      </c>
      <c r="DV513" s="6">
        <v>0.5</v>
      </c>
      <c r="DW513" s="5">
        <f t="shared" si="1160"/>
        <v>0.66666666666666663</v>
      </c>
      <c r="DX513" s="5">
        <v>8</v>
      </c>
      <c r="DY513" s="5">
        <f t="shared" si="1161"/>
        <v>0</v>
      </c>
      <c r="DZ513" s="5">
        <v>0</v>
      </c>
    </row>
    <row r="514" spans="1:130" x14ac:dyDescent="0.15">
      <c r="A514" s="5">
        <v>201512</v>
      </c>
      <c r="B514" s="28" t="s">
        <v>837</v>
      </c>
      <c r="C514" s="27">
        <v>35</v>
      </c>
      <c r="D514" s="27">
        <v>1</v>
      </c>
      <c r="E514" s="27">
        <v>3</v>
      </c>
      <c r="F514" s="5">
        <v>2</v>
      </c>
      <c r="G514" s="46">
        <f t="shared" si="1162"/>
        <v>0.17429999999999993</v>
      </c>
      <c r="H514" s="27"/>
      <c r="I514" s="27" t="s">
        <v>975</v>
      </c>
      <c r="J514" s="27"/>
      <c r="K514" s="5">
        <f t="shared" si="1190"/>
        <v>0.01</v>
      </c>
      <c r="L514" s="10">
        <v>0</v>
      </c>
      <c r="M514" s="5">
        <f t="shared" si="1191"/>
        <v>0.16</v>
      </c>
      <c r="N514" s="10">
        <v>3</v>
      </c>
      <c r="O514" s="5">
        <v>0</v>
      </c>
      <c r="P514" s="5">
        <f t="shared" si="1139"/>
        <v>0.2</v>
      </c>
      <c r="Q514" s="5">
        <v>2</v>
      </c>
      <c r="R514" s="5">
        <f t="shared" si="1163"/>
        <v>903931</v>
      </c>
      <c r="S514" s="5">
        <v>30</v>
      </c>
      <c r="T514" s="5">
        <v>10</v>
      </c>
      <c r="U514" s="5">
        <v>0.3</v>
      </c>
      <c r="V514" s="5">
        <v>0.15</v>
      </c>
      <c r="W514" s="5">
        <v>9</v>
      </c>
      <c r="X514" s="5">
        <v>-0.6</v>
      </c>
      <c r="Y514" s="5">
        <v>1.8</v>
      </c>
      <c r="Z514" s="27" t="s">
        <v>1042</v>
      </c>
      <c r="AA514" s="5">
        <v>3</v>
      </c>
      <c r="AB514" s="5">
        <v>2</v>
      </c>
      <c r="AC514" s="5">
        <v>6</v>
      </c>
      <c r="AD514" s="27" t="s">
        <v>1043</v>
      </c>
      <c r="AE514" s="20">
        <v>126</v>
      </c>
      <c r="AF514" s="5">
        <f t="shared" si="1164"/>
        <v>903947</v>
      </c>
      <c r="AG514" s="5">
        <v>60</v>
      </c>
      <c r="AH514" s="5">
        <f t="shared" si="1140"/>
        <v>0.1</v>
      </c>
      <c r="AI514" s="5">
        <v>2</v>
      </c>
      <c r="AJ514" s="5">
        <v>1</v>
      </c>
      <c r="AK514" s="5">
        <f t="shared" si="1165"/>
        <v>10</v>
      </c>
      <c r="AL514" s="5">
        <f t="shared" si="1141"/>
        <v>30</v>
      </c>
      <c r="AM514" s="5">
        <f t="shared" si="1142"/>
        <v>36</v>
      </c>
      <c r="AN514" s="8">
        <v>5</v>
      </c>
      <c r="AO514" s="5">
        <v>1</v>
      </c>
      <c r="AP514" s="28" t="s">
        <v>837</v>
      </c>
      <c r="AQ514" s="5">
        <v>5</v>
      </c>
      <c r="AR514" s="8">
        <v>0</v>
      </c>
      <c r="AS514" s="6">
        <f t="shared" si="1117"/>
        <v>0</v>
      </c>
      <c r="AT514" s="6">
        <f t="shared" si="1118"/>
        <v>6</v>
      </c>
      <c r="AU514" s="5">
        <v>0</v>
      </c>
      <c r="AV514" s="5">
        <v>0</v>
      </c>
      <c r="AW514" s="5">
        <v>0</v>
      </c>
      <c r="AX514" s="5">
        <v>1</v>
      </c>
      <c r="AY514" s="5">
        <v>0</v>
      </c>
      <c r="AZ514" s="5">
        <v>201512</v>
      </c>
      <c r="BA514" s="5">
        <f t="shared" si="1166"/>
        <v>203053</v>
      </c>
      <c r="BB514" s="5">
        <v>10</v>
      </c>
      <c r="BC514" s="5">
        <v>0</v>
      </c>
      <c r="BD514" s="5">
        <v>1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f t="shared" si="1204"/>
        <v>1</v>
      </c>
      <c r="BM514" s="5">
        <v>0</v>
      </c>
      <c r="BN514" s="5">
        <v>0</v>
      </c>
      <c r="BO514" s="5">
        <v>0</v>
      </c>
      <c r="BP514" s="5">
        <v>0</v>
      </c>
      <c r="BQ514" s="5"/>
      <c r="BR514" s="5"/>
      <c r="BS514" s="4">
        <v>0</v>
      </c>
      <c r="BT514" s="4">
        <f t="shared" si="1143"/>
        <v>2</v>
      </c>
      <c r="BU514" s="17">
        <v>102</v>
      </c>
      <c r="BV514" s="4">
        <f t="shared" ref="BV514:BY514" si="1208">BV504</f>
        <v>2</v>
      </c>
      <c r="BW514" s="4">
        <f t="shared" si="1208"/>
        <v>2</v>
      </c>
      <c r="BX514" s="4">
        <f t="shared" si="1208"/>
        <v>0.78</v>
      </c>
      <c r="BY514" s="4">
        <f t="shared" si="1208"/>
        <v>0.5</v>
      </c>
      <c r="BZ514" s="27" t="s">
        <v>1011</v>
      </c>
      <c r="CA514" s="30" t="str">
        <f t="shared" si="1168"/>
        <v>2</v>
      </c>
      <c r="CB514" s="30" t="s">
        <v>917</v>
      </c>
      <c r="CC514" s="5">
        <v>0</v>
      </c>
      <c r="CD514" s="8">
        <v>3</v>
      </c>
      <c r="CE514" s="5">
        <f t="shared" si="1145"/>
        <v>2</v>
      </c>
      <c r="CF514" s="5">
        <v>1</v>
      </c>
      <c r="CG514" s="27" t="str">
        <f t="shared" si="1151"/>
        <v>2级幻心龙</v>
      </c>
      <c r="CH514" s="5">
        <v>0</v>
      </c>
      <c r="CI514" s="5">
        <v>0</v>
      </c>
      <c r="CJ514" s="4">
        <v>0</v>
      </c>
      <c r="CK514" s="20">
        <v>0</v>
      </c>
      <c r="CL514" s="5">
        <v>0</v>
      </c>
      <c r="CM514" s="20">
        <v>114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20">
        <v>2.5</v>
      </c>
      <c r="CW514" s="20">
        <v>3</v>
      </c>
      <c r="CX514" s="20">
        <v>2.5</v>
      </c>
      <c r="CY514" s="20">
        <v>3.5</v>
      </c>
      <c r="CZ514" s="8">
        <v>200</v>
      </c>
      <c r="DA514" s="6">
        <f t="shared" si="1158"/>
        <v>10000</v>
      </c>
      <c r="DB514" s="5">
        <v>1</v>
      </c>
      <c r="DC514" s="20">
        <f t="shared" si="1146"/>
        <v>1.5750000000000002</v>
      </c>
      <c r="DD514" s="6">
        <f t="shared" si="1159"/>
        <v>0.52500000000000002</v>
      </c>
      <c r="DE514" s="6">
        <v>1</v>
      </c>
      <c r="DF514" s="5">
        <v>0</v>
      </c>
      <c r="DG514" s="6">
        <v>2.5</v>
      </c>
      <c r="DH514" s="5">
        <v>0</v>
      </c>
      <c r="DI514" s="8">
        <v>0</v>
      </c>
      <c r="DJ514" s="5">
        <v>0</v>
      </c>
      <c r="DK514" s="8">
        <v>0</v>
      </c>
      <c r="DL514" s="5">
        <f t="shared" si="1116"/>
        <v>0</v>
      </c>
      <c r="DM514" s="5" t="str">
        <f t="shared" si="1148"/>
        <v>2级幻心龙</v>
      </c>
      <c r="DN514" s="5">
        <v>6</v>
      </c>
      <c r="DO514" s="5">
        <v>0</v>
      </c>
      <c r="DP514" s="5">
        <v>1</v>
      </c>
      <c r="DQ514" s="5">
        <v>1</v>
      </c>
      <c r="DR514" s="5">
        <v>2.5</v>
      </c>
      <c r="DS514" s="6">
        <v>3.5</v>
      </c>
      <c r="DT514" s="5">
        <v>-0.6</v>
      </c>
      <c r="DU514" s="5">
        <v>0.8</v>
      </c>
      <c r="DV514" s="6">
        <v>0.5</v>
      </c>
      <c r="DW514" s="5">
        <f t="shared" si="1160"/>
        <v>0.66666666666666663</v>
      </c>
      <c r="DX514" s="5">
        <v>8</v>
      </c>
      <c r="DY514" s="5">
        <f t="shared" si="1161"/>
        <v>0</v>
      </c>
      <c r="DZ514" s="5">
        <v>0</v>
      </c>
    </row>
    <row r="515" spans="1:130" x14ac:dyDescent="0.15">
      <c r="A515" s="5">
        <v>201513</v>
      </c>
      <c r="B515" s="28" t="s">
        <v>838</v>
      </c>
      <c r="C515" s="27">
        <v>35</v>
      </c>
      <c r="D515" s="27">
        <v>1</v>
      </c>
      <c r="E515" s="27">
        <v>3</v>
      </c>
      <c r="F515" s="5">
        <v>2</v>
      </c>
      <c r="G515" s="46">
        <f t="shared" si="1162"/>
        <v>0.17429999999999993</v>
      </c>
      <c r="H515" s="27"/>
      <c r="I515" s="27" t="s">
        <v>975</v>
      </c>
      <c r="J515" s="27"/>
      <c r="K515" s="5">
        <f t="shared" si="1190"/>
        <v>0.02</v>
      </c>
      <c r="L515" s="10">
        <v>0</v>
      </c>
      <c r="M515" s="5">
        <f t="shared" si="1191"/>
        <v>0.16999999999999998</v>
      </c>
      <c r="N515" s="10">
        <v>3</v>
      </c>
      <c r="O515" s="5">
        <v>0</v>
      </c>
      <c r="P515" s="5">
        <f t="shared" si="1139"/>
        <v>0.2</v>
      </c>
      <c r="Q515" s="5">
        <v>2</v>
      </c>
      <c r="R515" s="5">
        <f t="shared" si="1163"/>
        <v>903931</v>
      </c>
      <c r="S515" s="5">
        <v>30</v>
      </c>
      <c r="T515" s="5">
        <v>10</v>
      </c>
      <c r="U515" s="5">
        <v>0.3</v>
      </c>
      <c r="V515" s="5">
        <v>0.15</v>
      </c>
      <c r="W515" s="5">
        <v>9</v>
      </c>
      <c r="X515" s="5">
        <v>-0.6</v>
      </c>
      <c r="Y515" s="5">
        <v>1.8</v>
      </c>
      <c r="Z515" s="27" t="s">
        <v>1042</v>
      </c>
      <c r="AA515" s="5">
        <v>3</v>
      </c>
      <c r="AB515" s="5">
        <v>2</v>
      </c>
      <c r="AC515" s="5">
        <v>6</v>
      </c>
      <c r="AD515" s="27" t="s">
        <v>1043</v>
      </c>
      <c r="AE515" s="20">
        <v>126</v>
      </c>
      <c r="AF515" s="5">
        <f t="shared" si="1164"/>
        <v>903947</v>
      </c>
      <c r="AG515" s="5">
        <v>60</v>
      </c>
      <c r="AH515" s="5">
        <f t="shared" si="1140"/>
        <v>0.1</v>
      </c>
      <c r="AI515" s="5">
        <v>2</v>
      </c>
      <c r="AJ515" s="5">
        <v>1</v>
      </c>
      <c r="AK515" s="5">
        <f t="shared" si="1165"/>
        <v>15</v>
      </c>
      <c r="AL515" s="5">
        <f t="shared" si="1141"/>
        <v>45</v>
      </c>
      <c r="AM515" s="5">
        <f t="shared" si="1142"/>
        <v>54</v>
      </c>
      <c r="AN515" s="8">
        <v>5</v>
      </c>
      <c r="AO515" s="5">
        <v>1</v>
      </c>
      <c r="AP515" s="28" t="s">
        <v>838</v>
      </c>
      <c r="AQ515" s="5">
        <v>5</v>
      </c>
      <c r="AR515" s="8">
        <v>0</v>
      </c>
      <c r="AS515" s="6">
        <f t="shared" si="1117"/>
        <v>0</v>
      </c>
      <c r="AT515" s="6">
        <f t="shared" si="1118"/>
        <v>9</v>
      </c>
      <c r="AU515" s="5">
        <v>0</v>
      </c>
      <c r="AV515" s="5">
        <v>0</v>
      </c>
      <c r="AW515" s="5">
        <v>0</v>
      </c>
      <c r="AX515" s="5">
        <v>1</v>
      </c>
      <c r="AY515" s="5">
        <v>0</v>
      </c>
      <c r="AZ515" s="5">
        <v>201513</v>
      </c>
      <c r="BA515" s="5">
        <f t="shared" si="1166"/>
        <v>203053</v>
      </c>
      <c r="BB515" s="5">
        <v>10</v>
      </c>
      <c r="BC515" s="5">
        <v>0</v>
      </c>
      <c r="BD515" s="5">
        <v>1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f t="shared" si="1204"/>
        <v>1</v>
      </c>
      <c r="BM515" s="5">
        <v>0</v>
      </c>
      <c r="BN515" s="5">
        <v>0</v>
      </c>
      <c r="BO515" s="5">
        <v>0</v>
      </c>
      <c r="BP515" s="5">
        <v>0</v>
      </c>
      <c r="BQ515" s="5"/>
      <c r="BR515" s="5"/>
      <c r="BS515" s="4">
        <v>0</v>
      </c>
      <c r="BT515" s="4">
        <f t="shared" si="1143"/>
        <v>3</v>
      </c>
      <c r="BU515" s="17">
        <v>103</v>
      </c>
      <c r="BV515" s="4">
        <f t="shared" ref="BV515:BY515" si="1209">BV505</f>
        <v>3</v>
      </c>
      <c r="BW515" s="4">
        <f t="shared" si="1209"/>
        <v>3</v>
      </c>
      <c r="BX515" s="4">
        <f t="shared" si="1209"/>
        <v>0.71</v>
      </c>
      <c r="BY515" s="4">
        <f t="shared" si="1209"/>
        <v>0.45000000000000007</v>
      </c>
      <c r="BZ515" s="27" t="s">
        <v>1011</v>
      </c>
      <c r="CA515" s="30" t="str">
        <f t="shared" si="1168"/>
        <v>3</v>
      </c>
      <c r="CB515" s="30" t="s">
        <v>917</v>
      </c>
      <c r="CC515" s="5">
        <v>0</v>
      </c>
      <c r="CD515" s="8">
        <v>3</v>
      </c>
      <c r="CE515" s="5">
        <f t="shared" si="1145"/>
        <v>3</v>
      </c>
      <c r="CF515" s="5">
        <v>1</v>
      </c>
      <c r="CG515" s="27" t="str">
        <f t="shared" si="1151"/>
        <v>3级幻心龙</v>
      </c>
      <c r="CH515" s="5">
        <v>0</v>
      </c>
      <c r="CI515" s="5">
        <v>0</v>
      </c>
      <c r="CJ515" s="4">
        <v>0</v>
      </c>
      <c r="CK515" s="20">
        <v>0</v>
      </c>
      <c r="CL515" s="5">
        <v>0</v>
      </c>
      <c r="CM515" s="20">
        <v>114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20">
        <v>2.5</v>
      </c>
      <c r="CW515" s="20">
        <v>3</v>
      </c>
      <c r="CX515" s="20">
        <v>2.5</v>
      </c>
      <c r="CY515" s="20">
        <v>3.5</v>
      </c>
      <c r="CZ515" s="8">
        <v>200</v>
      </c>
      <c r="DA515" s="6">
        <f t="shared" si="1158"/>
        <v>15000</v>
      </c>
      <c r="DB515" s="5">
        <v>1</v>
      </c>
      <c r="DC515" s="20">
        <f t="shared" si="1146"/>
        <v>1.6500000000000001</v>
      </c>
      <c r="DD515" s="6">
        <f t="shared" si="1159"/>
        <v>0.55000000000000004</v>
      </c>
      <c r="DE515" s="6">
        <v>1</v>
      </c>
      <c r="DF515" s="5">
        <v>0</v>
      </c>
      <c r="DG515" s="6">
        <v>2.5</v>
      </c>
      <c r="DH515" s="5">
        <v>0</v>
      </c>
      <c r="DI515" s="8">
        <v>0</v>
      </c>
      <c r="DJ515" s="5">
        <v>0</v>
      </c>
      <c r="DK515" s="8">
        <v>0</v>
      </c>
      <c r="DL515" s="5">
        <f t="shared" ref="DL515:DL578" si="1210">DK515*5*(1+BV515/2)</f>
        <v>0</v>
      </c>
      <c r="DM515" s="5" t="str">
        <f t="shared" si="1148"/>
        <v>3级幻心龙</v>
      </c>
      <c r="DN515" s="5">
        <v>6</v>
      </c>
      <c r="DO515" s="5">
        <v>0</v>
      </c>
      <c r="DP515" s="5">
        <v>1</v>
      </c>
      <c r="DQ515" s="5">
        <v>1</v>
      </c>
      <c r="DR515" s="5">
        <v>2.5</v>
      </c>
      <c r="DS515" s="6">
        <v>3.5</v>
      </c>
      <c r="DT515" s="5">
        <v>-0.6</v>
      </c>
      <c r="DU515" s="5">
        <v>0.8</v>
      </c>
      <c r="DV515" s="6">
        <v>0.5</v>
      </c>
      <c r="DW515" s="5">
        <f t="shared" si="1160"/>
        <v>0.66666666666666663</v>
      </c>
      <c r="DX515" s="5">
        <v>8</v>
      </c>
      <c r="DY515" s="5">
        <f t="shared" si="1161"/>
        <v>0</v>
      </c>
      <c r="DZ515" s="5">
        <v>0</v>
      </c>
    </row>
    <row r="516" spans="1:130" x14ac:dyDescent="0.15">
      <c r="A516" s="5">
        <v>201514</v>
      </c>
      <c r="B516" s="28" t="s">
        <v>839</v>
      </c>
      <c r="C516" s="27">
        <v>35</v>
      </c>
      <c r="D516" s="27">
        <v>1</v>
      </c>
      <c r="E516" s="27">
        <v>3</v>
      </c>
      <c r="F516" s="5">
        <v>2</v>
      </c>
      <c r="G516" s="46">
        <f t="shared" si="1162"/>
        <v>0.17429999999999993</v>
      </c>
      <c r="H516" s="27"/>
      <c r="I516" s="27" t="s">
        <v>975</v>
      </c>
      <c r="J516" s="27"/>
      <c r="K516" s="5">
        <f t="shared" si="1190"/>
        <v>0.03</v>
      </c>
      <c r="L516" s="10">
        <v>0</v>
      </c>
      <c r="M516" s="5">
        <f t="shared" si="1191"/>
        <v>0.18</v>
      </c>
      <c r="N516" s="10">
        <v>3</v>
      </c>
      <c r="O516" s="5">
        <v>0</v>
      </c>
      <c r="P516" s="5">
        <f t="shared" si="1139"/>
        <v>0.2</v>
      </c>
      <c r="Q516" s="5">
        <v>2</v>
      </c>
      <c r="R516" s="5">
        <f t="shared" si="1163"/>
        <v>903931</v>
      </c>
      <c r="S516" s="5">
        <v>30</v>
      </c>
      <c r="T516" s="5">
        <v>10</v>
      </c>
      <c r="U516" s="5">
        <v>0.3</v>
      </c>
      <c r="V516" s="5">
        <v>0.15</v>
      </c>
      <c r="W516" s="5">
        <v>9</v>
      </c>
      <c r="X516" s="5">
        <v>-0.6</v>
      </c>
      <c r="Y516" s="5">
        <v>1.8</v>
      </c>
      <c r="Z516" s="27" t="s">
        <v>1042</v>
      </c>
      <c r="AA516" s="5">
        <v>3</v>
      </c>
      <c r="AB516" s="5">
        <v>2</v>
      </c>
      <c r="AC516" s="5">
        <v>6</v>
      </c>
      <c r="AD516" s="27" t="s">
        <v>1043</v>
      </c>
      <c r="AE516" s="20">
        <v>126</v>
      </c>
      <c r="AF516" s="5">
        <f t="shared" si="1164"/>
        <v>903947</v>
      </c>
      <c r="AG516" s="5">
        <v>60</v>
      </c>
      <c r="AH516" s="5">
        <f t="shared" si="1140"/>
        <v>0.1</v>
      </c>
      <c r="AI516" s="5">
        <v>2</v>
      </c>
      <c r="AJ516" s="5">
        <v>1</v>
      </c>
      <c r="AK516" s="5">
        <f t="shared" si="1165"/>
        <v>20</v>
      </c>
      <c r="AL516" s="5">
        <f t="shared" si="1141"/>
        <v>60</v>
      </c>
      <c r="AM516" s="5">
        <f t="shared" si="1142"/>
        <v>72</v>
      </c>
      <c r="AN516" s="8">
        <v>5</v>
      </c>
      <c r="AO516" s="5">
        <v>1</v>
      </c>
      <c r="AP516" s="28" t="s">
        <v>839</v>
      </c>
      <c r="AQ516" s="5">
        <v>5</v>
      </c>
      <c r="AR516" s="8">
        <v>0</v>
      </c>
      <c r="AS516" s="6">
        <f t="shared" ref="AS516:AS579" si="1211">AR516*3*BV516</f>
        <v>0</v>
      </c>
      <c r="AT516" s="6">
        <f t="shared" ref="AT516:AT579" si="1212">(AR516+1)*3*BV516</f>
        <v>12</v>
      </c>
      <c r="AU516" s="5">
        <v>0</v>
      </c>
      <c r="AV516" s="5">
        <v>0</v>
      </c>
      <c r="AW516" s="5">
        <v>0</v>
      </c>
      <c r="AX516" s="5">
        <v>1</v>
      </c>
      <c r="AY516" s="5">
        <v>0</v>
      </c>
      <c r="AZ516" s="5">
        <v>201514</v>
      </c>
      <c r="BA516" s="5">
        <f t="shared" si="1166"/>
        <v>203053</v>
      </c>
      <c r="BB516" s="5">
        <v>10</v>
      </c>
      <c r="BC516" s="5">
        <v>0</v>
      </c>
      <c r="BD516" s="5">
        <v>1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f t="shared" si="1204"/>
        <v>1</v>
      </c>
      <c r="BM516" s="5">
        <v>0</v>
      </c>
      <c r="BN516" s="5">
        <v>0</v>
      </c>
      <c r="BO516" s="5">
        <v>0</v>
      </c>
      <c r="BP516" s="5">
        <v>0</v>
      </c>
      <c r="BQ516" s="5"/>
      <c r="BR516" s="5"/>
      <c r="BS516" s="4">
        <v>0</v>
      </c>
      <c r="BT516" s="4">
        <f t="shared" si="1143"/>
        <v>4</v>
      </c>
      <c r="BU516" s="17">
        <v>104</v>
      </c>
      <c r="BV516" s="4">
        <f t="shared" ref="BV516:BY516" si="1213">BV506</f>
        <v>4</v>
      </c>
      <c r="BW516" s="4">
        <f t="shared" si="1213"/>
        <v>4</v>
      </c>
      <c r="BX516" s="4">
        <f t="shared" si="1213"/>
        <v>0.6399999999999999</v>
      </c>
      <c r="BY516" s="4">
        <f t="shared" si="1213"/>
        <v>0.4</v>
      </c>
      <c r="BZ516" s="27" t="s">
        <v>1011</v>
      </c>
      <c r="CA516" s="30" t="str">
        <f t="shared" si="1168"/>
        <v>4</v>
      </c>
      <c r="CB516" s="30" t="s">
        <v>917</v>
      </c>
      <c r="CC516" s="5">
        <v>0</v>
      </c>
      <c r="CD516" s="8">
        <v>3</v>
      </c>
      <c r="CE516" s="5">
        <f t="shared" si="1145"/>
        <v>4</v>
      </c>
      <c r="CF516" s="5">
        <v>1</v>
      </c>
      <c r="CG516" s="27" t="str">
        <f t="shared" si="1151"/>
        <v>4级幻心龙</v>
      </c>
      <c r="CH516" s="5">
        <v>0</v>
      </c>
      <c r="CI516" s="5">
        <v>0</v>
      </c>
      <c r="CJ516" s="4">
        <v>0</v>
      </c>
      <c r="CK516" s="20">
        <v>0</v>
      </c>
      <c r="CL516" s="5">
        <v>0</v>
      </c>
      <c r="CM516" s="20">
        <v>114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20">
        <v>2.5</v>
      </c>
      <c r="CW516" s="20">
        <v>3</v>
      </c>
      <c r="CX516" s="20">
        <v>2.5</v>
      </c>
      <c r="CY516" s="20">
        <v>3.5</v>
      </c>
      <c r="CZ516" s="8">
        <v>200</v>
      </c>
      <c r="DA516" s="6">
        <f t="shared" si="1158"/>
        <v>20000</v>
      </c>
      <c r="DB516" s="5">
        <v>1</v>
      </c>
      <c r="DC516" s="20">
        <f t="shared" si="1146"/>
        <v>1.7249999999999999</v>
      </c>
      <c r="DD516" s="6">
        <f t="shared" si="1159"/>
        <v>0.57499999999999996</v>
      </c>
      <c r="DE516" s="6">
        <v>1</v>
      </c>
      <c r="DF516" s="5">
        <v>0</v>
      </c>
      <c r="DG516" s="6">
        <v>2.5</v>
      </c>
      <c r="DH516" s="5">
        <v>0</v>
      </c>
      <c r="DI516" s="8">
        <v>0</v>
      </c>
      <c r="DJ516" s="5">
        <v>0</v>
      </c>
      <c r="DK516" s="8">
        <v>0</v>
      </c>
      <c r="DL516" s="5">
        <f t="shared" si="1210"/>
        <v>0</v>
      </c>
      <c r="DM516" s="5" t="str">
        <f t="shared" si="1148"/>
        <v>4级幻心龙</v>
      </c>
      <c r="DN516" s="5">
        <v>6</v>
      </c>
      <c r="DO516" s="5">
        <v>0</v>
      </c>
      <c r="DP516" s="5">
        <v>1</v>
      </c>
      <c r="DQ516" s="5">
        <v>1</v>
      </c>
      <c r="DR516" s="5">
        <v>2.5</v>
      </c>
      <c r="DS516" s="6">
        <v>3.5</v>
      </c>
      <c r="DT516" s="5">
        <v>-0.6</v>
      </c>
      <c r="DU516" s="5">
        <v>0.8</v>
      </c>
      <c r="DV516" s="6">
        <v>0.5</v>
      </c>
      <c r="DW516" s="5">
        <f t="shared" si="1160"/>
        <v>0.66666666666666663</v>
      </c>
      <c r="DX516" s="5">
        <v>8</v>
      </c>
      <c r="DY516" s="5">
        <f t="shared" si="1161"/>
        <v>0</v>
      </c>
      <c r="DZ516" s="5">
        <v>0</v>
      </c>
    </row>
    <row r="517" spans="1:130" x14ac:dyDescent="0.15">
      <c r="A517" s="5">
        <v>201515</v>
      </c>
      <c r="B517" s="28" t="s">
        <v>840</v>
      </c>
      <c r="C517" s="27">
        <v>35</v>
      </c>
      <c r="D517" s="27">
        <v>1</v>
      </c>
      <c r="E517" s="27">
        <v>3</v>
      </c>
      <c r="F517" s="5">
        <v>2</v>
      </c>
      <c r="G517" s="46">
        <f t="shared" si="1162"/>
        <v>0.17429999999999993</v>
      </c>
      <c r="H517" s="27"/>
      <c r="I517" s="27" t="s">
        <v>975</v>
      </c>
      <c r="J517" s="27"/>
      <c r="K517" s="5">
        <f t="shared" si="1190"/>
        <v>0.04</v>
      </c>
      <c r="L517" s="10">
        <v>0</v>
      </c>
      <c r="M517" s="5">
        <f t="shared" si="1191"/>
        <v>0.19</v>
      </c>
      <c r="N517" s="10">
        <v>3</v>
      </c>
      <c r="O517" s="5">
        <v>0</v>
      </c>
      <c r="P517" s="5">
        <f t="shared" si="1139"/>
        <v>0.2</v>
      </c>
      <c r="Q517" s="5">
        <v>2</v>
      </c>
      <c r="R517" s="5">
        <f t="shared" si="1163"/>
        <v>903931</v>
      </c>
      <c r="S517" s="5">
        <v>30</v>
      </c>
      <c r="T517" s="5">
        <v>10</v>
      </c>
      <c r="U517" s="5">
        <v>0.3</v>
      </c>
      <c r="V517" s="5">
        <v>0.15</v>
      </c>
      <c r="W517" s="5">
        <v>9</v>
      </c>
      <c r="X517" s="5">
        <v>-0.6</v>
      </c>
      <c r="Y517" s="5">
        <v>1.8</v>
      </c>
      <c r="Z517" s="27" t="s">
        <v>1042</v>
      </c>
      <c r="AA517" s="5">
        <v>3</v>
      </c>
      <c r="AB517" s="5">
        <v>2</v>
      </c>
      <c r="AC517" s="5">
        <v>6</v>
      </c>
      <c r="AD517" s="27" t="s">
        <v>1043</v>
      </c>
      <c r="AE517" s="20">
        <v>126</v>
      </c>
      <c r="AF517" s="5">
        <f t="shared" si="1164"/>
        <v>903947</v>
      </c>
      <c r="AG517" s="5">
        <v>60</v>
      </c>
      <c r="AH517" s="5">
        <f t="shared" si="1140"/>
        <v>0.1</v>
      </c>
      <c r="AI517" s="5">
        <v>2</v>
      </c>
      <c r="AJ517" s="5">
        <v>1</v>
      </c>
      <c r="AK517" s="5">
        <f t="shared" si="1165"/>
        <v>25</v>
      </c>
      <c r="AL517" s="5">
        <f t="shared" si="1141"/>
        <v>75</v>
      </c>
      <c r="AM517" s="5">
        <f t="shared" si="1142"/>
        <v>90</v>
      </c>
      <c r="AN517" s="8">
        <v>5</v>
      </c>
      <c r="AO517" s="5">
        <v>1</v>
      </c>
      <c r="AP517" s="28" t="s">
        <v>840</v>
      </c>
      <c r="AQ517" s="5">
        <v>5</v>
      </c>
      <c r="AR517" s="8">
        <v>0</v>
      </c>
      <c r="AS517" s="6">
        <f t="shared" si="1211"/>
        <v>0</v>
      </c>
      <c r="AT517" s="6">
        <f t="shared" si="1212"/>
        <v>15</v>
      </c>
      <c r="AU517" s="5">
        <v>0</v>
      </c>
      <c r="AV517" s="5">
        <v>0</v>
      </c>
      <c r="AW517" s="5">
        <v>0</v>
      </c>
      <c r="AX517" s="5">
        <v>1</v>
      </c>
      <c r="AY517" s="5">
        <v>0</v>
      </c>
      <c r="AZ517" s="5">
        <v>201515</v>
      </c>
      <c r="BA517" s="5">
        <f t="shared" si="1166"/>
        <v>203053</v>
      </c>
      <c r="BB517" s="5">
        <v>10</v>
      </c>
      <c r="BC517" s="5">
        <v>0</v>
      </c>
      <c r="BD517" s="5">
        <v>1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f t="shared" si="1204"/>
        <v>1</v>
      </c>
      <c r="BM517" s="5">
        <v>0</v>
      </c>
      <c r="BN517" s="5">
        <v>0</v>
      </c>
      <c r="BO517" s="5">
        <v>0</v>
      </c>
      <c r="BP517" s="5">
        <v>0</v>
      </c>
      <c r="BQ517" s="5"/>
      <c r="BR517" s="5"/>
      <c r="BS517" s="4">
        <v>0</v>
      </c>
      <c r="BT517" s="4">
        <f t="shared" si="1143"/>
        <v>5</v>
      </c>
      <c r="BU517" s="17">
        <v>105</v>
      </c>
      <c r="BV517" s="4">
        <f t="shared" ref="BV517:BY517" si="1214">BV507</f>
        <v>5</v>
      </c>
      <c r="BW517" s="4">
        <f t="shared" si="1214"/>
        <v>5</v>
      </c>
      <c r="BX517" s="4">
        <f t="shared" si="1214"/>
        <v>0.56999999999999995</v>
      </c>
      <c r="BY517" s="4">
        <f t="shared" si="1214"/>
        <v>0.35000000000000003</v>
      </c>
      <c r="BZ517" s="27" t="s">
        <v>1011</v>
      </c>
      <c r="CA517" s="30" t="str">
        <f t="shared" si="1168"/>
        <v>5</v>
      </c>
      <c r="CB517" s="30" t="s">
        <v>917</v>
      </c>
      <c r="CC517" s="5">
        <v>0</v>
      </c>
      <c r="CD517" s="8">
        <v>3</v>
      </c>
      <c r="CE517" s="5">
        <f t="shared" si="1145"/>
        <v>5</v>
      </c>
      <c r="CF517" s="5">
        <v>1</v>
      </c>
      <c r="CG517" s="27" t="str">
        <f t="shared" si="1151"/>
        <v>5级幻心龙</v>
      </c>
      <c r="CH517" s="5">
        <v>0</v>
      </c>
      <c r="CI517" s="5">
        <v>0</v>
      </c>
      <c r="CJ517" s="4">
        <v>0</v>
      </c>
      <c r="CK517" s="20">
        <v>0</v>
      </c>
      <c r="CL517" s="5">
        <v>0</v>
      </c>
      <c r="CM517" s="20">
        <v>114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20">
        <v>2.5</v>
      </c>
      <c r="CW517" s="20">
        <v>3</v>
      </c>
      <c r="CX517" s="20">
        <v>2.5</v>
      </c>
      <c r="CY517" s="20">
        <v>3.5</v>
      </c>
      <c r="CZ517" s="8">
        <v>200</v>
      </c>
      <c r="DA517" s="6">
        <f t="shared" si="1158"/>
        <v>25000</v>
      </c>
      <c r="DB517" s="5">
        <v>1</v>
      </c>
      <c r="DC517" s="20">
        <f t="shared" si="1146"/>
        <v>1.7999999999999998</v>
      </c>
      <c r="DD517" s="6">
        <f t="shared" si="1159"/>
        <v>0.6</v>
      </c>
      <c r="DE517" s="6">
        <v>1</v>
      </c>
      <c r="DF517" s="5">
        <v>0</v>
      </c>
      <c r="DG517" s="6">
        <v>2.5</v>
      </c>
      <c r="DH517" s="5">
        <v>0</v>
      </c>
      <c r="DI517" s="8">
        <v>0</v>
      </c>
      <c r="DJ517" s="5">
        <v>0</v>
      </c>
      <c r="DK517" s="8">
        <v>0</v>
      </c>
      <c r="DL517" s="5">
        <f t="shared" si="1210"/>
        <v>0</v>
      </c>
      <c r="DM517" s="5" t="str">
        <f t="shared" si="1148"/>
        <v>5级幻心龙</v>
      </c>
      <c r="DN517" s="5">
        <v>6</v>
      </c>
      <c r="DO517" s="5">
        <v>0</v>
      </c>
      <c r="DP517" s="5">
        <v>1</v>
      </c>
      <c r="DQ517" s="5">
        <v>1</v>
      </c>
      <c r="DR517" s="5">
        <v>2.5</v>
      </c>
      <c r="DS517" s="6">
        <v>3.5</v>
      </c>
      <c r="DT517" s="5">
        <v>-0.6</v>
      </c>
      <c r="DU517" s="5">
        <v>0.8</v>
      </c>
      <c r="DV517" s="6">
        <v>0.5</v>
      </c>
      <c r="DW517" s="5">
        <f t="shared" si="1160"/>
        <v>0.66666666666666663</v>
      </c>
      <c r="DX517" s="5">
        <v>8</v>
      </c>
      <c r="DY517" s="5">
        <f t="shared" si="1161"/>
        <v>0</v>
      </c>
      <c r="DZ517" s="5">
        <v>0</v>
      </c>
    </row>
    <row r="518" spans="1:130" x14ac:dyDescent="0.15">
      <c r="A518" s="5">
        <v>201516</v>
      </c>
      <c r="B518" s="28" t="s">
        <v>841</v>
      </c>
      <c r="C518" s="27">
        <v>35</v>
      </c>
      <c r="D518" s="27">
        <v>1</v>
      </c>
      <c r="E518" s="27">
        <v>3</v>
      </c>
      <c r="F518" s="5">
        <v>2</v>
      </c>
      <c r="G518" s="46">
        <f t="shared" si="1162"/>
        <v>0.17429999999999993</v>
      </c>
      <c r="H518" s="27"/>
      <c r="I518" s="27" t="s">
        <v>975</v>
      </c>
      <c r="J518" s="27"/>
      <c r="K518" s="5">
        <f t="shared" si="1190"/>
        <v>0.05</v>
      </c>
      <c r="L518" s="10">
        <v>0</v>
      </c>
      <c r="M518" s="5">
        <f t="shared" si="1191"/>
        <v>0.2</v>
      </c>
      <c r="N518" s="10">
        <v>3</v>
      </c>
      <c r="O518" s="5">
        <v>0</v>
      </c>
      <c r="P518" s="5">
        <f t="shared" si="1139"/>
        <v>0.2</v>
      </c>
      <c r="Q518" s="5">
        <v>2</v>
      </c>
      <c r="R518" s="5">
        <f t="shared" si="1163"/>
        <v>903931</v>
      </c>
      <c r="S518" s="5">
        <v>30</v>
      </c>
      <c r="T518" s="5">
        <v>10</v>
      </c>
      <c r="U518" s="5">
        <v>0.3</v>
      </c>
      <c r="V518" s="5">
        <v>0.15</v>
      </c>
      <c r="W518" s="5">
        <v>9</v>
      </c>
      <c r="X518" s="5">
        <v>-0.6</v>
      </c>
      <c r="Y518" s="5">
        <v>1.8</v>
      </c>
      <c r="Z518" s="27" t="s">
        <v>1042</v>
      </c>
      <c r="AA518" s="5">
        <v>3</v>
      </c>
      <c r="AB518" s="5">
        <v>2</v>
      </c>
      <c r="AC518" s="5">
        <v>6</v>
      </c>
      <c r="AD518" s="27" t="s">
        <v>1043</v>
      </c>
      <c r="AE518" s="20">
        <v>126</v>
      </c>
      <c r="AF518" s="5">
        <f t="shared" si="1164"/>
        <v>903947</v>
      </c>
      <c r="AG518" s="5">
        <v>60</v>
      </c>
      <c r="AH518" s="5">
        <f t="shared" si="1140"/>
        <v>0.1</v>
      </c>
      <c r="AI518" s="5">
        <v>2</v>
      </c>
      <c r="AJ518" s="5">
        <v>1</v>
      </c>
      <c r="AK518" s="5">
        <f t="shared" si="1165"/>
        <v>30</v>
      </c>
      <c r="AL518" s="5">
        <f t="shared" si="1141"/>
        <v>90</v>
      </c>
      <c r="AM518" s="5">
        <f t="shared" si="1142"/>
        <v>108</v>
      </c>
      <c r="AN518" s="8">
        <v>5</v>
      </c>
      <c r="AO518" s="5">
        <v>1</v>
      </c>
      <c r="AP518" s="28" t="s">
        <v>841</v>
      </c>
      <c r="AQ518" s="5">
        <v>5</v>
      </c>
      <c r="AR518" s="8">
        <v>0</v>
      </c>
      <c r="AS518" s="6">
        <f t="shared" si="1211"/>
        <v>0</v>
      </c>
      <c r="AT518" s="6">
        <f t="shared" si="1212"/>
        <v>18</v>
      </c>
      <c r="AU518" s="5">
        <v>0</v>
      </c>
      <c r="AV518" s="5">
        <v>0</v>
      </c>
      <c r="AW518" s="5">
        <v>0</v>
      </c>
      <c r="AX518" s="5">
        <v>1</v>
      </c>
      <c r="AY518" s="5">
        <v>0</v>
      </c>
      <c r="AZ518" s="5">
        <v>201516</v>
      </c>
      <c r="BA518" s="5">
        <f t="shared" si="1166"/>
        <v>203053</v>
      </c>
      <c r="BB518" s="5">
        <v>10</v>
      </c>
      <c r="BC518" s="5">
        <v>0</v>
      </c>
      <c r="BD518" s="5">
        <v>1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f t="shared" si="1204"/>
        <v>1</v>
      </c>
      <c r="BM518" s="5">
        <v>0</v>
      </c>
      <c r="BN518" s="5">
        <v>0</v>
      </c>
      <c r="BO518" s="5">
        <v>0</v>
      </c>
      <c r="BP518" s="5">
        <v>0</v>
      </c>
      <c r="BQ518" s="5"/>
      <c r="BR518" s="5"/>
      <c r="BS518" s="4">
        <v>0</v>
      </c>
      <c r="BT518" s="4">
        <f t="shared" si="1143"/>
        <v>6</v>
      </c>
      <c r="BU518" s="17">
        <v>106</v>
      </c>
      <c r="BV518" s="4">
        <f t="shared" ref="BV518:BY518" si="1215">BV508</f>
        <v>6</v>
      </c>
      <c r="BW518" s="4">
        <f t="shared" si="1215"/>
        <v>6</v>
      </c>
      <c r="BX518" s="4">
        <f t="shared" si="1215"/>
        <v>0.49999999999999994</v>
      </c>
      <c r="BY518" s="4">
        <f t="shared" si="1215"/>
        <v>0.30000000000000004</v>
      </c>
      <c r="BZ518" s="27" t="s">
        <v>1011</v>
      </c>
      <c r="CA518" s="30" t="str">
        <f t="shared" si="1168"/>
        <v>6</v>
      </c>
      <c r="CB518" s="30" t="s">
        <v>917</v>
      </c>
      <c r="CC518" s="5">
        <v>0</v>
      </c>
      <c r="CD518" s="8">
        <v>3</v>
      </c>
      <c r="CE518" s="5">
        <f t="shared" si="1145"/>
        <v>6</v>
      </c>
      <c r="CF518" s="5">
        <v>1</v>
      </c>
      <c r="CG518" s="27" t="str">
        <f t="shared" si="1151"/>
        <v>6级幻心龙</v>
      </c>
      <c r="CH518" s="5">
        <v>0</v>
      </c>
      <c r="CI518" s="5">
        <v>0</v>
      </c>
      <c r="CJ518" s="4">
        <v>0</v>
      </c>
      <c r="CK518" s="20">
        <v>0</v>
      </c>
      <c r="CL518" s="5">
        <v>0</v>
      </c>
      <c r="CM518" s="20">
        <v>114</v>
      </c>
      <c r="CN518" s="5">
        <v>0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20">
        <v>2.5</v>
      </c>
      <c r="CW518" s="20">
        <v>3</v>
      </c>
      <c r="CX518" s="20">
        <v>2.5</v>
      </c>
      <c r="CY518" s="20">
        <v>3.5</v>
      </c>
      <c r="CZ518" s="8">
        <v>200</v>
      </c>
      <c r="DA518" s="6">
        <f t="shared" si="1158"/>
        <v>30000</v>
      </c>
      <c r="DB518" s="5">
        <v>1</v>
      </c>
      <c r="DC518" s="20">
        <f t="shared" si="1146"/>
        <v>1.875</v>
      </c>
      <c r="DD518" s="6">
        <f t="shared" si="1159"/>
        <v>0.625</v>
      </c>
      <c r="DE518" s="6">
        <v>1</v>
      </c>
      <c r="DF518" s="5">
        <v>0</v>
      </c>
      <c r="DG518" s="6">
        <v>2.5</v>
      </c>
      <c r="DH518" s="5">
        <v>0</v>
      </c>
      <c r="DI518" s="8">
        <v>0</v>
      </c>
      <c r="DJ518" s="5">
        <v>0</v>
      </c>
      <c r="DK518" s="8">
        <v>0</v>
      </c>
      <c r="DL518" s="5">
        <f t="shared" si="1210"/>
        <v>0</v>
      </c>
      <c r="DM518" s="5" t="str">
        <f t="shared" si="1148"/>
        <v>6级幻心龙</v>
      </c>
      <c r="DN518" s="5">
        <v>6</v>
      </c>
      <c r="DO518" s="5">
        <v>0</v>
      </c>
      <c r="DP518" s="5">
        <v>1</v>
      </c>
      <c r="DQ518" s="5">
        <v>1</v>
      </c>
      <c r="DR518" s="5">
        <v>2.5</v>
      </c>
      <c r="DS518" s="6">
        <v>3.5</v>
      </c>
      <c r="DT518" s="5">
        <v>-0.6</v>
      </c>
      <c r="DU518" s="5">
        <v>0.8</v>
      </c>
      <c r="DV518" s="6">
        <v>0.5</v>
      </c>
      <c r="DW518" s="5">
        <f t="shared" si="1160"/>
        <v>0.66666666666666663</v>
      </c>
      <c r="DX518" s="5">
        <v>8</v>
      </c>
      <c r="DY518" s="5">
        <f t="shared" si="1161"/>
        <v>0</v>
      </c>
      <c r="DZ518" s="5">
        <v>0</v>
      </c>
    </row>
    <row r="519" spans="1:130" x14ac:dyDescent="0.15">
      <c r="A519" s="5">
        <v>201517</v>
      </c>
      <c r="B519" s="28" t="s">
        <v>842</v>
      </c>
      <c r="C519" s="27">
        <v>35</v>
      </c>
      <c r="D519" s="27">
        <v>1</v>
      </c>
      <c r="E519" s="27">
        <v>3</v>
      </c>
      <c r="F519" s="5">
        <v>2</v>
      </c>
      <c r="G519" s="46">
        <f t="shared" si="1162"/>
        <v>0.17429999999999993</v>
      </c>
      <c r="H519" s="27"/>
      <c r="I519" s="27" t="s">
        <v>975</v>
      </c>
      <c r="J519" s="27"/>
      <c r="K519" s="5">
        <f t="shared" si="1190"/>
        <v>0.06</v>
      </c>
      <c r="L519" s="10">
        <v>0</v>
      </c>
      <c r="M519" s="5">
        <f t="shared" si="1191"/>
        <v>0.21</v>
      </c>
      <c r="N519" s="10">
        <v>3</v>
      </c>
      <c r="O519" s="5">
        <v>0</v>
      </c>
      <c r="P519" s="5">
        <f t="shared" si="1139"/>
        <v>0.2</v>
      </c>
      <c r="Q519" s="5">
        <v>2</v>
      </c>
      <c r="R519" s="5">
        <f t="shared" si="1163"/>
        <v>903931</v>
      </c>
      <c r="S519" s="5">
        <v>30</v>
      </c>
      <c r="T519" s="5">
        <v>10</v>
      </c>
      <c r="U519" s="5">
        <v>0.3</v>
      </c>
      <c r="V519" s="5">
        <v>0.15</v>
      </c>
      <c r="W519" s="5">
        <v>9</v>
      </c>
      <c r="X519" s="5">
        <v>-0.6</v>
      </c>
      <c r="Y519" s="5">
        <v>1.8</v>
      </c>
      <c r="Z519" s="27" t="s">
        <v>1042</v>
      </c>
      <c r="AA519" s="5">
        <v>3</v>
      </c>
      <c r="AB519" s="5">
        <v>2</v>
      </c>
      <c r="AC519" s="5">
        <v>6</v>
      </c>
      <c r="AD519" s="27" t="s">
        <v>1043</v>
      </c>
      <c r="AE519" s="20">
        <v>126</v>
      </c>
      <c r="AF519" s="5">
        <f t="shared" si="1164"/>
        <v>903947</v>
      </c>
      <c r="AG519" s="5">
        <v>60</v>
      </c>
      <c r="AH519" s="5">
        <f t="shared" si="1140"/>
        <v>0.1</v>
      </c>
      <c r="AI519" s="5">
        <v>2</v>
      </c>
      <c r="AJ519" s="5">
        <v>1</v>
      </c>
      <c r="AK519" s="5">
        <f t="shared" si="1165"/>
        <v>35</v>
      </c>
      <c r="AL519" s="5">
        <f t="shared" si="1141"/>
        <v>105</v>
      </c>
      <c r="AM519" s="5">
        <f t="shared" si="1142"/>
        <v>126</v>
      </c>
      <c r="AN519" s="8">
        <v>5</v>
      </c>
      <c r="AO519" s="5">
        <v>1</v>
      </c>
      <c r="AP519" s="28" t="s">
        <v>842</v>
      </c>
      <c r="AQ519" s="5">
        <v>5</v>
      </c>
      <c r="AR519" s="8">
        <v>0</v>
      </c>
      <c r="AS519" s="6">
        <f t="shared" si="1211"/>
        <v>0</v>
      </c>
      <c r="AT519" s="6">
        <f t="shared" si="1212"/>
        <v>21</v>
      </c>
      <c r="AU519" s="5">
        <v>0</v>
      </c>
      <c r="AV519" s="5">
        <v>0</v>
      </c>
      <c r="AW519" s="5">
        <v>0</v>
      </c>
      <c r="AX519" s="5">
        <v>1</v>
      </c>
      <c r="AY519" s="5">
        <v>0</v>
      </c>
      <c r="AZ519" s="5">
        <v>201517</v>
      </c>
      <c r="BA519" s="5">
        <f t="shared" si="1166"/>
        <v>203053</v>
      </c>
      <c r="BB519" s="5">
        <v>10</v>
      </c>
      <c r="BC519" s="5">
        <v>0</v>
      </c>
      <c r="BD519" s="5">
        <v>1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f t="shared" si="1204"/>
        <v>1</v>
      </c>
      <c r="BM519" s="5">
        <v>0</v>
      </c>
      <c r="BN519" s="5">
        <v>0</v>
      </c>
      <c r="BO519" s="5">
        <v>0</v>
      </c>
      <c r="BP519" s="5">
        <v>0</v>
      </c>
      <c r="BQ519" s="5"/>
      <c r="BR519" s="5"/>
      <c r="BS519" s="4">
        <v>0</v>
      </c>
      <c r="BT519" s="4">
        <f t="shared" si="1143"/>
        <v>7</v>
      </c>
      <c r="BU519" s="17">
        <v>107</v>
      </c>
      <c r="BV519" s="4">
        <f t="shared" ref="BV519:BY519" si="1216">BV509</f>
        <v>7</v>
      </c>
      <c r="BW519" s="4">
        <f t="shared" si="1216"/>
        <v>7</v>
      </c>
      <c r="BX519" s="4">
        <f t="shared" si="1216"/>
        <v>0.42999999999999994</v>
      </c>
      <c r="BY519" s="4">
        <f t="shared" si="1216"/>
        <v>0.25</v>
      </c>
      <c r="BZ519" s="27" t="s">
        <v>1011</v>
      </c>
      <c r="CA519" s="30" t="str">
        <f t="shared" si="1168"/>
        <v>7</v>
      </c>
      <c r="CB519" s="30" t="s">
        <v>917</v>
      </c>
      <c r="CC519" s="5">
        <v>0</v>
      </c>
      <c r="CD519" s="8">
        <v>3</v>
      </c>
      <c r="CE519" s="5">
        <f t="shared" si="1145"/>
        <v>7</v>
      </c>
      <c r="CF519" s="5">
        <v>1</v>
      </c>
      <c r="CG519" s="27" t="str">
        <f t="shared" si="1151"/>
        <v>7级幻心龙</v>
      </c>
      <c r="CH519" s="5">
        <v>0</v>
      </c>
      <c r="CI519" s="5">
        <v>0</v>
      </c>
      <c r="CJ519" s="4">
        <v>0</v>
      </c>
      <c r="CK519" s="20">
        <v>0</v>
      </c>
      <c r="CL519" s="5">
        <v>0</v>
      </c>
      <c r="CM519" s="20">
        <v>114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20">
        <v>2.5</v>
      </c>
      <c r="CW519" s="20">
        <v>3</v>
      </c>
      <c r="CX519" s="20">
        <v>2.5</v>
      </c>
      <c r="CY519" s="20">
        <v>3.5</v>
      </c>
      <c r="CZ519" s="8">
        <v>200</v>
      </c>
      <c r="DA519" s="6">
        <f t="shared" si="1158"/>
        <v>35000</v>
      </c>
      <c r="DB519" s="5">
        <v>1</v>
      </c>
      <c r="DC519" s="20">
        <f t="shared" si="1146"/>
        <v>1.9500000000000002</v>
      </c>
      <c r="DD519" s="6">
        <f t="shared" si="1159"/>
        <v>0.65</v>
      </c>
      <c r="DE519" s="6">
        <v>1</v>
      </c>
      <c r="DF519" s="5">
        <v>0</v>
      </c>
      <c r="DG519" s="6">
        <v>2.5</v>
      </c>
      <c r="DH519" s="5">
        <v>0</v>
      </c>
      <c r="DI519" s="8">
        <v>0</v>
      </c>
      <c r="DJ519" s="5">
        <v>0</v>
      </c>
      <c r="DK519" s="8">
        <v>0</v>
      </c>
      <c r="DL519" s="5">
        <f t="shared" si="1210"/>
        <v>0</v>
      </c>
      <c r="DM519" s="5" t="str">
        <f t="shared" si="1148"/>
        <v>7级幻心龙</v>
      </c>
      <c r="DN519" s="5">
        <v>6</v>
      </c>
      <c r="DO519" s="5">
        <v>0</v>
      </c>
      <c r="DP519" s="5">
        <v>1</v>
      </c>
      <c r="DQ519" s="5">
        <v>1</v>
      </c>
      <c r="DR519" s="5">
        <v>2.5</v>
      </c>
      <c r="DS519" s="6">
        <v>3.5</v>
      </c>
      <c r="DT519" s="5">
        <v>-0.6</v>
      </c>
      <c r="DU519" s="5">
        <v>0.8</v>
      </c>
      <c r="DV519" s="6">
        <v>0.5</v>
      </c>
      <c r="DW519" s="5">
        <f t="shared" si="1160"/>
        <v>0.66666666666666663</v>
      </c>
      <c r="DX519" s="5">
        <v>8</v>
      </c>
      <c r="DY519" s="5">
        <f t="shared" si="1161"/>
        <v>0</v>
      </c>
      <c r="DZ519" s="5">
        <v>0</v>
      </c>
    </row>
    <row r="520" spans="1:130" x14ac:dyDescent="0.15">
      <c r="A520" s="5">
        <v>201518</v>
      </c>
      <c r="B520" s="28" t="s">
        <v>843</v>
      </c>
      <c r="C520" s="27">
        <v>35</v>
      </c>
      <c r="D520" s="27">
        <v>1</v>
      </c>
      <c r="E520" s="27">
        <v>3</v>
      </c>
      <c r="F520" s="5">
        <v>2</v>
      </c>
      <c r="G520" s="46">
        <f t="shared" si="1162"/>
        <v>0.17429999999999993</v>
      </c>
      <c r="H520" s="27"/>
      <c r="I520" s="27" t="s">
        <v>975</v>
      </c>
      <c r="J520" s="27"/>
      <c r="K520" s="5">
        <f t="shared" si="1190"/>
        <v>7.0000000000000007E-2</v>
      </c>
      <c r="L520" s="10">
        <v>0</v>
      </c>
      <c r="M520" s="5">
        <f t="shared" si="1191"/>
        <v>0.22</v>
      </c>
      <c r="N520" s="10">
        <v>3</v>
      </c>
      <c r="O520" s="5">
        <v>0</v>
      </c>
      <c r="P520" s="5">
        <f t="shared" si="1139"/>
        <v>0.2</v>
      </c>
      <c r="Q520" s="5">
        <v>2</v>
      </c>
      <c r="R520" s="5">
        <f t="shared" si="1163"/>
        <v>903931</v>
      </c>
      <c r="S520" s="5">
        <v>30</v>
      </c>
      <c r="T520" s="5">
        <v>10</v>
      </c>
      <c r="U520" s="5">
        <v>0.3</v>
      </c>
      <c r="V520" s="5">
        <v>0.15</v>
      </c>
      <c r="W520" s="5">
        <v>9</v>
      </c>
      <c r="X520" s="5">
        <v>-0.6</v>
      </c>
      <c r="Y520" s="5">
        <v>1.8</v>
      </c>
      <c r="Z520" s="27" t="s">
        <v>1042</v>
      </c>
      <c r="AA520" s="5">
        <v>3</v>
      </c>
      <c r="AB520" s="5">
        <v>2</v>
      </c>
      <c r="AC520" s="5">
        <v>6</v>
      </c>
      <c r="AD520" s="27" t="s">
        <v>1043</v>
      </c>
      <c r="AE520" s="20">
        <v>126</v>
      </c>
      <c r="AF520" s="5">
        <f t="shared" si="1164"/>
        <v>903947</v>
      </c>
      <c r="AG520" s="5">
        <v>60</v>
      </c>
      <c r="AH520" s="5">
        <f t="shared" si="1140"/>
        <v>0.1</v>
      </c>
      <c r="AI520" s="5">
        <v>2</v>
      </c>
      <c r="AJ520" s="5">
        <v>1</v>
      </c>
      <c r="AK520" s="5">
        <f t="shared" si="1165"/>
        <v>40</v>
      </c>
      <c r="AL520" s="5">
        <f t="shared" si="1141"/>
        <v>120</v>
      </c>
      <c r="AM520" s="5">
        <f t="shared" si="1142"/>
        <v>144</v>
      </c>
      <c r="AN520" s="8">
        <v>5</v>
      </c>
      <c r="AO520" s="5">
        <v>1</v>
      </c>
      <c r="AP520" s="28" t="s">
        <v>843</v>
      </c>
      <c r="AQ520" s="5">
        <v>5</v>
      </c>
      <c r="AR520" s="8">
        <v>0</v>
      </c>
      <c r="AS520" s="6">
        <f t="shared" si="1211"/>
        <v>0</v>
      </c>
      <c r="AT520" s="6">
        <f t="shared" si="1212"/>
        <v>24</v>
      </c>
      <c r="AU520" s="5">
        <v>0</v>
      </c>
      <c r="AV520" s="5">
        <v>0</v>
      </c>
      <c r="AW520" s="5">
        <v>0</v>
      </c>
      <c r="AX520" s="5">
        <v>1</v>
      </c>
      <c r="AY520" s="5">
        <v>0</v>
      </c>
      <c r="AZ520" s="5">
        <v>201518</v>
      </c>
      <c r="BA520" s="5">
        <f t="shared" si="1166"/>
        <v>203053</v>
      </c>
      <c r="BB520" s="5">
        <v>10</v>
      </c>
      <c r="BC520" s="5">
        <v>0</v>
      </c>
      <c r="BD520" s="5">
        <v>1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f t="shared" si="1204"/>
        <v>1</v>
      </c>
      <c r="BM520" s="5">
        <v>0</v>
      </c>
      <c r="BN520" s="5">
        <v>0</v>
      </c>
      <c r="BO520" s="5">
        <v>0</v>
      </c>
      <c r="BP520" s="5">
        <v>0</v>
      </c>
      <c r="BQ520" s="5"/>
      <c r="BR520" s="5"/>
      <c r="BS520" s="4">
        <v>0</v>
      </c>
      <c r="BT520" s="4">
        <f t="shared" si="1143"/>
        <v>8</v>
      </c>
      <c r="BU520" s="17">
        <v>108</v>
      </c>
      <c r="BV520" s="4">
        <f t="shared" ref="BV520:BY520" si="1217">BV510</f>
        <v>8</v>
      </c>
      <c r="BW520" s="4">
        <f t="shared" si="1217"/>
        <v>8</v>
      </c>
      <c r="BX520" s="4">
        <f t="shared" si="1217"/>
        <v>0.35999999999999993</v>
      </c>
      <c r="BY520" s="4">
        <f t="shared" si="1217"/>
        <v>0.2</v>
      </c>
      <c r="BZ520" s="27" t="s">
        <v>1011</v>
      </c>
      <c r="CA520" s="30" t="str">
        <f t="shared" si="1168"/>
        <v>8</v>
      </c>
      <c r="CB520" s="30" t="s">
        <v>917</v>
      </c>
      <c r="CC520" s="5">
        <v>0</v>
      </c>
      <c r="CD520" s="8">
        <v>3</v>
      </c>
      <c r="CE520" s="5">
        <f t="shared" si="1145"/>
        <v>8</v>
      </c>
      <c r="CF520" s="5">
        <v>1</v>
      </c>
      <c r="CG520" s="27" t="str">
        <f t="shared" si="1151"/>
        <v>8级幻心龙</v>
      </c>
      <c r="CH520" s="5">
        <v>0</v>
      </c>
      <c r="CI520" s="5">
        <v>0</v>
      </c>
      <c r="CJ520" s="4">
        <v>0</v>
      </c>
      <c r="CK520" s="20">
        <v>0</v>
      </c>
      <c r="CL520" s="5">
        <v>0</v>
      </c>
      <c r="CM520" s="20">
        <v>114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20">
        <v>2.5</v>
      </c>
      <c r="CW520" s="20">
        <v>3</v>
      </c>
      <c r="CX520" s="20">
        <v>2.5</v>
      </c>
      <c r="CY520" s="20">
        <v>3.5</v>
      </c>
      <c r="CZ520" s="8">
        <v>200</v>
      </c>
      <c r="DA520" s="6">
        <f t="shared" si="1158"/>
        <v>40000</v>
      </c>
      <c r="DB520" s="5">
        <v>1</v>
      </c>
      <c r="DC520" s="20">
        <f t="shared" si="1146"/>
        <v>2.0250000000000004</v>
      </c>
      <c r="DD520" s="6">
        <f t="shared" si="1159"/>
        <v>0.67500000000000004</v>
      </c>
      <c r="DE520" s="6">
        <v>1</v>
      </c>
      <c r="DF520" s="5">
        <v>0</v>
      </c>
      <c r="DG520" s="6">
        <v>2.5</v>
      </c>
      <c r="DH520" s="5">
        <v>0</v>
      </c>
      <c r="DI520" s="8">
        <v>0</v>
      </c>
      <c r="DJ520" s="5">
        <v>0</v>
      </c>
      <c r="DK520" s="8">
        <v>0</v>
      </c>
      <c r="DL520" s="5">
        <f t="shared" si="1210"/>
        <v>0</v>
      </c>
      <c r="DM520" s="5" t="str">
        <f t="shared" si="1148"/>
        <v>8级幻心龙</v>
      </c>
      <c r="DN520" s="5">
        <v>6</v>
      </c>
      <c r="DO520" s="5">
        <v>0</v>
      </c>
      <c r="DP520" s="5">
        <v>1</v>
      </c>
      <c r="DQ520" s="5">
        <v>1</v>
      </c>
      <c r="DR520" s="5">
        <v>2.5</v>
      </c>
      <c r="DS520" s="6">
        <v>3.5</v>
      </c>
      <c r="DT520" s="5">
        <v>-0.6</v>
      </c>
      <c r="DU520" s="5">
        <v>0.8</v>
      </c>
      <c r="DV520" s="6">
        <v>0.5</v>
      </c>
      <c r="DW520" s="5">
        <f t="shared" si="1160"/>
        <v>0.66666666666666663</v>
      </c>
      <c r="DX520" s="5">
        <v>8</v>
      </c>
      <c r="DY520" s="5">
        <f t="shared" si="1161"/>
        <v>0</v>
      </c>
      <c r="DZ520" s="5">
        <v>0</v>
      </c>
    </row>
    <row r="521" spans="1:130" x14ac:dyDescent="0.15">
      <c r="A521" s="5">
        <v>201519</v>
      </c>
      <c r="B521" s="28" t="s">
        <v>844</v>
      </c>
      <c r="C521" s="27">
        <v>35</v>
      </c>
      <c r="D521" s="27">
        <v>1</v>
      </c>
      <c r="E521" s="27">
        <v>3</v>
      </c>
      <c r="F521" s="5">
        <v>2</v>
      </c>
      <c r="G521" s="46">
        <f t="shared" si="1162"/>
        <v>0.17429999999999993</v>
      </c>
      <c r="H521" s="27"/>
      <c r="I521" s="27" t="s">
        <v>975</v>
      </c>
      <c r="J521" s="27"/>
      <c r="K521" s="5">
        <f t="shared" si="1190"/>
        <v>0.08</v>
      </c>
      <c r="L521" s="10">
        <v>0</v>
      </c>
      <c r="M521" s="5">
        <f t="shared" si="1191"/>
        <v>0.22999999999999998</v>
      </c>
      <c r="N521" s="10">
        <v>3</v>
      </c>
      <c r="O521" s="5">
        <v>0</v>
      </c>
      <c r="P521" s="5">
        <f t="shared" si="1139"/>
        <v>0.2</v>
      </c>
      <c r="Q521" s="5">
        <v>2</v>
      </c>
      <c r="R521" s="5">
        <f t="shared" si="1163"/>
        <v>903931</v>
      </c>
      <c r="S521" s="5">
        <v>30</v>
      </c>
      <c r="T521" s="5">
        <v>10</v>
      </c>
      <c r="U521" s="5">
        <v>0.3</v>
      </c>
      <c r="V521" s="5">
        <v>0.15</v>
      </c>
      <c r="W521" s="5">
        <v>9</v>
      </c>
      <c r="X521" s="5">
        <v>-0.6</v>
      </c>
      <c r="Y521" s="5">
        <v>1.8</v>
      </c>
      <c r="Z521" s="27" t="s">
        <v>1042</v>
      </c>
      <c r="AA521" s="5">
        <v>3</v>
      </c>
      <c r="AB521" s="5">
        <v>2</v>
      </c>
      <c r="AC521" s="5">
        <v>6</v>
      </c>
      <c r="AD521" s="27" t="s">
        <v>1043</v>
      </c>
      <c r="AE521" s="20">
        <v>126</v>
      </c>
      <c r="AF521" s="5">
        <f t="shared" si="1164"/>
        <v>903947</v>
      </c>
      <c r="AG521" s="5">
        <v>60</v>
      </c>
      <c r="AH521" s="5">
        <f t="shared" si="1140"/>
        <v>0.1</v>
      </c>
      <c r="AI521" s="5">
        <v>2</v>
      </c>
      <c r="AJ521" s="5">
        <v>1</v>
      </c>
      <c r="AK521" s="5">
        <f t="shared" si="1165"/>
        <v>45</v>
      </c>
      <c r="AL521" s="5">
        <f t="shared" si="1141"/>
        <v>135</v>
      </c>
      <c r="AM521" s="5">
        <f t="shared" si="1142"/>
        <v>162</v>
      </c>
      <c r="AN521" s="8">
        <v>5</v>
      </c>
      <c r="AO521" s="5">
        <v>1</v>
      </c>
      <c r="AP521" s="28" t="s">
        <v>844</v>
      </c>
      <c r="AQ521" s="5">
        <v>5</v>
      </c>
      <c r="AR521" s="8">
        <v>0</v>
      </c>
      <c r="AS521" s="6">
        <f t="shared" si="1211"/>
        <v>0</v>
      </c>
      <c r="AT521" s="6">
        <f t="shared" si="1212"/>
        <v>27</v>
      </c>
      <c r="AU521" s="5">
        <v>0</v>
      </c>
      <c r="AV521" s="5">
        <v>0</v>
      </c>
      <c r="AW521" s="5">
        <v>0</v>
      </c>
      <c r="AX521" s="5">
        <v>1</v>
      </c>
      <c r="AY521" s="5">
        <v>0</v>
      </c>
      <c r="AZ521" s="5">
        <v>201519</v>
      </c>
      <c r="BA521" s="5">
        <f t="shared" si="1166"/>
        <v>203053</v>
      </c>
      <c r="BB521" s="5">
        <v>10</v>
      </c>
      <c r="BC521" s="5">
        <v>0</v>
      </c>
      <c r="BD521" s="5">
        <v>1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f t="shared" si="1204"/>
        <v>1</v>
      </c>
      <c r="BM521" s="5">
        <v>0</v>
      </c>
      <c r="BN521" s="5">
        <v>0</v>
      </c>
      <c r="BO521" s="5">
        <v>0</v>
      </c>
      <c r="BP521" s="5">
        <v>0</v>
      </c>
      <c r="BQ521" s="5"/>
      <c r="BR521" s="5"/>
      <c r="BS521" s="4">
        <v>0</v>
      </c>
      <c r="BT521" s="4">
        <f t="shared" si="1143"/>
        <v>9</v>
      </c>
      <c r="BU521" s="17">
        <v>109</v>
      </c>
      <c r="BV521" s="4">
        <f t="shared" ref="BV521:BY521" si="1218">BV511</f>
        <v>9</v>
      </c>
      <c r="BW521" s="4">
        <f t="shared" si="1218"/>
        <v>9</v>
      </c>
      <c r="BX521" s="4">
        <f t="shared" si="1218"/>
        <v>0.28999999999999992</v>
      </c>
      <c r="BY521" s="4">
        <f t="shared" si="1218"/>
        <v>0.15000000000000002</v>
      </c>
      <c r="BZ521" s="27" t="s">
        <v>1011</v>
      </c>
      <c r="CA521" s="30" t="str">
        <f t="shared" si="1168"/>
        <v>9</v>
      </c>
      <c r="CB521" s="30" t="s">
        <v>917</v>
      </c>
      <c r="CC521" s="5">
        <v>0</v>
      </c>
      <c r="CD521" s="8">
        <v>3</v>
      </c>
      <c r="CE521" s="5">
        <f t="shared" si="1145"/>
        <v>9</v>
      </c>
      <c r="CF521" s="5">
        <v>1</v>
      </c>
      <c r="CG521" s="27" t="str">
        <f t="shared" si="1151"/>
        <v>9级幻心龙</v>
      </c>
      <c r="CH521" s="5">
        <v>0</v>
      </c>
      <c r="CI521" s="5">
        <v>0</v>
      </c>
      <c r="CJ521" s="4">
        <v>0</v>
      </c>
      <c r="CK521" s="20">
        <v>0</v>
      </c>
      <c r="CL521" s="5">
        <v>0</v>
      </c>
      <c r="CM521" s="20">
        <v>114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20">
        <v>2.5</v>
      </c>
      <c r="CW521" s="20">
        <v>3</v>
      </c>
      <c r="CX521" s="20">
        <v>2.5</v>
      </c>
      <c r="CY521" s="20">
        <v>3.5</v>
      </c>
      <c r="CZ521" s="8">
        <v>200</v>
      </c>
      <c r="DA521" s="6">
        <f t="shared" si="1158"/>
        <v>45000</v>
      </c>
      <c r="DB521" s="5">
        <v>1</v>
      </c>
      <c r="DC521" s="20">
        <f t="shared" si="1146"/>
        <v>2.0999999999999996</v>
      </c>
      <c r="DD521" s="6">
        <f t="shared" si="1159"/>
        <v>0.7</v>
      </c>
      <c r="DE521" s="6">
        <v>1</v>
      </c>
      <c r="DF521" s="5">
        <v>0</v>
      </c>
      <c r="DG521" s="6">
        <v>2.5</v>
      </c>
      <c r="DH521" s="5">
        <v>0</v>
      </c>
      <c r="DI521" s="8">
        <v>0</v>
      </c>
      <c r="DJ521" s="5">
        <v>0</v>
      </c>
      <c r="DK521" s="8">
        <v>0</v>
      </c>
      <c r="DL521" s="5">
        <f t="shared" si="1210"/>
        <v>0</v>
      </c>
      <c r="DM521" s="5" t="str">
        <f t="shared" si="1148"/>
        <v>9级幻心龙</v>
      </c>
      <c r="DN521" s="5">
        <v>6</v>
      </c>
      <c r="DO521" s="5">
        <v>0</v>
      </c>
      <c r="DP521" s="5">
        <v>1</v>
      </c>
      <c r="DQ521" s="5">
        <v>1</v>
      </c>
      <c r="DR521" s="5">
        <v>2.5</v>
      </c>
      <c r="DS521" s="6">
        <v>3.5</v>
      </c>
      <c r="DT521" s="5">
        <v>-0.6</v>
      </c>
      <c r="DU521" s="5">
        <v>0.8</v>
      </c>
      <c r="DV521" s="6">
        <v>0.5</v>
      </c>
      <c r="DW521" s="5">
        <f t="shared" si="1160"/>
        <v>0.66666666666666663</v>
      </c>
      <c r="DX521" s="5">
        <v>8</v>
      </c>
      <c r="DY521" s="5">
        <f t="shared" si="1161"/>
        <v>0</v>
      </c>
      <c r="DZ521" s="5">
        <v>0</v>
      </c>
    </row>
    <row r="522" spans="1:130" x14ac:dyDescent="0.15">
      <c r="A522" s="5">
        <v>201520</v>
      </c>
      <c r="B522" s="28" t="s">
        <v>845</v>
      </c>
      <c r="C522" s="27">
        <v>35</v>
      </c>
      <c r="D522" s="27">
        <v>1</v>
      </c>
      <c r="E522" s="27">
        <v>3</v>
      </c>
      <c r="F522" s="5">
        <v>2</v>
      </c>
      <c r="G522" s="46">
        <f t="shared" si="1162"/>
        <v>0.17429999999999993</v>
      </c>
      <c r="H522" s="27"/>
      <c r="I522" s="27" t="s">
        <v>975</v>
      </c>
      <c r="J522" s="27"/>
      <c r="K522" s="5">
        <f t="shared" si="1190"/>
        <v>0.09</v>
      </c>
      <c r="L522" s="10">
        <v>0</v>
      </c>
      <c r="M522" s="5">
        <f t="shared" si="1191"/>
        <v>0.24</v>
      </c>
      <c r="N522" s="10">
        <v>3</v>
      </c>
      <c r="O522" s="5">
        <v>0</v>
      </c>
      <c r="P522" s="5">
        <f t="shared" si="1139"/>
        <v>0.2</v>
      </c>
      <c r="Q522" s="5">
        <v>2</v>
      </c>
      <c r="R522" s="5">
        <f t="shared" si="1163"/>
        <v>903931</v>
      </c>
      <c r="S522" s="5">
        <v>30</v>
      </c>
      <c r="T522" s="5">
        <v>10</v>
      </c>
      <c r="U522" s="5">
        <v>0.3</v>
      </c>
      <c r="V522" s="5">
        <v>0.15</v>
      </c>
      <c r="W522" s="5">
        <v>9</v>
      </c>
      <c r="X522" s="5">
        <v>-0.6</v>
      </c>
      <c r="Y522" s="5">
        <v>1.8</v>
      </c>
      <c r="Z522" s="27" t="s">
        <v>1042</v>
      </c>
      <c r="AA522" s="5">
        <v>3</v>
      </c>
      <c r="AB522" s="5">
        <v>2</v>
      </c>
      <c r="AC522" s="5">
        <v>6</v>
      </c>
      <c r="AD522" s="27" t="s">
        <v>1043</v>
      </c>
      <c r="AE522" s="20">
        <v>126</v>
      </c>
      <c r="AF522" s="5">
        <f t="shared" si="1164"/>
        <v>903947</v>
      </c>
      <c r="AG522" s="5">
        <v>60</v>
      </c>
      <c r="AH522" s="5">
        <f t="shared" si="1140"/>
        <v>0.1</v>
      </c>
      <c r="AI522" s="5">
        <v>2</v>
      </c>
      <c r="AJ522" s="5">
        <v>1</v>
      </c>
      <c r="AK522" s="5">
        <f t="shared" si="1165"/>
        <v>50</v>
      </c>
      <c r="AL522" s="5">
        <f t="shared" si="1141"/>
        <v>150</v>
      </c>
      <c r="AM522" s="5">
        <f t="shared" si="1142"/>
        <v>180</v>
      </c>
      <c r="AN522" s="8">
        <v>5</v>
      </c>
      <c r="AO522" s="5">
        <v>1</v>
      </c>
      <c r="AP522" s="28" t="s">
        <v>845</v>
      </c>
      <c r="AQ522" s="5">
        <v>5</v>
      </c>
      <c r="AR522" s="8">
        <v>0</v>
      </c>
      <c r="AS522" s="6">
        <f t="shared" si="1211"/>
        <v>0</v>
      </c>
      <c r="AT522" s="6">
        <f t="shared" si="1212"/>
        <v>30</v>
      </c>
      <c r="AU522" s="5">
        <v>0</v>
      </c>
      <c r="AV522" s="5">
        <v>0</v>
      </c>
      <c r="AW522" s="5">
        <v>0</v>
      </c>
      <c r="AX522" s="5">
        <v>1</v>
      </c>
      <c r="AY522" s="5">
        <v>0</v>
      </c>
      <c r="AZ522" s="5">
        <v>201520</v>
      </c>
      <c r="BA522" s="5">
        <f t="shared" si="1166"/>
        <v>203053</v>
      </c>
      <c r="BB522" s="5">
        <v>10</v>
      </c>
      <c r="BC522" s="5">
        <v>0</v>
      </c>
      <c r="BD522" s="5">
        <v>1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f t="shared" si="1204"/>
        <v>1</v>
      </c>
      <c r="BM522" s="5">
        <v>0</v>
      </c>
      <c r="BN522" s="5">
        <v>0</v>
      </c>
      <c r="BO522" s="5">
        <v>0</v>
      </c>
      <c r="BP522" s="5">
        <v>0</v>
      </c>
      <c r="BQ522" s="5"/>
      <c r="BR522" s="5"/>
      <c r="BS522" s="4">
        <v>0</v>
      </c>
      <c r="BT522" s="4">
        <f t="shared" si="1143"/>
        <v>10</v>
      </c>
      <c r="BU522" s="17">
        <v>110</v>
      </c>
      <c r="BV522" s="4">
        <f t="shared" ref="BV522:BY522" si="1219">BV512</f>
        <v>10</v>
      </c>
      <c r="BW522" s="4">
        <f t="shared" si="1219"/>
        <v>10</v>
      </c>
      <c r="BX522" s="4">
        <f t="shared" si="1219"/>
        <v>0.21999999999999986</v>
      </c>
      <c r="BY522" s="4">
        <f t="shared" si="1219"/>
        <v>0.10000000000000003</v>
      </c>
      <c r="BZ522" s="27" t="s">
        <v>1011</v>
      </c>
      <c r="CA522" s="30" t="str">
        <f t="shared" si="1168"/>
        <v>10</v>
      </c>
      <c r="CB522" s="30" t="s">
        <v>917</v>
      </c>
      <c r="CC522" s="5">
        <v>0</v>
      </c>
      <c r="CD522" s="8">
        <v>3</v>
      </c>
      <c r="CE522" s="5">
        <f t="shared" si="1145"/>
        <v>10</v>
      </c>
      <c r="CF522" s="5">
        <v>1</v>
      </c>
      <c r="CG522" s="27" t="str">
        <f t="shared" si="1151"/>
        <v>10级幻心龙</v>
      </c>
      <c r="CH522" s="5">
        <v>0</v>
      </c>
      <c r="CI522" s="5">
        <v>0</v>
      </c>
      <c r="CJ522" s="4">
        <v>0</v>
      </c>
      <c r="CK522" s="20">
        <v>0</v>
      </c>
      <c r="CL522" s="5">
        <v>0</v>
      </c>
      <c r="CM522" s="20">
        <v>114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20">
        <v>2.5</v>
      </c>
      <c r="CW522" s="20">
        <v>3</v>
      </c>
      <c r="CX522" s="20">
        <v>2.5</v>
      </c>
      <c r="CY522" s="20">
        <v>3.5</v>
      </c>
      <c r="CZ522" s="8">
        <v>200</v>
      </c>
      <c r="DA522" s="6">
        <f t="shared" si="1158"/>
        <v>50000</v>
      </c>
      <c r="DB522" s="5">
        <v>1</v>
      </c>
      <c r="DC522" s="20">
        <f t="shared" si="1146"/>
        <v>2.1749999999999998</v>
      </c>
      <c r="DD522" s="6">
        <f t="shared" si="1159"/>
        <v>0.72499999999999998</v>
      </c>
      <c r="DE522" s="6">
        <v>1</v>
      </c>
      <c r="DF522" s="5">
        <v>0</v>
      </c>
      <c r="DG522" s="6">
        <v>2.5</v>
      </c>
      <c r="DH522" s="5">
        <v>0</v>
      </c>
      <c r="DI522" s="8">
        <v>0</v>
      </c>
      <c r="DJ522" s="5">
        <v>0</v>
      </c>
      <c r="DK522" s="8">
        <v>0</v>
      </c>
      <c r="DL522" s="5">
        <f t="shared" si="1210"/>
        <v>0</v>
      </c>
      <c r="DM522" s="5" t="str">
        <f t="shared" si="1148"/>
        <v>10级幻心龙</v>
      </c>
      <c r="DN522" s="5">
        <v>6</v>
      </c>
      <c r="DO522" s="5">
        <v>0</v>
      </c>
      <c r="DP522" s="5">
        <v>1</v>
      </c>
      <c r="DQ522" s="5">
        <v>1</v>
      </c>
      <c r="DR522" s="5">
        <v>2.5</v>
      </c>
      <c r="DS522" s="6">
        <v>3.5</v>
      </c>
      <c r="DT522" s="5">
        <v>-0.6</v>
      </c>
      <c r="DU522" s="5">
        <v>0.8</v>
      </c>
      <c r="DV522" s="6">
        <v>0.5</v>
      </c>
      <c r="DW522" s="5">
        <f t="shared" si="1160"/>
        <v>0.66666666666666663</v>
      </c>
      <c r="DX522" s="5">
        <v>8</v>
      </c>
      <c r="DY522" s="5">
        <f t="shared" si="1161"/>
        <v>0</v>
      </c>
      <c r="DZ522" s="5">
        <v>0</v>
      </c>
    </row>
    <row r="523" spans="1:130" x14ac:dyDescent="0.15">
      <c r="A523" s="6">
        <v>201521</v>
      </c>
      <c r="B523" s="28" t="s">
        <v>846</v>
      </c>
      <c r="C523" s="28">
        <v>25</v>
      </c>
      <c r="D523" s="28">
        <v>1</v>
      </c>
      <c r="E523" s="28">
        <v>3</v>
      </c>
      <c r="F523" s="6">
        <v>2</v>
      </c>
      <c r="G523" s="46">
        <f t="shared" si="1162"/>
        <v>0.23239999999999994</v>
      </c>
      <c r="H523" s="28"/>
      <c r="I523" s="28" t="s">
        <v>975</v>
      </c>
      <c r="J523" s="28"/>
      <c r="K523" s="5">
        <f t="shared" si="1190"/>
        <v>0.15</v>
      </c>
      <c r="L523" s="10">
        <v>3</v>
      </c>
      <c r="M523" s="5">
        <f t="shared" si="1191"/>
        <v>0</v>
      </c>
      <c r="N523" s="10">
        <v>0</v>
      </c>
      <c r="O523" s="5">
        <v>0</v>
      </c>
      <c r="P523" s="5">
        <f t="shared" si="1139"/>
        <v>0.2</v>
      </c>
      <c r="Q523" s="5">
        <v>2</v>
      </c>
      <c r="R523" s="5">
        <f t="shared" si="1163"/>
        <v>903932</v>
      </c>
      <c r="S523" s="5">
        <v>30</v>
      </c>
      <c r="T523" s="5">
        <v>10</v>
      </c>
      <c r="U523" s="5">
        <v>0.3</v>
      </c>
      <c r="V523" s="5">
        <v>0.15</v>
      </c>
      <c r="W523" s="5">
        <v>9</v>
      </c>
      <c r="X523" s="5">
        <v>-0.6</v>
      </c>
      <c r="Y523" s="5">
        <v>1.8</v>
      </c>
      <c r="Z523" s="27" t="s">
        <v>1044</v>
      </c>
      <c r="AA523" s="5">
        <v>3</v>
      </c>
      <c r="AB523" s="5">
        <v>2</v>
      </c>
      <c r="AC523" s="5">
        <v>6</v>
      </c>
      <c r="AD523" s="27" t="s">
        <v>1045</v>
      </c>
      <c r="AE523" s="20">
        <v>999</v>
      </c>
      <c r="AF523" s="5">
        <f t="shared" si="1164"/>
        <v>903948</v>
      </c>
      <c r="AG523" s="5">
        <v>60</v>
      </c>
      <c r="AH523" s="5">
        <f t="shared" si="1140"/>
        <v>0.1</v>
      </c>
      <c r="AI523" s="5">
        <v>2</v>
      </c>
      <c r="AJ523" s="5">
        <v>1</v>
      </c>
      <c r="AK523" s="5">
        <f t="shared" si="1165"/>
        <v>5</v>
      </c>
      <c r="AL523" s="5">
        <f t="shared" si="1141"/>
        <v>0</v>
      </c>
      <c r="AM523" s="5">
        <f t="shared" si="1142"/>
        <v>3</v>
      </c>
      <c r="AN523" s="8">
        <v>0</v>
      </c>
      <c r="AO523" s="5">
        <v>0</v>
      </c>
      <c r="AP523" s="28" t="s">
        <v>846</v>
      </c>
      <c r="AQ523" s="5">
        <v>0</v>
      </c>
      <c r="AR523" s="8">
        <v>6</v>
      </c>
      <c r="AS523" s="6">
        <f t="shared" si="1211"/>
        <v>18</v>
      </c>
      <c r="AT523" s="6">
        <f t="shared" si="1212"/>
        <v>21</v>
      </c>
      <c r="AU523" s="5">
        <v>0</v>
      </c>
      <c r="AV523" s="5">
        <v>0</v>
      </c>
      <c r="AW523" s="5">
        <v>0</v>
      </c>
      <c r="AX523" s="5">
        <v>1</v>
      </c>
      <c r="AY523" s="5">
        <v>0</v>
      </c>
      <c r="AZ523" s="5">
        <v>201521</v>
      </c>
      <c r="BA523" s="5">
        <f t="shared" si="1166"/>
        <v>203054</v>
      </c>
      <c r="BB523" s="5">
        <v>10</v>
      </c>
      <c r="BC523" s="5">
        <v>0</v>
      </c>
      <c r="BD523" s="5">
        <v>1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f t="shared" si="1204"/>
        <v>1</v>
      </c>
      <c r="BM523" s="5">
        <v>0</v>
      </c>
      <c r="BN523" s="5">
        <v>0</v>
      </c>
      <c r="BO523" s="5">
        <v>0</v>
      </c>
      <c r="BP523" s="5">
        <v>0</v>
      </c>
      <c r="BQ523" s="5"/>
      <c r="BR523" s="5"/>
      <c r="BS523" s="4">
        <v>0</v>
      </c>
      <c r="BT523" s="4">
        <f t="shared" si="1143"/>
        <v>1</v>
      </c>
      <c r="BU523" s="17">
        <v>111</v>
      </c>
      <c r="BV523" s="4">
        <f t="shared" ref="BV523:BY523" si="1220">BV513</f>
        <v>1</v>
      </c>
      <c r="BW523" s="4">
        <f t="shared" si="1220"/>
        <v>1</v>
      </c>
      <c r="BX523" s="4">
        <f t="shared" si="1220"/>
        <v>0.85</v>
      </c>
      <c r="BY523" s="4">
        <f t="shared" si="1220"/>
        <v>0.55000000000000004</v>
      </c>
      <c r="BZ523" s="27" t="s">
        <v>1012</v>
      </c>
      <c r="CA523" s="30" t="str">
        <f t="shared" si="1168"/>
        <v>1</v>
      </c>
      <c r="CB523" s="30" t="s">
        <v>917</v>
      </c>
      <c r="CC523" s="5">
        <v>0</v>
      </c>
      <c r="CD523" s="8">
        <v>3</v>
      </c>
      <c r="CE523" s="5">
        <f t="shared" si="1145"/>
        <v>1</v>
      </c>
      <c r="CF523" s="5">
        <v>1</v>
      </c>
      <c r="CG523" s="27" t="str">
        <f t="shared" si="1151"/>
        <v>1级圣盾龙</v>
      </c>
      <c r="CH523" s="5">
        <v>0</v>
      </c>
      <c r="CI523" s="5">
        <v>0</v>
      </c>
      <c r="CJ523" s="4">
        <v>0</v>
      </c>
      <c r="CK523" s="20">
        <v>0</v>
      </c>
      <c r="CL523" s="5">
        <v>0</v>
      </c>
      <c r="CM523" s="20">
        <v>114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20">
        <v>2.5</v>
      </c>
      <c r="CW523" s="20">
        <v>3</v>
      </c>
      <c r="CX523" s="20">
        <v>2.5</v>
      </c>
      <c r="CY523" s="20">
        <v>3.5</v>
      </c>
      <c r="CZ523" s="8">
        <v>200</v>
      </c>
      <c r="DA523" s="6">
        <f t="shared" si="1158"/>
        <v>5000</v>
      </c>
      <c r="DB523" s="5">
        <v>1</v>
      </c>
      <c r="DC523" s="20">
        <f t="shared" si="1146"/>
        <v>1.5</v>
      </c>
      <c r="DD523" s="6">
        <f t="shared" si="1159"/>
        <v>0.5</v>
      </c>
      <c r="DE523" s="6">
        <v>1</v>
      </c>
      <c r="DF523" s="5">
        <v>0</v>
      </c>
      <c r="DG523" s="6">
        <v>2.5</v>
      </c>
      <c r="DH523" s="5">
        <v>0</v>
      </c>
      <c r="DI523" s="8">
        <v>0</v>
      </c>
      <c r="DJ523" s="5">
        <v>0</v>
      </c>
      <c r="DK523" s="8">
        <v>0</v>
      </c>
      <c r="DL523" s="5">
        <f t="shared" si="1210"/>
        <v>0</v>
      </c>
      <c r="DM523" s="5" t="str">
        <f t="shared" si="1148"/>
        <v>1级圣盾龙</v>
      </c>
      <c r="DN523" s="5">
        <v>6</v>
      </c>
      <c r="DO523" s="5">
        <v>0</v>
      </c>
      <c r="DP523" s="5">
        <v>1</v>
      </c>
      <c r="DQ523" s="5">
        <v>1</v>
      </c>
      <c r="DR523" s="5">
        <v>2.5</v>
      </c>
      <c r="DS523" s="6">
        <v>3.5</v>
      </c>
      <c r="DT523" s="5">
        <v>-0.6</v>
      </c>
      <c r="DU523" s="5">
        <v>0.8</v>
      </c>
      <c r="DV523" s="6">
        <v>0.5</v>
      </c>
      <c r="DW523" s="5">
        <f t="shared" si="1160"/>
        <v>0.66666666666666663</v>
      </c>
      <c r="DX523" s="5">
        <v>8</v>
      </c>
      <c r="DY523" s="5">
        <f t="shared" si="1161"/>
        <v>0</v>
      </c>
      <c r="DZ523" s="5">
        <v>0</v>
      </c>
    </row>
    <row r="524" spans="1:130" x14ac:dyDescent="0.15">
      <c r="A524" s="5">
        <v>201522</v>
      </c>
      <c r="B524" s="28" t="s">
        <v>847</v>
      </c>
      <c r="C524" s="27">
        <v>25</v>
      </c>
      <c r="D524" s="27">
        <v>1</v>
      </c>
      <c r="E524" s="27">
        <v>3</v>
      </c>
      <c r="F524" s="5">
        <v>2</v>
      </c>
      <c r="G524" s="46">
        <f t="shared" si="1162"/>
        <v>0.23239999999999994</v>
      </c>
      <c r="H524" s="27"/>
      <c r="I524" s="27" t="s">
        <v>975</v>
      </c>
      <c r="J524" s="27"/>
      <c r="K524" s="5">
        <f t="shared" si="1190"/>
        <v>0.16</v>
      </c>
      <c r="L524" s="10">
        <f>L523</f>
        <v>3</v>
      </c>
      <c r="M524" s="5">
        <f t="shared" si="1191"/>
        <v>0.01</v>
      </c>
      <c r="N524" s="10">
        <v>0</v>
      </c>
      <c r="O524" s="5">
        <v>0</v>
      </c>
      <c r="P524" s="5">
        <f t="shared" si="1139"/>
        <v>0.2</v>
      </c>
      <c r="Q524" s="5">
        <v>2</v>
      </c>
      <c r="R524" s="5">
        <f t="shared" si="1163"/>
        <v>903932</v>
      </c>
      <c r="S524" s="5">
        <v>30</v>
      </c>
      <c r="T524" s="5">
        <v>10</v>
      </c>
      <c r="U524" s="5">
        <v>0.3</v>
      </c>
      <c r="V524" s="5">
        <v>0.15</v>
      </c>
      <c r="W524" s="5">
        <v>9</v>
      </c>
      <c r="X524" s="5">
        <v>-0.6</v>
      </c>
      <c r="Y524" s="5">
        <v>1.8</v>
      </c>
      <c r="Z524" s="27" t="s">
        <v>1044</v>
      </c>
      <c r="AA524" s="5">
        <v>3</v>
      </c>
      <c r="AB524" s="5">
        <v>2</v>
      </c>
      <c r="AC524" s="5">
        <v>6</v>
      </c>
      <c r="AD524" s="27" t="s">
        <v>1045</v>
      </c>
      <c r="AE524" s="20">
        <v>999</v>
      </c>
      <c r="AF524" s="5">
        <f t="shared" si="1164"/>
        <v>903948</v>
      </c>
      <c r="AG524" s="5">
        <v>60</v>
      </c>
      <c r="AH524" s="5">
        <f t="shared" si="1140"/>
        <v>0.1</v>
      </c>
      <c r="AI524" s="5">
        <v>2</v>
      </c>
      <c r="AJ524" s="5">
        <v>1</v>
      </c>
      <c r="AK524" s="5">
        <f t="shared" si="1165"/>
        <v>10</v>
      </c>
      <c r="AL524" s="5">
        <f t="shared" si="1141"/>
        <v>0</v>
      </c>
      <c r="AM524" s="5">
        <f t="shared" si="1142"/>
        <v>6</v>
      </c>
      <c r="AN524" s="8">
        <v>0</v>
      </c>
      <c r="AO524" s="5">
        <v>0</v>
      </c>
      <c r="AP524" s="28" t="s">
        <v>847</v>
      </c>
      <c r="AQ524" s="5">
        <v>0</v>
      </c>
      <c r="AR524" s="8">
        <v>6</v>
      </c>
      <c r="AS524" s="6">
        <f t="shared" si="1211"/>
        <v>36</v>
      </c>
      <c r="AT524" s="6">
        <f t="shared" si="1212"/>
        <v>42</v>
      </c>
      <c r="AU524" s="5">
        <v>0</v>
      </c>
      <c r="AV524" s="5">
        <v>0</v>
      </c>
      <c r="AW524" s="5">
        <v>0</v>
      </c>
      <c r="AX524" s="5">
        <v>1</v>
      </c>
      <c r="AY524" s="5">
        <v>0</v>
      </c>
      <c r="AZ524" s="5">
        <v>201522</v>
      </c>
      <c r="BA524" s="5">
        <f t="shared" si="1166"/>
        <v>203054</v>
      </c>
      <c r="BB524" s="5">
        <v>10</v>
      </c>
      <c r="BC524" s="5">
        <v>0</v>
      </c>
      <c r="BD524" s="5">
        <v>1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f t="shared" si="1204"/>
        <v>1</v>
      </c>
      <c r="BM524" s="5">
        <v>0</v>
      </c>
      <c r="BN524" s="5">
        <v>0</v>
      </c>
      <c r="BO524" s="5">
        <v>0</v>
      </c>
      <c r="BP524" s="5">
        <v>0</v>
      </c>
      <c r="BQ524" s="5"/>
      <c r="BR524" s="5"/>
      <c r="BS524" s="4">
        <v>0</v>
      </c>
      <c r="BT524" s="4">
        <f t="shared" si="1143"/>
        <v>2</v>
      </c>
      <c r="BU524" s="17">
        <v>112</v>
      </c>
      <c r="BV524" s="4">
        <f t="shared" ref="BV524:BY524" si="1221">BV514</f>
        <v>2</v>
      </c>
      <c r="BW524" s="4">
        <f t="shared" si="1221"/>
        <v>2</v>
      </c>
      <c r="BX524" s="4">
        <f t="shared" si="1221"/>
        <v>0.78</v>
      </c>
      <c r="BY524" s="4">
        <f t="shared" si="1221"/>
        <v>0.5</v>
      </c>
      <c r="BZ524" s="27" t="s">
        <v>1012</v>
      </c>
      <c r="CA524" s="30" t="str">
        <f t="shared" si="1168"/>
        <v>2</v>
      </c>
      <c r="CB524" s="30" t="s">
        <v>917</v>
      </c>
      <c r="CC524" s="5">
        <v>0</v>
      </c>
      <c r="CD524" s="8">
        <v>3</v>
      </c>
      <c r="CE524" s="5">
        <f t="shared" si="1145"/>
        <v>2</v>
      </c>
      <c r="CF524" s="5">
        <v>1</v>
      </c>
      <c r="CG524" s="27" t="str">
        <f t="shared" si="1151"/>
        <v>2级圣盾龙</v>
      </c>
      <c r="CH524" s="5">
        <v>0</v>
      </c>
      <c r="CI524" s="5">
        <v>0</v>
      </c>
      <c r="CJ524" s="4">
        <v>0</v>
      </c>
      <c r="CK524" s="20">
        <v>0</v>
      </c>
      <c r="CL524" s="5">
        <v>0</v>
      </c>
      <c r="CM524" s="20">
        <v>114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20">
        <v>2.5</v>
      </c>
      <c r="CW524" s="20">
        <v>3</v>
      </c>
      <c r="CX524" s="20">
        <v>2.5</v>
      </c>
      <c r="CY524" s="20">
        <v>3.5</v>
      </c>
      <c r="CZ524" s="8">
        <v>200</v>
      </c>
      <c r="DA524" s="6">
        <f t="shared" si="1158"/>
        <v>10000</v>
      </c>
      <c r="DB524" s="5">
        <v>1</v>
      </c>
      <c r="DC524" s="20">
        <f t="shared" si="1146"/>
        <v>1.5750000000000002</v>
      </c>
      <c r="DD524" s="6">
        <f t="shared" si="1159"/>
        <v>0.52500000000000002</v>
      </c>
      <c r="DE524" s="6">
        <v>1</v>
      </c>
      <c r="DF524" s="5">
        <v>0</v>
      </c>
      <c r="DG524" s="6">
        <v>2.5</v>
      </c>
      <c r="DH524" s="5">
        <v>0</v>
      </c>
      <c r="DI524" s="8">
        <v>0</v>
      </c>
      <c r="DJ524" s="5">
        <v>0</v>
      </c>
      <c r="DK524" s="8">
        <v>0</v>
      </c>
      <c r="DL524" s="5">
        <f t="shared" si="1210"/>
        <v>0</v>
      </c>
      <c r="DM524" s="5" t="str">
        <f t="shared" si="1148"/>
        <v>2级圣盾龙</v>
      </c>
      <c r="DN524" s="5">
        <v>6</v>
      </c>
      <c r="DO524" s="5">
        <v>0</v>
      </c>
      <c r="DP524" s="5">
        <v>1</v>
      </c>
      <c r="DQ524" s="5">
        <v>1</v>
      </c>
      <c r="DR524" s="5">
        <v>2.5</v>
      </c>
      <c r="DS524" s="6">
        <v>3.5</v>
      </c>
      <c r="DT524" s="5">
        <v>-0.6</v>
      </c>
      <c r="DU524" s="5">
        <v>0.8</v>
      </c>
      <c r="DV524" s="6">
        <v>0.5</v>
      </c>
      <c r="DW524" s="5">
        <f t="shared" si="1160"/>
        <v>0.66666666666666663</v>
      </c>
      <c r="DX524" s="5">
        <v>8</v>
      </c>
      <c r="DY524" s="5">
        <f t="shared" si="1161"/>
        <v>0</v>
      </c>
      <c r="DZ524" s="5">
        <v>0</v>
      </c>
    </row>
    <row r="525" spans="1:130" x14ac:dyDescent="0.15">
      <c r="A525" s="5">
        <v>201523</v>
      </c>
      <c r="B525" s="28" t="s">
        <v>848</v>
      </c>
      <c r="C525" s="27">
        <v>25</v>
      </c>
      <c r="D525" s="27">
        <v>1</v>
      </c>
      <c r="E525" s="27">
        <v>3</v>
      </c>
      <c r="F525" s="5">
        <v>2</v>
      </c>
      <c r="G525" s="46">
        <f t="shared" si="1162"/>
        <v>0.23239999999999994</v>
      </c>
      <c r="H525" s="27"/>
      <c r="I525" s="27" t="s">
        <v>975</v>
      </c>
      <c r="J525" s="27"/>
      <c r="K525" s="5">
        <f t="shared" si="1190"/>
        <v>0.16999999999999998</v>
      </c>
      <c r="L525" s="10">
        <f t="shared" ref="L525:L532" si="1222">L524</f>
        <v>3</v>
      </c>
      <c r="M525" s="5">
        <f t="shared" si="1191"/>
        <v>0.02</v>
      </c>
      <c r="N525" s="10">
        <v>0</v>
      </c>
      <c r="O525" s="5">
        <v>0</v>
      </c>
      <c r="P525" s="5">
        <f t="shared" si="1139"/>
        <v>0.2</v>
      </c>
      <c r="Q525" s="5">
        <v>2</v>
      </c>
      <c r="R525" s="5">
        <f t="shared" si="1163"/>
        <v>903932</v>
      </c>
      <c r="S525" s="5">
        <v>30</v>
      </c>
      <c r="T525" s="5">
        <v>10</v>
      </c>
      <c r="U525" s="5">
        <v>0.3</v>
      </c>
      <c r="V525" s="5">
        <v>0.15</v>
      </c>
      <c r="W525" s="5">
        <v>9</v>
      </c>
      <c r="X525" s="5">
        <v>-0.6</v>
      </c>
      <c r="Y525" s="5">
        <v>1.8</v>
      </c>
      <c r="Z525" s="27" t="s">
        <v>1044</v>
      </c>
      <c r="AA525" s="5">
        <v>3</v>
      </c>
      <c r="AB525" s="5">
        <v>2</v>
      </c>
      <c r="AC525" s="5">
        <v>6</v>
      </c>
      <c r="AD525" s="27" t="s">
        <v>1045</v>
      </c>
      <c r="AE525" s="20">
        <v>999</v>
      </c>
      <c r="AF525" s="5">
        <f t="shared" si="1164"/>
        <v>903948</v>
      </c>
      <c r="AG525" s="5">
        <v>60</v>
      </c>
      <c r="AH525" s="5">
        <f t="shared" si="1140"/>
        <v>0.1</v>
      </c>
      <c r="AI525" s="5">
        <v>2</v>
      </c>
      <c r="AJ525" s="5">
        <v>1</v>
      </c>
      <c r="AK525" s="5">
        <f t="shared" si="1165"/>
        <v>15</v>
      </c>
      <c r="AL525" s="5">
        <f t="shared" si="1141"/>
        <v>0</v>
      </c>
      <c r="AM525" s="5">
        <f t="shared" si="1142"/>
        <v>9</v>
      </c>
      <c r="AN525" s="8">
        <v>0</v>
      </c>
      <c r="AO525" s="5">
        <v>0</v>
      </c>
      <c r="AP525" s="28" t="s">
        <v>848</v>
      </c>
      <c r="AQ525" s="5">
        <v>0</v>
      </c>
      <c r="AR525" s="8">
        <v>6</v>
      </c>
      <c r="AS525" s="6">
        <f t="shared" si="1211"/>
        <v>54</v>
      </c>
      <c r="AT525" s="6">
        <f t="shared" si="1212"/>
        <v>63</v>
      </c>
      <c r="AU525" s="5">
        <v>0</v>
      </c>
      <c r="AV525" s="5">
        <v>0</v>
      </c>
      <c r="AW525" s="5">
        <v>0</v>
      </c>
      <c r="AX525" s="5">
        <v>1</v>
      </c>
      <c r="AY525" s="5">
        <v>0</v>
      </c>
      <c r="AZ525" s="5">
        <v>201523</v>
      </c>
      <c r="BA525" s="5">
        <f t="shared" si="1166"/>
        <v>203054</v>
      </c>
      <c r="BB525" s="5">
        <v>10</v>
      </c>
      <c r="BC525" s="5">
        <v>0</v>
      </c>
      <c r="BD525" s="5">
        <v>1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f t="shared" si="1204"/>
        <v>1</v>
      </c>
      <c r="BM525" s="5">
        <v>0</v>
      </c>
      <c r="BN525" s="5">
        <v>0</v>
      </c>
      <c r="BO525" s="5">
        <v>0</v>
      </c>
      <c r="BP525" s="5">
        <v>0</v>
      </c>
      <c r="BQ525" s="5"/>
      <c r="BR525" s="5"/>
      <c r="BS525" s="4">
        <v>0</v>
      </c>
      <c r="BT525" s="4">
        <f t="shared" si="1143"/>
        <v>3</v>
      </c>
      <c r="BU525" s="17">
        <v>113</v>
      </c>
      <c r="BV525" s="4">
        <f t="shared" ref="BV525:BY525" si="1223">BV515</f>
        <v>3</v>
      </c>
      <c r="BW525" s="4">
        <f t="shared" si="1223"/>
        <v>3</v>
      </c>
      <c r="BX525" s="4">
        <f t="shared" si="1223"/>
        <v>0.71</v>
      </c>
      <c r="BY525" s="4">
        <f t="shared" si="1223"/>
        <v>0.45000000000000007</v>
      </c>
      <c r="BZ525" s="27" t="s">
        <v>1012</v>
      </c>
      <c r="CA525" s="30" t="str">
        <f t="shared" si="1168"/>
        <v>3</v>
      </c>
      <c r="CB525" s="30" t="s">
        <v>917</v>
      </c>
      <c r="CC525" s="5">
        <v>0</v>
      </c>
      <c r="CD525" s="8">
        <v>3</v>
      </c>
      <c r="CE525" s="5">
        <f t="shared" si="1145"/>
        <v>3</v>
      </c>
      <c r="CF525" s="5">
        <v>1</v>
      </c>
      <c r="CG525" s="27" t="str">
        <f t="shared" si="1151"/>
        <v>3级圣盾龙</v>
      </c>
      <c r="CH525" s="5">
        <v>0</v>
      </c>
      <c r="CI525" s="5">
        <v>0</v>
      </c>
      <c r="CJ525" s="4">
        <v>0</v>
      </c>
      <c r="CK525" s="20">
        <v>0</v>
      </c>
      <c r="CL525" s="5">
        <v>0</v>
      </c>
      <c r="CM525" s="20">
        <v>114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20">
        <v>2.5</v>
      </c>
      <c r="CW525" s="20">
        <v>3</v>
      </c>
      <c r="CX525" s="20">
        <v>2.5</v>
      </c>
      <c r="CY525" s="20">
        <v>3.5</v>
      </c>
      <c r="CZ525" s="8">
        <v>200</v>
      </c>
      <c r="DA525" s="6">
        <f t="shared" si="1158"/>
        <v>15000</v>
      </c>
      <c r="DB525" s="5">
        <v>1</v>
      </c>
      <c r="DC525" s="20">
        <f t="shared" si="1146"/>
        <v>1.6500000000000001</v>
      </c>
      <c r="DD525" s="6">
        <f t="shared" si="1159"/>
        <v>0.55000000000000004</v>
      </c>
      <c r="DE525" s="6">
        <v>1</v>
      </c>
      <c r="DF525" s="5">
        <v>0</v>
      </c>
      <c r="DG525" s="6">
        <v>2.5</v>
      </c>
      <c r="DH525" s="5">
        <v>0</v>
      </c>
      <c r="DI525" s="8">
        <v>0</v>
      </c>
      <c r="DJ525" s="5">
        <v>0</v>
      </c>
      <c r="DK525" s="8">
        <v>0</v>
      </c>
      <c r="DL525" s="5">
        <f t="shared" si="1210"/>
        <v>0</v>
      </c>
      <c r="DM525" s="5" t="str">
        <f t="shared" si="1148"/>
        <v>3级圣盾龙</v>
      </c>
      <c r="DN525" s="5">
        <v>6</v>
      </c>
      <c r="DO525" s="5">
        <v>0</v>
      </c>
      <c r="DP525" s="5">
        <v>1</v>
      </c>
      <c r="DQ525" s="5">
        <v>1</v>
      </c>
      <c r="DR525" s="5">
        <v>2.5</v>
      </c>
      <c r="DS525" s="6">
        <v>3.5</v>
      </c>
      <c r="DT525" s="5">
        <v>-0.6</v>
      </c>
      <c r="DU525" s="5">
        <v>0.8</v>
      </c>
      <c r="DV525" s="6">
        <v>0.5</v>
      </c>
      <c r="DW525" s="5">
        <f t="shared" si="1160"/>
        <v>0.66666666666666663</v>
      </c>
      <c r="DX525" s="5">
        <v>8</v>
      </c>
      <c r="DY525" s="5">
        <f t="shared" si="1161"/>
        <v>0</v>
      </c>
      <c r="DZ525" s="5">
        <v>0</v>
      </c>
    </row>
    <row r="526" spans="1:130" x14ac:dyDescent="0.15">
      <c r="A526" s="5">
        <v>201524</v>
      </c>
      <c r="B526" s="28" t="s">
        <v>849</v>
      </c>
      <c r="C526" s="27">
        <v>25</v>
      </c>
      <c r="D526" s="27">
        <v>1</v>
      </c>
      <c r="E526" s="27">
        <v>3</v>
      </c>
      <c r="F526" s="5">
        <v>2</v>
      </c>
      <c r="G526" s="46">
        <f t="shared" si="1162"/>
        <v>0.23239999999999994</v>
      </c>
      <c r="H526" s="27"/>
      <c r="I526" s="27" t="s">
        <v>975</v>
      </c>
      <c r="J526" s="27"/>
      <c r="K526" s="5">
        <f t="shared" si="1190"/>
        <v>0.18</v>
      </c>
      <c r="L526" s="10">
        <f t="shared" si="1222"/>
        <v>3</v>
      </c>
      <c r="M526" s="5">
        <f t="shared" si="1191"/>
        <v>0.03</v>
      </c>
      <c r="N526" s="10">
        <v>0</v>
      </c>
      <c r="O526" s="5">
        <v>0</v>
      </c>
      <c r="P526" s="5">
        <f t="shared" si="1139"/>
        <v>0.2</v>
      </c>
      <c r="Q526" s="5">
        <v>2</v>
      </c>
      <c r="R526" s="5">
        <f t="shared" si="1163"/>
        <v>903932</v>
      </c>
      <c r="S526" s="5">
        <v>30</v>
      </c>
      <c r="T526" s="5">
        <v>10</v>
      </c>
      <c r="U526" s="5">
        <v>0.3</v>
      </c>
      <c r="V526" s="5">
        <v>0.15</v>
      </c>
      <c r="W526" s="5">
        <v>9</v>
      </c>
      <c r="X526" s="5">
        <v>-0.6</v>
      </c>
      <c r="Y526" s="5">
        <v>1.8</v>
      </c>
      <c r="Z526" s="27" t="s">
        <v>1044</v>
      </c>
      <c r="AA526" s="5">
        <v>3</v>
      </c>
      <c r="AB526" s="5">
        <v>2</v>
      </c>
      <c r="AC526" s="5">
        <v>6</v>
      </c>
      <c r="AD526" s="27" t="s">
        <v>1045</v>
      </c>
      <c r="AE526" s="20">
        <v>999</v>
      </c>
      <c r="AF526" s="5">
        <f t="shared" si="1164"/>
        <v>903948</v>
      </c>
      <c r="AG526" s="5">
        <v>60</v>
      </c>
      <c r="AH526" s="5">
        <f t="shared" si="1140"/>
        <v>0.1</v>
      </c>
      <c r="AI526" s="5">
        <v>2</v>
      </c>
      <c r="AJ526" s="5">
        <v>1</v>
      </c>
      <c r="AK526" s="5">
        <f t="shared" si="1165"/>
        <v>20</v>
      </c>
      <c r="AL526" s="5">
        <f t="shared" si="1141"/>
        <v>0</v>
      </c>
      <c r="AM526" s="5">
        <f t="shared" si="1142"/>
        <v>12</v>
      </c>
      <c r="AN526" s="8">
        <v>0</v>
      </c>
      <c r="AO526" s="5">
        <v>0</v>
      </c>
      <c r="AP526" s="28" t="s">
        <v>849</v>
      </c>
      <c r="AQ526" s="5">
        <v>0</v>
      </c>
      <c r="AR526" s="8">
        <v>6</v>
      </c>
      <c r="AS526" s="6">
        <f t="shared" si="1211"/>
        <v>72</v>
      </c>
      <c r="AT526" s="6">
        <f t="shared" si="1212"/>
        <v>84</v>
      </c>
      <c r="AU526" s="5">
        <v>0</v>
      </c>
      <c r="AV526" s="5">
        <v>0</v>
      </c>
      <c r="AW526" s="5">
        <v>0</v>
      </c>
      <c r="AX526" s="5">
        <v>1</v>
      </c>
      <c r="AY526" s="5">
        <v>0</v>
      </c>
      <c r="AZ526" s="5">
        <v>201524</v>
      </c>
      <c r="BA526" s="5">
        <f t="shared" si="1166"/>
        <v>203054</v>
      </c>
      <c r="BB526" s="5">
        <v>10</v>
      </c>
      <c r="BC526" s="5">
        <v>0</v>
      </c>
      <c r="BD526" s="5">
        <v>1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f t="shared" si="1204"/>
        <v>1</v>
      </c>
      <c r="BM526" s="5">
        <v>0</v>
      </c>
      <c r="BN526" s="5">
        <v>0</v>
      </c>
      <c r="BO526" s="5">
        <v>0</v>
      </c>
      <c r="BP526" s="5">
        <v>0</v>
      </c>
      <c r="BQ526" s="5"/>
      <c r="BR526" s="5"/>
      <c r="BS526" s="4">
        <v>0</v>
      </c>
      <c r="BT526" s="4">
        <f t="shared" si="1143"/>
        <v>4</v>
      </c>
      <c r="BU526" s="17">
        <v>114</v>
      </c>
      <c r="BV526" s="4">
        <f t="shared" ref="BV526:BY526" si="1224">BV516</f>
        <v>4</v>
      </c>
      <c r="BW526" s="4">
        <f t="shared" si="1224"/>
        <v>4</v>
      </c>
      <c r="BX526" s="4">
        <f t="shared" si="1224"/>
        <v>0.6399999999999999</v>
      </c>
      <c r="BY526" s="4">
        <f t="shared" si="1224"/>
        <v>0.4</v>
      </c>
      <c r="BZ526" s="27" t="s">
        <v>1012</v>
      </c>
      <c r="CA526" s="30" t="str">
        <f t="shared" si="1168"/>
        <v>4</v>
      </c>
      <c r="CB526" s="30" t="s">
        <v>917</v>
      </c>
      <c r="CC526" s="5">
        <v>0</v>
      </c>
      <c r="CD526" s="8">
        <v>3</v>
      </c>
      <c r="CE526" s="5">
        <f t="shared" si="1145"/>
        <v>4</v>
      </c>
      <c r="CF526" s="5">
        <v>1</v>
      </c>
      <c r="CG526" s="27" t="str">
        <f t="shared" si="1151"/>
        <v>4级圣盾龙</v>
      </c>
      <c r="CH526" s="5">
        <v>0</v>
      </c>
      <c r="CI526" s="5">
        <v>0</v>
      </c>
      <c r="CJ526" s="4">
        <v>0</v>
      </c>
      <c r="CK526" s="20">
        <v>0</v>
      </c>
      <c r="CL526" s="5">
        <v>0</v>
      </c>
      <c r="CM526" s="20">
        <v>114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20">
        <v>2.5</v>
      </c>
      <c r="CW526" s="20">
        <v>3</v>
      </c>
      <c r="CX526" s="20">
        <v>2.5</v>
      </c>
      <c r="CY526" s="20">
        <v>3.5</v>
      </c>
      <c r="CZ526" s="8">
        <v>200</v>
      </c>
      <c r="DA526" s="6">
        <f t="shared" si="1158"/>
        <v>20000</v>
      </c>
      <c r="DB526" s="5">
        <v>1</v>
      </c>
      <c r="DC526" s="20">
        <f t="shared" si="1146"/>
        <v>1.7249999999999999</v>
      </c>
      <c r="DD526" s="6">
        <f t="shared" si="1159"/>
        <v>0.57499999999999996</v>
      </c>
      <c r="DE526" s="6">
        <v>1</v>
      </c>
      <c r="DF526" s="5">
        <v>0</v>
      </c>
      <c r="DG526" s="6">
        <v>2.5</v>
      </c>
      <c r="DH526" s="5">
        <v>0</v>
      </c>
      <c r="DI526" s="8">
        <v>0</v>
      </c>
      <c r="DJ526" s="5">
        <v>0</v>
      </c>
      <c r="DK526" s="8">
        <v>0</v>
      </c>
      <c r="DL526" s="5">
        <f t="shared" si="1210"/>
        <v>0</v>
      </c>
      <c r="DM526" s="5" t="str">
        <f t="shared" si="1148"/>
        <v>4级圣盾龙</v>
      </c>
      <c r="DN526" s="5">
        <v>6</v>
      </c>
      <c r="DO526" s="5">
        <v>0</v>
      </c>
      <c r="DP526" s="5">
        <v>1</v>
      </c>
      <c r="DQ526" s="5">
        <v>1</v>
      </c>
      <c r="DR526" s="5">
        <v>2.5</v>
      </c>
      <c r="DS526" s="6">
        <v>3.5</v>
      </c>
      <c r="DT526" s="5">
        <v>-0.6</v>
      </c>
      <c r="DU526" s="5">
        <v>0.8</v>
      </c>
      <c r="DV526" s="6">
        <v>0.5</v>
      </c>
      <c r="DW526" s="5">
        <f t="shared" si="1160"/>
        <v>0.66666666666666663</v>
      </c>
      <c r="DX526" s="5">
        <v>8</v>
      </c>
      <c r="DY526" s="5">
        <f t="shared" si="1161"/>
        <v>0</v>
      </c>
      <c r="DZ526" s="5">
        <v>0</v>
      </c>
    </row>
    <row r="527" spans="1:130" x14ac:dyDescent="0.15">
      <c r="A527" s="5">
        <v>201525</v>
      </c>
      <c r="B527" s="28" t="s">
        <v>850</v>
      </c>
      <c r="C527" s="27">
        <v>25</v>
      </c>
      <c r="D527" s="27">
        <v>1</v>
      </c>
      <c r="E527" s="27">
        <v>3</v>
      </c>
      <c r="F527" s="5">
        <v>2</v>
      </c>
      <c r="G527" s="46">
        <f t="shared" si="1162"/>
        <v>0.23239999999999994</v>
      </c>
      <c r="H527" s="27"/>
      <c r="I527" s="27" t="s">
        <v>975</v>
      </c>
      <c r="J527" s="27"/>
      <c r="K527" s="5">
        <f t="shared" si="1190"/>
        <v>0.19</v>
      </c>
      <c r="L527" s="10">
        <f t="shared" si="1222"/>
        <v>3</v>
      </c>
      <c r="M527" s="5">
        <f t="shared" si="1191"/>
        <v>0.04</v>
      </c>
      <c r="N527" s="10">
        <v>0</v>
      </c>
      <c r="O527" s="5">
        <v>0</v>
      </c>
      <c r="P527" s="5">
        <f t="shared" si="1139"/>
        <v>0.2</v>
      </c>
      <c r="Q527" s="5">
        <v>2</v>
      </c>
      <c r="R527" s="5">
        <f t="shared" si="1163"/>
        <v>903932</v>
      </c>
      <c r="S527" s="5">
        <v>30</v>
      </c>
      <c r="T527" s="5">
        <v>10</v>
      </c>
      <c r="U527" s="5">
        <v>0.3</v>
      </c>
      <c r="V527" s="5">
        <v>0.15</v>
      </c>
      <c r="W527" s="5">
        <v>9</v>
      </c>
      <c r="X527" s="5">
        <v>-0.6</v>
      </c>
      <c r="Y527" s="5">
        <v>1.8</v>
      </c>
      <c r="Z527" s="27" t="s">
        <v>1044</v>
      </c>
      <c r="AA527" s="5">
        <v>3</v>
      </c>
      <c r="AB527" s="5">
        <v>2</v>
      </c>
      <c r="AC527" s="5">
        <v>6</v>
      </c>
      <c r="AD527" s="27" t="s">
        <v>1045</v>
      </c>
      <c r="AE527" s="20">
        <v>999</v>
      </c>
      <c r="AF527" s="5">
        <f t="shared" si="1164"/>
        <v>903948</v>
      </c>
      <c r="AG527" s="5">
        <v>60</v>
      </c>
      <c r="AH527" s="5">
        <f t="shared" si="1140"/>
        <v>0.1</v>
      </c>
      <c r="AI527" s="5">
        <v>2</v>
      </c>
      <c r="AJ527" s="5">
        <v>1</v>
      </c>
      <c r="AK527" s="5">
        <f t="shared" si="1165"/>
        <v>25</v>
      </c>
      <c r="AL527" s="5">
        <f t="shared" si="1141"/>
        <v>0</v>
      </c>
      <c r="AM527" s="5">
        <f t="shared" si="1142"/>
        <v>15</v>
      </c>
      <c r="AN527" s="8">
        <v>0</v>
      </c>
      <c r="AO527" s="5">
        <v>0</v>
      </c>
      <c r="AP527" s="28" t="s">
        <v>850</v>
      </c>
      <c r="AQ527" s="5">
        <v>0</v>
      </c>
      <c r="AR527" s="8">
        <v>6</v>
      </c>
      <c r="AS527" s="6">
        <f t="shared" si="1211"/>
        <v>90</v>
      </c>
      <c r="AT527" s="6">
        <f t="shared" si="1212"/>
        <v>105</v>
      </c>
      <c r="AU527" s="5">
        <v>0</v>
      </c>
      <c r="AV527" s="5">
        <v>0</v>
      </c>
      <c r="AW527" s="5">
        <v>0</v>
      </c>
      <c r="AX527" s="5">
        <v>1</v>
      </c>
      <c r="AY527" s="5">
        <v>0</v>
      </c>
      <c r="AZ527" s="5">
        <v>201525</v>
      </c>
      <c r="BA527" s="5">
        <f t="shared" si="1166"/>
        <v>203054</v>
      </c>
      <c r="BB527" s="5">
        <v>10</v>
      </c>
      <c r="BC527" s="5">
        <v>0</v>
      </c>
      <c r="BD527" s="5">
        <v>1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f t="shared" si="1204"/>
        <v>1</v>
      </c>
      <c r="BM527" s="5">
        <v>0</v>
      </c>
      <c r="BN527" s="5">
        <v>0</v>
      </c>
      <c r="BO527" s="5">
        <v>0</v>
      </c>
      <c r="BP527" s="5">
        <v>0</v>
      </c>
      <c r="BQ527" s="5"/>
      <c r="BR527" s="5"/>
      <c r="BS527" s="4">
        <v>0</v>
      </c>
      <c r="BT527" s="4">
        <f t="shared" si="1143"/>
        <v>5</v>
      </c>
      <c r="BU527" s="17">
        <v>115</v>
      </c>
      <c r="BV527" s="4">
        <f t="shared" ref="BV527:BY527" si="1225">BV517</f>
        <v>5</v>
      </c>
      <c r="BW527" s="4">
        <f t="shared" si="1225"/>
        <v>5</v>
      </c>
      <c r="BX527" s="4">
        <f t="shared" si="1225"/>
        <v>0.56999999999999995</v>
      </c>
      <c r="BY527" s="4">
        <f t="shared" si="1225"/>
        <v>0.35000000000000003</v>
      </c>
      <c r="BZ527" s="27" t="s">
        <v>1012</v>
      </c>
      <c r="CA527" s="30" t="str">
        <f t="shared" si="1168"/>
        <v>5</v>
      </c>
      <c r="CB527" s="30" t="s">
        <v>917</v>
      </c>
      <c r="CC527" s="5">
        <v>0</v>
      </c>
      <c r="CD527" s="8">
        <v>3</v>
      </c>
      <c r="CE527" s="5">
        <f t="shared" si="1145"/>
        <v>5</v>
      </c>
      <c r="CF527" s="5">
        <v>1</v>
      </c>
      <c r="CG527" s="27" t="str">
        <f t="shared" si="1151"/>
        <v>5级圣盾龙</v>
      </c>
      <c r="CH527" s="5">
        <v>0</v>
      </c>
      <c r="CI527" s="5">
        <v>0</v>
      </c>
      <c r="CJ527" s="4">
        <v>0</v>
      </c>
      <c r="CK527" s="20">
        <v>0</v>
      </c>
      <c r="CL527" s="5">
        <v>0</v>
      </c>
      <c r="CM527" s="20">
        <v>114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20">
        <v>2.5</v>
      </c>
      <c r="CW527" s="20">
        <v>3</v>
      </c>
      <c r="CX527" s="20">
        <v>2.5</v>
      </c>
      <c r="CY527" s="20">
        <v>3.5</v>
      </c>
      <c r="CZ527" s="8">
        <v>200</v>
      </c>
      <c r="DA527" s="6">
        <f t="shared" si="1158"/>
        <v>25000</v>
      </c>
      <c r="DB527" s="5">
        <v>1</v>
      </c>
      <c r="DC527" s="20">
        <f t="shared" si="1146"/>
        <v>1.7999999999999998</v>
      </c>
      <c r="DD527" s="6">
        <f t="shared" si="1159"/>
        <v>0.6</v>
      </c>
      <c r="DE527" s="6">
        <v>1</v>
      </c>
      <c r="DF527" s="5">
        <v>0</v>
      </c>
      <c r="DG527" s="6">
        <v>2.5</v>
      </c>
      <c r="DH527" s="5">
        <v>0</v>
      </c>
      <c r="DI527" s="8">
        <v>0</v>
      </c>
      <c r="DJ527" s="5">
        <v>0</v>
      </c>
      <c r="DK527" s="8">
        <v>0</v>
      </c>
      <c r="DL527" s="5">
        <f t="shared" si="1210"/>
        <v>0</v>
      </c>
      <c r="DM527" s="5" t="str">
        <f t="shared" si="1148"/>
        <v>5级圣盾龙</v>
      </c>
      <c r="DN527" s="5">
        <v>6</v>
      </c>
      <c r="DO527" s="5">
        <v>0</v>
      </c>
      <c r="DP527" s="5">
        <v>1</v>
      </c>
      <c r="DQ527" s="5">
        <v>1</v>
      </c>
      <c r="DR527" s="5">
        <v>2.5</v>
      </c>
      <c r="DS527" s="6">
        <v>3.5</v>
      </c>
      <c r="DT527" s="5">
        <v>-0.6</v>
      </c>
      <c r="DU527" s="5">
        <v>0.8</v>
      </c>
      <c r="DV527" s="6">
        <v>0.5</v>
      </c>
      <c r="DW527" s="5">
        <f t="shared" si="1160"/>
        <v>0.66666666666666663</v>
      </c>
      <c r="DX527" s="5">
        <v>8</v>
      </c>
      <c r="DY527" s="5">
        <f t="shared" si="1161"/>
        <v>0</v>
      </c>
      <c r="DZ527" s="5">
        <v>0</v>
      </c>
    </row>
    <row r="528" spans="1:130" x14ac:dyDescent="0.15">
      <c r="A528" s="5">
        <v>201526</v>
      </c>
      <c r="B528" s="28" t="s">
        <v>851</v>
      </c>
      <c r="C528" s="27">
        <v>25</v>
      </c>
      <c r="D528" s="27">
        <v>1</v>
      </c>
      <c r="E528" s="27">
        <v>3</v>
      </c>
      <c r="F528" s="5">
        <v>2</v>
      </c>
      <c r="G528" s="46">
        <f t="shared" si="1162"/>
        <v>0.23239999999999994</v>
      </c>
      <c r="H528" s="27"/>
      <c r="I528" s="27" t="s">
        <v>975</v>
      </c>
      <c r="J528" s="27"/>
      <c r="K528" s="5">
        <f t="shared" si="1190"/>
        <v>0.2</v>
      </c>
      <c r="L528" s="10">
        <f t="shared" si="1222"/>
        <v>3</v>
      </c>
      <c r="M528" s="5">
        <f t="shared" si="1191"/>
        <v>0.05</v>
      </c>
      <c r="N528" s="10">
        <v>0</v>
      </c>
      <c r="O528" s="5">
        <v>0</v>
      </c>
      <c r="P528" s="5">
        <f t="shared" si="1139"/>
        <v>0.2</v>
      </c>
      <c r="Q528" s="5">
        <v>2</v>
      </c>
      <c r="R528" s="5">
        <f t="shared" si="1163"/>
        <v>903932</v>
      </c>
      <c r="S528" s="5">
        <v>30</v>
      </c>
      <c r="T528" s="5">
        <v>10</v>
      </c>
      <c r="U528" s="5">
        <v>0.3</v>
      </c>
      <c r="V528" s="5">
        <v>0.15</v>
      </c>
      <c r="W528" s="5">
        <v>9</v>
      </c>
      <c r="X528" s="5">
        <v>-0.6</v>
      </c>
      <c r="Y528" s="5">
        <v>1.8</v>
      </c>
      <c r="Z528" s="27" t="s">
        <v>1044</v>
      </c>
      <c r="AA528" s="5">
        <v>3</v>
      </c>
      <c r="AB528" s="5">
        <v>2</v>
      </c>
      <c r="AC528" s="5">
        <v>6</v>
      </c>
      <c r="AD528" s="27" t="s">
        <v>1045</v>
      </c>
      <c r="AE528" s="20">
        <v>999</v>
      </c>
      <c r="AF528" s="5">
        <f t="shared" si="1164"/>
        <v>903948</v>
      </c>
      <c r="AG528" s="5">
        <v>60</v>
      </c>
      <c r="AH528" s="5">
        <f t="shared" si="1140"/>
        <v>0.1</v>
      </c>
      <c r="AI528" s="5">
        <v>2</v>
      </c>
      <c r="AJ528" s="5">
        <v>1</v>
      </c>
      <c r="AK528" s="5">
        <f t="shared" si="1165"/>
        <v>30</v>
      </c>
      <c r="AL528" s="5">
        <f t="shared" si="1141"/>
        <v>0</v>
      </c>
      <c r="AM528" s="5">
        <f t="shared" si="1142"/>
        <v>18</v>
      </c>
      <c r="AN528" s="8">
        <v>0</v>
      </c>
      <c r="AO528" s="5">
        <v>0</v>
      </c>
      <c r="AP528" s="28" t="s">
        <v>851</v>
      </c>
      <c r="AQ528" s="5">
        <v>0</v>
      </c>
      <c r="AR528" s="8">
        <v>6</v>
      </c>
      <c r="AS528" s="6">
        <f t="shared" si="1211"/>
        <v>108</v>
      </c>
      <c r="AT528" s="6">
        <f t="shared" si="1212"/>
        <v>126</v>
      </c>
      <c r="AU528" s="5">
        <v>0</v>
      </c>
      <c r="AV528" s="5">
        <v>0</v>
      </c>
      <c r="AW528" s="5">
        <v>0</v>
      </c>
      <c r="AX528" s="5">
        <v>1</v>
      </c>
      <c r="AY528" s="5">
        <v>0</v>
      </c>
      <c r="AZ528" s="5">
        <v>201526</v>
      </c>
      <c r="BA528" s="5">
        <f t="shared" si="1166"/>
        <v>203054</v>
      </c>
      <c r="BB528" s="5">
        <v>10</v>
      </c>
      <c r="BC528" s="5">
        <v>0</v>
      </c>
      <c r="BD528" s="5">
        <v>1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f t="shared" si="1204"/>
        <v>1</v>
      </c>
      <c r="BM528" s="5">
        <v>0</v>
      </c>
      <c r="BN528" s="5">
        <v>0</v>
      </c>
      <c r="BO528" s="5">
        <v>0</v>
      </c>
      <c r="BP528" s="5">
        <v>0</v>
      </c>
      <c r="BQ528" s="5"/>
      <c r="BR528" s="5"/>
      <c r="BS528" s="4">
        <v>0</v>
      </c>
      <c r="BT528" s="4">
        <f t="shared" si="1143"/>
        <v>6</v>
      </c>
      <c r="BU528" s="17">
        <v>116</v>
      </c>
      <c r="BV528" s="4">
        <f t="shared" ref="BV528:BY528" si="1226">BV518</f>
        <v>6</v>
      </c>
      <c r="BW528" s="4">
        <f t="shared" si="1226"/>
        <v>6</v>
      </c>
      <c r="BX528" s="4">
        <f t="shared" si="1226"/>
        <v>0.49999999999999994</v>
      </c>
      <c r="BY528" s="4">
        <f t="shared" si="1226"/>
        <v>0.30000000000000004</v>
      </c>
      <c r="BZ528" s="27" t="s">
        <v>1012</v>
      </c>
      <c r="CA528" s="30" t="str">
        <f t="shared" si="1168"/>
        <v>6</v>
      </c>
      <c r="CB528" s="30" t="s">
        <v>917</v>
      </c>
      <c r="CC528" s="5">
        <v>0</v>
      </c>
      <c r="CD528" s="8">
        <v>3</v>
      </c>
      <c r="CE528" s="5">
        <f t="shared" si="1145"/>
        <v>6</v>
      </c>
      <c r="CF528" s="5">
        <v>1</v>
      </c>
      <c r="CG528" s="27" t="str">
        <f t="shared" si="1151"/>
        <v>6级圣盾龙</v>
      </c>
      <c r="CH528" s="5">
        <v>0</v>
      </c>
      <c r="CI528" s="5">
        <v>0</v>
      </c>
      <c r="CJ528" s="4">
        <v>0</v>
      </c>
      <c r="CK528" s="20">
        <v>0</v>
      </c>
      <c r="CL528" s="5">
        <v>0</v>
      </c>
      <c r="CM528" s="20">
        <v>114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20">
        <v>2.5</v>
      </c>
      <c r="CW528" s="20">
        <v>3</v>
      </c>
      <c r="CX528" s="20">
        <v>2.5</v>
      </c>
      <c r="CY528" s="20">
        <v>3.5</v>
      </c>
      <c r="CZ528" s="8">
        <v>200</v>
      </c>
      <c r="DA528" s="6">
        <f t="shared" si="1158"/>
        <v>30000</v>
      </c>
      <c r="DB528" s="5">
        <v>1</v>
      </c>
      <c r="DC528" s="20">
        <f t="shared" si="1146"/>
        <v>1.875</v>
      </c>
      <c r="DD528" s="6">
        <f t="shared" si="1159"/>
        <v>0.625</v>
      </c>
      <c r="DE528" s="6">
        <v>1</v>
      </c>
      <c r="DF528" s="5">
        <v>0</v>
      </c>
      <c r="DG528" s="6">
        <v>2.5</v>
      </c>
      <c r="DH528" s="5">
        <v>0</v>
      </c>
      <c r="DI528" s="8">
        <v>0</v>
      </c>
      <c r="DJ528" s="5">
        <v>0</v>
      </c>
      <c r="DK528" s="8">
        <v>0</v>
      </c>
      <c r="DL528" s="5">
        <f t="shared" si="1210"/>
        <v>0</v>
      </c>
      <c r="DM528" s="5" t="str">
        <f t="shared" si="1148"/>
        <v>6级圣盾龙</v>
      </c>
      <c r="DN528" s="5">
        <v>6</v>
      </c>
      <c r="DO528" s="5">
        <v>0</v>
      </c>
      <c r="DP528" s="5">
        <v>1</v>
      </c>
      <c r="DQ528" s="5">
        <v>1</v>
      </c>
      <c r="DR528" s="5">
        <v>2.5</v>
      </c>
      <c r="DS528" s="6">
        <v>3.5</v>
      </c>
      <c r="DT528" s="5">
        <v>-0.6</v>
      </c>
      <c r="DU528" s="5">
        <v>0.8</v>
      </c>
      <c r="DV528" s="6">
        <v>0.5</v>
      </c>
      <c r="DW528" s="5">
        <f t="shared" si="1160"/>
        <v>0.66666666666666663</v>
      </c>
      <c r="DX528" s="5">
        <v>8</v>
      </c>
      <c r="DY528" s="5">
        <f t="shared" si="1161"/>
        <v>0</v>
      </c>
      <c r="DZ528" s="5">
        <v>0</v>
      </c>
    </row>
    <row r="529" spans="1:130" x14ac:dyDescent="0.15">
      <c r="A529" s="5">
        <v>201527</v>
      </c>
      <c r="B529" s="28" t="s">
        <v>852</v>
      </c>
      <c r="C529" s="27">
        <v>25</v>
      </c>
      <c r="D529" s="27">
        <v>1</v>
      </c>
      <c r="E529" s="27">
        <v>3</v>
      </c>
      <c r="F529" s="5">
        <v>2</v>
      </c>
      <c r="G529" s="46">
        <f t="shared" si="1162"/>
        <v>0.23239999999999994</v>
      </c>
      <c r="H529" s="27"/>
      <c r="I529" s="27" t="s">
        <v>975</v>
      </c>
      <c r="J529" s="27"/>
      <c r="K529" s="5">
        <f t="shared" si="1190"/>
        <v>0.21</v>
      </c>
      <c r="L529" s="10">
        <f t="shared" si="1222"/>
        <v>3</v>
      </c>
      <c r="M529" s="5">
        <f t="shared" si="1191"/>
        <v>0.06</v>
      </c>
      <c r="N529" s="10">
        <v>0</v>
      </c>
      <c r="O529" s="5">
        <v>0</v>
      </c>
      <c r="P529" s="5">
        <f t="shared" si="1139"/>
        <v>0.2</v>
      </c>
      <c r="Q529" s="5">
        <v>2</v>
      </c>
      <c r="R529" s="5">
        <f t="shared" si="1163"/>
        <v>903932</v>
      </c>
      <c r="S529" s="5">
        <v>30</v>
      </c>
      <c r="T529" s="5">
        <v>10</v>
      </c>
      <c r="U529" s="5">
        <v>0.3</v>
      </c>
      <c r="V529" s="5">
        <v>0.15</v>
      </c>
      <c r="W529" s="5">
        <v>9</v>
      </c>
      <c r="X529" s="5">
        <v>-0.6</v>
      </c>
      <c r="Y529" s="5">
        <v>1.8</v>
      </c>
      <c r="Z529" s="27" t="s">
        <v>1044</v>
      </c>
      <c r="AA529" s="5">
        <v>3</v>
      </c>
      <c r="AB529" s="5">
        <v>2</v>
      </c>
      <c r="AC529" s="5">
        <v>6</v>
      </c>
      <c r="AD529" s="27" t="s">
        <v>1045</v>
      </c>
      <c r="AE529" s="20">
        <v>999</v>
      </c>
      <c r="AF529" s="5">
        <f t="shared" si="1164"/>
        <v>903948</v>
      </c>
      <c r="AG529" s="5">
        <v>60</v>
      </c>
      <c r="AH529" s="5">
        <f t="shared" si="1140"/>
        <v>0.1</v>
      </c>
      <c r="AI529" s="5">
        <v>2</v>
      </c>
      <c r="AJ529" s="5">
        <v>1</v>
      </c>
      <c r="AK529" s="5">
        <f t="shared" si="1165"/>
        <v>35</v>
      </c>
      <c r="AL529" s="5">
        <f t="shared" si="1141"/>
        <v>0</v>
      </c>
      <c r="AM529" s="5">
        <f t="shared" si="1142"/>
        <v>21</v>
      </c>
      <c r="AN529" s="8">
        <v>0</v>
      </c>
      <c r="AO529" s="5">
        <v>0</v>
      </c>
      <c r="AP529" s="28" t="s">
        <v>852</v>
      </c>
      <c r="AQ529" s="5">
        <v>0</v>
      </c>
      <c r="AR529" s="8">
        <v>6</v>
      </c>
      <c r="AS529" s="6">
        <f t="shared" si="1211"/>
        <v>126</v>
      </c>
      <c r="AT529" s="6">
        <f t="shared" si="1212"/>
        <v>147</v>
      </c>
      <c r="AU529" s="5">
        <v>0</v>
      </c>
      <c r="AV529" s="5">
        <v>0</v>
      </c>
      <c r="AW529" s="5">
        <v>0</v>
      </c>
      <c r="AX529" s="5">
        <v>1</v>
      </c>
      <c r="AY529" s="5">
        <v>0</v>
      </c>
      <c r="AZ529" s="5">
        <v>201527</v>
      </c>
      <c r="BA529" s="5">
        <f t="shared" si="1166"/>
        <v>203054</v>
      </c>
      <c r="BB529" s="5">
        <v>10</v>
      </c>
      <c r="BC529" s="5">
        <v>0</v>
      </c>
      <c r="BD529" s="5">
        <v>1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f t="shared" si="1204"/>
        <v>1</v>
      </c>
      <c r="BM529" s="5">
        <v>0</v>
      </c>
      <c r="BN529" s="5">
        <v>0</v>
      </c>
      <c r="BO529" s="5">
        <v>0</v>
      </c>
      <c r="BP529" s="5">
        <v>0</v>
      </c>
      <c r="BQ529" s="5"/>
      <c r="BR529" s="5"/>
      <c r="BS529" s="4">
        <v>0</v>
      </c>
      <c r="BT529" s="4">
        <f t="shared" si="1143"/>
        <v>7</v>
      </c>
      <c r="BU529" s="17">
        <v>117</v>
      </c>
      <c r="BV529" s="4">
        <f t="shared" ref="BV529:BY529" si="1227">BV519</f>
        <v>7</v>
      </c>
      <c r="BW529" s="4">
        <f t="shared" si="1227"/>
        <v>7</v>
      </c>
      <c r="BX529" s="4">
        <f t="shared" si="1227"/>
        <v>0.42999999999999994</v>
      </c>
      <c r="BY529" s="4">
        <f t="shared" si="1227"/>
        <v>0.25</v>
      </c>
      <c r="BZ529" s="27" t="s">
        <v>1012</v>
      </c>
      <c r="CA529" s="30" t="str">
        <f t="shared" si="1168"/>
        <v>7</v>
      </c>
      <c r="CB529" s="30" t="s">
        <v>917</v>
      </c>
      <c r="CC529" s="5">
        <v>0</v>
      </c>
      <c r="CD529" s="8">
        <v>3</v>
      </c>
      <c r="CE529" s="5">
        <f t="shared" si="1145"/>
        <v>7</v>
      </c>
      <c r="CF529" s="5">
        <v>1</v>
      </c>
      <c r="CG529" s="27" t="str">
        <f t="shared" si="1151"/>
        <v>7级圣盾龙</v>
      </c>
      <c r="CH529" s="5">
        <v>0</v>
      </c>
      <c r="CI529" s="5">
        <v>0</v>
      </c>
      <c r="CJ529" s="4">
        <v>0</v>
      </c>
      <c r="CK529" s="20">
        <v>0</v>
      </c>
      <c r="CL529" s="5">
        <v>0</v>
      </c>
      <c r="CM529" s="20">
        <v>114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20">
        <v>2.5</v>
      </c>
      <c r="CW529" s="20">
        <v>3</v>
      </c>
      <c r="CX529" s="20">
        <v>2.5</v>
      </c>
      <c r="CY529" s="20">
        <v>3.5</v>
      </c>
      <c r="CZ529" s="8">
        <v>200</v>
      </c>
      <c r="DA529" s="6">
        <f t="shared" si="1158"/>
        <v>35000</v>
      </c>
      <c r="DB529" s="5">
        <v>1</v>
      </c>
      <c r="DC529" s="20">
        <f t="shared" si="1146"/>
        <v>1.9500000000000002</v>
      </c>
      <c r="DD529" s="6">
        <f t="shared" si="1159"/>
        <v>0.65</v>
      </c>
      <c r="DE529" s="6">
        <v>1</v>
      </c>
      <c r="DF529" s="5">
        <v>0</v>
      </c>
      <c r="DG529" s="6">
        <v>2.5</v>
      </c>
      <c r="DH529" s="5">
        <v>0</v>
      </c>
      <c r="DI529" s="8">
        <v>0</v>
      </c>
      <c r="DJ529" s="5">
        <v>0</v>
      </c>
      <c r="DK529" s="8">
        <v>0</v>
      </c>
      <c r="DL529" s="5">
        <f t="shared" si="1210"/>
        <v>0</v>
      </c>
      <c r="DM529" s="5" t="str">
        <f t="shared" si="1148"/>
        <v>7级圣盾龙</v>
      </c>
      <c r="DN529" s="5">
        <v>6</v>
      </c>
      <c r="DO529" s="5">
        <v>0</v>
      </c>
      <c r="DP529" s="5">
        <v>1</v>
      </c>
      <c r="DQ529" s="5">
        <v>1</v>
      </c>
      <c r="DR529" s="5">
        <v>2.5</v>
      </c>
      <c r="DS529" s="6">
        <v>3.5</v>
      </c>
      <c r="DT529" s="5">
        <v>-0.6</v>
      </c>
      <c r="DU529" s="5">
        <v>0.8</v>
      </c>
      <c r="DV529" s="6">
        <v>0.5</v>
      </c>
      <c r="DW529" s="5">
        <f t="shared" si="1160"/>
        <v>0.66666666666666663</v>
      </c>
      <c r="DX529" s="5">
        <v>8</v>
      </c>
      <c r="DY529" s="5">
        <f t="shared" si="1161"/>
        <v>0</v>
      </c>
      <c r="DZ529" s="5">
        <v>0</v>
      </c>
    </row>
    <row r="530" spans="1:130" x14ac:dyDescent="0.15">
      <c r="A530" s="5">
        <v>201528</v>
      </c>
      <c r="B530" s="28" t="s">
        <v>853</v>
      </c>
      <c r="C530" s="27">
        <v>25</v>
      </c>
      <c r="D530" s="27">
        <v>1</v>
      </c>
      <c r="E530" s="27">
        <v>3</v>
      </c>
      <c r="F530" s="5">
        <v>2</v>
      </c>
      <c r="G530" s="46">
        <f t="shared" si="1162"/>
        <v>0.23239999999999994</v>
      </c>
      <c r="H530" s="27"/>
      <c r="I530" s="27" t="s">
        <v>975</v>
      </c>
      <c r="J530" s="27"/>
      <c r="K530" s="5">
        <f t="shared" si="1190"/>
        <v>0.22</v>
      </c>
      <c r="L530" s="10">
        <f t="shared" si="1222"/>
        <v>3</v>
      </c>
      <c r="M530" s="5">
        <f t="shared" si="1191"/>
        <v>7.0000000000000007E-2</v>
      </c>
      <c r="N530" s="10">
        <v>0</v>
      </c>
      <c r="O530" s="5">
        <v>0</v>
      </c>
      <c r="P530" s="5">
        <f t="shared" si="1139"/>
        <v>0.2</v>
      </c>
      <c r="Q530" s="5">
        <v>2</v>
      </c>
      <c r="R530" s="5">
        <f t="shared" si="1163"/>
        <v>903932</v>
      </c>
      <c r="S530" s="5">
        <v>30</v>
      </c>
      <c r="T530" s="5">
        <v>10</v>
      </c>
      <c r="U530" s="5">
        <v>0.3</v>
      </c>
      <c r="V530" s="5">
        <v>0.15</v>
      </c>
      <c r="W530" s="5">
        <v>9</v>
      </c>
      <c r="X530" s="5">
        <v>-0.6</v>
      </c>
      <c r="Y530" s="5">
        <v>1.8</v>
      </c>
      <c r="Z530" s="27" t="s">
        <v>1044</v>
      </c>
      <c r="AA530" s="5">
        <v>3</v>
      </c>
      <c r="AB530" s="5">
        <v>2</v>
      </c>
      <c r="AC530" s="5">
        <v>6</v>
      </c>
      <c r="AD530" s="27" t="s">
        <v>1045</v>
      </c>
      <c r="AE530" s="20">
        <v>999</v>
      </c>
      <c r="AF530" s="5">
        <f t="shared" si="1164"/>
        <v>903948</v>
      </c>
      <c r="AG530" s="5">
        <v>60</v>
      </c>
      <c r="AH530" s="5">
        <f t="shared" si="1140"/>
        <v>0.1</v>
      </c>
      <c r="AI530" s="5">
        <v>2</v>
      </c>
      <c r="AJ530" s="5">
        <v>1</v>
      </c>
      <c r="AK530" s="5">
        <f t="shared" si="1165"/>
        <v>40</v>
      </c>
      <c r="AL530" s="5">
        <f t="shared" si="1141"/>
        <v>0</v>
      </c>
      <c r="AM530" s="5">
        <f t="shared" si="1142"/>
        <v>24</v>
      </c>
      <c r="AN530" s="8">
        <v>0</v>
      </c>
      <c r="AO530" s="5">
        <v>0</v>
      </c>
      <c r="AP530" s="28" t="s">
        <v>853</v>
      </c>
      <c r="AQ530" s="5">
        <v>0</v>
      </c>
      <c r="AR530" s="8">
        <v>6</v>
      </c>
      <c r="AS530" s="6">
        <f t="shared" si="1211"/>
        <v>144</v>
      </c>
      <c r="AT530" s="6">
        <f t="shared" si="1212"/>
        <v>168</v>
      </c>
      <c r="AU530" s="5">
        <v>0</v>
      </c>
      <c r="AV530" s="5">
        <v>0</v>
      </c>
      <c r="AW530" s="5">
        <v>0</v>
      </c>
      <c r="AX530" s="5">
        <v>1</v>
      </c>
      <c r="AY530" s="5">
        <v>0</v>
      </c>
      <c r="AZ530" s="5">
        <v>201528</v>
      </c>
      <c r="BA530" s="5">
        <f t="shared" si="1166"/>
        <v>203054</v>
      </c>
      <c r="BB530" s="5">
        <v>10</v>
      </c>
      <c r="BC530" s="5">
        <v>0</v>
      </c>
      <c r="BD530" s="5">
        <v>1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f t="shared" si="1204"/>
        <v>1</v>
      </c>
      <c r="BM530" s="5">
        <v>0</v>
      </c>
      <c r="BN530" s="5">
        <v>0</v>
      </c>
      <c r="BO530" s="5">
        <v>0</v>
      </c>
      <c r="BP530" s="5">
        <v>0</v>
      </c>
      <c r="BQ530" s="5"/>
      <c r="BR530" s="5"/>
      <c r="BS530" s="4">
        <v>0</v>
      </c>
      <c r="BT530" s="4">
        <f t="shared" si="1143"/>
        <v>8</v>
      </c>
      <c r="BU530" s="17">
        <v>118</v>
      </c>
      <c r="BV530" s="4">
        <f t="shared" ref="BV530:BY530" si="1228">BV520</f>
        <v>8</v>
      </c>
      <c r="BW530" s="4">
        <f t="shared" si="1228"/>
        <v>8</v>
      </c>
      <c r="BX530" s="4">
        <f t="shared" si="1228"/>
        <v>0.35999999999999993</v>
      </c>
      <c r="BY530" s="4">
        <f t="shared" si="1228"/>
        <v>0.2</v>
      </c>
      <c r="BZ530" s="27" t="s">
        <v>1012</v>
      </c>
      <c r="CA530" s="30" t="str">
        <f t="shared" si="1168"/>
        <v>8</v>
      </c>
      <c r="CB530" s="30" t="s">
        <v>917</v>
      </c>
      <c r="CC530" s="5">
        <v>0</v>
      </c>
      <c r="CD530" s="8">
        <v>3</v>
      </c>
      <c r="CE530" s="5">
        <f t="shared" si="1145"/>
        <v>8</v>
      </c>
      <c r="CF530" s="5">
        <v>1</v>
      </c>
      <c r="CG530" s="27" t="str">
        <f t="shared" si="1151"/>
        <v>8级圣盾龙</v>
      </c>
      <c r="CH530" s="5">
        <v>0</v>
      </c>
      <c r="CI530" s="5">
        <v>0</v>
      </c>
      <c r="CJ530" s="4">
        <v>0</v>
      </c>
      <c r="CK530" s="20">
        <v>0</v>
      </c>
      <c r="CL530" s="5">
        <v>0</v>
      </c>
      <c r="CM530" s="20">
        <v>114</v>
      </c>
      <c r="CN530" s="5">
        <v>0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20">
        <v>2.5</v>
      </c>
      <c r="CW530" s="20">
        <v>3</v>
      </c>
      <c r="CX530" s="20">
        <v>2.5</v>
      </c>
      <c r="CY530" s="20">
        <v>3.5</v>
      </c>
      <c r="CZ530" s="8">
        <v>200</v>
      </c>
      <c r="DA530" s="6">
        <f t="shared" si="1158"/>
        <v>40000</v>
      </c>
      <c r="DB530" s="5">
        <v>1</v>
      </c>
      <c r="DC530" s="20">
        <f t="shared" si="1146"/>
        <v>2.0250000000000004</v>
      </c>
      <c r="DD530" s="6">
        <f t="shared" si="1159"/>
        <v>0.67500000000000004</v>
      </c>
      <c r="DE530" s="6">
        <v>1</v>
      </c>
      <c r="DF530" s="5">
        <v>0</v>
      </c>
      <c r="DG530" s="6">
        <v>2.5</v>
      </c>
      <c r="DH530" s="5">
        <v>0</v>
      </c>
      <c r="DI530" s="8">
        <v>0</v>
      </c>
      <c r="DJ530" s="5">
        <v>0</v>
      </c>
      <c r="DK530" s="8">
        <v>0</v>
      </c>
      <c r="DL530" s="5">
        <f t="shared" si="1210"/>
        <v>0</v>
      </c>
      <c r="DM530" s="5" t="str">
        <f t="shared" si="1148"/>
        <v>8级圣盾龙</v>
      </c>
      <c r="DN530" s="5">
        <v>6</v>
      </c>
      <c r="DO530" s="5">
        <v>0</v>
      </c>
      <c r="DP530" s="5">
        <v>1</v>
      </c>
      <c r="DQ530" s="5">
        <v>1</v>
      </c>
      <c r="DR530" s="5">
        <v>2.5</v>
      </c>
      <c r="DS530" s="6">
        <v>3.5</v>
      </c>
      <c r="DT530" s="5">
        <v>-0.6</v>
      </c>
      <c r="DU530" s="5">
        <v>0.8</v>
      </c>
      <c r="DV530" s="6">
        <v>0.5</v>
      </c>
      <c r="DW530" s="5">
        <f t="shared" si="1160"/>
        <v>0.66666666666666663</v>
      </c>
      <c r="DX530" s="5">
        <v>8</v>
      </c>
      <c r="DY530" s="5">
        <f t="shared" si="1161"/>
        <v>0</v>
      </c>
      <c r="DZ530" s="5">
        <v>0</v>
      </c>
    </row>
    <row r="531" spans="1:130" x14ac:dyDescent="0.15">
      <c r="A531" s="5">
        <v>201529</v>
      </c>
      <c r="B531" s="28" t="s">
        <v>854</v>
      </c>
      <c r="C531" s="27">
        <v>25</v>
      </c>
      <c r="D531" s="27">
        <v>1</v>
      </c>
      <c r="E531" s="27">
        <v>3</v>
      </c>
      <c r="F531" s="5">
        <v>2</v>
      </c>
      <c r="G531" s="46">
        <f t="shared" si="1162"/>
        <v>0.23239999999999994</v>
      </c>
      <c r="H531" s="27"/>
      <c r="I531" s="27" t="s">
        <v>975</v>
      </c>
      <c r="J531" s="27"/>
      <c r="K531" s="5">
        <f t="shared" ref="K531:K562" si="1229">L531*5/100 + 0.01*(BT531-1)</f>
        <v>0.22999999999999998</v>
      </c>
      <c r="L531" s="10">
        <f t="shared" si="1222"/>
        <v>3</v>
      </c>
      <c r="M531" s="5">
        <f t="shared" ref="M531:M562" si="1230">N531*5/100 + 0.01*(BT531-1)</f>
        <v>0.08</v>
      </c>
      <c r="N531" s="10">
        <v>0</v>
      </c>
      <c r="O531" s="5">
        <v>0</v>
      </c>
      <c r="P531" s="5">
        <f t="shared" si="1139"/>
        <v>0.2</v>
      </c>
      <c r="Q531" s="5">
        <v>2</v>
      </c>
      <c r="R531" s="5">
        <f t="shared" si="1163"/>
        <v>903932</v>
      </c>
      <c r="S531" s="5">
        <v>30</v>
      </c>
      <c r="T531" s="5">
        <v>10</v>
      </c>
      <c r="U531" s="5">
        <v>0.3</v>
      </c>
      <c r="V531" s="5">
        <v>0.15</v>
      </c>
      <c r="W531" s="5">
        <v>9</v>
      </c>
      <c r="X531" s="5">
        <v>-0.6</v>
      </c>
      <c r="Y531" s="5">
        <v>1.8</v>
      </c>
      <c r="Z531" s="27" t="s">
        <v>1044</v>
      </c>
      <c r="AA531" s="5">
        <v>3</v>
      </c>
      <c r="AB531" s="5">
        <v>2</v>
      </c>
      <c r="AC531" s="5">
        <v>6</v>
      </c>
      <c r="AD531" s="27" t="s">
        <v>1045</v>
      </c>
      <c r="AE531" s="20">
        <v>999</v>
      </c>
      <c r="AF531" s="5">
        <f t="shared" si="1164"/>
        <v>903948</v>
      </c>
      <c r="AG531" s="5">
        <v>60</v>
      </c>
      <c r="AH531" s="5">
        <f t="shared" si="1140"/>
        <v>0.1</v>
      </c>
      <c r="AI531" s="5">
        <v>2</v>
      </c>
      <c r="AJ531" s="5">
        <v>1</v>
      </c>
      <c r="AK531" s="5">
        <f t="shared" si="1165"/>
        <v>45</v>
      </c>
      <c r="AL531" s="5">
        <f t="shared" si="1141"/>
        <v>0</v>
      </c>
      <c r="AM531" s="5">
        <f t="shared" si="1142"/>
        <v>27</v>
      </c>
      <c r="AN531" s="8">
        <v>0</v>
      </c>
      <c r="AO531" s="5">
        <v>0</v>
      </c>
      <c r="AP531" s="28" t="s">
        <v>854</v>
      </c>
      <c r="AQ531" s="5">
        <v>0</v>
      </c>
      <c r="AR531" s="8">
        <v>6</v>
      </c>
      <c r="AS531" s="6">
        <f t="shared" si="1211"/>
        <v>162</v>
      </c>
      <c r="AT531" s="6">
        <f t="shared" si="1212"/>
        <v>189</v>
      </c>
      <c r="AU531" s="5">
        <v>0</v>
      </c>
      <c r="AV531" s="5">
        <v>0</v>
      </c>
      <c r="AW531" s="5">
        <v>0</v>
      </c>
      <c r="AX531" s="5">
        <v>1</v>
      </c>
      <c r="AY531" s="5">
        <v>0</v>
      </c>
      <c r="AZ531" s="5">
        <v>201529</v>
      </c>
      <c r="BA531" s="5">
        <f t="shared" si="1166"/>
        <v>203054</v>
      </c>
      <c r="BB531" s="5">
        <v>10</v>
      </c>
      <c r="BC531" s="5">
        <v>0</v>
      </c>
      <c r="BD531" s="5">
        <v>1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f t="shared" si="1204"/>
        <v>1</v>
      </c>
      <c r="BM531" s="5">
        <v>0</v>
      </c>
      <c r="BN531" s="5">
        <v>0</v>
      </c>
      <c r="BO531" s="5">
        <v>0</v>
      </c>
      <c r="BP531" s="5">
        <v>0</v>
      </c>
      <c r="BQ531" s="5"/>
      <c r="BR531" s="5"/>
      <c r="BS531" s="4">
        <v>0</v>
      </c>
      <c r="BT531" s="4">
        <f t="shared" si="1143"/>
        <v>9</v>
      </c>
      <c r="BU531" s="17">
        <v>119</v>
      </c>
      <c r="BV531" s="4">
        <f t="shared" ref="BV531:BY531" si="1231">BV521</f>
        <v>9</v>
      </c>
      <c r="BW531" s="4">
        <f t="shared" si="1231"/>
        <v>9</v>
      </c>
      <c r="BX531" s="4">
        <f t="shared" si="1231"/>
        <v>0.28999999999999992</v>
      </c>
      <c r="BY531" s="4">
        <f t="shared" si="1231"/>
        <v>0.15000000000000002</v>
      </c>
      <c r="BZ531" s="27" t="s">
        <v>1012</v>
      </c>
      <c r="CA531" s="30" t="str">
        <f t="shared" si="1168"/>
        <v>9</v>
      </c>
      <c r="CB531" s="30" t="s">
        <v>917</v>
      </c>
      <c r="CC531" s="5">
        <v>0</v>
      </c>
      <c r="CD531" s="8">
        <v>3</v>
      </c>
      <c r="CE531" s="5">
        <f t="shared" si="1145"/>
        <v>9</v>
      </c>
      <c r="CF531" s="5">
        <v>1</v>
      </c>
      <c r="CG531" s="27" t="str">
        <f t="shared" si="1151"/>
        <v>9级圣盾龙</v>
      </c>
      <c r="CH531" s="5">
        <v>0</v>
      </c>
      <c r="CI531" s="5">
        <v>0</v>
      </c>
      <c r="CJ531" s="4">
        <v>0</v>
      </c>
      <c r="CK531" s="20">
        <v>0</v>
      </c>
      <c r="CL531" s="5">
        <v>0</v>
      </c>
      <c r="CM531" s="20">
        <v>114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20">
        <v>2.5</v>
      </c>
      <c r="CW531" s="20">
        <v>3</v>
      </c>
      <c r="CX531" s="20">
        <v>2.5</v>
      </c>
      <c r="CY531" s="20">
        <v>3.5</v>
      </c>
      <c r="CZ531" s="8">
        <v>200</v>
      </c>
      <c r="DA531" s="6">
        <f t="shared" si="1158"/>
        <v>45000</v>
      </c>
      <c r="DB531" s="5">
        <v>1</v>
      </c>
      <c r="DC531" s="20">
        <f t="shared" si="1146"/>
        <v>2.0999999999999996</v>
      </c>
      <c r="DD531" s="6">
        <f t="shared" si="1159"/>
        <v>0.7</v>
      </c>
      <c r="DE531" s="6">
        <v>1</v>
      </c>
      <c r="DF531" s="5">
        <v>0</v>
      </c>
      <c r="DG531" s="6">
        <v>2.5</v>
      </c>
      <c r="DH531" s="5">
        <v>0</v>
      </c>
      <c r="DI531" s="8">
        <v>0</v>
      </c>
      <c r="DJ531" s="5">
        <v>0</v>
      </c>
      <c r="DK531" s="8">
        <v>0</v>
      </c>
      <c r="DL531" s="5">
        <f t="shared" si="1210"/>
        <v>0</v>
      </c>
      <c r="DM531" s="5" t="str">
        <f t="shared" si="1148"/>
        <v>9级圣盾龙</v>
      </c>
      <c r="DN531" s="5">
        <v>6</v>
      </c>
      <c r="DO531" s="5">
        <v>0</v>
      </c>
      <c r="DP531" s="5">
        <v>1</v>
      </c>
      <c r="DQ531" s="5">
        <v>1</v>
      </c>
      <c r="DR531" s="5">
        <v>2.5</v>
      </c>
      <c r="DS531" s="6">
        <v>3.5</v>
      </c>
      <c r="DT531" s="5">
        <v>-0.6</v>
      </c>
      <c r="DU531" s="5">
        <v>0.8</v>
      </c>
      <c r="DV531" s="6">
        <v>0.5</v>
      </c>
      <c r="DW531" s="5">
        <f t="shared" si="1160"/>
        <v>0.66666666666666663</v>
      </c>
      <c r="DX531" s="5">
        <v>8</v>
      </c>
      <c r="DY531" s="5">
        <f t="shared" si="1161"/>
        <v>0</v>
      </c>
      <c r="DZ531" s="5">
        <v>0</v>
      </c>
    </row>
    <row r="532" spans="1:130" x14ac:dyDescent="0.15">
      <c r="A532" s="5">
        <v>201530</v>
      </c>
      <c r="B532" s="28" t="s">
        <v>855</v>
      </c>
      <c r="C532" s="27">
        <v>25</v>
      </c>
      <c r="D532" s="27">
        <v>1</v>
      </c>
      <c r="E532" s="27">
        <v>3</v>
      </c>
      <c r="F532" s="5">
        <v>2</v>
      </c>
      <c r="G532" s="46">
        <f t="shared" si="1162"/>
        <v>0.23239999999999994</v>
      </c>
      <c r="H532" s="27"/>
      <c r="I532" s="27" t="s">
        <v>975</v>
      </c>
      <c r="J532" s="27"/>
      <c r="K532" s="5">
        <f t="shared" si="1229"/>
        <v>0.24</v>
      </c>
      <c r="L532" s="10">
        <f t="shared" si="1222"/>
        <v>3</v>
      </c>
      <c r="M532" s="5">
        <f t="shared" si="1230"/>
        <v>0.09</v>
      </c>
      <c r="N532" s="10">
        <v>0</v>
      </c>
      <c r="O532" s="5">
        <v>0</v>
      </c>
      <c r="P532" s="5">
        <f t="shared" ref="P532:P562" si="1232">Q532/10</f>
        <v>0.2</v>
      </c>
      <c r="Q532" s="5">
        <v>2</v>
      </c>
      <c r="R532" s="5">
        <f t="shared" si="1163"/>
        <v>903932</v>
      </c>
      <c r="S532" s="5">
        <v>30</v>
      </c>
      <c r="T532" s="5">
        <v>10</v>
      </c>
      <c r="U532" s="5">
        <v>0.3</v>
      </c>
      <c r="V532" s="5">
        <v>0.15</v>
      </c>
      <c r="W532" s="5">
        <v>9</v>
      </c>
      <c r="X532" s="5">
        <v>-0.6</v>
      </c>
      <c r="Y532" s="5">
        <v>1.8</v>
      </c>
      <c r="Z532" s="27" t="s">
        <v>1044</v>
      </c>
      <c r="AA532" s="5">
        <v>3</v>
      </c>
      <c r="AB532" s="5">
        <v>2</v>
      </c>
      <c r="AC532" s="5">
        <v>6</v>
      </c>
      <c r="AD532" s="27" t="s">
        <v>1045</v>
      </c>
      <c r="AE532" s="20">
        <v>999</v>
      </c>
      <c r="AF532" s="5">
        <f t="shared" si="1164"/>
        <v>903948</v>
      </c>
      <c r="AG532" s="5">
        <v>60</v>
      </c>
      <c r="AH532" s="5">
        <f t="shared" ref="AH532:AH562" si="1233">0.1*AJ532</f>
        <v>0.1</v>
      </c>
      <c r="AI532" s="5">
        <v>2</v>
      </c>
      <c r="AJ532" s="5">
        <v>1</v>
      </c>
      <c r="AK532" s="5">
        <f t="shared" si="1165"/>
        <v>50</v>
      </c>
      <c r="AL532" s="5">
        <f t="shared" ref="AL532:AL562" si="1234">AN532*3*BV532</f>
        <v>0</v>
      </c>
      <c r="AM532" s="5">
        <f t="shared" ref="AM532:AM562" si="1235">(AN532+1)*3*BV532</f>
        <v>30</v>
      </c>
      <c r="AN532" s="8">
        <v>0</v>
      </c>
      <c r="AO532" s="5">
        <v>0</v>
      </c>
      <c r="AP532" s="28" t="s">
        <v>855</v>
      </c>
      <c r="AQ532" s="5">
        <v>0</v>
      </c>
      <c r="AR532" s="8">
        <v>6</v>
      </c>
      <c r="AS532" s="6">
        <f t="shared" si="1211"/>
        <v>180</v>
      </c>
      <c r="AT532" s="6">
        <f t="shared" si="1212"/>
        <v>210</v>
      </c>
      <c r="AU532" s="5">
        <v>0</v>
      </c>
      <c r="AV532" s="5">
        <v>0</v>
      </c>
      <c r="AW532" s="5">
        <v>0</v>
      </c>
      <c r="AX532" s="5">
        <v>1</v>
      </c>
      <c r="AY532" s="5">
        <v>0</v>
      </c>
      <c r="AZ532" s="5">
        <v>201530</v>
      </c>
      <c r="BA532" s="5">
        <f t="shared" si="1166"/>
        <v>203054</v>
      </c>
      <c r="BB532" s="5">
        <v>10</v>
      </c>
      <c r="BC532" s="5">
        <v>0</v>
      </c>
      <c r="BD532" s="5">
        <v>1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f t="shared" si="1204"/>
        <v>1</v>
      </c>
      <c r="BM532" s="5">
        <v>0</v>
      </c>
      <c r="BN532" s="5">
        <v>0</v>
      </c>
      <c r="BO532" s="5">
        <v>0</v>
      </c>
      <c r="BP532" s="5">
        <v>0</v>
      </c>
      <c r="BQ532" s="5"/>
      <c r="BR532" s="5"/>
      <c r="BS532" s="4">
        <v>0</v>
      </c>
      <c r="BT532" s="4">
        <f t="shared" ref="BT532:BT582" si="1236">BT522</f>
        <v>10</v>
      </c>
      <c r="BU532" s="17">
        <v>120</v>
      </c>
      <c r="BV532" s="4">
        <f t="shared" ref="BV532:BY532" si="1237">BV522</f>
        <v>10</v>
      </c>
      <c r="BW532" s="4">
        <f t="shared" si="1237"/>
        <v>10</v>
      </c>
      <c r="BX532" s="4">
        <f t="shared" si="1237"/>
        <v>0.21999999999999986</v>
      </c>
      <c r="BY532" s="4">
        <f t="shared" si="1237"/>
        <v>0.10000000000000003</v>
      </c>
      <c r="BZ532" s="27" t="s">
        <v>1012</v>
      </c>
      <c r="CA532" s="30" t="str">
        <f t="shared" si="1168"/>
        <v>10</v>
      </c>
      <c r="CB532" s="30" t="s">
        <v>917</v>
      </c>
      <c r="CC532" s="5">
        <v>0</v>
      </c>
      <c r="CD532" s="8">
        <v>3</v>
      </c>
      <c r="CE532" s="5">
        <f t="shared" ref="CE532:CE562" si="1238">CF532*BT532</f>
        <v>10</v>
      </c>
      <c r="CF532" s="5">
        <v>1</v>
      </c>
      <c r="CG532" s="27" t="str">
        <f t="shared" si="1151"/>
        <v>10级圣盾龙</v>
      </c>
      <c r="CH532" s="5">
        <v>0</v>
      </c>
      <c r="CI532" s="5">
        <v>0</v>
      </c>
      <c r="CJ532" s="4">
        <v>0</v>
      </c>
      <c r="CK532" s="20">
        <v>0</v>
      </c>
      <c r="CL532" s="5">
        <v>0</v>
      </c>
      <c r="CM532" s="20">
        <v>114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20">
        <v>2.5</v>
      </c>
      <c r="CW532" s="20">
        <v>3</v>
      </c>
      <c r="CX532" s="20">
        <v>2.5</v>
      </c>
      <c r="CY532" s="20">
        <v>3.5</v>
      </c>
      <c r="CZ532" s="8">
        <v>200</v>
      </c>
      <c r="DA532" s="6">
        <f t="shared" si="1158"/>
        <v>50000</v>
      </c>
      <c r="DB532" s="5">
        <v>1</v>
      </c>
      <c r="DC532" s="20">
        <f t="shared" ref="DC532:DC562" si="1239">DD532*3</f>
        <v>2.1749999999999998</v>
      </c>
      <c r="DD532" s="6">
        <f t="shared" si="1159"/>
        <v>0.72499999999999998</v>
      </c>
      <c r="DE532" s="6">
        <v>1</v>
      </c>
      <c r="DF532" s="5">
        <v>0</v>
      </c>
      <c r="DG532" s="6">
        <v>2.5</v>
      </c>
      <c r="DH532" s="5">
        <v>0</v>
      </c>
      <c r="DI532" s="8">
        <v>0</v>
      </c>
      <c r="DJ532" s="5">
        <v>0</v>
      </c>
      <c r="DK532" s="8">
        <v>0</v>
      </c>
      <c r="DL532" s="5">
        <f t="shared" si="1210"/>
        <v>0</v>
      </c>
      <c r="DM532" s="5" t="str">
        <f t="shared" si="1148"/>
        <v>10级圣盾龙</v>
      </c>
      <c r="DN532" s="5">
        <v>6</v>
      </c>
      <c r="DO532" s="5">
        <v>0</v>
      </c>
      <c r="DP532" s="5">
        <v>1</v>
      </c>
      <c r="DQ532" s="5">
        <v>1</v>
      </c>
      <c r="DR532" s="5">
        <v>2.5</v>
      </c>
      <c r="DS532" s="6">
        <v>3.5</v>
      </c>
      <c r="DT532" s="5">
        <v>-0.6</v>
      </c>
      <c r="DU532" s="5">
        <v>0.8</v>
      </c>
      <c r="DV532" s="6">
        <v>0.5</v>
      </c>
      <c r="DW532" s="5">
        <f t="shared" si="1160"/>
        <v>0.66666666666666663</v>
      </c>
      <c r="DX532" s="5">
        <v>8</v>
      </c>
      <c r="DY532" s="5">
        <f t="shared" si="1161"/>
        <v>0</v>
      </c>
      <c r="DZ532" s="5">
        <v>0</v>
      </c>
    </row>
    <row r="533" spans="1:130" x14ac:dyDescent="0.15">
      <c r="A533" s="6">
        <v>201531</v>
      </c>
      <c r="B533" s="28" t="s">
        <v>856</v>
      </c>
      <c r="C533" s="28">
        <v>25</v>
      </c>
      <c r="D533" s="28">
        <v>1</v>
      </c>
      <c r="E533" s="28">
        <v>3</v>
      </c>
      <c r="F533" s="6">
        <v>2</v>
      </c>
      <c r="G533" s="46">
        <f t="shared" si="1162"/>
        <v>0.29049999999999992</v>
      </c>
      <c r="H533" s="28"/>
      <c r="I533" s="28" t="s">
        <v>975</v>
      </c>
      <c r="J533" s="28"/>
      <c r="K533" s="5">
        <f t="shared" si="1229"/>
        <v>0</v>
      </c>
      <c r="L533" s="10">
        <v>0</v>
      </c>
      <c r="M533" s="5">
        <f t="shared" si="1230"/>
        <v>0.15</v>
      </c>
      <c r="N533" s="10">
        <v>3</v>
      </c>
      <c r="O533" s="5">
        <v>0</v>
      </c>
      <c r="P533" s="5">
        <f t="shared" si="1232"/>
        <v>0.3</v>
      </c>
      <c r="Q533" s="5">
        <v>3</v>
      </c>
      <c r="R533" s="5">
        <f t="shared" si="1163"/>
        <v>903933</v>
      </c>
      <c r="S533" s="5">
        <v>30</v>
      </c>
      <c r="T533" s="5">
        <v>10</v>
      </c>
      <c r="U533" s="5">
        <v>0.3</v>
      </c>
      <c r="V533" s="5">
        <v>0.15</v>
      </c>
      <c r="W533" s="5">
        <v>9</v>
      </c>
      <c r="X533" s="5">
        <v>-0.6</v>
      </c>
      <c r="Y533" s="5">
        <v>1.8</v>
      </c>
      <c r="Z533" s="27" t="s">
        <v>1046</v>
      </c>
      <c r="AA533" s="5">
        <v>3</v>
      </c>
      <c r="AB533" s="5">
        <v>2</v>
      </c>
      <c r="AC533" s="5">
        <v>6</v>
      </c>
      <c r="AD533" s="27" t="s">
        <v>1047</v>
      </c>
      <c r="AE533" s="20">
        <v>127</v>
      </c>
      <c r="AF533" s="5">
        <f t="shared" si="1164"/>
        <v>903949</v>
      </c>
      <c r="AG533" s="5">
        <v>60</v>
      </c>
      <c r="AH533" s="5">
        <f t="shared" si="1233"/>
        <v>0.1</v>
      </c>
      <c r="AI533" s="5">
        <v>2</v>
      </c>
      <c r="AJ533" s="5">
        <v>1</v>
      </c>
      <c r="AK533" s="5">
        <f t="shared" si="1165"/>
        <v>5</v>
      </c>
      <c r="AL533" s="5">
        <f t="shared" si="1234"/>
        <v>9</v>
      </c>
      <c r="AM533" s="5">
        <f t="shared" si="1235"/>
        <v>12</v>
      </c>
      <c r="AN533" s="8">
        <v>3</v>
      </c>
      <c r="AO533" s="5">
        <v>1</v>
      </c>
      <c r="AP533" s="28" t="s">
        <v>856</v>
      </c>
      <c r="AQ533" s="5">
        <v>0</v>
      </c>
      <c r="AR533" s="8">
        <v>0</v>
      </c>
      <c r="AS533" s="6">
        <f t="shared" si="1211"/>
        <v>0</v>
      </c>
      <c r="AT533" s="6">
        <f t="shared" si="1212"/>
        <v>3</v>
      </c>
      <c r="AU533" s="5">
        <v>0</v>
      </c>
      <c r="AV533" s="5">
        <v>0</v>
      </c>
      <c r="AW533" s="5">
        <v>0</v>
      </c>
      <c r="AX533" s="5">
        <v>1</v>
      </c>
      <c r="AY533" s="5">
        <v>0</v>
      </c>
      <c r="AZ533" s="5">
        <v>201531</v>
      </c>
      <c r="BA533" s="5">
        <f t="shared" si="1166"/>
        <v>203055</v>
      </c>
      <c r="BB533" s="5">
        <v>10</v>
      </c>
      <c r="BC533" s="5">
        <v>0</v>
      </c>
      <c r="BD533" s="5">
        <v>1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f t="shared" si="1204"/>
        <v>1</v>
      </c>
      <c r="BM533" s="5">
        <v>0</v>
      </c>
      <c r="BN533" s="5">
        <v>0</v>
      </c>
      <c r="BO533" s="5">
        <v>0</v>
      </c>
      <c r="BP533" s="5">
        <v>0</v>
      </c>
      <c r="BQ533" s="5"/>
      <c r="BR533" s="5"/>
      <c r="BS533" s="4">
        <v>0</v>
      </c>
      <c r="BT533" s="4">
        <f t="shared" si="1236"/>
        <v>1</v>
      </c>
      <c r="BU533" s="17">
        <v>121</v>
      </c>
      <c r="BV533" s="4">
        <f t="shared" ref="BV533:BY533" si="1240">BV523</f>
        <v>1</v>
      </c>
      <c r="BW533" s="4">
        <f t="shared" si="1240"/>
        <v>1</v>
      </c>
      <c r="BX533" s="4">
        <f t="shared" si="1240"/>
        <v>0.85</v>
      </c>
      <c r="BY533" s="4">
        <f t="shared" si="1240"/>
        <v>0.55000000000000004</v>
      </c>
      <c r="BZ533" s="27" t="s">
        <v>1013</v>
      </c>
      <c r="CA533" s="30" t="str">
        <f t="shared" si="1168"/>
        <v>1</v>
      </c>
      <c r="CB533" s="30" t="s">
        <v>917</v>
      </c>
      <c r="CC533" s="5">
        <v>0</v>
      </c>
      <c r="CD533" s="8">
        <v>3</v>
      </c>
      <c r="CE533" s="5">
        <f t="shared" si="1238"/>
        <v>1</v>
      </c>
      <c r="CF533" s="5">
        <v>1</v>
      </c>
      <c r="CG533" s="27" t="str">
        <f t="shared" si="1151"/>
        <v>1级奥术龙</v>
      </c>
      <c r="CH533" s="5">
        <v>0</v>
      </c>
      <c r="CI533" s="5">
        <v>0</v>
      </c>
      <c r="CJ533" s="4">
        <v>0</v>
      </c>
      <c r="CK533" s="20">
        <v>0</v>
      </c>
      <c r="CL533" s="5">
        <v>0</v>
      </c>
      <c r="CM533" s="20">
        <v>114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20">
        <v>2.5</v>
      </c>
      <c r="CW533" s="20">
        <v>3</v>
      </c>
      <c r="CX533" s="20">
        <v>2.5</v>
      </c>
      <c r="CY533" s="20">
        <v>3.5</v>
      </c>
      <c r="CZ533" s="8">
        <v>200</v>
      </c>
      <c r="DA533" s="6">
        <f t="shared" si="1158"/>
        <v>5000</v>
      </c>
      <c r="DB533" s="5">
        <v>1</v>
      </c>
      <c r="DC533" s="20">
        <f t="shared" si="1239"/>
        <v>1.5</v>
      </c>
      <c r="DD533" s="6">
        <f t="shared" si="1159"/>
        <v>0.5</v>
      </c>
      <c r="DE533" s="6">
        <v>1</v>
      </c>
      <c r="DF533" s="5">
        <v>0</v>
      </c>
      <c r="DG533" s="6">
        <v>2.5</v>
      </c>
      <c r="DH533" s="5">
        <v>0</v>
      </c>
      <c r="DI533" s="8">
        <v>0</v>
      </c>
      <c r="DJ533" s="5">
        <v>0</v>
      </c>
      <c r="DK533" s="8">
        <v>0</v>
      </c>
      <c r="DL533" s="5">
        <f t="shared" si="1210"/>
        <v>0</v>
      </c>
      <c r="DM533" s="5" t="str">
        <f t="shared" ref="DM533:DM582" si="1241">B533</f>
        <v>1级奥术龙</v>
      </c>
      <c r="DN533" s="5">
        <v>6</v>
      </c>
      <c r="DO533" s="5">
        <v>0</v>
      </c>
      <c r="DP533" s="5">
        <v>1</v>
      </c>
      <c r="DQ533" s="5">
        <v>1</v>
      </c>
      <c r="DR533" s="5">
        <v>2.5</v>
      </c>
      <c r="DS533" s="6">
        <v>3.5</v>
      </c>
      <c r="DT533" s="5">
        <v>-0.6</v>
      </c>
      <c r="DU533" s="5">
        <v>0.8</v>
      </c>
      <c r="DV533" s="6">
        <v>0.5</v>
      </c>
      <c r="DW533" s="5">
        <f t="shared" si="1160"/>
        <v>0.66666666666666663</v>
      </c>
      <c r="DX533" s="5">
        <v>8</v>
      </c>
      <c r="DY533" s="5">
        <f t="shared" si="1161"/>
        <v>0</v>
      </c>
      <c r="DZ533" s="5">
        <v>0</v>
      </c>
    </row>
    <row r="534" spans="1:130" x14ac:dyDescent="0.15">
      <c r="A534" s="5">
        <v>201532</v>
      </c>
      <c r="B534" s="28" t="s">
        <v>857</v>
      </c>
      <c r="C534" s="27">
        <v>25</v>
      </c>
      <c r="D534" s="27">
        <v>1</v>
      </c>
      <c r="E534" s="27">
        <v>3</v>
      </c>
      <c r="F534" s="5">
        <v>2</v>
      </c>
      <c r="G534" s="46">
        <f t="shared" si="1162"/>
        <v>0.29049999999999992</v>
      </c>
      <c r="H534" s="27"/>
      <c r="I534" s="27" t="s">
        <v>975</v>
      </c>
      <c r="J534" s="27"/>
      <c r="K534" s="5">
        <f t="shared" si="1229"/>
        <v>0.01</v>
      </c>
      <c r="L534" s="10">
        <v>0</v>
      </c>
      <c r="M534" s="5">
        <f t="shared" si="1230"/>
        <v>0.16</v>
      </c>
      <c r="N534" s="10">
        <v>3</v>
      </c>
      <c r="O534" s="5">
        <v>0</v>
      </c>
      <c r="P534" s="5">
        <f t="shared" si="1232"/>
        <v>0.3</v>
      </c>
      <c r="Q534" s="5">
        <v>3</v>
      </c>
      <c r="R534" s="5">
        <f t="shared" si="1163"/>
        <v>903933</v>
      </c>
      <c r="S534" s="5">
        <v>30</v>
      </c>
      <c r="T534" s="5">
        <v>10</v>
      </c>
      <c r="U534" s="5">
        <v>0.3</v>
      </c>
      <c r="V534" s="5">
        <v>0.15</v>
      </c>
      <c r="W534" s="5">
        <v>9</v>
      </c>
      <c r="X534" s="5">
        <v>-0.6</v>
      </c>
      <c r="Y534" s="5">
        <v>1.8</v>
      </c>
      <c r="Z534" s="27" t="s">
        <v>1046</v>
      </c>
      <c r="AA534" s="5">
        <v>3</v>
      </c>
      <c r="AB534" s="5">
        <v>2</v>
      </c>
      <c r="AC534" s="5">
        <v>6</v>
      </c>
      <c r="AD534" s="27" t="s">
        <v>1047</v>
      </c>
      <c r="AE534" s="20">
        <v>127</v>
      </c>
      <c r="AF534" s="5">
        <f t="shared" si="1164"/>
        <v>903949</v>
      </c>
      <c r="AG534" s="5">
        <v>60</v>
      </c>
      <c r="AH534" s="5">
        <f t="shared" si="1233"/>
        <v>0.1</v>
      </c>
      <c r="AI534" s="5">
        <v>2</v>
      </c>
      <c r="AJ534" s="5">
        <v>1</v>
      </c>
      <c r="AK534" s="5">
        <f t="shared" si="1165"/>
        <v>10</v>
      </c>
      <c r="AL534" s="5">
        <f t="shared" si="1234"/>
        <v>18</v>
      </c>
      <c r="AM534" s="5">
        <f t="shared" si="1235"/>
        <v>24</v>
      </c>
      <c r="AN534" s="8">
        <v>3</v>
      </c>
      <c r="AO534" s="5">
        <v>1</v>
      </c>
      <c r="AP534" s="28" t="s">
        <v>857</v>
      </c>
      <c r="AQ534" s="5">
        <v>0</v>
      </c>
      <c r="AR534" s="8">
        <v>0</v>
      </c>
      <c r="AS534" s="6">
        <f t="shared" si="1211"/>
        <v>0</v>
      </c>
      <c r="AT534" s="6">
        <f t="shared" si="1212"/>
        <v>6</v>
      </c>
      <c r="AU534" s="5">
        <v>0</v>
      </c>
      <c r="AV534" s="5">
        <v>0</v>
      </c>
      <c r="AW534" s="5">
        <v>0</v>
      </c>
      <c r="AX534" s="5">
        <v>1</v>
      </c>
      <c r="AY534" s="5">
        <v>0</v>
      </c>
      <c r="AZ534" s="5">
        <v>201532</v>
      </c>
      <c r="BA534" s="5">
        <f t="shared" si="1166"/>
        <v>203055</v>
      </c>
      <c r="BB534" s="5">
        <v>10</v>
      </c>
      <c r="BC534" s="5">
        <v>0</v>
      </c>
      <c r="BD534" s="5">
        <v>1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f t="shared" si="1204"/>
        <v>1</v>
      </c>
      <c r="BM534" s="5">
        <v>0</v>
      </c>
      <c r="BN534" s="5">
        <v>0</v>
      </c>
      <c r="BO534" s="5">
        <v>0</v>
      </c>
      <c r="BP534" s="5">
        <v>0</v>
      </c>
      <c r="BQ534" s="5"/>
      <c r="BR534" s="5"/>
      <c r="BS534" s="4">
        <v>0</v>
      </c>
      <c r="BT534" s="4">
        <f t="shared" si="1236"/>
        <v>2</v>
      </c>
      <c r="BU534" s="17">
        <v>122</v>
      </c>
      <c r="BV534" s="4">
        <f t="shared" ref="BV534:BY534" si="1242">BV524</f>
        <v>2</v>
      </c>
      <c r="BW534" s="4">
        <f t="shared" si="1242"/>
        <v>2</v>
      </c>
      <c r="BX534" s="4">
        <f t="shared" si="1242"/>
        <v>0.78</v>
      </c>
      <c r="BY534" s="4">
        <f t="shared" si="1242"/>
        <v>0.5</v>
      </c>
      <c r="BZ534" s="27" t="s">
        <v>1013</v>
      </c>
      <c r="CA534" s="30" t="str">
        <f t="shared" si="1168"/>
        <v>2</v>
      </c>
      <c r="CB534" s="30" t="s">
        <v>917</v>
      </c>
      <c r="CC534" s="5">
        <v>0</v>
      </c>
      <c r="CD534" s="8">
        <v>3</v>
      </c>
      <c r="CE534" s="5">
        <f t="shared" si="1238"/>
        <v>2</v>
      </c>
      <c r="CF534" s="5">
        <v>1</v>
      </c>
      <c r="CG534" s="27" t="str">
        <f t="shared" si="1151"/>
        <v>2级奥术龙</v>
      </c>
      <c r="CH534" s="5">
        <v>0</v>
      </c>
      <c r="CI534" s="5">
        <v>0</v>
      </c>
      <c r="CJ534" s="4">
        <v>0</v>
      </c>
      <c r="CK534" s="20">
        <v>0</v>
      </c>
      <c r="CL534" s="5">
        <v>0</v>
      </c>
      <c r="CM534" s="20">
        <v>114</v>
      </c>
      <c r="CN534" s="5">
        <v>0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20">
        <v>2.5</v>
      </c>
      <c r="CW534" s="20">
        <v>3</v>
      </c>
      <c r="CX534" s="20">
        <v>2.5</v>
      </c>
      <c r="CY534" s="20">
        <v>3.5</v>
      </c>
      <c r="CZ534" s="8">
        <v>200</v>
      </c>
      <c r="DA534" s="6">
        <f t="shared" si="1158"/>
        <v>10000</v>
      </c>
      <c r="DB534" s="5">
        <v>1</v>
      </c>
      <c r="DC534" s="20">
        <f t="shared" si="1239"/>
        <v>1.5750000000000002</v>
      </c>
      <c r="DD534" s="6">
        <f t="shared" si="1159"/>
        <v>0.52500000000000002</v>
      </c>
      <c r="DE534" s="6">
        <v>1</v>
      </c>
      <c r="DF534" s="5">
        <v>0</v>
      </c>
      <c r="DG534" s="6">
        <v>2.5</v>
      </c>
      <c r="DH534" s="5">
        <v>0</v>
      </c>
      <c r="DI534" s="8">
        <v>0</v>
      </c>
      <c r="DJ534" s="5">
        <v>0</v>
      </c>
      <c r="DK534" s="8">
        <v>0</v>
      </c>
      <c r="DL534" s="5">
        <f t="shared" si="1210"/>
        <v>0</v>
      </c>
      <c r="DM534" s="5" t="str">
        <f t="shared" si="1241"/>
        <v>2级奥术龙</v>
      </c>
      <c r="DN534" s="5">
        <v>6</v>
      </c>
      <c r="DO534" s="5">
        <v>0</v>
      </c>
      <c r="DP534" s="5">
        <v>1</v>
      </c>
      <c r="DQ534" s="5">
        <v>1</v>
      </c>
      <c r="DR534" s="5">
        <v>2.5</v>
      </c>
      <c r="DS534" s="6">
        <v>3.5</v>
      </c>
      <c r="DT534" s="5">
        <v>-0.6</v>
      </c>
      <c r="DU534" s="5">
        <v>0.8</v>
      </c>
      <c r="DV534" s="6">
        <v>0.5</v>
      </c>
      <c r="DW534" s="5">
        <f t="shared" si="1160"/>
        <v>0.66666666666666663</v>
      </c>
      <c r="DX534" s="5">
        <v>8</v>
      </c>
      <c r="DY534" s="5">
        <f t="shared" si="1161"/>
        <v>0</v>
      </c>
      <c r="DZ534" s="5">
        <v>0</v>
      </c>
    </row>
    <row r="535" spans="1:130" x14ac:dyDescent="0.15">
      <c r="A535" s="5">
        <v>201533</v>
      </c>
      <c r="B535" s="28" t="s">
        <v>858</v>
      </c>
      <c r="C535" s="27">
        <v>25</v>
      </c>
      <c r="D535" s="27">
        <v>1</v>
      </c>
      <c r="E535" s="27">
        <v>3</v>
      </c>
      <c r="F535" s="5">
        <v>2</v>
      </c>
      <c r="G535" s="46">
        <f t="shared" si="1162"/>
        <v>0.29049999999999992</v>
      </c>
      <c r="H535" s="27"/>
      <c r="I535" s="27" t="s">
        <v>975</v>
      </c>
      <c r="J535" s="27"/>
      <c r="K535" s="5">
        <f t="shared" si="1229"/>
        <v>0.02</v>
      </c>
      <c r="L535" s="10">
        <v>0</v>
      </c>
      <c r="M535" s="5">
        <f t="shared" si="1230"/>
        <v>0.16999999999999998</v>
      </c>
      <c r="N535" s="10">
        <v>3</v>
      </c>
      <c r="O535" s="5">
        <v>0</v>
      </c>
      <c r="P535" s="5">
        <f t="shared" si="1232"/>
        <v>0.3</v>
      </c>
      <c r="Q535" s="5">
        <v>3</v>
      </c>
      <c r="R535" s="5">
        <f t="shared" si="1163"/>
        <v>903933</v>
      </c>
      <c r="S535" s="5">
        <v>30</v>
      </c>
      <c r="T535" s="5">
        <v>10</v>
      </c>
      <c r="U535" s="5">
        <v>0.3</v>
      </c>
      <c r="V535" s="5">
        <v>0.15</v>
      </c>
      <c r="W535" s="5">
        <v>9</v>
      </c>
      <c r="X535" s="5">
        <v>-0.6</v>
      </c>
      <c r="Y535" s="5">
        <v>1.8</v>
      </c>
      <c r="Z535" s="27" t="s">
        <v>1046</v>
      </c>
      <c r="AA535" s="5">
        <v>3</v>
      </c>
      <c r="AB535" s="5">
        <v>2</v>
      </c>
      <c r="AC535" s="5">
        <v>6</v>
      </c>
      <c r="AD535" s="27" t="s">
        <v>1047</v>
      </c>
      <c r="AE535" s="20">
        <v>127</v>
      </c>
      <c r="AF535" s="5">
        <f t="shared" si="1164"/>
        <v>903949</v>
      </c>
      <c r="AG535" s="5">
        <v>60</v>
      </c>
      <c r="AH535" s="5">
        <f t="shared" si="1233"/>
        <v>0.1</v>
      </c>
      <c r="AI535" s="5">
        <v>2</v>
      </c>
      <c r="AJ535" s="5">
        <v>1</v>
      </c>
      <c r="AK535" s="5">
        <f t="shared" si="1165"/>
        <v>15</v>
      </c>
      <c r="AL535" s="5">
        <f t="shared" si="1234"/>
        <v>27</v>
      </c>
      <c r="AM535" s="5">
        <f t="shared" si="1235"/>
        <v>36</v>
      </c>
      <c r="AN535" s="8">
        <v>3</v>
      </c>
      <c r="AO535" s="5">
        <v>1</v>
      </c>
      <c r="AP535" s="28" t="s">
        <v>858</v>
      </c>
      <c r="AQ535" s="5">
        <v>0</v>
      </c>
      <c r="AR535" s="8">
        <v>0</v>
      </c>
      <c r="AS535" s="6">
        <f t="shared" si="1211"/>
        <v>0</v>
      </c>
      <c r="AT535" s="6">
        <f t="shared" si="1212"/>
        <v>9</v>
      </c>
      <c r="AU535" s="5">
        <v>0</v>
      </c>
      <c r="AV535" s="5">
        <v>0</v>
      </c>
      <c r="AW535" s="5">
        <v>0</v>
      </c>
      <c r="AX535" s="5">
        <v>1</v>
      </c>
      <c r="AY535" s="5">
        <v>0</v>
      </c>
      <c r="AZ535" s="5">
        <v>201533</v>
      </c>
      <c r="BA535" s="5">
        <f t="shared" si="1166"/>
        <v>203055</v>
      </c>
      <c r="BB535" s="5">
        <v>10</v>
      </c>
      <c r="BC535" s="5">
        <v>0</v>
      </c>
      <c r="BD535" s="5">
        <v>1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f t="shared" si="1204"/>
        <v>1</v>
      </c>
      <c r="BM535" s="5">
        <v>0</v>
      </c>
      <c r="BN535" s="5">
        <v>0</v>
      </c>
      <c r="BO535" s="5">
        <v>0</v>
      </c>
      <c r="BP535" s="5">
        <v>0</v>
      </c>
      <c r="BQ535" s="5"/>
      <c r="BR535" s="5"/>
      <c r="BS535" s="4">
        <v>0</v>
      </c>
      <c r="BT535" s="4">
        <f t="shared" si="1236"/>
        <v>3</v>
      </c>
      <c r="BU535" s="17">
        <v>123</v>
      </c>
      <c r="BV535" s="4">
        <f t="shared" ref="BV535:BY535" si="1243">BV525</f>
        <v>3</v>
      </c>
      <c r="BW535" s="4">
        <f t="shared" si="1243"/>
        <v>3</v>
      </c>
      <c r="BX535" s="4">
        <f t="shared" si="1243"/>
        <v>0.71</v>
      </c>
      <c r="BY535" s="4">
        <f t="shared" si="1243"/>
        <v>0.45000000000000007</v>
      </c>
      <c r="BZ535" s="27" t="s">
        <v>1013</v>
      </c>
      <c r="CA535" s="30" t="str">
        <f t="shared" si="1168"/>
        <v>3</v>
      </c>
      <c r="CB535" s="30" t="s">
        <v>917</v>
      </c>
      <c r="CC535" s="5">
        <v>0</v>
      </c>
      <c r="CD535" s="8">
        <v>3</v>
      </c>
      <c r="CE535" s="5">
        <f t="shared" si="1238"/>
        <v>3</v>
      </c>
      <c r="CF535" s="5">
        <v>1</v>
      </c>
      <c r="CG535" s="27" t="str">
        <f t="shared" ref="CG535:CG582" si="1244">B535</f>
        <v>3级奥术龙</v>
      </c>
      <c r="CH535" s="5">
        <v>0</v>
      </c>
      <c r="CI535" s="5">
        <v>0</v>
      </c>
      <c r="CJ535" s="4">
        <v>0</v>
      </c>
      <c r="CK535" s="20">
        <v>0</v>
      </c>
      <c r="CL535" s="5">
        <v>0</v>
      </c>
      <c r="CM535" s="20">
        <v>114</v>
      </c>
      <c r="CN535" s="5">
        <v>0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20">
        <v>2.5</v>
      </c>
      <c r="CW535" s="20">
        <v>3</v>
      </c>
      <c r="CX535" s="20">
        <v>2.5</v>
      </c>
      <c r="CY535" s="20">
        <v>3.5</v>
      </c>
      <c r="CZ535" s="8">
        <v>200</v>
      </c>
      <c r="DA535" s="6">
        <f t="shared" si="1158"/>
        <v>15000</v>
      </c>
      <c r="DB535" s="5">
        <v>1</v>
      </c>
      <c r="DC535" s="20">
        <f t="shared" si="1239"/>
        <v>1.6500000000000001</v>
      </c>
      <c r="DD535" s="6">
        <f t="shared" si="1159"/>
        <v>0.55000000000000004</v>
      </c>
      <c r="DE535" s="6">
        <v>1</v>
      </c>
      <c r="DF535" s="5">
        <v>0</v>
      </c>
      <c r="DG535" s="6">
        <v>2.5</v>
      </c>
      <c r="DH535" s="5">
        <v>0</v>
      </c>
      <c r="DI535" s="8">
        <v>0</v>
      </c>
      <c r="DJ535" s="5">
        <v>0</v>
      </c>
      <c r="DK535" s="8">
        <v>0</v>
      </c>
      <c r="DL535" s="5">
        <f t="shared" si="1210"/>
        <v>0</v>
      </c>
      <c r="DM535" s="5" t="str">
        <f t="shared" si="1241"/>
        <v>3级奥术龙</v>
      </c>
      <c r="DN535" s="5">
        <v>6</v>
      </c>
      <c r="DO535" s="5">
        <v>0</v>
      </c>
      <c r="DP535" s="5">
        <v>1</v>
      </c>
      <c r="DQ535" s="5">
        <v>1</v>
      </c>
      <c r="DR535" s="5">
        <v>2.5</v>
      </c>
      <c r="DS535" s="6">
        <v>3.5</v>
      </c>
      <c r="DT535" s="5">
        <v>-0.6</v>
      </c>
      <c r="DU535" s="5">
        <v>0.8</v>
      </c>
      <c r="DV535" s="6">
        <v>0.5</v>
      </c>
      <c r="DW535" s="5">
        <f t="shared" si="1160"/>
        <v>0.66666666666666663</v>
      </c>
      <c r="DX535" s="5">
        <v>8</v>
      </c>
      <c r="DY535" s="5">
        <f t="shared" si="1161"/>
        <v>0</v>
      </c>
      <c r="DZ535" s="5">
        <v>0</v>
      </c>
    </row>
    <row r="536" spans="1:130" x14ac:dyDescent="0.15">
      <c r="A536" s="5">
        <v>201534</v>
      </c>
      <c r="B536" s="28" t="s">
        <v>859</v>
      </c>
      <c r="C536" s="27">
        <v>25</v>
      </c>
      <c r="D536" s="27">
        <v>1</v>
      </c>
      <c r="E536" s="27">
        <v>3</v>
      </c>
      <c r="F536" s="5">
        <v>2</v>
      </c>
      <c r="G536" s="46">
        <f t="shared" si="1162"/>
        <v>0.29049999999999992</v>
      </c>
      <c r="H536" s="27"/>
      <c r="I536" s="27" t="s">
        <v>975</v>
      </c>
      <c r="J536" s="27"/>
      <c r="K536" s="5">
        <f t="shared" si="1229"/>
        <v>0.03</v>
      </c>
      <c r="L536" s="10">
        <v>0</v>
      </c>
      <c r="M536" s="5">
        <f t="shared" si="1230"/>
        <v>0.18</v>
      </c>
      <c r="N536" s="10">
        <v>3</v>
      </c>
      <c r="O536" s="5">
        <v>0</v>
      </c>
      <c r="P536" s="5">
        <f t="shared" si="1232"/>
        <v>0.3</v>
      </c>
      <c r="Q536" s="5">
        <v>3</v>
      </c>
      <c r="R536" s="5">
        <f t="shared" si="1163"/>
        <v>903933</v>
      </c>
      <c r="S536" s="5">
        <v>30</v>
      </c>
      <c r="T536" s="5">
        <v>10</v>
      </c>
      <c r="U536" s="5">
        <v>0.3</v>
      </c>
      <c r="V536" s="5">
        <v>0.15</v>
      </c>
      <c r="W536" s="5">
        <v>9</v>
      </c>
      <c r="X536" s="5">
        <v>-0.6</v>
      </c>
      <c r="Y536" s="5">
        <v>1.8</v>
      </c>
      <c r="Z536" s="27" t="s">
        <v>1046</v>
      </c>
      <c r="AA536" s="5">
        <v>3</v>
      </c>
      <c r="AB536" s="5">
        <v>2</v>
      </c>
      <c r="AC536" s="5">
        <v>6</v>
      </c>
      <c r="AD536" s="27" t="s">
        <v>1047</v>
      </c>
      <c r="AE536" s="20">
        <v>127</v>
      </c>
      <c r="AF536" s="5">
        <f t="shared" si="1164"/>
        <v>903949</v>
      </c>
      <c r="AG536" s="5">
        <v>60</v>
      </c>
      <c r="AH536" s="5">
        <f t="shared" si="1233"/>
        <v>0.1</v>
      </c>
      <c r="AI536" s="5">
        <v>2</v>
      </c>
      <c r="AJ536" s="5">
        <v>1</v>
      </c>
      <c r="AK536" s="5">
        <f t="shared" si="1165"/>
        <v>20</v>
      </c>
      <c r="AL536" s="5">
        <f t="shared" si="1234"/>
        <v>36</v>
      </c>
      <c r="AM536" s="5">
        <f t="shared" si="1235"/>
        <v>48</v>
      </c>
      <c r="AN536" s="8">
        <v>3</v>
      </c>
      <c r="AO536" s="5">
        <v>1</v>
      </c>
      <c r="AP536" s="28" t="s">
        <v>859</v>
      </c>
      <c r="AQ536" s="5">
        <v>0</v>
      </c>
      <c r="AR536" s="8">
        <v>0</v>
      </c>
      <c r="AS536" s="6">
        <f t="shared" si="1211"/>
        <v>0</v>
      </c>
      <c r="AT536" s="6">
        <f t="shared" si="1212"/>
        <v>12</v>
      </c>
      <c r="AU536" s="5">
        <v>0</v>
      </c>
      <c r="AV536" s="5">
        <v>0</v>
      </c>
      <c r="AW536" s="5">
        <v>0</v>
      </c>
      <c r="AX536" s="5">
        <v>1</v>
      </c>
      <c r="AY536" s="5">
        <v>0</v>
      </c>
      <c r="AZ536" s="5">
        <v>201534</v>
      </c>
      <c r="BA536" s="5">
        <f t="shared" si="1166"/>
        <v>203055</v>
      </c>
      <c r="BB536" s="5">
        <v>10</v>
      </c>
      <c r="BC536" s="5">
        <v>0</v>
      </c>
      <c r="BD536" s="5">
        <v>1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f t="shared" si="1204"/>
        <v>1</v>
      </c>
      <c r="BM536" s="5">
        <v>0</v>
      </c>
      <c r="BN536" s="5">
        <v>0</v>
      </c>
      <c r="BO536" s="5">
        <v>0</v>
      </c>
      <c r="BP536" s="5">
        <v>0</v>
      </c>
      <c r="BQ536" s="5"/>
      <c r="BR536" s="5"/>
      <c r="BS536" s="4">
        <v>0</v>
      </c>
      <c r="BT536" s="4">
        <f t="shared" si="1236"/>
        <v>4</v>
      </c>
      <c r="BU536" s="17">
        <v>124</v>
      </c>
      <c r="BV536" s="4">
        <f t="shared" ref="BV536:BY536" si="1245">BV526</f>
        <v>4</v>
      </c>
      <c r="BW536" s="4">
        <f t="shared" si="1245"/>
        <v>4</v>
      </c>
      <c r="BX536" s="4">
        <f t="shared" si="1245"/>
        <v>0.6399999999999999</v>
      </c>
      <c r="BY536" s="4">
        <f t="shared" si="1245"/>
        <v>0.4</v>
      </c>
      <c r="BZ536" s="27" t="s">
        <v>1013</v>
      </c>
      <c r="CA536" s="30" t="str">
        <f t="shared" si="1168"/>
        <v>4</v>
      </c>
      <c r="CB536" s="30" t="s">
        <v>917</v>
      </c>
      <c r="CC536" s="5">
        <v>0</v>
      </c>
      <c r="CD536" s="8">
        <v>3</v>
      </c>
      <c r="CE536" s="5">
        <f t="shared" si="1238"/>
        <v>4</v>
      </c>
      <c r="CF536" s="5">
        <v>1</v>
      </c>
      <c r="CG536" s="27" t="str">
        <f t="shared" si="1244"/>
        <v>4级奥术龙</v>
      </c>
      <c r="CH536" s="5">
        <v>0</v>
      </c>
      <c r="CI536" s="5">
        <v>0</v>
      </c>
      <c r="CJ536" s="4">
        <v>0</v>
      </c>
      <c r="CK536" s="20">
        <v>0</v>
      </c>
      <c r="CL536" s="5">
        <v>0</v>
      </c>
      <c r="CM536" s="20">
        <v>114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20">
        <v>2.5</v>
      </c>
      <c r="CW536" s="20">
        <v>3</v>
      </c>
      <c r="CX536" s="20">
        <v>2.5</v>
      </c>
      <c r="CY536" s="20">
        <v>3.5</v>
      </c>
      <c r="CZ536" s="8">
        <v>200</v>
      </c>
      <c r="DA536" s="6">
        <f t="shared" si="1158"/>
        <v>20000</v>
      </c>
      <c r="DB536" s="5">
        <v>1</v>
      </c>
      <c r="DC536" s="20">
        <f t="shared" si="1239"/>
        <v>1.7249999999999999</v>
      </c>
      <c r="DD536" s="6">
        <f t="shared" si="1159"/>
        <v>0.57499999999999996</v>
      </c>
      <c r="DE536" s="6">
        <v>1</v>
      </c>
      <c r="DF536" s="5">
        <v>0</v>
      </c>
      <c r="DG536" s="6">
        <v>2.5</v>
      </c>
      <c r="DH536" s="5">
        <v>0</v>
      </c>
      <c r="DI536" s="8">
        <v>0</v>
      </c>
      <c r="DJ536" s="5">
        <v>0</v>
      </c>
      <c r="DK536" s="8">
        <v>0</v>
      </c>
      <c r="DL536" s="5">
        <f t="shared" si="1210"/>
        <v>0</v>
      </c>
      <c r="DM536" s="5" t="str">
        <f t="shared" si="1241"/>
        <v>4级奥术龙</v>
      </c>
      <c r="DN536" s="5">
        <v>6</v>
      </c>
      <c r="DO536" s="5">
        <v>0</v>
      </c>
      <c r="DP536" s="5">
        <v>1</v>
      </c>
      <c r="DQ536" s="5">
        <v>1</v>
      </c>
      <c r="DR536" s="5">
        <v>2.5</v>
      </c>
      <c r="DS536" s="6">
        <v>3.5</v>
      </c>
      <c r="DT536" s="5">
        <v>-0.6</v>
      </c>
      <c r="DU536" s="5">
        <v>0.8</v>
      </c>
      <c r="DV536" s="6">
        <v>0.5</v>
      </c>
      <c r="DW536" s="5">
        <f t="shared" si="1160"/>
        <v>0.66666666666666663</v>
      </c>
      <c r="DX536" s="5">
        <v>8</v>
      </c>
      <c r="DY536" s="5">
        <f t="shared" si="1161"/>
        <v>0</v>
      </c>
      <c r="DZ536" s="5">
        <v>0</v>
      </c>
    </row>
    <row r="537" spans="1:130" x14ac:dyDescent="0.15">
      <c r="A537" s="5">
        <v>201535</v>
      </c>
      <c r="B537" s="28" t="s">
        <v>860</v>
      </c>
      <c r="C537" s="27">
        <v>25</v>
      </c>
      <c r="D537" s="27">
        <v>1</v>
      </c>
      <c r="E537" s="27">
        <v>3</v>
      </c>
      <c r="F537" s="5">
        <v>2</v>
      </c>
      <c r="G537" s="46">
        <f t="shared" si="1162"/>
        <v>0.29049999999999992</v>
      </c>
      <c r="H537" s="27"/>
      <c r="I537" s="27" t="s">
        <v>975</v>
      </c>
      <c r="J537" s="27"/>
      <c r="K537" s="5">
        <f t="shared" si="1229"/>
        <v>0.04</v>
      </c>
      <c r="L537" s="10">
        <v>0</v>
      </c>
      <c r="M537" s="5">
        <f t="shared" si="1230"/>
        <v>0.19</v>
      </c>
      <c r="N537" s="10">
        <v>3</v>
      </c>
      <c r="O537" s="5">
        <v>0</v>
      </c>
      <c r="P537" s="5">
        <f t="shared" si="1232"/>
        <v>0.3</v>
      </c>
      <c r="Q537" s="5">
        <v>3</v>
      </c>
      <c r="R537" s="5">
        <f t="shared" si="1163"/>
        <v>903933</v>
      </c>
      <c r="S537" s="5">
        <v>30</v>
      </c>
      <c r="T537" s="5">
        <v>10</v>
      </c>
      <c r="U537" s="5">
        <v>0.3</v>
      </c>
      <c r="V537" s="5">
        <v>0.15</v>
      </c>
      <c r="W537" s="5">
        <v>9</v>
      </c>
      <c r="X537" s="5">
        <v>-0.6</v>
      </c>
      <c r="Y537" s="5">
        <v>1.8</v>
      </c>
      <c r="Z537" s="27" t="s">
        <v>1046</v>
      </c>
      <c r="AA537" s="5">
        <v>3</v>
      </c>
      <c r="AB537" s="5">
        <v>2</v>
      </c>
      <c r="AC537" s="5">
        <v>6</v>
      </c>
      <c r="AD537" s="27" t="s">
        <v>1047</v>
      </c>
      <c r="AE537" s="20">
        <v>127</v>
      </c>
      <c r="AF537" s="5">
        <f t="shared" si="1164"/>
        <v>903949</v>
      </c>
      <c r="AG537" s="5">
        <v>60</v>
      </c>
      <c r="AH537" s="5">
        <f t="shared" si="1233"/>
        <v>0.1</v>
      </c>
      <c r="AI537" s="5">
        <v>2</v>
      </c>
      <c r="AJ537" s="5">
        <v>1</v>
      </c>
      <c r="AK537" s="5">
        <f t="shared" si="1165"/>
        <v>25</v>
      </c>
      <c r="AL537" s="5">
        <f t="shared" si="1234"/>
        <v>45</v>
      </c>
      <c r="AM537" s="5">
        <f t="shared" si="1235"/>
        <v>60</v>
      </c>
      <c r="AN537" s="8">
        <v>3</v>
      </c>
      <c r="AO537" s="5">
        <v>1</v>
      </c>
      <c r="AP537" s="28" t="s">
        <v>860</v>
      </c>
      <c r="AQ537" s="5">
        <v>0</v>
      </c>
      <c r="AR537" s="8">
        <v>0</v>
      </c>
      <c r="AS537" s="6">
        <f t="shared" si="1211"/>
        <v>0</v>
      </c>
      <c r="AT537" s="6">
        <f t="shared" si="1212"/>
        <v>15</v>
      </c>
      <c r="AU537" s="5">
        <v>0</v>
      </c>
      <c r="AV537" s="5">
        <v>0</v>
      </c>
      <c r="AW537" s="5">
        <v>0</v>
      </c>
      <c r="AX537" s="5">
        <v>1</v>
      </c>
      <c r="AY537" s="5">
        <v>0</v>
      </c>
      <c r="AZ537" s="5">
        <v>201535</v>
      </c>
      <c r="BA537" s="5">
        <f t="shared" si="1166"/>
        <v>203055</v>
      </c>
      <c r="BB537" s="5">
        <v>10</v>
      </c>
      <c r="BC537" s="5">
        <v>0</v>
      </c>
      <c r="BD537" s="5">
        <v>1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f t="shared" si="1204"/>
        <v>1</v>
      </c>
      <c r="BM537" s="5">
        <v>0</v>
      </c>
      <c r="BN537" s="5">
        <v>0</v>
      </c>
      <c r="BO537" s="5">
        <v>0</v>
      </c>
      <c r="BP537" s="5">
        <v>0</v>
      </c>
      <c r="BQ537" s="5"/>
      <c r="BR537" s="5"/>
      <c r="BS537" s="4">
        <v>0</v>
      </c>
      <c r="BT537" s="4">
        <f t="shared" si="1236"/>
        <v>5</v>
      </c>
      <c r="BU537" s="17">
        <v>125</v>
      </c>
      <c r="BV537" s="4">
        <f t="shared" ref="BV537:BY537" si="1246">BV527</f>
        <v>5</v>
      </c>
      <c r="BW537" s="4">
        <f t="shared" si="1246"/>
        <v>5</v>
      </c>
      <c r="BX537" s="4">
        <f t="shared" si="1246"/>
        <v>0.56999999999999995</v>
      </c>
      <c r="BY537" s="4">
        <f t="shared" si="1246"/>
        <v>0.35000000000000003</v>
      </c>
      <c r="BZ537" s="27" t="s">
        <v>1013</v>
      </c>
      <c r="CA537" s="30" t="str">
        <f t="shared" si="1168"/>
        <v>5</v>
      </c>
      <c r="CB537" s="30" t="s">
        <v>917</v>
      </c>
      <c r="CC537" s="5">
        <v>0</v>
      </c>
      <c r="CD537" s="8">
        <v>3</v>
      </c>
      <c r="CE537" s="5">
        <f t="shared" si="1238"/>
        <v>5</v>
      </c>
      <c r="CF537" s="5">
        <v>1</v>
      </c>
      <c r="CG537" s="27" t="str">
        <f t="shared" si="1244"/>
        <v>5级奥术龙</v>
      </c>
      <c r="CH537" s="5">
        <v>0</v>
      </c>
      <c r="CI537" s="5">
        <v>0</v>
      </c>
      <c r="CJ537" s="4">
        <v>0</v>
      </c>
      <c r="CK537" s="20">
        <v>0</v>
      </c>
      <c r="CL537" s="5">
        <v>0</v>
      </c>
      <c r="CM537" s="20">
        <v>114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20">
        <v>2.5</v>
      </c>
      <c r="CW537" s="20">
        <v>3</v>
      </c>
      <c r="CX537" s="20">
        <v>2.5</v>
      </c>
      <c r="CY537" s="20">
        <v>3.5</v>
      </c>
      <c r="CZ537" s="8">
        <v>200</v>
      </c>
      <c r="DA537" s="6">
        <f t="shared" si="1158"/>
        <v>25000</v>
      </c>
      <c r="DB537" s="5">
        <v>1</v>
      </c>
      <c r="DC537" s="20">
        <f t="shared" si="1239"/>
        <v>1.7999999999999998</v>
      </c>
      <c r="DD537" s="6">
        <f t="shared" si="1159"/>
        <v>0.6</v>
      </c>
      <c r="DE537" s="6">
        <v>1</v>
      </c>
      <c r="DF537" s="5">
        <v>0</v>
      </c>
      <c r="DG537" s="6">
        <v>2.5</v>
      </c>
      <c r="DH537" s="5">
        <v>0</v>
      </c>
      <c r="DI537" s="8">
        <v>0</v>
      </c>
      <c r="DJ537" s="5">
        <v>0</v>
      </c>
      <c r="DK537" s="8">
        <v>0</v>
      </c>
      <c r="DL537" s="5">
        <f t="shared" si="1210"/>
        <v>0</v>
      </c>
      <c r="DM537" s="5" t="str">
        <f t="shared" si="1241"/>
        <v>5级奥术龙</v>
      </c>
      <c r="DN537" s="5">
        <v>6</v>
      </c>
      <c r="DO537" s="5">
        <v>0</v>
      </c>
      <c r="DP537" s="5">
        <v>1</v>
      </c>
      <c r="DQ537" s="5">
        <v>1</v>
      </c>
      <c r="DR537" s="5">
        <v>2.5</v>
      </c>
      <c r="DS537" s="6">
        <v>3.5</v>
      </c>
      <c r="DT537" s="5">
        <v>-0.6</v>
      </c>
      <c r="DU537" s="5">
        <v>0.8</v>
      </c>
      <c r="DV537" s="6">
        <v>0.5</v>
      </c>
      <c r="DW537" s="5">
        <f t="shared" si="1160"/>
        <v>0.66666666666666663</v>
      </c>
      <c r="DX537" s="5">
        <v>8</v>
      </c>
      <c r="DY537" s="5">
        <f t="shared" si="1161"/>
        <v>0</v>
      </c>
      <c r="DZ537" s="5">
        <v>0</v>
      </c>
    </row>
    <row r="538" spans="1:130" x14ac:dyDescent="0.15">
      <c r="A538" s="5">
        <v>201536</v>
      </c>
      <c r="B538" s="28" t="s">
        <v>861</v>
      </c>
      <c r="C538" s="27">
        <v>25</v>
      </c>
      <c r="D538" s="27">
        <v>1</v>
      </c>
      <c r="E538" s="27">
        <v>3</v>
      </c>
      <c r="F538" s="5">
        <v>2</v>
      </c>
      <c r="G538" s="46">
        <f t="shared" si="1162"/>
        <v>0.29049999999999992</v>
      </c>
      <c r="H538" s="27"/>
      <c r="I538" s="27" t="s">
        <v>975</v>
      </c>
      <c r="J538" s="27"/>
      <c r="K538" s="5">
        <f t="shared" si="1229"/>
        <v>0.05</v>
      </c>
      <c r="L538" s="10">
        <v>0</v>
      </c>
      <c r="M538" s="5">
        <f t="shared" si="1230"/>
        <v>0.2</v>
      </c>
      <c r="N538" s="10">
        <v>3</v>
      </c>
      <c r="O538" s="5">
        <v>0</v>
      </c>
      <c r="P538" s="5">
        <f t="shared" si="1232"/>
        <v>0.3</v>
      </c>
      <c r="Q538" s="5">
        <v>3</v>
      </c>
      <c r="R538" s="5">
        <f t="shared" si="1163"/>
        <v>903933</v>
      </c>
      <c r="S538" s="5">
        <v>30</v>
      </c>
      <c r="T538" s="5">
        <v>10</v>
      </c>
      <c r="U538" s="5">
        <v>0.3</v>
      </c>
      <c r="V538" s="5">
        <v>0.15</v>
      </c>
      <c r="W538" s="5">
        <v>9</v>
      </c>
      <c r="X538" s="5">
        <v>-0.6</v>
      </c>
      <c r="Y538" s="5">
        <v>1.8</v>
      </c>
      <c r="Z538" s="27" t="s">
        <v>1046</v>
      </c>
      <c r="AA538" s="5">
        <v>3</v>
      </c>
      <c r="AB538" s="5">
        <v>2</v>
      </c>
      <c r="AC538" s="5">
        <v>6</v>
      </c>
      <c r="AD538" s="27" t="s">
        <v>1047</v>
      </c>
      <c r="AE538" s="20">
        <v>127</v>
      </c>
      <c r="AF538" s="5">
        <f t="shared" si="1164"/>
        <v>903949</v>
      </c>
      <c r="AG538" s="5">
        <v>60</v>
      </c>
      <c r="AH538" s="5">
        <f t="shared" si="1233"/>
        <v>0.1</v>
      </c>
      <c r="AI538" s="5">
        <v>2</v>
      </c>
      <c r="AJ538" s="5">
        <v>1</v>
      </c>
      <c r="AK538" s="5">
        <f t="shared" si="1165"/>
        <v>30</v>
      </c>
      <c r="AL538" s="5">
        <f t="shared" si="1234"/>
        <v>54</v>
      </c>
      <c r="AM538" s="5">
        <f t="shared" si="1235"/>
        <v>72</v>
      </c>
      <c r="AN538" s="8">
        <v>3</v>
      </c>
      <c r="AO538" s="5">
        <v>1</v>
      </c>
      <c r="AP538" s="28" t="s">
        <v>861</v>
      </c>
      <c r="AQ538" s="5">
        <v>0</v>
      </c>
      <c r="AR538" s="8">
        <v>0</v>
      </c>
      <c r="AS538" s="6">
        <f t="shared" si="1211"/>
        <v>0</v>
      </c>
      <c r="AT538" s="6">
        <f t="shared" si="1212"/>
        <v>18</v>
      </c>
      <c r="AU538" s="5">
        <v>0</v>
      </c>
      <c r="AV538" s="5">
        <v>0</v>
      </c>
      <c r="AW538" s="5">
        <v>0</v>
      </c>
      <c r="AX538" s="5">
        <v>1</v>
      </c>
      <c r="AY538" s="5">
        <v>0</v>
      </c>
      <c r="AZ538" s="5">
        <v>201536</v>
      </c>
      <c r="BA538" s="5">
        <f t="shared" si="1166"/>
        <v>203055</v>
      </c>
      <c r="BB538" s="5">
        <v>10</v>
      </c>
      <c r="BC538" s="5">
        <v>0</v>
      </c>
      <c r="BD538" s="5">
        <v>1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f t="shared" si="1204"/>
        <v>1</v>
      </c>
      <c r="BM538" s="5">
        <v>0</v>
      </c>
      <c r="BN538" s="5">
        <v>0</v>
      </c>
      <c r="BO538" s="5">
        <v>0</v>
      </c>
      <c r="BP538" s="5">
        <v>0</v>
      </c>
      <c r="BQ538" s="5"/>
      <c r="BR538" s="5"/>
      <c r="BS538" s="4">
        <v>0</v>
      </c>
      <c r="BT538" s="4">
        <f t="shared" si="1236"/>
        <v>6</v>
      </c>
      <c r="BU538" s="17">
        <v>126</v>
      </c>
      <c r="BV538" s="4">
        <f t="shared" ref="BV538:BY538" si="1247">BV528</f>
        <v>6</v>
      </c>
      <c r="BW538" s="4">
        <f t="shared" si="1247"/>
        <v>6</v>
      </c>
      <c r="BX538" s="4">
        <f t="shared" si="1247"/>
        <v>0.49999999999999994</v>
      </c>
      <c r="BY538" s="4">
        <f t="shared" si="1247"/>
        <v>0.30000000000000004</v>
      </c>
      <c r="BZ538" s="27" t="s">
        <v>1013</v>
      </c>
      <c r="CA538" s="30" t="str">
        <f t="shared" si="1168"/>
        <v>6</v>
      </c>
      <c r="CB538" s="30" t="s">
        <v>917</v>
      </c>
      <c r="CC538" s="5">
        <v>0</v>
      </c>
      <c r="CD538" s="8">
        <v>3</v>
      </c>
      <c r="CE538" s="5">
        <f t="shared" si="1238"/>
        <v>6</v>
      </c>
      <c r="CF538" s="5">
        <v>1</v>
      </c>
      <c r="CG538" s="27" t="str">
        <f t="shared" si="1244"/>
        <v>6级奥术龙</v>
      </c>
      <c r="CH538" s="5">
        <v>0</v>
      </c>
      <c r="CI538" s="5">
        <v>0</v>
      </c>
      <c r="CJ538" s="4">
        <v>0</v>
      </c>
      <c r="CK538" s="20">
        <v>0</v>
      </c>
      <c r="CL538" s="5">
        <v>0</v>
      </c>
      <c r="CM538" s="20">
        <v>114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20">
        <v>2.5</v>
      </c>
      <c r="CW538" s="20">
        <v>3</v>
      </c>
      <c r="CX538" s="20">
        <v>2.5</v>
      </c>
      <c r="CY538" s="20">
        <v>3.5</v>
      </c>
      <c r="CZ538" s="8">
        <v>200</v>
      </c>
      <c r="DA538" s="6">
        <f t="shared" si="1158"/>
        <v>30000</v>
      </c>
      <c r="DB538" s="5">
        <v>1</v>
      </c>
      <c r="DC538" s="20">
        <f t="shared" si="1239"/>
        <v>1.875</v>
      </c>
      <c r="DD538" s="6">
        <f t="shared" si="1159"/>
        <v>0.625</v>
      </c>
      <c r="DE538" s="6">
        <v>1</v>
      </c>
      <c r="DF538" s="5">
        <v>0</v>
      </c>
      <c r="DG538" s="6">
        <v>2.5</v>
      </c>
      <c r="DH538" s="5">
        <v>0</v>
      </c>
      <c r="DI538" s="8">
        <v>0</v>
      </c>
      <c r="DJ538" s="5">
        <v>0</v>
      </c>
      <c r="DK538" s="8">
        <v>0</v>
      </c>
      <c r="DL538" s="5">
        <f t="shared" si="1210"/>
        <v>0</v>
      </c>
      <c r="DM538" s="5" t="str">
        <f t="shared" si="1241"/>
        <v>6级奥术龙</v>
      </c>
      <c r="DN538" s="5">
        <v>6</v>
      </c>
      <c r="DO538" s="5">
        <v>0</v>
      </c>
      <c r="DP538" s="5">
        <v>1</v>
      </c>
      <c r="DQ538" s="5">
        <v>1</v>
      </c>
      <c r="DR538" s="5">
        <v>2.5</v>
      </c>
      <c r="DS538" s="6">
        <v>3.5</v>
      </c>
      <c r="DT538" s="5">
        <v>-0.6</v>
      </c>
      <c r="DU538" s="5">
        <v>0.8</v>
      </c>
      <c r="DV538" s="6">
        <v>0.5</v>
      </c>
      <c r="DW538" s="5">
        <f t="shared" si="1160"/>
        <v>0.66666666666666663</v>
      </c>
      <c r="DX538" s="5">
        <v>8</v>
      </c>
      <c r="DY538" s="5">
        <f t="shared" si="1161"/>
        <v>0</v>
      </c>
      <c r="DZ538" s="5">
        <v>0</v>
      </c>
    </row>
    <row r="539" spans="1:130" x14ac:dyDescent="0.15">
      <c r="A539" s="5">
        <v>201537</v>
      </c>
      <c r="B539" s="28" t="s">
        <v>862</v>
      </c>
      <c r="C539" s="27">
        <v>25</v>
      </c>
      <c r="D539" s="27">
        <v>1</v>
      </c>
      <c r="E539" s="27">
        <v>3</v>
      </c>
      <c r="F539" s="5">
        <v>2</v>
      </c>
      <c r="G539" s="46">
        <f t="shared" si="1162"/>
        <v>0.29049999999999992</v>
      </c>
      <c r="H539" s="27"/>
      <c r="I539" s="27" t="s">
        <v>975</v>
      </c>
      <c r="J539" s="27"/>
      <c r="K539" s="5">
        <f t="shared" si="1229"/>
        <v>0.06</v>
      </c>
      <c r="L539" s="10">
        <v>0</v>
      </c>
      <c r="M539" s="5">
        <f t="shared" si="1230"/>
        <v>0.21</v>
      </c>
      <c r="N539" s="10">
        <v>3</v>
      </c>
      <c r="O539" s="5">
        <v>0</v>
      </c>
      <c r="P539" s="5">
        <f t="shared" si="1232"/>
        <v>0.3</v>
      </c>
      <c r="Q539" s="5">
        <v>3</v>
      </c>
      <c r="R539" s="5">
        <f t="shared" si="1163"/>
        <v>903933</v>
      </c>
      <c r="S539" s="5">
        <v>30</v>
      </c>
      <c r="T539" s="5">
        <v>10</v>
      </c>
      <c r="U539" s="5">
        <v>0.3</v>
      </c>
      <c r="V539" s="5">
        <v>0.15</v>
      </c>
      <c r="W539" s="5">
        <v>9</v>
      </c>
      <c r="X539" s="5">
        <v>-0.6</v>
      </c>
      <c r="Y539" s="5">
        <v>1.8</v>
      </c>
      <c r="Z539" s="27" t="s">
        <v>1046</v>
      </c>
      <c r="AA539" s="5">
        <v>3</v>
      </c>
      <c r="AB539" s="5">
        <v>2</v>
      </c>
      <c r="AC539" s="5">
        <v>6</v>
      </c>
      <c r="AD539" s="27" t="s">
        <v>1047</v>
      </c>
      <c r="AE539" s="20">
        <v>127</v>
      </c>
      <c r="AF539" s="5">
        <f t="shared" si="1164"/>
        <v>903949</v>
      </c>
      <c r="AG539" s="5">
        <v>60</v>
      </c>
      <c r="AH539" s="5">
        <f t="shared" si="1233"/>
        <v>0.1</v>
      </c>
      <c r="AI539" s="5">
        <v>2</v>
      </c>
      <c r="AJ539" s="5">
        <v>1</v>
      </c>
      <c r="AK539" s="5">
        <f t="shared" si="1165"/>
        <v>35</v>
      </c>
      <c r="AL539" s="5">
        <f t="shared" si="1234"/>
        <v>63</v>
      </c>
      <c r="AM539" s="5">
        <f t="shared" si="1235"/>
        <v>84</v>
      </c>
      <c r="AN539" s="8">
        <v>3</v>
      </c>
      <c r="AO539" s="5">
        <v>1</v>
      </c>
      <c r="AP539" s="28" t="s">
        <v>862</v>
      </c>
      <c r="AQ539" s="5">
        <v>0</v>
      </c>
      <c r="AR539" s="8">
        <v>0</v>
      </c>
      <c r="AS539" s="6">
        <f t="shared" si="1211"/>
        <v>0</v>
      </c>
      <c r="AT539" s="6">
        <f t="shared" si="1212"/>
        <v>21</v>
      </c>
      <c r="AU539" s="5">
        <v>0</v>
      </c>
      <c r="AV539" s="5">
        <v>0</v>
      </c>
      <c r="AW539" s="5">
        <v>0</v>
      </c>
      <c r="AX539" s="5">
        <v>1</v>
      </c>
      <c r="AY539" s="5">
        <v>0</v>
      </c>
      <c r="AZ539" s="5">
        <v>201537</v>
      </c>
      <c r="BA539" s="5">
        <f t="shared" si="1166"/>
        <v>203055</v>
      </c>
      <c r="BB539" s="5">
        <v>10</v>
      </c>
      <c r="BC539" s="5">
        <v>0</v>
      </c>
      <c r="BD539" s="5">
        <v>1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f t="shared" si="1204"/>
        <v>1</v>
      </c>
      <c r="BM539" s="5">
        <v>0</v>
      </c>
      <c r="BN539" s="5">
        <v>0</v>
      </c>
      <c r="BO539" s="5">
        <v>0</v>
      </c>
      <c r="BP539" s="5">
        <v>0</v>
      </c>
      <c r="BQ539" s="5"/>
      <c r="BR539" s="5"/>
      <c r="BS539" s="4">
        <v>0</v>
      </c>
      <c r="BT539" s="4">
        <f t="shared" si="1236"/>
        <v>7</v>
      </c>
      <c r="BU539" s="17">
        <v>127</v>
      </c>
      <c r="BV539" s="4">
        <f t="shared" ref="BV539:BY539" si="1248">BV529</f>
        <v>7</v>
      </c>
      <c r="BW539" s="4">
        <f t="shared" si="1248"/>
        <v>7</v>
      </c>
      <c r="BX539" s="4">
        <f t="shared" si="1248"/>
        <v>0.42999999999999994</v>
      </c>
      <c r="BY539" s="4">
        <f t="shared" si="1248"/>
        <v>0.25</v>
      </c>
      <c r="BZ539" s="27" t="s">
        <v>1013</v>
      </c>
      <c r="CA539" s="30" t="str">
        <f t="shared" si="1168"/>
        <v>7</v>
      </c>
      <c r="CB539" s="30" t="s">
        <v>917</v>
      </c>
      <c r="CC539" s="5">
        <v>0</v>
      </c>
      <c r="CD539" s="8">
        <v>3</v>
      </c>
      <c r="CE539" s="5">
        <f t="shared" si="1238"/>
        <v>7</v>
      </c>
      <c r="CF539" s="5">
        <v>1</v>
      </c>
      <c r="CG539" s="27" t="str">
        <f t="shared" si="1244"/>
        <v>7级奥术龙</v>
      </c>
      <c r="CH539" s="5">
        <v>0</v>
      </c>
      <c r="CI539" s="5">
        <v>0</v>
      </c>
      <c r="CJ539" s="4">
        <v>0</v>
      </c>
      <c r="CK539" s="20">
        <v>0</v>
      </c>
      <c r="CL539" s="5">
        <v>0</v>
      </c>
      <c r="CM539" s="20">
        <v>114</v>
      </c>
      <c r="CN539" s="5">
        <v>0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20">
        <v>2.5</v>
      </c>
      <c r="CW539" s="20">
        <v>3</v>
      </c>
      <c r="CX539" s="20">
        <v>2.5</v>
      </c>
      <c r="CY539" s="20">
        <v>3.5</v>
      </c>
      <c r="CZ539" s="8">
        <v>200</v>
      </c>
      <c r="DA539" s="6">
        <f t="shared" si="1158"/>
        <v>35000</v>
      </c>
      <c r="DB539" s="5">
        <v>1</v>
      </c>
      <c r="DC539" s="20">
        <f t="shared" si="1239"/>
        <v>1.9500000000000002</v>
      </c>
      <c r="DD539" s="6">
        <f t="shared" si="1159"/>
        <v>0.65</v>
      </c>
      <c r="DE539" s="6">
        <v>1</v>
      </c>
      <c r="DF539" s="5">
        <v>0</v>
      </c>
      <c r="DG539" s="6">
        <v>2.5</v>
      </c>
      <c r="DH539" s="5">
        <v>0</v>
      </c>
      <c r="DI539" s="8">
        <v>0</v>
      </c>
      <c r="DJ539" s="5">
        <v>0</v>
      </c>
      <c r="DK539" s="8">
        <v>0</v>
      </c>
      <c r="DL539" s="5">
        <f t="shared" si="1210"/>
        <v>0</v>
      </c>
      <c r="DM539" s="5" t="str">
        <f t="shared" si="1241"/>
        <v>7级奥术龙</v>
      </c>
      <c r="DN539" s="5">
        <v>6</v>
      </c>
      <c r="DO539" s="5">
        <v>0</v>
      </c>
      <c r="DP539" s="5">
        <v>1</v>
      </c>
      <c r="DQ539" s="5">
        <v>1</v>
      </c>
      <c r="DR539" s="5">
        <v>2.5</v>
      </c>
      <c r="DS539" s="6">
        <v>3.5</v>
      </c>
      <c r="DT539" s="5">
        <v>-0.6</v>
      </c>
      <c r="DU539" s="5">
        <v>0.8</v>
      </c>
      <c r="DV539" s="6">
        <v>0.5</v>
      </c>
      <c r="DW539" s="5">
        <f t="shared" si="1160"/>
        <v>0.66666666666666663</v>
      </c>
      <c r="DX539" s="5">
        <v>8</v>
      </c>
      <c r="DY539" s="5">
        <f t="shared" si="1161"/>
        <v>0</v>
      </c>
      <c r="DZ539" s="5">
        <v>0</v>
      </c>
    </row>
    <row r="540" spans="1:130" x14ac:dyDescent="0.15">
      <c r="A540" s="5">
        <v>201538</v>
      </c>
      <c r="B540" s="28" t="s">
        <v>863</v>
      </c>
      <c r="C540" s="27">
        <v>25</v>
      </c>
      <c r="D540" s="27">
        <v>1</v>
      </c>
      <c r="E540" s="27">
        <v>3</v>
      </c>
      <c r="F540" s="5">
        <v>2</v>
      </c>
      <c r="G540" s="46">
        <f t="shared" si="1162"/>
        <v>0.29049999999999992</v>
      </c>
      <c r="H540" s="27"/>
      <c r="I540" s="27" t="s">
        <v>975</v>
      </c>
      <c r="J540" s="27"/>
      <c r="K540" s="5">
        <f t="shared" si="1229"/>
        <v>7.0000000000000007E-2</v>
      </c>
      <c r="L540" s="10">
        <v>0</v>
      </c>
      <c r="M540" s="5">
        <f t="shared" si="1230"/>
        <v>0.22</v>
      </c>
      <c r="N540" s="10">
        <v>3</v>
      </c>
      <c r="O540" s="5">
        <v>0</v>
      </c>
      <c r="P540" s="5">
        <f t="shared" si="1232"/>
        <v>0.3</v>
      </c>
      <c r="Q540" s="5">
        <v>3</v>
      </c>
      <c r="R540" s="5">
        <f t="shared" si="1163"/>
        <v>903933</v>
      </c>
      <c r="S540" s="5">
        <v>30</v>
      </c>
      <c r="T540" s="5">
        <v>10</v>
      </c>
      <c r="U540" s="5">
        <v>0.3</v>
      </c>
      <c r="V540" s="5">
        <v>0.15</v>
      </c>
      <c r="W540" s="5">
        <v>9</v>
      </c>
      <c r="X540" s="5">
        <v>-0.6</v>
      </c>
      <c r="Y540" s="5">
        <v>1.8</v>
      </c>
      <c r="Z540" s="27" t="s">
        <v>1046</v>
      </c>
      <c r="AA540" s="5">
        <v>3</v>
      </c>
      <c r="AB540" s="5">
        <v>2</v>
      </c>
      <c r="AC540" s="5">
        <v>6</v>
      </c>
      <c r="AD540" s="27" t="s">
        <v>1047</v>
      </c>
      <c r="AE540" s="20">
        <v>127</v>
      </c>
      <c r="AF540" s="5">
        <f t="shared" si="1164"/>
        <v>903949</v>
      </c>
      <c r="AG540" s="5">
        <v>60</v>
      </c>
      <c r="AH540" s="5">
        <f t="shared" si="1233"/>
        <v>0.1</v>
      </c>
      <c r="AI540" s="5">
        <v>2</v>
      </c>
      <c r="AJ540" s="5">
        <v>1</v>
      </c>
      <c r="AK540" s="5">
        <f t="shared" si="1165"/>
        <v>40</v>
      </c>
      <c r="AL540" s="5">
        <f t="shared" si="1234"/>
        <v>72</v>
      </c>
      <c r="AM540" s="5">
        <f t="shared" si="1235"/>
        <v>96</v>
      </c>
      <c r="AN540" s="8">
        <v>3</v>
      </c>
      <c r="AO540" s="5">
        <v>1</v>
      </c>
      <c r="AP540" s="28" t="s">
        <v>863</v>
      </c>
      <c r="AQ540" s="5">
        <v>0</v>
      </c>
      <c r="AR540" s="8">
        <v>0</v>
      </c>
      <c r="AS540" s="6">
        <f t="shared" si="1211"/>
        <v>0</v>
      </c>
      <c r="AT540" s="6">
        <f t="shared" si="1212"/>
        <v>24</v>
      </c>
      <c r="AU540" s="5">
        <v>0</v>
      </c>
      <c r="AV540" s="5">
        <v>0</v>
      </c>
      <c r="AW540" s="5">
        <v>0</v>
      </c>
      <c r="AX540" s="5">
        <v>1</v>
      </c>
      <c r="AY540" s="5">
        <v>0</v>
      </c>
      <c r="AZ540" s="5">
        <v>201538</v>
      </c>
      <c r="BA540" s="5">
        <f t="shared" si="1166"/>
        <v>203055</v>
      </c>
      <c r="BB540" s="5">
        <v>10</v>
      </c>
      <c r="BC540" s="5">
        <v>0</v>
      </c>
      <c r="BD540" s="5">
        <v>1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f t="shared" si="1204"/>
        <v>1</v>
      </c>
      <c r="BM540" s="5">
        <v>0</v>
      </c>
      <c r="BN540" s="5">
        <v>0</v>
      </c>
      <c r="BO540" s="5">
        <v>0</v>
      </c>
      <c r="BP540" s="5">
        <v>0</v>
      </c>
      <c r="BQ540" s="5"/>
      <c r="BR540" s="5"/>
      <c r="BS540" s="4">
        <v>0</v>
      </c>
      <c r="BT540" s="4">
        <f t="shared" si="1236"/>
        <v>8</v>
      </c>
      <c r="BU540" s="17">
        <v>128</v>
      </c>
      <c r="BV540" s="4">
        <f t="shared" ref="BV540:BY540" si="1249">BV530</f>
        <v>8</v>
      </c>
      <c r="BW540" s="4">
        <f t="shared" si="1249"/>
        <v>8</v>
      </c>
      <c r="BX540" s="4">
        <f t="shared" si="1249"/>
        <v>0.35999999999999993</v>
      </c>
      <c r="BY540" s="4">
        <f t="shared" si="1249"/>
        <v>0.2</v>
      </c>
      <c r="BZ540" s="27" t="s">
        <v>1013</v>
      </c>
      <c r="CA540" s="30" t="str">
        <f t="shared" si="1168"/>
        <v>8</v>
      </c>
      <c r="CB540" s="30" t="s">
        <v>917</v>
      </c>
      <c r="CC540" s="5">
        <v>0</v>
      </c>
      <c r="CD540" s="8">
        <v>3</v>
      </c>
      <c r="CE540" s="5">
        <f t="shared" si="1238"/>
        <v>8</v>
      </c>
      <c r="CF540" s="5">
        <v>1</v>
      </c>
      <c r="CG540" s="27" t="str">
        <f t="shared" si="1244"/>
        <v>8级奥术龙</v>
      </c>
      <c r="CH540" s="5">
        <v>0</v>
      </c>
      <c r="CI540" s="5">
        <v>0</v>
      </c>
      <c r="CJ540" s="4">
        <v>0</v>
      </c>
      <c r="CK540" s="20">
        <v>0</v>
      </c>
      <c r="CL540" s="5">
        <v>0</v>
      </c>
      <c r="CM540" s="20">
        <v>114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20">
        <v>2.5</v>
      </c>
      <c r="CW540" s="20">
        <v>3</v>
      </c>
      <c r="CX540" s="20">
        <v>2.5</v>
      </c>
      <c r="CY540" s="20">
        <v>3.5</v>
      </c>
      <c r="CZ540" s="8">
        <v>200</v>
      </c>
      <c r="DA540" s="6">
        <f t="shared" si="1158"/>
        <v>40000</v>
      </c>
      <c r="DB540" s="5">
        <v>1</v>
      </c>
      <c r="DC540" s="20">
        <f t="shared" si="1239"/>
        <v>2.0250000000000004</v>
      </c>
      <c r="DD540" s="6">
        <f t="shared" si="1159"/>
        <v>0.67500000000000004</v>
      </c>
      <c r="DE540" s="6">
        <v>1</v>
      </c>
      <c r="DF540" s="5">
        <v>0</v>
      </c>
      <c r="DG540" s="6">
        <v>2.5</v>
      </c>
      <c r="DH540" s="5">
        <v>0</v>
      </c>
      <c r="DI540" s="8">
        <v>0</v>
      </c>
      <c r="DJ540" s="5">
        <v>0</v>
      </c>
      <c r="DK540" s="8">
        <v>0</v>
      </c>
      <c r="DL540" s="5">
        <f t="shared" si="1210"/>
        <v>0</v>
      </c>
      <c r="DM540" s="5" t="str">
        <f t="shared" si="1241"/>
        <v>8级奥术龙</v>
      </c>
      <c r="DN540" s="5">
        <v>6</v>
      </c>
      <c r="DO540" s="5">
        <v>0</v>
      </c>
      <c r="DP540" s="5">
        <v>1</v>
      </c>
      <c r="DQ540" s="5">
        <v>1</v>
      </c>
      <c r="DR540" s="5">
        <v>2.5</v>
      </c>
      <c r="DS540" s="6">
        <v>3.5</v>
      </c>
      <c r="DT540" s="5">
        <v>-0.6</v>
      </c>
      <c r="DU540" s="5">
        <v>0.8</v>
      </c>
      <c r="DV540" s="6">
        <v>0.5</v>
      </c>
      <c r="DW540" s="5">
        <f t="shared" si="1160"/>
        <v>0.66666666666666663</v>
      </c>
      <c r="DX540" s="5">
        <v>8</v>
      </c>
      <c r="DY540" s="5">
        <f t="shared" si="1161"/>
        <v>0</v>
      </c>
      <c r="DZ540" s="5">
        <v>0</v>
      </c>
    </row>
    <row r="541" spans="1:130" x14ac:dyDescent="0.15">
      <c r="A541" s="5">
        <v>201539</v>
      </c>
      <c r="B541" s="28" t="s">
        <v>864</v>
      </c>
      <c r="C541" s="27">
        <v>25</v>
      </c>
      <c r="D541" s="27">
        <v>1</v>
      </c>
      <c r="E541" s="27">
        <v>3</v>
      </c>
      <c r="F541" s="5">
        <v>2</v>
      </c>
      <c r="G541" s="46">
        <f t="shared" si="1162"/>
        <v>0.29049999999999992</v>
      </c>
      <c r="H541" s="27"/>
      <c r="I541" s="27" t="s">
        <v>975</v>
      </c>
      <c r="J541" s="27"/>
      <c r="K541" s="5">
        <f t="shared" si="1229"/>
        <v>0.08</v>
      </c>
      <c r="L541" s="10">
        <v>0</v>
      </c>
      <c r="M541" s="5">
        <f t="shared" si="1230"/>
        <v>0.22999999999999998</v>
      </c>
      <c r="N541" s="10">
        <v>3</v>
      </c>
      <c r="O541" s="5">
        <v>0</v>
      </c>
      <c r="P541" s="5">
        <f t="shared" si="1232"/>
        <v>0.3</v>
      </c>
      <c r="Q541" s="5">
        <v>3</v>
      </c>
      <c r="R541" s="5">
        <f t="shared" si="1163"/>
        <v>903933</v>
      </c>
      <c r="S541" s="5">
        <v>30</v>
      </c>
      <c r="T541" s="5">
        <v>10</v>
      </c>
      <c r="U541" s="5">
        <v>0.3</v>
      </c>
      <c r="V541" s="5">
        <v>0.15</v>
      </c>
      <c r="W541" s="5">
        <v>9</v>
      </c>
      <c r="X541" s="5">
        <v>-0.6</v>
      </c>
      <c r="Y541" s="5">
        <v>1.8</v>
      </c>
      <c r="Z541" s="27" t="s">
        <v>1046</v>
      </c>
      <c r="AA541" s="5">
        <v>3</v>
      </c>
      <c r="AB541" s="5">
        <v>2</v>
      </c>
      <c r="AC541" s="5">
        <v>6</v>
      </c>
      <c r="AD541" s="27" t="s">
        <v>1047</v>
      </c>
      <c r="AE541" s="20">
        <v>127</v>
      </c>
      <c r="AF541" s="5">
        <f t="shared" si="1164"/>
        <v>903949</v>
      </c>
      <c r="AG541" s="5">
        <v>60</v>
      </c>
      <c r="AH541" s="5">
        <f t="shared" si="1233"/>
        <v>0.1</v>
      </c>
      <c r="AI541" s="5">
        <v>2</v>
      </c>
      <c r="AJ541" s="5">
        <v>1</v>
      </c>
      <c r="AK541" s="5">
        <f t="shared" si="1165"/>
        <v>45</v>
      </c>
      <c r="AL541" s="5">
        <f t="shared" si="1234"/>
        <v>81</v>
      </c>
      <c r="AM541" s="5">
        <f t="shared" si="1235"/>
        <v>108</v>
      </c>
      <c r="AN541" s="8">
        <v>3</v>
      </c>
      <c r="AO541" s="5">
        <v>1</v>
      </c>
      <c r="AP541" s="28" t="s">
        <v>864</v>
      </c>
      <c r="AQ541" s="5">
        <v>0</v>
      </c>
      <c r="AR541" s="8">
        <v>0</v>
      </c>
      <c r="AS541" s="6">
        <f t="shared" si="1211"/>
        <v>0</v>
      </c>
      <c r="AT541" s="6">
        <f t="shared" si="1212"/>
        <v>27</v>
      </c>
      <c r="AU541" s="5">
        <v>0</v>
      </c>
      <c r="AV541" s="5">
        <v>0</v>
      </c>
      <c r="AW541" s="5">
        <v>0</v>
      </c>
      <c r="AX541" s="5">
        <v>1</v>
      </c>
      <c r="AY541" s="5">
        <v>0</v>
      </c>
      <c r="AZ541" s="5">
        <v>201539</v>
      </c>
      <c r="BA541" s="5">
        <f t="shared" si="1166"/>
        <v>203055</v>
      </c>
      <c r="BB541" s="5">
        <v>10</v>
      </c>
      <c r="BC541" s="5">
        <v>0</v>
      </c>
      <c r="BD541" s="5">
        <v>1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f t="shared" si="1204"/>
        <v>1</v>
      </c>
      <c r="BM541" s="5">
        <v>0</v>
      </c>
      <c r="BN541" s="5">
        <v>0</v>
      </c>
      <c r="BO541" s="5">
        <v>0</v>
      </c>
      <c r="BP541" s="5">
        <v>0</v>
      </c>
      <c r="BQ541" s="5"/>
      <c r="BR541" s="5"/>
      <c r="BS541" s="4">
        <v>0</v>
      </c>
      <c r="BT541" s="4">
        <f t="shared" si="1236"/>
        <v>9</v>
      </c>
      <c r="BU541" s="17">
        <v>129</v>
      </c>
      <c r="BV541" s="4">
        <f t="shared" ref="BV541:BY541" si="1250">BV531</f>
        <v>9</v>
      </c>
      <c r="BW541" s="4">
        <f t="shared" si="1250"/>
        <v>9</v>
      </c>
      <c r="BX541" s="4">
        <f t="shared" si="1250"/>
        <v>0.28999999999999992</v>
      </c>
      <c r="BY541" s="4">
        <f t="shared" si="1250"/>
        <v>0.15000000000000002</v>
      </c>
      <c r="BZ541" s="27" t="s">
        <v>1013</v>
      </c>
      <c r="CA541" s="30" t="str">
        <f t="shared" si="1168"/>
        <v>9</v>
      </c>
      <c r="CB541" s="30" t="s">
        <v>917</v>
      </c>
      <c r="CC541" s="5">
        <v>0</v>
      </c>
      <c r="CD541" s="8">
        <v>3</v>
      </c>
      <c r="CE541" s="5">
        <f t="shared" si="1238"/>
        <v>9</v>
      </c>
      <c r="CF541" s="5">
        <v>1</v>
      </c>
      <c r="CG541" s="27" t="str">
        <f t="shared" si="1244"/>
        <v>9级奥术龙</v>
      </c>
      <c r="CH541" s="5">
        <v>0</v>
      </c>
      <c r="CI541" s="5">
        <v>0</v>
      </c>
      <c r="CJ541" s="4">
        <v>0</v>
      </c>
      <c r="CK541" s="20">
        <v>0</v>
      </c>
      <c r="CL541" s="5">
        <v>0</v>
      </c>
      <c r="CM541" s="20">
        <v>114</v>
      </c>
      <c r="CN541" s="5">
        <v>0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20">
        <v>2.5</v>
      </c>
      <c r="CW541" s="20">
        <v>3</v>
      </c>
      <c r="CX541" s="20">
        <v>2.5</v>
      </c>
      <c r="CY541" s="20">
        <v>3.5</v>
      </c>
      <c r="CZ541" s="8">
        <v>200</v>
      </c>
      <c r="DA541" s="6">
        <f t="shared" ref="DA541:DA582" si="1251">CZ541*25*BV541</f>
        <v>45000</v>
      </c>
      <c r="DB541" s="5">
        <v>1</v>
      </c>
      <c r="DC541" s="20">
        <f t="shared" si="1239"/>
        <v>2.0999999999999996</v>
      </c>
      <c r="DD541" s="6">
        <f t="shared" ref="DD541:DD582" si="1252">(1+(BT541-1)*0.05)*DE541*0.5</f>
        <v>0.7</v>
      </c>
      <c r="DE541" s="6">
        <v>1</v>
      </c>
      <c r="DF541" s="5">
        <v>0</v>
      </c>
      <c r="DG541" s="6">
        <v>2.5</v>
      </c>
      <c r="DH541" s="5">
        <v>0</v>
      </c>
      <c r="DI541" s="8">
        <v>0</v>
      </c>
      <c r="DJ541" s="5">
        <v>0</v>
      </c>
      <c r="DK541" s="8">
        <v>0</v>
      </c>
      <c r="DL541" s="5">
        <f t="shared" si="1210"/>
        <v>0</v>
      </c>
      <c r="DM541" s="5" t="str">
        <f t="shared" si="1241"/>
        <v>9级奥术龙</v>
      </c>
      <c r="DN541" s="5">
        <v>6</v>
      </c>
      <c r="DO541" s="5">
        <v>0</v>
      </c>
      <c r="DP541" s="5">
        <v>1</v>
      </c>
      <c r="DQ541" s="5">
        <v>1</v>
      </c>
      <c r="DR541" s="5">
        <v>2.5</v>
      </c>
      <c r="DS541" s="6">
        <v>3.5</v>
      </c>
      <c r="DT541" s="5">
        <v>-0.6</v>
      </c>
      <c r="DU541" s="5">
        <v>0.8</v>
      </c>
      <c r="DV541" s="6">
        <v>0.5</v>
      </c>
      <c r="DW541" s="5">
        <f t="shared" ref="DW541:DW582" si="1253">DX541/12</f>
        <v>0.66666666666666663</v>
      </c>
      <c r="DX541" s="5">
        <v>8</v>
      </c>
      <c r="DY541" s="5">
        <f t="shared" ref="DY541:DY562" si="1254">DZ541/12</f>
        <v>0</v>
      </c>
      <c r="DZ541" s="5">
        <v>0</v>
      </c>
    </row>
    <row r="542" spans="1:130" x14ac:dyDescent="0.15">
      <c r="A542" s="5">
        <v>201540</v>
      </c>
      <c r="B542" s="28" t="s">
        <v>865</v>
      </c>
      <c r="C542" s="27">
        <v>25</v>
      </c>
      <c r="D542" s="27">
        <v>1</v>
      </c>
      <c r="E542" s="27">
        <v>3</v>
      </c>
      <c r="F542" s="5">
        <v>2</v>
      </c>
      <c r="G542" s="46">
        <f t="shared" ref="G542:G562" si="1255">G532+0.0581</f>
        <v>0.29049999999999992</v>
      </c>
      <c r="H542" s="27"/>
      <c r="I542" s="27" t="s">
        <v>975</v>
      </c>
      <c r="J542" s="27"/>
      <c r="K542" s="5">
        <f t="shared" si="1229"/>
        <v>0.09</v>
      </c>
      <c r="L542" s="10">
        <v>0</v>
      </c>
      <c r="M542" s="5">
        <f t="shared" si="1230"/>
        <v>0.24</v>
      </c>
      <c r="N542" s="10">
        <v>3</v>
      </c>
      <c r="O542" s="5">
        <v>0</v>
      </c>
      <c r="P542" s="5">
        <f t="shared" si="1232"/>
        <v>0.3</v>
      </c>
      <c r="Q542" s="5">
        <v>3</v>
      </c>
      <c r="R542" s="5">
        <f t="shared" ref="R542:R562" si="1256">R532+1</f>
        <v>903933</v>
      </c>
      <c r="S542" s="5">
        <v>30</v>
      </c>
      <c r="T542" s="5">
        <v>10</v>
      </c>
      <c r="U542" s="5">
        <v>0.3</v>
      </c>
      <c r="V542" s="5">
        <v>0.15</v>
      </c>
      <c r="W542" s="5">
        <v>9</v>
      </c>
      <c r="X542" s="5">
        <v>-0.6</v>
      </c>
      <c r="Y542" s="5">
        <v>1.8</v>
      </c>
      <c r="Z542" s="27" t="s">
        <v>1046</v>
      </c>
      <c r="AA542" s="5">
        <v>3</v>
      </c>
      <c r="AB542" s="5">
        <v>2</v>
      </c>
      <c r="AC542" s="5">
        <v>6</v>
      </c>
      <c r="AD542" s="27" t="s">
        <v>1047</v>
      </c>
      <c r="AE542" s="20">
        <v>127</v>
      </c>
      <c r="AF542" s="5">
        <f t="shared" ref="AF542:AF562" si="1257">AF532+1</f>
        <v>903949</v>
      </c>
      <c r="AG542" s="5">
        <v>60</v>
      </c>
      <c r="AH542" s="5">
        <f t="shared" si="1233"/>
        <v>0.1</v>
      </c>
      <c r="AI542" s="5">
        <v>2</v>
      </c>
      <c r="AJ542" s="5">
        <v>1</v>
      </c>
      <c r="AK542" s="5">
        <f t="shared" ref="AK542:AK562" si="1258">AK532</f>
        <v>50</v>
      </c>
      <c r="AL542" s="5">
        <f t="shared" si="1234"/>
        <v>90</v>
      </c>
      <c r="AM542" s="5">
        <f t="shared" si="1235"/>
        <v>120</v>
      </c>
      <c r="AN542" s="8">
        <v>3</v>
      </c>
      <c r="AO542" s="5">
        <v>1</v>
      </c>
      <c r="AP542" s="28" t="s">
        <v>865</v>
      </c>
      <c r="AQ542" s="5">
        <v>0</v>
      </c>
      <c r="AR542" s="8">
        <v>0</v>
      </c>
      <c r="AS542" s="6">
        <f t="shared" si="1211"/>
        <v>0</v>
      </c>
      <c r="AT542" s="6">
        <f t="shared" si="1212"/>
        <v>30</v>
      </c>
      <c r="AU542" s="5">
        <v>0</v>
      </c>
      <c r="AV542" s="5">
        <v>0</v>
      </c>
      <c r="AW542" s="5">
        <v>0</v>
      </c>
      <c r="AX542" s="5">
        <v>1</v>
      </c>
      <c r="AY542" s="5">
        <v>0</v>
      </c>
      <c r="AZ542" s="5">
        <v>201540</v>
      </c>
      <c r="BA542" s="5">
        <f t="shared" ref="BA542:BA562" si="1259">BA532+1</f>
        <v>203055</v>
      </c>
      <c r="BB542" s="5">
        <v>10</v>
      </c>
      <c r="BC542" s="5">
        <v>0</v>
      </c>
      <c r="BD542" s="5">
        <v>1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f t="shared" si="1204"/>
        <v>1</v>
      </c>
      <c r="BM542" s="5">
        <v>0</v>
      </c>
      <c r="BN542" s="5">
        <v>0</v>
      </c>
      <c r="BO542" s="5">
        <v>0</v>
      </c>
      <c r="BP542" s="5">
        <v>0</v>
      </c>
      <c r="BQ542" s="5"/>
      <c r="BR542" s="5"/>
      <c r="BS542" s="4">
        <v>0</v>
      </c>
      <c r="BT542" s="4">
        <f t="shared" si="1236"/>
        <v>10</v>
      </c>
      <c r="BU542" s="17">
        <v>130</v>
      </c>
      <c r="BV542" s="4">
        <f t="shared" ref="BV542:BY542" si="1260">BV532</f>
        <v>10</v>
      </c>
      <c r="BW542" s="4">
        <f t="shared" si="1260"/>
        <v>10</v>
      </c>
      <c r="BX542" s="4">
        <f t="shared" si="1260"/>
        <v>0.21999999999999986</v>
      </c>
      <c r="BY542" s="4">
        <f t="shared" si="1260"/>
        <v>0.10000000000000003</v>
      </c>
      <c r="BZ542" s="27" t="s">
        <v>1013</v>
      </c>
      <c r="CA542" s="30" t="str">
        <f t="shared" ref="CA542:CA562" si="1261">CA532</f>
        <v>10</v>
      </c>
      <c r="CB542" s="30" t="s">
        <v>917</v>
      </c>
      <c r="CC542" s="5">
        <v>0</v>
      </c>
      <c r="CD542" s="8">
        <v>3</v>
      </c>
      <c r="CE542" s="5">
        <f t="shared" si="1238"/>
        <v>10</v>
      </c>
      <c r="CF542" s="5">
        <v>1</v>
      </c>
      <c r="CG542" s="27" t="str">
        <f t="shared" si="1244"/>
        <v>10级奥术龙</v>
      </c>
      <c r="CH542" s="5">
        <v>0</v>
      </c>
      <c r="CI542" s="5">
        <v>0</v>
      </c>
      <c r="CJ542" s="4">
        <v>0</v>
      </c>
      <c r="CK542" s="20">
        <v>0</v>
      </c>
      <c r="CL542" s="5">
        <v>0</v>
      </c>
      <c r="CM542" s="20">
        <v>114</v>
      </c>
      <c r="CN542" s="5">
        <v>0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20">
        <v>2.5</v>
      </c>
      <c r="CW542" s="20">
        <v>3</v>
      </c>
      <c r="CX542" s="20">
        <v>2.5</v>
      </c>
      <c r="CY542" s="20">
        <v>3.5</v>
      </c>
      <c r="CZ542" s="8">
        <v>200</v>
      </c>
      <c r="DA542" s="6">
        <f t="shared" si="1251"/>
        <v>50000</v>
      </c>
      <c r="DB542" s="5">
        <v>1</v>
      </c>
      <c r="DC542" s="20">
        <f t="shared" si="1239"/>
        <v>2.1749999999999998</v>
      </c>
      <c r="DD542" s="6">
        <f t="shared" si="1252"/>
        <v>0.72499999999999998</v>
      </c>
      <c r="DE542" s="6">
        <v>1</v>
      </c>
      <c r="DF542" s="5">
        <v>0</v>
      </c>
      <c r="DG542" s="6">
        <v>2.5</v>
      </c>
      <c r="DH542" s="5">
        <v>0</v>
      </c>
      <c r="DI542" s="8">
        <v>0</v>
      </c>
      <c r="DJ542" s="5">
        <v>0</v>
      </c>
      <c r="DK542" s="8">
        <v>0</v>
      </c>
      <c r="DL542" s="5">
        <f t="shared" si="1210"/>
        <v>0</v>
      </c>
      <c r="DM542" s="5" t="str">
        <f t="shared" si="1241"/>
        <v>10级奥术龙</v>
      </c>
      <c r="DN542" s="5">
        <v>6</v>
      </c>
      <c r="DO542" s="5">
        <v>0</v>
      </c>
      <c r="DP542" s="5">
        <v>1</v>
      </c>
      <c r="DQ542" s="5">
        <v>1</v>
      </c>
      <c r="DR542" s="5">
        <v>2.5</v>
      </c>
      <c r="DS542" s="6">
        <v>3.5</v>
      </c>
      <c r="DT542" s="5">
        <v>-0.6</v>
      </c>
      <c r="DU542" s="5">
        <v>0.8</v>
      </c>
      <c r="DV542" s="6">
        <v>0.5</v>
      </c>
      <c r="DW542" s="5">
        <f t="shared" si="1253"/>
        <v>0.66666666666666663</v>
      </c>
      <c r="DX542" s="5">
        <v>8</v>
      </c>
      <c r="DY542" s="5">
        <f t="shared" si="1254"/>
        <v>0</v>
      </c>
      <c r="DZ542" s="5">
        <v>0</v>
      </c>
    </row>
    <row r="543" spans="1:130" x14ac:dyDescent="0.15">
      <c r="A543" s="6">
        <v>201541</v>
      </c>
      <c r="B543" s="28" t="s">
        <v>866</v>
      </c>
      <c r="C543" s="28">
        <v>25</v>
      </c>
      <c r="D543" s="28">
        <v>1</v>
      </c>
      <c r="E543" s="28">
        <v>3</v>
      </c>
      <c r="F543" s="6">
        <v>2</v>
      </c>
      <c r="G543" s="46">
        <f t="shared" si="1255"/>
        <v>0.34859999999999991</v>
      </c>
      <c r="H543" s="28"/>
      <c r="I543" s="28" t="s">
        <v>975</v>
      </c>
      <c r="J543" s="28"/>
      <c r="K543" s="5">
        <f t="shared" si="1229"/>
        <v>0</v>
      </c>
      <c r="L543" s="10">
        <v>0</v>
      </c>
      <c r="M543" s="5">
        <f t="shared" si="1230"/>
        <v>0.15</v>
      </c>
      <c r="N543" s="10">
        <v>3</v>
      </c>
      <c r="O543" s="5">
        <v>0</v>
      </c>
      <c r="P543" s="5">
        <f t="shared" si="1232"/>
        <v>0.2</v>
      </c>
      <c r="Q543" s="5">
        <v>2</v>
      </c>
      <c r="R543" s="5">
        <f t="shared" si="1256"/>
        <v>903934</v>
      </c>
      <c r="S543" s="5">
        <v>30</v>
      </c>
      <c r="T543" s="5">
        <v>10</v>
      </c>
      <c r="U543" s="5">
        <v>0.3</v>
      </c>
      <c r="V543" s="5">
        <v>0.15</v>
      </c>
      <c r="W543" s="5">
        <v>9</v>
      </c>
      <c r="X543" s="5">
        <v>-0.6</v>
      </c>
      <c r="Y543" s="5">
        <v>1.8</v>
      </c>
      <c r="Z543" s="27" t="s">
        <v>1049</v>
      </c>
      <c r="AA543" s="5">
        <v>3</v>
      </c>
      <c r="AB543" s="5">
        <v>2</v>
      </c>
      <c r="AC543" s="5">
        <v>6</v>
      </c>
      <c r="AD543" s="27" t="s">
        <v>1050</v>
      </c>
      <c r="AE543" s="20">
        <v>129</v>
      </c>
      <c r="AF543" s="5">
        <f t="shared" si="1257"/>
        <v>903950</v>
      </c>
      <c r="AG543" s="5">
        <v>60</v>
      </c>
      <c r="AH543" s="5">
        <f t="shared" si="1233"/>
        <v>0.1</v>
      </c>
      <c r="AI543" s="5">
        <v>2</v>
      </c>
      <c r="AJ543" s="5">
        <v>1</v>
      </c>
      <c r="AK543" s="5">
        <f t="shared" si="1258"/>
        <v>5</v>
      </c>
      <c r="AL543" s="5">
        <f t="shared" si="1234"/>
        <v>9</v>
      </c>
      <c r="AM543" s="5">
        <f t="shared" si="1235"/>
        <v>12</v>
      </c>
      <c r="AN543" s="8">
        <v>3</v>
      </c>
      <c r="AO543" s="5">
        <v>1</v>
      </c>
      <c r="AP543" s="28" t="s">
        <v>866</v>
      </c>
      <c r="AQ543" s="5">
        <v>0</v>
      </c>
      <c r="AR543" s="8">
        <v>0</v>
      </c>
      <c r="AS543" s="6">
        <f t="shared" si="1211"/>
        <v>0</v>
      </c>
      <c r="AT543" s="6">
        <f t="shared" si="1212"/>
        <v>3</v>
      </c>
      <c r="AU543" s="5">
        <v>0</v>
      </c>
      <c r="AV543" s="5">
        <v>0</v>
      </c>
      <c r="AW543" s="5">
        <v>0</v>
      </c>
      <c r="AX543" s="5">
        <v>1</v>
      </c>
      <c r="AY543" s="5">
        <v>0</v>
      </c>
      <c r="AZ543" s="5">
        <v>201541</v>
      </c>
      <c r="BA543" s="5">
        <f t="shared" si="1259"/>
        <v>203056</v>
      </c>
      <c r="BB543" s="5">
        <v>10</v>
      </c>
      <c r="BC543" s="5">
        <v>0</v>
      </c>
      <c r="BD543" s="5">
        <v>1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f t="shared" si="1204"/>
        <v>1</v>
      </c>
      <c r="BM543" s="5">
        <v>0</v>
      </c>
      <c r="BN543" s="5">
        <v>0</v>
      </c>
      <c r="BO543" s="5">
        <v>0</v>
      </c>
      <c r="BP543" s="5">
        <v>0</v>
      </c>
      <c r="BQ543" s="5"/>
      <c r="BR543" s="5"/>
      <c r="BS543" s="4">
        <v>0</v>
      </c>
      <c r="BT543" s="4">
        <f t="shared" si="1236"/>
        <v>1</v>
      </c>
      <c r="BU543" s="17">
        <v>131</v>
      </c>
      <c r="BV543" s="4">
        <f t="shared" ref="BV543:BY543" si="1262">BV533</f>
        <v>1</v>
      </c>
      <c r="BW543" s="4">
        <f t="shared" si="1262"/>
        <v>1</v>
      </c>
      <c r="BX543" s="4">
        <f t="shared" si="1262"/>
        <v>0.85</v>
      </c>
      <c r="BY543" s="4">
        <f t="shared" si="1262"/>
        <v>0.55000000000000004</v>
      </c>
      <c r="BZ543" s="27" t="s">
        <v>1014</v>
      </c>
      <c r="CA543" s="30" t="str">
        <f t="shared" si="1261"/>
        <v>1</v>
      </c>
      <c r="CB543" s="30" t="s">
        <v>917</v>
      </c>
      <c r="CC543" s="5">
        <v>0</v>
      </c>
      <c r="CD543" s="8">
        <v>3</v>
      </c>
      <c r="CE543" s="5">
        <f t="shared" si="1238"/>
        <v>1</v>
      </c>
      <c r="CF543" s="5">
        <v>1</v>
      </c>
      <c r="CG543" s="27" t="str">
        <f t="shared" si="1244"/>
        <v>1级潮汐龙</v>
      </c>
      <c r="CH543" s="5">
        <v>0</v>
      </c>
      <c r="CI543" s="5">
        <v>0</v>
      </c>
      <c r="CJ543" s="4">
        <v>0</v>
      </c>
      <c r="CK543" s="20">
        <v>0</v>
      </c>
      <c r="CL543" s="5">
        <v>0</v>
      </c>
      <c r="CM543" s="20">
        <v>114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20">
        <v>2.5</v>
      </c>
      <c r="CW543" s="20">
        <v>3</v>
      </c>
      <c r="CX543" s="20">
        <v>2.5</v>
      </c>
      <c r="CY543" s="20">
        <v>3.5</v>
      </c>
      <c r="CZ543" s="8">
        <v>200</v>
      </c>
      <c r="DA543" s="6">
        <f t="shared" si="1251"/>
        <v>5000</v>
      </c>
      <c r="DB543" s="5">
        <v>1</v>
      </c>
      <c r="DC543" s="20">
        <f t="shared" si="1239"/>
        <v>1.5</v>
      </c>
      <c r="DD543" s="6">
        <f t="shared" si="1252"/>
        <v>0.5</v>
      </c>
      <c r="DE543" s="6">
        <v>1</v>
      </c>
      <c r="DF543" s="5">
        <v>0</v>
      </c>
      <c r="DG543" s="6">
        <v>2.5</v>
      </c>
      <c r="DH543" s="5">
        <v>0</v>
      </c>
      <c r="DI543" s="8">
        <v>0</v>
      </c>
      <c r="DJ543" s="5">
        <v>0</v>
      </c>
      <c r="DK543" s="8">
        <v>0</v>
      </c>
      <c r="DL543" s="5">
        <f t="shared" si="1210"/>
        <v>0</v>
      </c>
      <c r="DM543" s="5" t="str">
        <f t="shared" si="1241"/>
        <v>1级潮汐龙</v>
      </c>
      <c r="DN543" s="5">
        <v>6</v>
      </c>
      <c r="DO543" s="5">
        <v>0</v>
      </c>
      <c r="DP543" s="5">
        <v>1</v>
      </c>
      <c r="DQ543" s="5">
        <v>1</v>
      </c>
      <c r="DR543" s="5">
        <v>2.5</v>
      </c>
      <c r="DS543" s="6">
        <v>3.5</v>
      </c>
      <c r="DT543" s="5">
        <v>-0.6</v>
      </c>
      <c r="DU543" s="5">
        <v>0.8</v>
      </c>
      <c r="DV543" s="6">
        <v>0.5</v>
      </c>
      <c r="DW543" s="5">
        <f t="shared" si="1253"/>
        <v>0.66666666666666663</v>
      </c>
      <c r="DX543" s="5">
        <v>8</v>
      </c>
      <c r="DY543" s="5">
        <f t="shared" si="1254"/>
        <v>0</v>
      </c>
      <c r="DZ543" s="5">
        <v>0</v>
      </c>
    </row>
    <row r="544" spans="1:130" x14ac:dyDescent="0.15">
      <c r="A544" s="5">
        <v>201542</v>
      </c>
      <c r="B544" s="28" t="s">
        <v>867</v>
      </c>
      <c r="C544" s="27">
        <v>25</v>
      </c>
      <c r="D544" s="27">
        <v>1</v>
      </c>
      <c r="E544" s="27">
        <v>3</v>
      </c>
      <c r="F544" s="5">
        <v>2</v>
      </c>
      <c r="G544" s="46">
        <f t="shared" si="1255"/>
        <v>0.34859999999999991</v>
      </c>
      <c r="H544" s="27"/>
      <c r="I544" s="27" t="s">
        <v>975</v>
      </c>
      <c r="J544" s="27"/>
      <c r="K544" s="5">
        <f t="shared" si="1229"/>
        <v>0.01</v>
      </c>
      <c r="L544" s="10">
        <v>0</v>
      </c>
      <c r="M544" s="5">
        <f t="shared" si="1230"/>
        <v>0.16</v>
      </c>
      <c r="N544" s="10">
        <v>3</v>
      </c>
      <c r="O544" s="5">
        <v>0</v>
      </c>
      <c r="P544" s="5">
        <f t="shared" si="1232"/>
        <v>0.2</v>
      </c>
      <c r="Q544" s="5">
        <v>2</v>
      </c>
      <c r="R544" s="5">
        <f t="shared" si="1256"/>
        <v>903934</v>
      </c>
      <c r="S544" s="5">
        <v>30</v>
      </c>
      <c r="T544" s="5">
        <v>10</v>
      </c>
      <c r="U544" s="5">
        <v>0.3</v>
      </c>
      <c r="V544" s="5">
        <v>0.15</v>
      </c>
      <c r="W544" s="5">
        <v>9</v>
      </c>
      <c r="X544" s="5">
        <v>-0.6</v>
      </c>
      <c r="Y544" s="5">
        <v>1.8</v>
      </c>
      <c r="Z544" s="27" t="s">
        <v>1049</v>
      </c>
      <c r="AA544" s="5">
        <v>3</v>
      </c>
      <c r="AB544" s="5">
        <v>2</v>
      </c>
      <c r="AC544" s="5">
        <v>6</v>
      </c>
      <c r="AD544" s="27" t="s">
        <v>1050</v>
      </c>
      <c r="AE544" s="20">
        <v>129</v>
      </c>
      <c r="AF544" s="5">
        <f t="shared" si="1257"/>
        <v>903950</v>
      </c>
      <c r="AG544" s="5">
        <v>60</v>
      </c>
      <c r="AH544" s="5">
        <f t="shared" si="1233"/>
        <v>0.1</v>
      </c>
      <c r="AI544" s="5">
        <v>2</v>
      </c>
      <c r="AJ544" s="5">
        <v>1</v>
      </c>
      <c r="AK544" s="5">
        <f t="shared" si="1258"/>
        <v>10</v>
      </c>
      <c r="AL544" s="5">
        <f t="shared" si="1234"/>
        <v>18</v>
      </c>
      <c r="AM544" s="5">
        <f t="shared" si="1235"/>
        <v>24</v>
      </c>
      <c r="AN544" s="8">
        <v>3</v>
      </c>
      <c r="AO544" s="5">
        <v>1</v>
      </c>
      <c r="AP544" s="28" t="s">
        <v>867</v>
      </c>
      <c r="AQ544" s="5">
        <v>0</v>
      </c>
      <c r="AR544" s="8">
        <v>0</v>
      </c>
      <c r="AS544" s="6">
        <f t="shared" si="1211"/>
        <v>0</v>
      </c>
      <c r="AT544" s="6">
        <f t="shared" si="1212"/>
        <v>6</v>
      </c>
      <c r="AU544" s="5">
        <v>0</v>
      </c>
      <c r="AV544" s="5">
        <v>0</v>
      </c>
      <c r="AW544" s="5">
        <v>0</v>
      </c>
      <c r="AX544" s="5">
        <v>1</v>
      </c>
      <c r="AY544" s="5">
        <v>0</v>
      </c>
      <c r="AZ544" s="5">
        <v>201542</v>
      </c>
      <c r="BA544" s="5">
        <f t="shared" si="1259"/>
        <v>203056</v>
      </c>
      <c r="BB544" s="5">
        <v>10</v>
      </c>
      <c r="BC544" s="5">
        <v>0</v>
      </c>
      <c r="BD544" s="5">
        <v>1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f t="shared" si="1204"/>
        <v>1</v>
      </c>
      <c r="BM544" s="5">
        <v>0</v>
      </c>
      <c r="BN544" s="5">
        <v>0</v>
      </c>
      <c r="BO544" s="5">
        <v>0</v>
      </c>
      <c r="BP544" s="5">
        <v>0</v>
      </c>
      <c r="BQ544" s="5"/>
      <c r="BR544" s="5"/>
      <c r="BS544" s="4">
        <v>0</v>
      </c>
      <c r="BT544" s="4">
        <f t="shared" si="1236"/>
        <v>2</v>
      </c>
      <c r="BU544" s="17">
        <v>132</v>
      </c>
      <c r="BV544" s="4">
        <f t="shared" ref="BV544:BY544" si="1263">BV534</f>
        <v>2</v>
      </c>
      <c r="BW544" s="4">
        <f t="shared" si="1263"/>
        <v>2</v>
      </c>
      <c r="BX544" s="4">
        <f t="shared" si="1263"/>
        <v>0.78</v>
      </c>
      <c r="BY544" s="4">
        <f t="shared" si="1263"/>
        <v>0.5</v>
      </c>
      <c r="BZ544" s="27" t="s">
        <v>1014</v>
      </c>
      <c r="CA544" s="30" t="str">
        <f t="shared" si="1261"/>
        <v>2</v>
      </c>
      <c r="CB544" s="30" t="s">
        <v>917</v>
      </c>
      <c r="CC544" s="5">
        <v>0</v>
      </c>
      <c r="CD544" s="8">
        <v>3</v>
      </c>
      <c r="CE544" s="5">
        <f t="shared" si="1238"/>
        <v>2</v>
      </c>
      <c r="CF544" s="5">
        <v>1</v>
      </c>
      <c r="CG544" s="27" t="str">
        <f t="shared" si="1244"/>
        <v>2级潮汐龙</v>
      </c>
      <c r="CH544" s="5">
        <v>0</v>
      </c>
      <c r="CI544" s="5">
        <v>0</v>
      </c>
      <c r="CJ544" s="4">
        <v>0</v>
      </c>
      <c r="CK544" s="20">
        <v>0</v>
      </c>
      <c r="CL544" s="5">
        <v>0</v>
      </c>
      <c r="CM544" s="20">
        <v>114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20">
        <v>2.5</v>
      </c>
      <c r="CW544" s="20">
        <v>3</v>
      </c>
      <c r="CX544" s="20">
        <v>2.5</v>
      </c>
      <c r="CY544" s="20">
        <v>3.5</v>
      </c>
      <c r="CZ544" s="8">
        <v>200</v>
      </c>
      <c r="DA544" s="6">
        <f t="shared" si="1251"/>
        <v>10000</v>
      </c>
      <c r="DB544" s="5">
        <v>1</v>
      </c>
      <c r="DC544" s="20">
        <f t="shared" si="1239"/>
        <v>1.5750000000000002</v>
      </c>
      <c r="DD544" s="6">
        <f t="shared" si="1252"/>
        <v>0.52500000000000002</v>
      </c>
      <c r="DE544" s="6">
        <v>1</v>
      </c>
      <c r="DF544" s="5">
        <v>0</v>
      </c>
      <c r="DG544" s="6">
        <v>2.5</v>
      </c>
      <c r="DH544" s="5">
        <v>0</v>
      </c>
      <c r="DI544" s="8">
        <v>0</v>
      </c>
      <c r="DJ544" s="5">
        <v>0</v>
      </c>
      <c r="DK544" s="8">
        <v>0</v>
      </c>
      <c r="DL544" s="5">
        <f t="shared" si="1210"/>
        <v>0</v>
      </c>
      <c r="DM544" s="5" t="str">
        <f t="shared" si="1241"/>
        <v>2级潮汐龙</v>
      </c>
      <c r="DN544" s="5">
        <v>6</v>
      </c>
      <c r="DO544" s="5">
        <v>0</v>
      </c>
      <c r="DP544" s="5">
        <v>1</v>
      </c>
      <c r="DQ544" s="5">
        <v>1</v>
      </c>
      <c r="DR544" s="5">
        <v>2.5</v>
      </c>
      <c r="DS544" s="6">
        <v>3.5</v>
      </c>
      <c r="DT544" s="5">
        <v>-0.6</v>
      </c>
      <c r="DU544" s="5">
        <v>0.8</v>
      </c>
      <c r="DV544" s="6">
        <v>0.5</v>
      </c>
      <c r="DW544" s="5">
        <f t="shared" si="1253"/>
        <v>0.66666666666666663</v>
      </c>
      <c r="DX544" s="5">
        <v>8</v>
      </c>
      <c r="DY544" s="5">
        <f t="shared" si="1254"/>
        <v>0</v>
      </c>
      <c r="DZ544" s="5">
        <v>0</v>
      </c>
    </row>
    <row r="545" spans="1:130" x14ac:dyDescent="0.15">
      <c r="A545" s="5">
        <v>201543</v>
      </c>
      <c r="B545" s="28" t="s">
        <v>868</v>
      </c>
      <c r="C545" s="27">
        <v>25</v>
      </c>
      <c r="D545" s="27">
        <v>1</v>
      </c>
      <c r="E545" s="27">
        <v>3</v>
      </c>
      <c r="F545" s="5">
        <v>2</v>
      </c>
      <c r="G545" s="46">
        <f t="shared" si="1255"/>
        <v>0.34859999999999991</v>
      </c>
      <c r="H545" s="27"/>
      <c r="I545" s="27" t="s">
        <v>975</v>
      </c>
      <c r="J545" s="27"/>
      <c r="K545" s="5">
        <f t="shared" si="1229"/>
        <v>0.02</v>
      </c>
      <c r="L545" s="10">
        <v>0</v>
      </c>
      <c r="M545" s="5">
        <f t="shared" si="1230"/>
        <v>0.16999999999999998</v>
      </c>
      <c r="N545" s="10">
        <v>3</v>
      </c>
      <c r="O545" s="5">
        <v>0</v>
      </c>
      <c r="P545" s="5">
        <f t="shared" si="1232"/>
        <v>0.2</v>
      </c>
      <c r="Q545" s="5">
        <v>2</v>
      </c>
      <c r="R545" s="5">
        <f t="shared" si="1256"/>
        <v>903934</v>
      </c>
      <c r="S545" s="5">
        <v>30</v>
      </c>
      <c r="T545" s="5">
        <v>10</v>
      </c>
      <c r="U545" s="5">
        <v>0.3</v>
      </c>
      <c r="V545" s="5">
        <v>0.15</v>
      </c>
      <c r="W545" s="5">
        <v>9</v>
      </c>
      <c r="X545" s="5">
        <v>-0.6</v>
      </c>
      <c r="Y545" s="5">
        <v>1.8</v>
      </c>
      <c r="Z545" s="27" t="s">
        <v>1049</v>
      </c>
      <c r="AA545" s="5">
        <v>3</v>
      </c>
      <c r="AB545" s="5">
        <v>2</v>
      </c>
      <c r="AC545" s="5">
        <v>6</v>
      </c>
      <c r="AD545" s="27" t="s">
        <v>1050</v>
      </c>
      <c r="AE545" s="20">
        <v>129</v>
      </c>
      <c r="AF545" s="5">
        <f t="shared" si="1257"/>
        <v>903950</v>
      </c>
      <c r="AG545" s="5">
        <v>60</v>
      </c>
      <c r="AH545" s="5">
        <f t="shared" si="1233"/>
        <v>0.1</v>
      </c>
      <c r="AI545" s="5">
        <v>2</v>
      </c>
      <c r="AJ545" s="5">
        <v>1</v>
      </c>
      <c r="AK545" s="5">
        <f t="shared" si="1258"/>
        <v>15</v>
      </c>
      <c r="AL545" s="5">
        <f t="shared" si="1234"/>
        <v>27</v>
      </c>
      <c r="AM545" s="5">
        <f t="shared" si="1235"/>
        <v>36</v>
      </c>
      <c r="AN545" s="8">
        <v>3</v>
      </c>
      <c r="AO545" s="5">
        <v>1</v>
      </c>
      <c r="AP545" s="28" t="s">
        <v>868</v>
      </c>
      <c r="AQ545" s="5">
        <v>0</v>
      </c>
      <c r="AR545" s="8">
        <v>0</v>
      </c>
      <c r="AS545" s="6">
        <f t="shared" si="1211"/>
        <v>0</v>
      </c>
      <c r="AT545" s="6">
        <f t="shared" si="1212"/>
        <v>9</v>
      </c>
      <c r="AU545" s="5">
        <v>0</v>
      </c>
      <c r="AV545" s="5">
        <v>0</v>
      </c>
      <c r="AW545" s="5">
        <v>0</v>
      </c>
      <c r="AX545" s="5">
        <v>1</v>
      </c>
      <c r="AY545" s="5">
        <v>0</v>
      </c>
      <c r="AZ545" s="5">
        <v>201543</v>
      </c>
      <c r="BA545" s="5">
        <f t="shared" si="1259"/>
        <v>203056</v>
      </c>
      <c r="BB545" s="5">
        <v>10</v>
      </c>
      <c r="BC545" s="5">
        <v>0</v>
      </c>
      <c r="BD545" s="5">
        <v>1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f t="shared" si="1204"/>
        <v>1</v>
      </c>
      <c r="BM545" s="5">
        <v>0</v>
      </c>
      <c r="BN545" s="5">
        <v>0</v>
      </c>
      <c r="BO545" s="5">
        <v>0</v>
      </c>
      <c r="BP545" s="5">
        <v>0</v>
      </c>
      <c r="BQ545" s="5"/>
      <c r="BR545" s="5"/>
      <c r="BS545" s="4">
        <v>0</v>
      </c>
      <c r="BT545" s="4">
        <f t="shared" si="1236"/>
        <v>3</v>
      </c>
      <c r="BU545" s="17">
        <v>133</v>
      </c>
      <c r="BV545" s="4">
        <f t="shared" ref="BV545:BY545" si="1264">BV535</f>
        <v>3</v>
      </c>
      <c r="BW545" s="4">
        <f t="shared" si="1264"/>
        <v>3</v>
      </c>
      <c r="BX545" s="4">
        <f t="shared" si="1264"/>
        <v>0.71</v>
      </c>
      <c r="BY545" s="4">
        <f t="shared" si="1264"/>
        <v>0.45000000000000007</v>
      </c>
      <c r="BZ545" s="27" t="s">
        <v>1014</v>
      </c>
      <c r="CA545" s="30" t="str">
        <f t="shared" si="1261"/>
        <v>3</v>
      </c>
      <c r="CB545" s="30" t="s">
        <v>917</v>
      </c>
      <c r="CC545" s="5">
        <v>0</v>
      </c>
      <c r="CD545" s="8">
        <v>3</v>
      </c>
      <c r="CE545" s="5">
        <f t="shared" si="1238"/>
        <v>3</v>
      </c>
      <c r="CF545" s="5">
        <v>1</v>
      </c>
      <c r="CG545" s="27" t="str">
        <f t="shared" si="1244"/>
        <v>3级潮汐龙</v>
      </c>
      <c r="CH545" s="5">
        <v>0</v>
      </c>
      <c r="CI545" s="5">
        <v>0</v>
      </c>
      <c r="CJ545" s="4">
        <v>0</v>
      </c>
      <c r="CK545" s="20">
        <v>0</v>
      </c>
      <c r="CL545" s="5">
        <v>0</v>
      </c>
      <c r="CM545" s="20">
        <v>114</v>
      </c>
      <c r="CN545" s="5">
        <v>0</v>
      </c>
      <c r="CO545" s="5">
        <v>0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0</v>
      </c>
      <c r="CV545" s="20">
        <v>2.5</v>
      </c>
      <c r="CW545" s="20">
        <v>3</v>
      </c>
      <c r="CX545" s="20">
        <v>2.5</v>
      </c>
      <c r="CY545" s="20">
        <v>3.5</v>
      </c>
      <c r="CZ545" s="8">
        <v>200</v>
      </c>
      <c r="DA545" s="6">
        <f t="shared" si="1251"/>
        <v>15000</v>
      </c>
      <c r="DB545" s="5">
        <v>1</v>
      </c>
      <c r="DC545" s="20">
        <f t="shared" si="1239"/>
        <v>1.6500000000000001</v>
      </c>
      <c r="DD545" s="6">
        <f t="shared" si="1252"/>
        <v>0.55000000000000004</v>
      </c>
      <c r="DE545" s="6">
        <v>1</v>
      </c>
      <c r="DF545" s="5">
        <v>0</v>
      </c>
      <c r="DG545" s="6">
        <v>2.5</v>
      </c>
      <c r="DH545" s="5">
        <v>0</v>
      </c>
      <c r="DI545" s="8">
        <v>0</v>
      </c>
      <c r="DJ545" s="5">
        <v>0</v>
      </c>
      <c r="DK545" s="8">
        <v>0</v>
      </c>
      <c r="DL545" s="5">
        <f t="shared" si="1210"/>
        <v>0</v>
      </c>
      <c r="DM545" s="5" t="str">
        <f t="shared" si="1241"/>
        <v>3级潮汐龙</v>
      </c>
      <c r="DN545" s="5">
        <v>6</v>
      </c>
      <c r="DO545" s="5">
        <v>0</v>
      </c>
      <c r="DP545" s="5">
        <v>1</v>
      </c>
      <c r="DQ545" s="5">
        <v>1</v>
      </c>
      <c r="DR545" s="5">
        <v>2.5</v>
      </c>
      <c r="DS545" s="6">
        <v>3.5</v>
      </c>
      <c r="DT545" s="5">
        <v>-0.6</v>
      </c>
      <c r="DU545" s="5">
        <v>0.8</v>
      </c>
      <c r="DV545" s="6">
        <v>0.5</v>
      </c>
      <c r="DW545" s="5">
        <f t="shared" si="1253"/>
        <v>0.66666666666666663</v>
      </c>
      <c r="DX545" s="5">
        <v>8</v>
      </c>
      <c r="DY545" s="5">
        <f t="shared" si="1254"/>
        <v>0</v>
      </c>
      <c r="DZ545" s="5">
        <v>0</v>
      </c>
    </row>
    <row r="546" spans="1:130" x14ac:dyDescent="0.15">
      <c r="A546" s="5">
        <v>201544</v>
      </c>
      <c r="B546" s="28" t="s">
        <v>869</v>
      </c>
      <c r="C546" s="27">
        <v>25</v>
      </c>
      <c r="D546" s="27">
        <v>1</v>
      </c>
      <c r="E546" s="27">
        <v>3</v>
      </c>
      <c r="F546" s="5">
        <v>2</v>
      </c>
      <c r="G546" s="46">
        <f t="shared" si="1255"/>
        <v>0.34859999999999991</v>
      </c>
      <c r="H546" s="27"/>
      <c r="I546" s="27" t="s">
        <v>975</v>
      </c>
      <c r="J546" s="27"/>
      <c r="K546" s="5">
        <f t="shared" si="1229"/>
        <v>0.03</v>
      </c>
      <c r="L546" s="10">
        <v>0</v>
      </c>
      <c r="M546" s="5">
        <f t="shared" si="1230"/>
        <v>0.18</v>
      </c>
      <c r="N546" s="10">
        <v>3</v>
      </c>
      <c r="O546" s="5">
        <v>0</v>
      </c>
      <c r="P546" s="5">
        <f t="shared" si="1232"/>
        <v>0.2</v>
      </c>
      <c r="Q546" s="5">
        <v>2</v>
      </c>
      <c r="R546" s="5">
        <f t="shared" si="1256"/>
        <v>903934</v>
      </c>
      <c r="S546" s="5">
        <v>30</v>
      </c>
      <c r="T546" s="5">
        <v>10</v>
      </c>
      <c r="U546" s="5">
        <v>0.3</v>
      </c>
      <c r="V546" s="5">
        <v>0.15</v>
      </c>
      <c r="W546" s="5">
        <v>9</v>
      </c>
      <c r="X546" s="5">
        <v>-0.6</v>
      </c>
      <c r="Y546" s="5">
        <v>1.8</v>
      </c>
      <c r="Z546" s="27" t="s">
        <v>1049</v>
      </c>
      <c r="AA546" s="5">
        <v>3</v>
      </c>
      <c r="AB546" s="5">
        <v>2</v>
      </c>
      <c r="AC546" s="5">
        <v>6</v>
      </c>
      <c r="AD546" s="27" t="s">
        <v>1050</v>
      </c>
      <c r="AE546" s="20">
        <v>129</v>
      </c>
      <c r="AF546" s="5">
        <f t="shared" si="1257"/>
        <v>903950</v>
      </c>
      <c r="AG546" s="5">
        <v>60</v>
      </c>
      <c r="AH546" s="5">
        <f t="shared" si="1233"/>
        <v>0.1</v>
      </c>
      <c r="AI546" s="5">
        <v>2</v>
      </c>
      <c r="AJ546" s="5">
        <v>1</v>
      </c>
      <c r="AK546" s="5">
        <f t="shared" si="1258"/>
        <v>20</v>
      </c>
      <c r="AL546" s="5">
        <f t="shared" si="1234"/>
        <v>36</v>
      </c>
      <c r="AM546" s="5">
        <f t="shared" si="1235"/>
        <v>48</v>
      </c>
      <c r="AN546" s="8">
        <v>3</v>
      </c>
      <c r="AO546" s="5">
        <v>1</v>
      </c>
      <c r="AP546" s="28" t="s">
        <v>869</v>
      </c>
      <c r="AQ546" s="5">
        <v>0</v>
      </c>
      <c r="AR546" s="8">
        <v>0</v>
      </c>
      <c r="AS546" s="6">
        <f t="shared" si="1211"/>
        <v>0</v>
      </c>
      <c r="AT546" s="6">
        <f t="shared" si="1212"/>
        <v>12</v>
      </c>
      <c r="AU546" s="5">
        <v>0</v>
      </c>
      <c r="AV546" s="5">
        <v>0</v>
      </c>
      <c r="AW546" s="5">
        <v>0</v>
      </c>
      <c r="AX546" s="5">
        <v>1</v>
      </c>
      <c r="AY546" s="5">
        <v>0</v>
      </c>
      <c r="AZ546" s="5">
        <v>201544</v>
      </c>
      <c r="BA546" s="5">
        <f t="shared" si="1259"/>
        <v>203056</v>
      </c>
      <c r="BB546" s="5">
        <v>10</v>
      </c>
      <c r="BC546" s="5">
        <v>0</v>
      </c>
      <c r="BD546" s="5">
        <v>1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f t="shared" si="1204"/>
        <v>1</v>
      </c>
      <c r="BM546" s="5">
        <v>0</v>
      </c>
      <c r="BN546" s="5">
        <v>0</v>
      </c>
      <c r="BO546" s="5">
        <v>0</v>
      </c>
      <c r="BP546" s="5">
        <v>0</v>
      </c>
      <c r="BQ546" s="5"/>
      <c r="BR546" s="5"/>
      <c r="BS546" s="4">
        <v>0</v>
      </c>
      <c r="BT546" s="4">
        <f t="shared" si="1236"/>
        <v>4</v>
      </c>
      <c r="BU546" s="17">
        <v>134</v>
      </c>
      <c r="BV546" s="4">
        <f t="shared" ref="BV546:BY546" si="1265">BV536</f>
        <v>4</v>
      </c>
      <c r="BW546" s="4">
        <f t="shared" si="1265"/>
        <v>4</v>
      </c>
      <c r="BX546" s="4">
        <f t="shared" si="1265"/>
        <v>0.6399999999999999</v>
      </c>
      <c r="BY546" s="4">
        <f t="shared" si="1265"/>
        <v>0.4</v>
      </c>
      <c r="BZ546" s="27" t="s">
        <v>1014</v>
      </c>
      <c r="CA546" s="30" t="str">
        <f t="shared" si="1261"/>
        <v>4</v>
      </c>
      <c r="CB546" s="30" t="s">
        <v>917</v>
      </c>
      <c r="CC546" s="5">
        <v>0</v>
      </c>
      <c r="CD546" s="8">
        <v>3</v>
      </c>
      <c r="CE546" s="5">
        <f t="shared" si="1238"/>
        <v>4</v>
      </c>
      <c r="CF546" s="5">
        <v>1</v>
      </c>
      <c r="CG546" s="27" t="str">
        <f t="shared" si="1244"/>
        <v>4级潮汐龙</v>
      </c>
      <c r="CH546" s="5">
        <v>0</v>
      </c>
      <c r="CI546" s="5">
        <v>0</v>
      </c>
      <c r="CJ546" s="4">
        <v>0</v>
      </c>
      <c r="CK546" s="20">
        <v>0</v>
      </c>
      <c r="CL546" s="5">
        <v>0</v>
      </c>
      <c r="CM546" s="20">
        <v>114</v>
      </c>
      <c r="CN546" s="5">
        <v>0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20">
        <v>2.5</v>
      </c>
      <c r="CW546" s="20">
        <v>3</v>
      </c>
      <c r="CX546" s="20">
        <v>2.5</v>
      </c>
      <c r="CY546" s="20">
        <v>3.5</v>
      </c>
      <c r="CZ546" s="8">
        <v>200</v>
      </c>
      <c r="DA546" s="6">
        <f t="shared" si="1251"/>
        <v>20000</v>
      </c>
      <c r="DB546" s="5">
        <v>1</v>
      </c>
      <c r="DC546" s="20">
        <f t="shared" si="1239"/>
        <v>1.7249999999999999</v>
      </c>
      <c r="DD546" s="6">
        <f t="shared" si="1252"/>
        <v>0.57499999999999996</v>
      </c>
      <c r="DE546" s="6">
        <v>1</v>
      </c>
      <c r="DF546" s="5">
        <v>0</v>
      </c>
      <c r="DG546" s="6">
        <v>2.5</v>
      </c>
      <c r="DH546" s="5">
        <v>0</v>
      </c>
      <c r="DI546" s="8">
        <v>0</v>
      </c>
      <c r="DJ546" s="5">
        <v>0</v>
      </c>
      <c r="DK546" s="8">
        <v>0</v>
      </c>
      <c r="DL546" s="5">
        <f t="shared" si="1210"/>
        <v>0</v>
      </c>
      <c r="DM546" s="5" t="str">
        <f t="shared" si="1241"/>
        <v>4级潮汐龙</v>
      </c>
      <c r="DN546" s="5">
        <v>6</v>
      </c>
      <c r="DO546" s="5">
        <v>0</v>
      </c>
      <c r="DP546" s="5">
        <v>1</v>
      </c>
      <c r="DQ546" s="5">
        <v>1</v>
      </c>
      <c r="DR546" s="5">
        <v>2.5</v>
      </c>
      <c r="DS546" s="6">
        <v>3.5</v>
      </c>
      <c r="DT546" s="5">
        <v>-0.6</v>
      </c>
      <c r="DU546" s="5">
        <v>0.8</v>
      </c>
      <c r="DV546" s="6">
        <v>0.5</v>
      </c>
      <c r="DW546" s="5">
        <f t="shared" si="1253"/>
        <v>0.66666666666666663</v>
      </c>
      <c r="DX546" s="5">
        <v>8</v>
      </c>
      <c r="DY546" s="5">
        <f t="shared" si="1254"/>
        <v>0</v>
      </c>
      <c r="DZ546" s="5">
        <v>0</v>
      </c>
    </row>
    <row r="547" spans="1:130" x14ac:dyDescent="0.15">
      <c r="A547" s="5">
        <v>201545</v>
      </c>
      <c r="B547" s="28" t="s">
        <v>870</v>
      </c>
      <c r="C547" s="27">
        <v>25</v>
      </c>
      <c r="D547" s="27">
        <v>1</v>
      </c>
      <c r="E547" s="27">
        <v>3</v>
      </c>
      <c r="F547" s="5">
        <v>2</v>
      </c>
      <c r="G547" s="46">
        <f t="shared" si="1255"/>
        <v>0.34859999999999991</v>
      </c>
      <c r="H547" s="27"/>
      <c r="I547" s="27" t="s">
        <v>975</v>
      </c>
      <c r="J547" s="27"/>
      <c r="K547" s="5">
        <f t="shared" si="1229"/>
        <v>0.04</v>
      </c>
      <c r="L547" s="10">
        <v>0</v>
      </c>
      <c r="M547" s="5">
        <f t="shared" si="1230"/>
        <v>0.19</v>
      </c>
      <c r="N547" s="10">
        <v>3</v>
      </c>
      <c r="O547" s="5">
        <v>0</v>
      </c>
      <c r="P547" s="5">
        <f t="shared" si="1232"/>
        <v>0.2</v>
      </c>
      <c r="Q547" s="5">
        <v>2</v>
      </c>
      <c r="R547" s="5">
        <f t="shared" si="1256"/>
        <v>903934</v>
      </c>
      <c r="S547" s="5">
        <v>30</v>
      </c>
      <c r="T547" s="5">
        <v>10</v>
      </c>
      <c r="U547" s="5">
        <v>0.3</v>
      </c>
      <c r="V547" s="5">
        <v>0.15</v>
      </c>
      <c r="W547" s="5">
        <v>9</v>
      </c>
      <c r="X547" s="5">
        <v>-0.6</v>
      </c>
      <c r="Y547" s="5">
        <v>1.8</v>
      </c>
      <c r="Z547" s="27" t="s">
        <v>1049</v>
      </c>
      <c r="AA547" s="5">
        <v>3</v>
      </c>
      <c r="AB547" s="5">
        <v>2</v>
      </c>
      <c r="AC547" s="5">
        <v>6</v>
      </c>
      <c r="AD547" s="27" t="s">
        <v>1050</v>
      </c>
      <c r="AE547" s="20">
        <v>129</v>
      </c>
      <c r="AF547" s="5">
        <f t="shared" si="1257"/>
        <v>903950</v>
      </c>
      <c r="AG547" s="5">
        <v>60</v>
      </c>
      <c r="AH547" s="5">
        <f t="shared" si="1233"/>
        <v>0.1</v>
      </c>
      <c r="AI547" s="5">
        <v>2</v>
      </c>
      <c r="AJ547" s="5">
        <v>1</v>
      </c>
      <c r="AK547" s="5">
        <f t="shared" si="1258"/>
        <v>25</v>
      </c>
      <c r="AL547" s="5">
        <f t="shared" si="1234"/>
        <v>45</v>
      </c>
      <c r="AM547" s="5">
        <f t="shared" si="1235"/>
        <v>60</v>
      </c>
      <c r="AN547" s="8">
        <v>3</v>
      </c>
      <c r="AO547" s="5">
        <v>1</v>
      </c>
      <c r="AP547" s="28" t="s">
        <v>870</v>
      </c>
      <c r="AQ547" s="5">
        <v>0</v>
      </c>
      <c r="AR547" s="8">
        <v>0</v>
      </c>
      <c r="AS547" s="6">
        <f t="shared" si="1211"/>
        <v>0</v>
      </c>
      <c r="AT547" s="6">
        <f t="shared" si="1212"/>
        <v>15</v>
      </c>
      <c r="AU547" s="5">
        <v>0</v>
      </c>
      <c r="AV547" s="5">
        <v>0</v>
      </c>
      <c r="AW547" s="5">
        <v>0</v>
      </c>
      <c r="AX547" s="5">
        <v>1</v>
      </c>
      <c r="AY547" s="5">
        <v>0</v>
      </c>
      <c r="AZ547" s="5">
        <v>201545</v>
      </c>
      <c r="BA547" s="5">
        <f t="shared" si="1259"/>
        <v>203056</v>
      </c>
      <c r="BB547" s="5">
        <v>10</v>
      </c>
      <c r="BC547" s="5">
        <v>0</v>
      </c>
      <c r="BD547" s="5">
        <v>1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f t="shared" si="1204"/>
        <v>1</v>
      </c>
      <c r="BM547" s="5">
        <v>0</v>
      </c>
      <c r="BN547" s="5">
        <v>0</v>
      </c>
      <c r="BO547" s="5">
        <v>0</v>
      </c>
      <c r="BP547" s="5">
        <v>0</v>
      </c>
      <c r="BQ547" s="5"/>
      <c r="BR547" s="5"/>
      <c r="BS547" s="4">
        <v>0</v>
      </c>
      <c r="BT547" s="4">
        <f t="shared" si="1236"/>
        <v>5</v>
      </c>
      <c r="BU547" s="17">
        <v>135</v>
      </c>
      <c r="BV547" s="4">
        <f t="shared" ref="BV547:BY547" si="1266">BV537</f>
        <v>5</v>
      </c>
      <c r="BW547" s="4">
        <f t="shared" si="1266"/>
        <v>5</v>
      </c>
      <c r="BX547" s="4">
        <f t="shared" si="1266"/>
        <v>0.56999999999999995</v>
      </c>
      <c r="BY547" s="4">
        <f t="shared" si="1266"/>
        <v>0.35000000000000003</v>
      </c>
      <c r="BZ547" s="27" t="s">
        <v>1014</v>
      </c>
      <c r="CA547" s="30" t="str">
        <f t="shared" si="1261"/>
        <v>5</v>
      </c>
      <c r="CB547" s="30" t="s">
        <v>917</v>
      </c>
      <c r="CC547" s="5">
        <v>0</v>
      </c>
      <c r="CD547" s="8">
        <v>3</v>
      </c>
      <c r="CE547" s="5">
        <f t="shared" si="1238"/>
        <v>5</v>
      </c>
      <c r="CF547" s="5">
        <v>1</v>
      </c>
      <c r="CG547" s="27" t="str">
        <f t="shared" si="1244"/>
        <v>5级潮汐龙</v>
      </c>
      <c r="CH547" s="5">
        <v>0</v>
      </c>
      <c r="CI547" s="5">
        <v>0</v>
      </c>
      <c r="CJ547" s="4">
        <v>0</v>
      </c>
      <c r="CK547" s="20">
        <v>0</v>
      </c>
      <c r="CL547" s="5">
        <v>0</v>
      </c>
      <c r="CM547" s="20">
        <v>114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20">
        <v>2.5</v>
      </c>
      <c r="CW547" s="20">
        <v>3</v>
      </c>
      <c r="CX547" s="20">
        <v>2.5</v>
      </c>
      <c r="CY547" s="20">
        <v>3.5</v>
      </c>
      <c r="CZ547" s="8">
        <v>200</v>
      </c>
      <c r="DA547" s="6">
        <f t="shared" si="1251"/>
        <v>25000</v>
      </c>
      <c r="DB547" s="5">
        <v>1</v>
      </c>
      <c r="DC547" s="20">
        <f t="shared" si="1239"/>
        <v>1.7999999999999998</v>
      </c>
      <c r="DD547" s="6">
        <f t="shared" si="1252"/>
        <v>0.6</v>
      </c>
      <c r="DE547" s="6">
        <v>1</v>
      </c>
      <c r="DF547" s="5">
        <v>0</v>
      </c>
      <c r="DG547" s="6">
        <v>2.5</v>
      </c>
      <c r="DH547" s="5">
        <v>0</v>
      </c>
      <c r="DI547" s="8">
        <v>0</v>
      </c>
      <c r="DJ547" s="5">
        <v>0</v>
      </c>
      <c r="DK547" s="8">
        <v>0</v>
      </c>
      <c r="DL547" s="5">
        <f t="shared" si="1210"/>
        <v>0</v>
      </c>
      <c r="DM547" s="5" t="str">
        <f t="shared" si="1241"/>
        <v>5级潮汐龙</v>
      </c>
      <c r="DN547" s="5">
        <v>6</v>
      </c>
      <c r="DO547" s="5">
        <v>0</v>
      </c>
      <c r="DP547" s="5">
        <v>1</v>
      </c>
      <c r="DQ547" s="5">
        <v>1</v>
      </c>
      <c r="DR547" s="5">
        <v>2.5</v>
      </c>
      <c r="DS547" s="6">
        <v>3.5</v>
      </c>
      <c r="DT547" s="5">
        <v>-0.6</v>
      </c>
      <c r="DU547" s="5">
        <v>0.8</v>
      </c>
      <c r="DV547" s="6">
        <v>0.5</v>
      </c>
      <c r="DW547" s="5">
        <f t="shared" si="1253"/>
        <v>0.66666666666666663</v>
      </c>
      <c r="DX547" s="5">
        <v>8</v>
      </c>
      <c r="DY547" s="5">
        <f t="shared" si="1254"/>
        <v>0</v>
      </c>
      <c r="DZ547" s="5">
        <v>0</v>
      </c>
    </row>
    <row r="548" spans="1:130" x14ac:dyDescent="0.15">
      <c r="A548" s="5">
        <v>201546</v>
      </c>
      <c r="B548" s="28" t="s">
        <v>871</v>
      </c>
      <c r="C548" s="27">
        <v>25</v>
      </c>
      <c r="D548" s="27">
        <v>1</v>
      </c>
      <c r="E548" s="27">
        <v>3</v>
      </c>
      <c r="F548" s="5">
        <v>2</v>
      </c>
      <c r="G548" s="46">
        <f t="shared" si="1255"/>
        <v>0.34859999999999991</v>
      </c>
      <c r="H548" s="27"/>
      <c r="I548" s="27" t="s">
        <v>975</v>
      </c>
      <c r="J548" s="27"/>
      <c r="K548" s="5">
        <f t="shared" si="1229"/>
        <v>0.05</v>
      </c>
      <c r="L548" s="10">
        <v>0</v>
      </c>
      <c r="M548" s="5">
        <f t="shared" si="1230"/>
        <v>0.2</v>
      </c>
      <c r="N548" s="10">
        <v>3</v>
      </c>
      <c r="O548" s="5">
        <v>0</v>
      </c>
      <c r="P548" s="5">
        <f t="shared" si="1232"/>
        <v>0.2</v>
      </c>
      <c r="Q548" s="5">
        <v>2</v>
      </c>
      <c r="R548" s="5">
        <f t="shared" si="1256"/>
        <v>903934</v>
      </c>
      <c r="S548" s="5">
        <v>30</v>
      </c>
      <c r="T548" s="5">
        <v>10</v>
      </c>
      <c r="U548" s="5">
        <v>0.3</v>
      </c>
      <c r="V548" s="5">
        <v>0.15</v>
      </c>
      <c r="W548" s="5">
        <v>9</v>
      </c>
      <c r="X548" s="5">
        <v>-0.6</v>
      </c>
      <c r="Y548" s="5">
        <v>1.8</v>
      </c>
      <c r="Z548" s="27" t="s">
        <v>1049</v>
      </c>
      <c r="AA548" s="5">
        <v>3</v>
      </c>
      <c r="AB548" s="5">
        <v>2</v>
      </c>
      <c r="AC548" s="5">
        <v>6</v>
      </c>
      <c r="AD548" s="27" t="s">
        <v>1050</v>
      </c>
      <c r="AE548" s="20">
        <v>129</v>
      </c>
      <c r="AF548" s="5">
        <f t="shared" si="1257"/>
        <v>903950</v>
      </c>
      <c r="AG548" s="5">
        <v>60</v>
      </c>
      <c r="AH548" s="5">
        <f t="shared" si="1233"/>
        <v>0.1</v>
      </c>
      <c r="AI548" s="5">
        <v>2</v>
      </c>
      <c r="AJ548" s="5">
        <v>1</v>
      </c>
      <c r="AK548" s="5">
        <f t="shared" si="1258"/>
        <v>30</v>
      </c>
      <c r="AL548" s="5">
        <f t="shared" si="1234"/>
        <v>54</v>
      </c>
      <c r="AM548" s="5">
        <f t="shared" si="1235"/>
        <v>72</v>
      </c>
      <c r="AN548" s="8">
        <v>3</v>
      </c>
      <c r="AO548" s="5">
        <v>1</v>
      </c>
      <c r="AP548" s="28" t="s">
        <v>871</v>
      </c>
      <c r="AQ548" s="5">
        <v>0</v>
      </c>
      <c r="AR548" s="8">
        <v>0</v>
      </c>
      <c r="AS548" s="6">
        <f t="shared" si="1211"/>
        <v>0</v>
      </c>
      <c r="AT548" s="6">
        <f t="shared" si="1212"/>
        <v>18</v>
      </c>
      <c r="AU548" s="5">
        <v>0</v>
      </c>
      <c r="AV548" s="5">
        <v>0</v>
      </c>
      <c r="AW548" s="5">
        <v>0</v>
      </c>
      <c r="AX548" s="5">
        <v>1</v>
      </c>
      <c r="AY548" s="5">
        <v>0</v>
      </c>
      <c r="AZ548" s="5">
        <v>201546</v>
      </c>
      <c r="BA548" s="5">
        <f t="shared" si="1259"/>
        <v>203056</v>
      </c>
      <c r="BB548" s="5">
        <v>10</v>
      </c>
      <c r="BC548" s="5">
        <v>0</v>
      </c>
      <c r="BD548" s="5">
        <v>1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f t="shared" si="1204"/>
        <v>1</v>
      </c>
      <c r="BM548" s="5">
        <v>0</v>
      </c>
      <c r="BN548" s="5">
        <v>0</v>
      </c>
      <c r="BO548" s="5">
        <v>0</v>
      </c>
      <c r="BP548" s="5">
        <v>0</v>
      </c>
      <c r="BQ548" s="5"/>
      <c r="BR548" s="5"/>
      <c r="BS548" s="4">
        <v>0</v>
      </c>
      <c r="BT548" s="4">
        <f t="shared" si="1236"/>
        <v>6</v>
      </c>
      <c r="BU548" s="17">
        <v>136</v>
      </c>
      <c r="BV548" s="4">
        <f t="shared" ref="BV548:BY548" si="1267">BV538</f>
        <v>6</v>
      </c>
      <c r="BW548" s="4">
        <f t="shared" si="1267"/>
        <v>6</v>
      </c>
      <c r="BX548" s="4">
        <f t="shared" si="1267"/>
        <v>0.49999999999999994</v>
      </c>
      <c r="BY548" s="4">
        <f t="shared" si="1267"/>
        <v>0.30000000000000004</v>
      </c>
      <c r="BZ548" s="27" t="s">
        <v>1014</v>
      </c>
      <c r="CA548" s="30" t="str">
        <f t="shared" si="1261"/>
        <v>6</v>
      </c>
      <c r="CB548" s="30" t="s">
        <v>917</v>
      </c>
      <c r="CC548" s="5">
        <v>0</v>
      </c>
      <c r="CD548" s="8">
        <v>3</v>
      </c>
      <c r="CE548" s="5">
        <f t="shared" si="1238"/>
        <v>6</v>
      </c>
      <c r="CF548" s="5">
        <v>1</v>
      </c>
      <c r="CG548" s="27" t="str">
        <f t="shared" si="1244"/>
        <v>6级潮汐龙</v>
      </c>
      <c r="CH548" s="5">
        <v>0</v>
      </c>
      <c r="CI548" s="5">
        <v>0</v>
      </c>
      <c r="CJ548" s="4">
        <v>0</v>
      </c>
      <c r="CK548" s="20">
        <v>0</v>
      </c>
      <c r="CL548" s="5">
        <v>0</v>
      </c>
      <c r="CM548" s="20">
        <v>114</v>
      </c>
      <c r="CN548" s="5">
        <v>0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20">
        <v>2.5</v>
      </c>
      <c r="CW548" s="20">
        <v>3</v>
      </c>
      <c r="CX548" s="20">
        <v>2.5</v>
      </c>
      <c r="CY548" s="20">
        <v>3.5</v>
      </c>
      <c r="CZ548" s="8">
        <v>200</v>
      </c>
      <c r="DA548" s="6">
        <f t="shared" si="1251"/>
        <v>30000</v>
      </c>
      <c r="DB548" s="5">
        <v>1</v>
      </c>
      <c r="DC548" s="20">
        <f t="shared" si="1239"/>
        <v>1.875</v>
      </c>
      <c r="DD548" s="6">
        <f t="shared" si="1252"/>
        <v>0.625</v>
      </c>
      <c r="DE548" s="6">
        <v>1</v>
      </c>
      <c r="DF548" s="5">
        <v>0</v>
      </c>
      <c r="DG548" s="6">
        <v>2.5</v>
      </c>
      <c r="DH548" s="5">
        <v>0</v>
      </c>
      <c r="DI548" s="8">
        <v>0</v>
      </c>
      <c r="DJ548" s="5">
        <v>0</v>
      </c>
      <c r="DK548" s="8">
        <v>0</v>
      </c>
      <c r="DL548" s="5">
        <f t="shared" si="1210"/>
        <v>0</v>
      </c>
      <c r="DM548" s="5" t="str">
        <f t="shared" si="1241"/>
        <v>6级潮汐龙</v>
      </c>
      <c r="DN548" s="5">
        <v>6</v>
      </c>
      <c r="DO548" s="5">
        <v>0</v>
      </c>
      <c r="DP548" s="5">
        <v>1</v>
      </c>
      <c r="DQ548" s="5">
        <v>1</v>
      </c>
      <c r="DR548" s="5">
        <v>2.5</v>
      </c>
      <c r="DS548" s="6">
        <v>3.5</v>
      </c>
      <c r="DT548" s="5">
        <v>-0.6</v>
      </c>
      <c r="DU548" s="5">
        <v>0.8</v>
      </c>
      <c r="DV548" s="6">
        <v>0.5</v>
      </c>
      <c r="DW548" s="5">
        <f t="shared" si="1253"/>
        <v>0.66666666666666663</v>
      </c>
      <c r="DX548" s="5">
        <v>8</v>
      </c>
      <c r="DY548" s="5">
        <f t="shared" si="1254"/>
        <v>0</v>
      </c>
      <c r="DZ548" s="5">
        <v>0</v>
      </c>
    </row>
    <row r="549" spans="1:130" x14ac:dyDescent="0.15">
      <c r="A549" s="5">
        <v>201547</v>
      </c>
      <c r="B549" s="28" t="s">
        <v>872</v>
      </c>
      <c r="C549" s="27">
        <v>25</v>
      </c>
      <c r="D549" s="27">
        <v>1</v>
      </c>
      <c r="E549" s="27">
        <v>3</v>
      </c>
      <c r="F549" s="5">
        <v>2</v>
      </c>
      <c r="G549" s="46">
        <f t="shared" si="1255"/>
        <v>0.34859999999999991</v>
      </c>
      <c r="H549" s="27"/>
      <c r="I549" s="27" t="s">
        <v>975</v>
      </c>
      <c r="J549" s="27"/>
      <c r="K549" s="5">
        <f t="shared" si="1229"/>
        <v>0.06</v>
      </c>
      <c r="L549" s="10">
        <v>0</v>
      </c>
      <c r="M549" s="5">
        <f t="shared" si="1230"/>
        <v>0.21</v>
      </c>
      <c r="N549" s="10">
        <v>3</v>
      </c>
      <c r="O549" s="5">
        <v>0</v>
      </c>
      <c r="P549" s="5">
        <f t="shared" si="1232"/>
        <v>0.2</v>
      </c>
      <c r="Q549" s="5">
        <v>2</v>
      </c>
      <c r="R549" s="5">
        <f t="shared" si="1256"/>
        <v>903934</v>
      </c>
      <c r="S549" s="5">
        <v>30</v>
      </c>
      <c r="T549" s="5">
        <v>10</v>
      </c>
      <c r="U549" s="5">
        <v>0.3</v>
      </c>
      <c r="V549" s="5">
        <v>0.15</v>
      </c>
      <c r="W549" s="5">
        <v>9</v>
      </c>
      <c r="X549" s="5">
        <v>-0.6</v>
      </c>
      <c r="Y549" s="5">
        <v>1.8</v>
      </c>
      <c r="Z549" s="27" t="s">
        <v>1049</v>
      </c>
      <c r="AA549" s="5">
        <v>3</v>
      </c>
      <c r="AB549" s="5">
        <v>2</v>
      </c>
      <c r="AC549" s="5">
        <v>6</v>
      </c>
      <c r="AD549" s="27" t="s">
        <v>1050</v>
      </c>
      <c r="AE549" s="20">
        <v>129</v>
      </c>
      <c r="AF549" s="5">
        <f t="shared" si="1257"/>
        <v>903950</v>
      </c>
      <c r="AG549" s="5">
        <v>60</v>
      </c>
      <c r="AH549" s="5">
        <f t="shared" si="1233"/>
        <v>0.1</v>
      </c>
      <c r="AI549" s="5">
        <v>2</v>
      </c>
      <c r="AJ549" s="5">
        <v>1</v>
      </c>
      <c r="AK549" s="5">
        <f t="shared" si="1258"/>
        <v>35</v>
      </c>
      <c r="AL549" s="5">
        <f t="shared" si="1234"/>
        <v>63</v>
      </c>
      <c r="AM549" s="5">
        <f t="shared" si="1235"/>
        <v>84</v>
      </c>
      <c r="AN549" s="8">
        <v>3</v>
      </c>
      <c r="AO549" s="5">
        <v>1</v>
      </c>
      <c r="AP549" s="28" t="s">
        <v>872</v>
      </c>
      <c r="AQ549" s="5">
        <v>0</v>
      </c>
      <c r="AR549" s="8">
        <v>0</v>
      </c>
      <c r="AS549" s="6">
        <f t="shared" si="1211"/>
        <v>0</v>
      </c>
      <c r="AT549" s="6">
        <f t="shared" si="1212"/>
        <v>21</v>
      </c>
      <c r="AU549" s="5">
        <v>0</v>
      </c>
      <c r="AV549" s="5">
        <v>0</v>
      </c>
      <c r="AW549" s="5">
        <v>0</v>
      </c>
      <c r="AX549" s="5">
        <v>1</v>
      </c>
      <c r="AY549" s="5">
        <v>0</v>
      </c>
      <c r="AZ549" s="5">
        <v>201547</v>
      </c>
      <c r="BA549" s="5">
        <f t="shared" si="1259"/>
        <v>203056</v>
      </c>
      <c r="BB549" s="5">
        <v>10</v>
      </c>
      <c r="BC549" s="5">
        <v>0</v>
      </c>
      <c r="BD549" s="5">
        <v>1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f t="shared" si="1204"/>
        <v>1</v>
      </c>
      <c r="BM549" s="5">
        <v>0</v>
      </c>
      <c r="BN549" s="5">
        <v>0</v>
      </c>
      <c r="BO549" s="5">
        <v>0</v>
      </c>
      <c r="BP549" s="5">
        <v>0</v>
      </c>
      <c r="BQ549" s="5"/>
      <c r="BR549" s="5"/>
      <c r="BS549" s="4">
        <v>0</v>
      </c>
      <c r="BT549" s="4">
        <f t="shared" si="1236"/>
        <v>7</v>
      </c>
      <c r="BU549" s="17">
        <v>137</v>
      </c>
      <c r="BV549" s="4">
        <f t="shared" ref="BV549:BY549" si="1268">BV539</f>
        <v>7</v>
      </c>
      <c r="BW549" s="4">
        <f t="shared" si="1268"/>
        <v>7</v>
      </c>
      <c r="BX549" s="4">
        <f t="shared" si="1268"/>
        <v>0.42999999999999994</v>
      </c>
      <c r="BY549" s="4">
        <f t="shared" si="1268"/>
        <v>0.25</v>
      </c>
      <c r="BZ549" s="27" t="s">
        <v>1014</v>
      </c>
      <c r="CA549" s="30" t="str">
        <f t="shared" si="1261"/>
        <v>7</v>
      </c>
      <c r="CB549" s="30" t="s">
        <v>917</v>
      </c>
      <c r="CC549" s="5">
        <v>0</v>
      </c>
      <c r="CD549" s="8">
        <v>3</v>
      </c>
      <c r="CE549" s="5">
        <f t="shared" si="1238"/>
        <v>7</v>
      </c>
      <c r="CF549" s="5">
        <v>1</v>
      </c>
      <c r="CG549" s="27" t="str">
        <f t="shared" si="1244"/>
        <v>7级潮汐龙</v>
      </c>
      <c r="CH549" s="5">
        <v>0</v>
      </c>
      <c r="CI549" s="5">
        <v>0</v>
      </c>
      <c r="CJ549" s="4">
        <v>0</v>
      </c>
      <c r="CK549" s="20">
        <v>0</v>
      </c>
      <c r="CL549" s="5">
        <v>0</v>
      </c>
      <c r="CM549" s="20">
        <v>114</v>
      </c>
      <c r="CN549" s="5">
        <v>0</v>
      </c>
      <c r="CO549" s="5">
        <v>0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0</v>
      </c>
      <c r="CV549" s="20">
        <v>2.5</v>
      </c>
      <c r="CW549" s="20">
        <v>3</v>
      </c>
      <c r="CX549" s="20">
        <v>2.5</v>
      </c>
      <c r="CY549" s="20">
        <v>3.5</v>
      </c>
      <c r="CZ549" s="8">
        <v>200</v>
      </c>
      <c r="DA549" s="6">
        <f t="shared" si="1251"/>
        <v>35000</v>
      </c>
      <c r="DB549" s="5">
        <v>1</v>
      </c>
      <c r="DC549" s="20">
        <f t="shared" si="1239"/>
        <v>1.9500000000000002</v>
      </c>
      <c r="DD549" s="6">
        <f t="shared" si="1252"/>
        <v>0.65</v>
      </c>
      <c r="DE549" s="6">
        <v>1</v>
      </c>
      <c r="DF549" s="5">
        <v>0</v>
      </c>
      <c r="DG549" s="6">
        <v>2.5</v>
      </c>
      <c r="DH549" s="5">
        <v>0</v>
      </c>
      <c r="DI549" s="8">
        <v>0</v>
      </c>
      <c r="DJ549" s="5">
        <v>0</v>
      </c>
      <c r="DK549" s="8">
        <v>0</v>
      </c>
      <c r="DL549" s="5">
        <f t="shared" si="1210"/>
        <v>0</v>
      </c>
      <c r="DM549" s="5" t="str">
        <f t="shared" si="1241"/>
        <v>7级潮汐龙</v>
      </c>
      <c r="DN549" s="5">
        <v>6</v>
      </c>
      <c r="DO549" s="5">
        <v>0</v>
      </c>
      <c r="DP549" s="5">
        <v>1</v>
      </c>
      <c r="DQ549" s="5">
        <v>1</v>
      </c>
      <c r="DR549" s="5">
        <v>2.5</v>
      </c>
      <c r="DS549" s="6">
        <v>3.5</v>
      </c>
      <c r="DT549" s="5">
        <v>-0.6</v>
      </c>
      <c r="DU549" s="5">
        <v>0.8</v>
      </c>
      <c r="DV549" s="6">
        <v>0.5</v>
      </c>
      <c r="DW549" s="5">
        <f t="shared" si="1253"/>
        <v>0.66666666666666663</v>
      </c>
      <c r="DX549" s="5">
        <v>8</v>
      </c>
      <c r="DY549" s="5">
        <f t="shared" si="1254"/>
        <v>0</v>
      </c>
      <c r="DZ549" s="5">
        <v>0</v>
      </c>
    </row>
    <row r="550" spans="1:130" x14ac:dyDescent="0.15">
      <c r="A550" s="5">
        <v>201548</v>
      </c>
      <c r="B550" s="28" t="s">
        <v>873</v>
      </c>
      <c r="C550" s="27">
        <v>25</v>
      </c>
      <c r="D550" s="27">
        <v>1</v>
      </c>
      <c r="E550" s="27">
        <v>3</v>
      </c>
      <c r="F550" s="5">
        <v>2</v>
      </c>
      <c r="G550" s="46">
        <f t="shared" si="1255"/>
        <v>0.34859999999999991</v>
      </c>
      <c r="H550" s="27"/>
      <c r="I550" s="27" t="s">
        <v>975</v>
      </c>
      <c r="J550" s="27"/>
      <c r="K550" s="5">
        <f t="shared" si="1229"/>
        <v>7.0000000000000007E-2</v>
      </c>
      <c r="L550" s="10">
        <v>0</v>
      </c>
      <c r="M550" s="5">
        <f t="shared" si="1230"/>
        <v>0.22</v>
      </c>
      <c r="N550" s="10">
        <v>3</v>
      </c>
      <c r="O550" s="5">
        <v>0</v>
      </c>
      <c r="P550" s="5">
        <f t="shared" si="1232"/>
        <v>0.2</v>
      </c>
      <c r="Q550" s="5">
        <v>2</v>
      </c>
      <c r="R550" s="5">
        <f t="shared" si="1256"/>
        <v>903934</v>
      </c>
      <c r="S550" s="5">
        <v>30</v>
      </c>
      <c r="T550" s="5">
        <v>10</v>
      </c>
      <c r="U550" s="5">
        <v>0.3</v>
      </c>
      <c r="V550" s="5">
        <v>0.15</v>
      </c>
      <c r="W550" s="5">
        <v>9</v>
      </c>
      <c r="X550" s="5">
        <v>-0.6</v>
      </c>
      <c r="Y550" s="5">
        <v>1.8</v>
      </c>
      <c r="Z550" s="27" t="s">
        <v>1049</v>
      </c>
      <c r="AA550" s="5">
        <v>3</v>
      </c>
      <c r="AB550" s="5">
        <v>2</v>
      </c>
      <c r="AC550" s="5">
        <v>6</v>
      </c>
      <c r="AD550" s="27" t="s">
        <v>1050</v>
      </c>
      <c r="AE550" s="20">
        <v>129</v>
      </c>
      <c r="AF550" s="5">
        <f t="shared" si="1257"/>
        <v>903950</v>
      </c>
      <c r="AG550" s="5">
        <v>60</v>
      </c>
      <c r="AH550" s="5">
        <f t="shared" si="1233"/>
        <v>0.1</v>
      </c>
      <c r="AI550" s="5">
        <v>2</v>
      </c>
      <c r="AJ550" s="5">
        <v>1</v>
      </c>
      <c r="AK550" s="5">
        <f t="shared" si="1258"/>
        <v>40</v>
      </c>
      <c r="AL550" s="5">
        <f t="shared" si="1234"/>
        <v>72</v>
      </c>
      <c r="AM550" s="5">
        <f t="shared" si="1235"/>
        <v>96</v>
      </c>
      <c r="AN550" s="8">
        <v>3</v>
      </c>
      <c r="AO550" s="5">
        <v>1</v>
      </c>
      <c r="AP550" s="28" t="s">
        <v>873</v>
      </c>
      <c r="AQ550" s="5">
        <v>0</v>
      </c>
      <c r="AR550" s="8">
        <v>0</v>
      </c>
      <c r="AS550" s="6">
        <f t="shared" si="1211"/>
        <v>0</v>
      </c>
      <c r="AT550" s="6">
        <f t="shared" si="1212"/>
        <v>24</v>
      </c>
      <c r="AU550" s="5">
        <v>0</v>
      </c>
      <c r="AV550" s="5">
        <v>0</v>
      </c>
      <c r="AW550" s="5">
        <v>0</v>
      </c>
      <c r="AX550" s="5">
        <v>1</v>
      </c>
      <c r="AY550" s="5">
        <v>0</v>
      </c>
      <c r="AZ550" s="5">
        <v>201548</v>
      </c>
      <c r="BA550" s="5">
        <f t="shared" si="1259"/>
        <v>203056</v>
      </c>
      <c r="BB550" s="5">
        <v>10</v>
      </c>
      <c r="BC550" s="5">
        <v>0</v>
      </c>
      <c r="BD550" s="5">
        <v>1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f t="shared" si="1204"/>
        <v>1</v>
      </c>
      <c r="BM550" s="5">
        <v>0</v>
      </c>
      <c r="BN550" s="5">
        <v>0</v>
      </c>
      <c r="BO550" s="5">
        <v>0</v>
      </c>
      <c r="BP550" s="5">
        <v>0</v>
      </c>
      <c r="BQ550" s="5"/>
      <c r="BR550" s="5"/>
      <c r="BS550" s="4">
        <v>0</v>
      </c>
      <c r="BT550" s="4">
        <f t="shared" si="1236"/>
        <v>8</v>
      </c>
      <c r="BU550" s="17">
        <v>138</v>
      </c>
      <c r="BV550" s="4">
        <f t="shared" ref="BV550:BY550" si="1269">BV540</f>
        <v>8</v>
      </c>
      <c r="BW550" s="4">
        <f t="shared" si="1269"/>
        <v>8</v>
      </c>
      <c r="BX550" s="4">
        <f t="shared" si="1269"/>
        <v>0.35999999999999993</v>
      </c>
      <c r="BY550" s="4">
        <f t="shared" si="1269"/>
        <v>0.2</v>
      </c>
      <c r="BZ550" s="27" t="s">
        <v>1014</v>
      </c>
      <c r="CA550" s="30" t="str">
        <f t="shared" si="1261"/>
        <v>8</v>
      </c>
      <c r="CB550" s="30" t="s">
        <v>917</v>
      </c>
      <c r="CC550" s="5">
        <v>0</v>
      </c>
      <c r="CD550" s="8">
        <v>3</v>
      </c>
      <c r="CE550" s="5">
        <f t="shared" si="1238"/>
        <v>8</v>
      </c>
      <c r="CF550" s="5">
        <v>1</v>
      </c>
      <c r="CG550" s="27" t="str">
        <f t="shared" si="1244"/>
        <v>8级潮汐龙</v>
      </c>
      <c r="CH550" s="5">
        <v>0</v>
      </c>
      <c r="CI550" s="5">
        <v>0</v>
      </c>
      <c r="CJ550" s="4">
        <v>0</v>
      </c>
      <c r="CK550" s="20">
        <v>0</v>
      </c>
      <c r="CL550" s="5">
        <v>0</v>
      </c>
      <c r="CM550" s="20">
        <v>114</v>
      </c>
      <c r="CN550" s="5">
        <v>0</v>
      </c>
      <c r="CO550" s="5">
        <v>0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20">
        <v>2.5</v>
      </c>
      <c r="CW550" s="20">
        <v>3</v>
      </c>
      <c r="CX550" s="20">
        <v>2.5</v>
      </c>
      <c r="CY550" s="20">
        <v>3.5</v>
      </c>
      <c r="CZ550" s="8">
        <v>200</v>
      </c>
      <c r="DA550" s="6">
        <f t="shared" si="1251"/>
        <v>40000</v>
      </c>
      <c r="DB550" s="5">
        <v>1</v>
      </c>
      <c r="DC550" s="20">
        <f t="shared" si="1239"/>
        <v>2.0250000000000004</v>
      </c>
      <c r="DD550" s="6">
        <f t="shared" si="1252"/>
        <v>0.67500000000000004</v>
      </c>
      <c r="DE550" s="6">
        <v>1</v>
      </c>
      <c r="DF550" s="5">
        <v>0</v>
      </c>
      <c r="DG550" s="6">
        <v>2.5</v>
      </c>
      <c r="DH550" s="5">
        <v>0</v>
      </c>
      <c r="DI550" s="8">
        <v>0</v>
      </c>
      <c r="DJ550" s="5">
        <v>0</v>
      </c>
      <c r="DK550" s="8">
        <v>0</v>
      </c>
      <c r="DL550" s="5">
        <f t="shared" si="1210"/>
        <v>0</v>
      </c>
      <c r="DM550" s="5" t="str">
        <f t="shared" si="1241"/>
        <v>8级潮汐龙</v>
      </c>
      <c r="DN550" s="5">
        <v>6</v>
      </c>
      <c r="DO550" s="5">
        <v>0</v>
      </c>
      <c r="DP550" s="5">
        <v>1</v>
      </c>
      <c r="DQ550" s="5">
        <v>1</v>
      </c>
      <c r="DR550" s="5">
        <v>2.5</v>
      </c>
      <c r="DS550" s="6">
        <v>3.5</v>
      </c>
      <c r="DT550" s="5">
        <v>-0.6</v>
      </c>
      <c r="DU550" s="5">
        <v>0.8</v>
      </c>
      <c r="DV550" s="6">
        <v>0.5</v>
      </c>
      <c r="DW550" s="5">
        <f t="shared" si="1253"/>
        <v>0.66666666666666663</v>
      </c>
      <c r="DX550" s="5">
        <v>8</v>
      </c>
      <c r="DY550" s="5">
        <f t="shared" si="1254"/>
        <v>0</v>
      </c>
      <c r="DZ550" s="5">
        <v>0</v>
      </c>
    </row>
    <row r="551" spans="1:130" x14ac:dyDescent="0.15">
      <c r="A551" s="5">
        <v>201549</v>
      </c>
      <c r="B551" s="28" t="s">
        <v>874</v>
      </c>
      <c r="C551" s="27">
        <v>25</v>
      </c>
      <c r="D551" s="27">
        <v>1</v>
      </c>
      <c r="E551" s="27">
        <v>3</v>
      </c>
      <c r="F551" s="5">
        <v>2</v>
      </c>
      <c r="G551" s="46">
        <f t="shared" si="1255"/>
        <v>0.34859999999999991</v>
      </c>
      <c r="H551" s="27"/>
      <c r="I551" s="27" t="s">
        <v>975</v>
      </c>
      <c r="J551" s="27"/>
      <c r="K551" s="5">
        <f t="shared" si="1229"/>
        <v>0.08</v>
      </c>
      <c r="L551" s="10">
        <v>0</v>
      </c>
      <c r="M551" s="5">
        <f t="shared" si="1230"/>
        <v>0.22999999999999998</v>
      </c>
      <c r="N551" s="10">
        <v>3</v>
      </c>
      <c r="O551" s="5">
        <v>0</v>
      </c>
      <c r="P551" s="5">
        <f t="shared" si="1232"/>
        <v>0.2</v>
      </c>
      <c r="Q551" s="5">
        <v>2</v>
      </c>
      <c r="R551" s="5">
        <f t="shared" si="1256"/>
        <v>903934</v>
      </c>
      <c r="S551" s="5">
        <v>30</v>
      </c>
      <c r="T551" s="5">
        <v>10</v>
      </c>
      <c r="U551" s="5">
        <v>0.3</v>
      </c>
      <c r="V551" s="5">
        <v>0.15</v>
      </c>
      <c r="W551" s="5">
        <v>9</v>
      </c>
      <c r="X551" s="5">
        <v>-0.6</v>
      </c>
      <c r="Y551" s="5">
        <v>1.8</v>
      </c>
      <c r="Z551" s="27" t="s">
        <v>1049</v>
      </c>
      <c r="AA551" s="5">
        <v>3</v>
      </c>
      <c r="AB551" s="5">
        <v>2</v>
      </c>
      <c r="AC551" s="5">
        <v>6</v>
      </c>
      <c r="AD551" s="27" t="s">
        <v>1050</v>
      </c>
      <c r="AE551" s="20">
        <v>129</v>
      </c>
      <c r="AF551" s="5">
        <f t="shared" si="1257"/>
        <v>903950</v>
      </c>
      <c r="AG551" s="5">
        <v>60</v>
      </c>
      <c r="AH551" s="5">
        <f t="shared" si="1233"/>
        <v>0.1</v>
      </c>
      <c r="AI551" s="5">
        <v>2</v>
      </c>
      <c r="AJ551" s="5">
        <v>1</v>
      </c>
      <c r="AK551" s="5">
        <f t="shared" si="1258"/>
        <v>45</v>
      </c>
      <c r="AL551" s="5">
        <f t="shared" si="1234"/>
        <v>81</v>
      </c>
      <c r="AM551" s="5">
        <f t="shared" si="1235"/>
        <v>108</v>
      </c>
      <c r="AN551" s="8">
        <v>3</v>
      </c>
      <c r="AO551" s="5">
        <v>1</v>
      </c>
      <c r="AP551" s="28" t="s">
        <v>874</v>
      </c>
      <c r="AQ551" s="5">
        <v>0</v>
      </c>
      <c r="AR551" s="8">
        <v>0</v>
      </c>
      <c r="AS551" s="6">
        <f t="shared" si="1211"/>
        <v>0</v>
      </c>
      <c r="AT551" s="6">
        <f t="shared" si="1212"/>
        <v>27</v>
      </c>
      <c r="AU551" s="5">
        <v>0</v>
      </c>
      <c r="AV551" s="5">
        <v>0</v>
      </c>
      <c r="AW551" s="5">
        <v>0</v>
      </c>
      <c r="AX551" s="5">
        <v>1</v>
      </c>
      <c r="AY551" s="5">
        <v>0</v>
      </c>
      <c r="AZ551" s="5">
        <v>201549</v>
      </c>
      <c r="BA551" s="5">
        <f t="shared" si="1259"/>
        <v>203056</v>
      </c>
      <c r="BB551" s="5">
        <v>10</v>
      </c>
      <c r="BC551" s="5">
        <v>0</v>
      </c>
      <c r="BD551" s="5">
        <v>1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f t="shared" si="1204"/>
        <v>1</v>
      </c>
      <c r="BM551" s="5">
        <v>0</v>
      </c>
      <c r="BN551" s="5">
        <v>0</v>
      </c>
      <c r="BO551" s="5">
        <v>0</v>
      </c>
      <c r="BP551" s="5">
        <v>0</v>
      </c>
      <c r="BQ551" s="5"/>
      <c r="BR551" s="5"/>
      <c r="BS551" s="4">
        <v>0</v>
      </c>
      <c r="BT551" s="4">
        <f t="shared" si="1236"/>
        <v>9</v>
      </c>
      <c r="BU551" s="17">
        <v>139</v>
      </c>
      <c r="BV551" s="4">
        <f t="shared" ref="BV551:BY551" si="1270">BV541</f>
        <v>9</v>
      </c>
      <c r="BW551" s="4">
        <f t="shared" si="1270"/>
        <v>9</v>
      </c>
      <c r="BX551" s="4">
        <f t="shared" si="1270"/>
        <v>0.28999999999999992</v>
      </c>
      <c r="BY551" s="4">
        <f t="shared" si="1270"/>
        <v>0.15000000000000002</v>
      </c>
      <c r="BZ551" s="27" t="s">
        <v>1014</v>
      </c>
      <c r="CA551" s="30" t="str">
        <f t="shared" si="1261"/>
        <v>9</v>
      </c>
      <c r="CB551" s="30" t="s">
        <v>917</v>
      </c>
      <c r="CC551" s="5">
        <v>0</v>
      </c>
      <c r="CD551" s="8">
        <v>3</v>
      </c>
      <c r="CE551" s="5">
        <f t="shared" si="1238"/>
        <v>9</v>
      </c>
      <c r="CF551" s="5">
        <v>1</v>
      </c>
      <c r="CG551" s="27" t="str">
        <f t="shared" si="1244"/>
        <v>9级潮汐龙</v>
      </c>
      <c r="CH551" s="5">
        <v>0</v>
      </c>
      <c r="CI551" s="5">
        <v>0</v>
      </c>
      <c r="CJ551" s="4">
        <v>0</v>
      </c>
      <c r="CK551" s="20">
        <v>0</v>
      </c>
      <c r="CL551" s="5">
        <v>0</v>
      </c>
      <c r="CM551" s="20">
        <v>114</v>
      </c>
      <c r="CN551" s="5">
        <v>0</v>
      </c>
      <c r="CO551" s="5">
        <v>0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20">
        <v>2.5</v>
      </c>
      <c r="CW551" s="20">
        <v>3</v>
      </c>
      <c r="CX551" s="20">
        <v>2.5</v>
      </c>
      <c r="CY551" s="20">
        <v>3.5</v>
      </c>
      <c r="CZ551" s="8">
        <v>200</v>
      </c>
      <c r="DA551" s="6">
        <f t="shared" si="1251"/>
        <v>45000</v>
      </c>
      <c r="DB551" s="5">
        <v>1</v>
      </c>
      <c r="DC551" s="20">
        <f t="shared" si="1239"/>
        <v>2.0999999999999996</v>
      </c>
      <c r="DD551" s="6">
        <f t="shared" si="1252"/>
        <v>0.7</v>
      </c>
      <c r="DE551" s="6">
        <v>1</v>
      </c>
      <c r="DF551" s="5">
        <v>0</v>
      </c>
      <c r="DG551" s="6">
        <v>2.5</v>
      </c>
      <c r="DH551" s="5">
        <v>0</v>
      </c>
      <c r="DI551" s="8">
        <v>0</v>
      </c>
      <c r="DJ551" s="5">
        <v>0</v>
      </c>
      <c r="DK551" s="8">
        <v>0</v>
      </c>
      <c r="DL551" s="5">
        <f t="shared" si="1210"/>
        <v>0</v>
      </c>
      <c r="DM551" s="5" t="str">
        <f t="shared" si="1241"/>
        <v>9级潮汐龙</v>
      </c>
      <c r="DN551" s="5">
        <v>6</v>
      </c>
      <c r="DO551" s="5">
        <v>0</v>
      </c>
      <c r="DP551" s="5">
        <v>1</v>
      </c>
      <c r="DQ551" s="5">
        <v>1</v>
      </c>
      <c r="DR551" s="5">
        <v>2.5</v>
      </c>
      <c r="DS551" s="6">
        <v>3.5</v>
      </c>
      <c r="DT551" s="5">
        <v>-0.6</v>
      </c>
      <c r="DU551" s="5">
        <v>0.8</v>
      </c>
      <c r="DV551" s="6">
        <v>0.5</v>
      </c>
      <c r="DW551" s="5">
        <f t="shared" si="1253"/>
        <v>0.66666666666666663</v>
      </c>
      <c r="DX551" s="5">
        <v>8</v>
      </c>
      <c r="DY551" s="5">
        <f t="shared" si="1254"/>
        <v>0</v>
      </c>
      <c r="DZ551" s="5">
        <v>0</v>
      </c>
    </row>
    <row r="552" spans="1:130" x14ac:dyDescent="0.15">
      <c r="A552" s="5">
        <v>201550</v>
      </c>
      <c r="B552" s="28" t="s">
        <v>875</v>
      </c>
      <c r="C552" s="27">
        <v>25</v>
      </c>
      <c r="D552" s="27">
        <v>1</v>
      </c>
      <c r="E552" s="27">
        <v>3</v>
      </c>
      <c r="F552" s="5">
        <v>2</v>
      </c>
      <c r="G552" s="46">
        <f t="shared" si="1255"/>
        <v>0.34859999999999991</v>
      </c>
      <c r="H552" s="27"/>
      <c r="I552" s="27" t="s">
        <v>975</v>
      </c>
      <c r="J552" s="27"/>
      <c r="K552" s="5">
        <f t="shared" si="1229"/>
        <v>0.09</v>
      </c>
      <c r="L552" s="10">
        <v>0</v>
      </c>
      <c r="M552" s="5">
        <f t="shared" si="1230"/>
        <v>0.24</v>
      </c>
      <c r="N552" s="10">
        <v>3</v>
      </c>
      <c r="O552" s="5">
        <v>0</v>
      </c>
      <c r="P552" s="5">
        <f t="shared" si="1232"/>
        <v>0.2</v>
      </c>
      <c r="Q552" s="5">
        <v>2</v>
      </c>
      <c r="R552" s="5">
        <f t="shared" si="1256"/>
        <v>903934</v>
      </c>
      <c r="S552" s="5">
        <v>30</v>
      </c>
      <c r="T552" s="5">
        <v>10</v>
      </c>
      <c r="U552" s="5">
        <v>0.3</v>
      </c>
      <c r="V552" s="5">
        <v>0.15</v>
      </c>
      <c r="W552" s="5">
        <v>9</v>
      </c>
      <c r="X552" s="5">
        <v>-0.6</v>
      </c>
      <c r="Y552" s="5">
        <v>1.8</v>
      </c>
      <c r="Z552" s="27" t="s">
        <v>1048</v>
      </c>
      <c r="AA552" s="5">
        <v>3</v>
      </c>
      <c r="AB552" s="5">
        <v>2</v>
      </c>
      <c r="AC552" s="5">
        <v>6</v>
      </c>
      <c r="AD552" s="27" t="s">
        <v>1050</v>
      </c>
      <c r="AE552" s="20">
        <v>129</v>
      </c>
      <c r="AF552" s="5">
        <f t="shared" si="1257"/>
        <v>903950</v>
      </c>
      <c r="AG552" s="5">
        <v>60</v>
      </c>
      <c r="AH552" s="5">
        <f t="shared" si="1233"/>
        <v>0.1</v>
      </c>
      <c r="AI552" s="5">
        <v>2</v>
      </c>
      <c r="AJ552" s="5">
        <v>1</v>
      </c>
      <c r="AK552" s="5">
        <f t="shared" si="1258"/>
        <v>50</v>
      </c>
      <c r="AL552" s="5">
        <f t="shared" si="1234"/>
        <v>90</v>
      </c>
      <c r="AM552" s="5">
        <f t="shared" si="1235"/>
        <v>120</v>
      </c>
      <c r="AN552" s="8">
        <v>3</v>
      </c>
      <c r="AO552" s="5">
        <v>1</v>
      </c>
      <c r="AP552" s="28" t="s">
        <v>985</v>
      </c>
      <c r="AQ552" s="5">
        <v>0</v>
      </c>
      <c r="AR552" s="8">
        <v>0</v>
      </c>
      <c r="AS552" s="6">
        <f t="shared" si="1211"/>
        <v>0</v>
      </c>
      <c r="AT552" s="6">
        <f t="shared" si="1212"/>
        <v>30</v>
      </c>
      <c r="AU552" s="5">
        <v>0</v>
      </c>
      <c r="AV552" s="5">
        <v>0</v>
      </c>
      <c r="AW552" s="5">
        <v>0</v>
      </c>
      <c r="AX552" s="5">
        <v>1</v>
      </c>
      <c r="AY552" s="5">
        <v>0</v>
      </c>
      <c r="AZ552" s="5">
        <v>201550</v>
      </c>
      <c r="BA552" s="5">
        <f t="shared" si="1259"/>
        <v>203056</v>
      </c>
      <c r="BB552" s="5">
        <v>10</v>
      </c>
      <c r="BC552" s="5">
        <v>0</v>
      </c>
      <c r="BD552" s="5">
        <v>1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f t="shared" si="1204"/>
        <v>1</v>
      </c>
      <c r="BM552" s="5">
        <v>0</v>
      </c>
      <c r="BN552" s="5">
        <v>0</v>
      </c>
      <c r="BO552" s="5">
        <v>0</v>
      </c>
      <c r="BP552" s="5">
        <v>0</v>
      </c>
      <c r="BQ552" s="5"/>
      <c r="BR552" s="5"/>
      <c r="BS552" s="4">
        <v>0</v>
      </c>
      <c r="BT552" s="4">
        <f t="shared" si="1236"/>
        <v>10</v>
      </c>
      <c r="BU552" s="17">
        <v>140</v>
      </c>
      <c r="BV552" s="4">
        <f t="shared" ref="BV552:BY552" si="1271">BV542</f>
        <v>10</v>
      </c>
      <c r="BW552" s="4">
        <f t="shared" si="1271"/>
        <v>10</v>
      </c>
      <c r="BX552" s="4">
        <f t="shared" si="1271"/>
        <v>0.21999999999999986</v>
      </c>
      <c r="BY552" s="4">
        <f t="shared" si="1271"/>
        <v>0.10000000000000003</v>
      </c>
      <c r="BZ552" s="27" t="s">
        <v>1014</v>
      </c>
      <c r="CA552" s="30" t="str">
        <f t="shared" si="1261"/>
        <v>10</v>
      </c>
      <c r="CB552" s="30" t="s">
        <v>917</v>
      </c>
      <c r="CC552" s="5">
        <v>0</v>
      </c>
      <c r="CD552" s="8">
        <v>3</v>
      </c>
      <c r="CE552" s="5">
        <f t="shared" si="1238"/>
        <v>10</v>
      </c>
      <c r="CF552" s="5">
        <v>1</v>
      </c>
      <c r="CG552" s="27" t="str">
        <f t="shared" si="1244"/>
        <v>10级潮汐龙</v>
      </c>
      <c r="CH552" s="5">
        <v>0</v>
      </c>
      <c r="CI552" s="5">
        <v>0</v>
      </c>
      <c r="CJ552" s="4">
        <v>0</v>
      </c>
      <c r="CK552" s="20">
        <v>0</v>
      </c>
      <c r="CL552" s="5">
        <v>0</v>
      </c>
      <c r="CM552" s="20">
        <v>114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20">
        <v>2.5</v>
      </c>
      <c r="CW552" s="20">
        <v>3</v>
      </c>
      <c r="CX552" s="20">
        <v>2.5</v>
      </c>
      <c r="CY552" s="20">
        <v>3.5</v>
      </c>
      <c r="CZ552" s="8">
        <v>200</v>
      </c>
      <c r="DA552" s="6">
        <f t="shared" si="1251"/>
        <v>50000</v>
      </c>
      <c r="DB552" s="5">
        <v>1</v>
      </c>
      <c r="DC552" s="20">
        <f t="shared" si="1239"/>
        <v>2.1749999999999998</v>
      </c>
      <c r="DD552" s="6">
        <f t="shared" si="1252"/>
        <v>0.72499999999999998</v>
      </c>
      <c r="DE552" s="6">
        <v>1</v>
      </c>
      <c r="DF552" s="5">
        <v>0</v>
      </c>
      <c r="DG552" s="6">
        <v>2.5</v>
      </c>
      <c r="DH552" s="5">
        <v>0</v>
      </c>
      <c r="DI552" s="8">
        <v>0</v>
      </c>
      <c r="DJ552" s="5">
        <v>0</v>
      </c>
      <c r="DK552" s="8">
        <v>0</v>
      </c>
      <c r="DL552" s="5">
        <f t="shared" si="1210"/>
        <v>0</v>
      </c>
      <c r="DM552" s="5" t="str">
        <f t="shared" si="1241"/>
        <v>10级潮汐龙</v>
      </c>
      <c r="DN552" s="5">
        <v>6</v>
      </c>
      <c r="DO552" s="5">
        <v>0</v>
      </c>
      <c r="DP552" s="5">
        <v>1</v>
      </c>
      <c r="DQ552" s="5">
        <v>1</v>
      </c>
      <c r="DR552" s="5">
        <v>2.5</v>
      </c>
      <c r="DS552" s="6">
        <v>3.5</v>
      </c>
      <c r="DT552" s="5">
        <v>-0.6</v>
      </c>
      <c r="DU552" s="5">
        <v>0.8</v>
      </c>
      <c r="DV552" s="6">
        <v>0.5</v>
      </c>
      <c r="DW552" s="5">
        <f t="shared" si="1253"/>
        <v>0.66666666666666663</v>
      </c>
      <c r="DX552" s="5">
        <v>8</v>
      </c>
      <c r="DY552" s="5">
        <f t="shared" si="1254"/>
        <v>0</v>
      </c>
      <c r="DZ552" s="5">
        <v>0</v>
      </c>
    </row>
    <row r="553" spans="1:130" x14ac:dyDescent="0.15">
      <c r="A553" s="6">
        <v>201551</v>
      </c>
      <c r="B553" s="28" t="s">
        <v>876</v>
      </c>
      <c r="C553" s="28">
        <v>25</v>
      </c>
      <c r="D553" s="28">
        <v>1</v>
      </c>
      <c r="E553" s="28">
        <v>3</v>
      </c>
      <c r="F553" s="6">
        <v>2</v>
      </c>
      <c r="G553" s="46">
        <f t="shared" si="1255"/>
        <v>0.40669999999999989</v>
      </c>
      <c r="H553" s="28"/>
      <c r="I553" s="28" t="s">
        <v>975</v>
      </c>
      <c r="J553" s="28"/>
      <c r="K553" s="5">
        <f t="shared" si="1229"/>
        <v>0.15</v>
      </c>
      <c r="L553" s="10">
        <v>3</v>
      </c>
      <c r="M553" s="5">
        <f t="shared" si="1230"/>
        <v>0</v>
      </c>
      <c r="N553" s="10">
        <v>0</v>
      </c>
      <c r="O553" s="5">
        <v>0</v>
      </c>
      <c r="P553" s="5">
        <f t="shared" si="1232"/>
        <v>0.2</v>
      </c>
      <c r="Q553" s="5">
        <v>2</v>
      </c>
      <c r="R553" s="5">
        <f t="shared" si="1256"/>
        <v>903935</v>
      </c>
      <c r="S553" s="5">
        <v>30</v>
      </c>
      <c r="T553" s="5">
        <v>10</v>
      </c>
      <c r="U553" s="5">
        <v>0.3</v>
      </c>
      <c r="V553" s="5">
        <v>0.15</v>
      </c>
      <c r="W553" s="5">
        <v>9</v>
      </c>
      <c r="X553" s="5">
        <v>-0.6</v>
      </c>
      <c r="Y553" s="5">
        <v>1.8</v>
      </c>
      <c r="Z553" s="27" t="s">
        <v>1051</v>
      </c>
      <c r="AA553" s="5">
        <v>3</v>
      </c>
      <c r="AB553" s="5">
        <v>2</v>
      </c>
      <c r="AC553" s="5">
        <v>6</v>
      </c>
      <c r="AD553" s="27" t="s">
        <v>1052</v>
      </c>
      <c r="AE553" s="20">
        <v>0</v>
      </c>
      <c r="AF553" s="5">
        <f t="shared" si="1257"/>
        <v>903951</v>
      </c>
      <c r="AG553" s="5">
        <v>60</v>
      </c>
      <c r="AH553" s="5">
        <f t="shared" si="1233"/>
        <v>0.1</v>
      </c>
      <c r="AI553" s="5">
        <v>2</v>
      </c>
      <c r="AJ553" s="5">
        <v>1</v>
      </c>
      <c r="AK553" s="5">
        <f t="shared" si="1258"/>
        <v>5</v>
      </c>
      <c r="AL553" s="5">
        <f t="shared" si="1234"/>
        <v>3</v>
      </c>
      <c r="AM553" s="5">
        <f t="shared" si="1235"/>
        <v>6</v>
      </c>
      <c r="AN553" s="8">
        <v>1</v>
      </c>
      <c r="AO553" s="5">
        <v>0</v>
      </c>
      <c r="AP553" s="28" t="s">
        <v>876</v>
      </c>
      <c r="AQ553" s="5">
        <v>0</v>
      </c>
      <c r="AR553" s="8">
        <v>2</v>
      </c>
      <c r="AS553" s="6">
        <f t="shared" si="1211"/>
        <v>6</v>
      </c>
      <c r="AT553" s="6">
        <f t="shared" si="1212"/>
        <v>9</v>
      </c>
      <c r="AU553" s="5">
        <v>0</v>
      </c>
      <c r="AV553" s="5">
        <v>0</v>
      </c>
      <c r="AW553" s="5">
        <v>0</v>
      </c>
      <c r="AX553" s="5">
        <v>1</v>
      </c>
      <c r="AY553" s="5">
        <v>0</v>
      </c>
      <c r="AZ553" s="5">
        <v>201551</v>
      </c>
      <c r="BA553" s="5">
        <f t="shared" si="1259"/>
        <v>203057</v>
      </c>
      <c r="BB553" s="5">
        <v>10</v>
      </c>
      <c r="BC553" s="5">
        <v>0</v>
      </c>
      <c r="BD553" s="5">
        <v>1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f t="shared" si="1204"/>
        <v>1</v>
      </c>
      <c r="BM553" s="5">
        <v>0</v>
      </c>
      <c r="BN553" s="5">
        <v>0</v>
      </c>
      <c r="BO553" s="5">
        <v>0</v>
      </c>
      <c r="BP553" s="5">
        <v>0</v>
      </c>
      <c r="BQ553" s="5"/>
      <c r="BR553" s="5"/>
      <c r="BS553" s="4">
        <v>0</v>
      </c>
      <c r="BT553" s="4">
        <f t="shared" si="1236"/>
        <v>1</v>
      </c>
      <c r="BU553" s="17">
        <v>141</v>
      </c>
      <c r="BV553" s="4">
        <f t="shared" ref="BV553:BY553" si="1272">BV543</f>
        <v>1</v>
      </c>
      <c r="BW553" s="4">
        <f t="shared" si="1272"/>
        <v>1</v>
      </c>
      <c r="BX553" s="4">
        <f t="shared" si="1272"/>
        <v>0.85</v>
      </c>
      <c r="BY553" s="4">
        <f t="shared" si="1272"/>
        <v>0.55000000000000004</v>
      </c>
      <c r="BZ553" s="27" t="s">
        <v>1015</v>
      </c>
      <c r="CA553" s="30" t="str">
        <f t="shared" si="1261"/>
        <v>1</v>
      </c>
      <c r="CB553" s="30" t="s">
        <v>917</v>
      </c>
      <c r="CC553" s="5">
        <v>0</v>
      </c>
      <c r="CD553" s="8">
        <v>3</v>
      </c>
      <c r="CE553" s="5">
        <f t="shared" si="1238"/>
        <v>1</v>
      </c>
      <c r="CF553" s="5">
        <v>1</v>
      </c>
      <c r="CG553" s="27" t="str">
        <f t="shared" si="1244"/>
        <v>1级远古树龙</v>
      </c>
      <c r="CH553" s="5">
        <v>0</v>
      </c>
      <c r="CI553" s="5">
        <v>0</v>
      </c>
      <c r="CJ553" s="4">
        <v>0</v>
      </c>
      <c r="CK553" s="20">
        <v>0</v>
      </c>
      <c r="CL553" s="5">
        <v>0</v>
      </c>
      <c r="CM553" s="20">
        <v>114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20">
        <v>2.5</v>
      </c>
      <c r="CW553" s="20">
        <v>3</v>
      </c>
      <c r="CX553" s="20">
        <v>2.5</v>
      </c>
      <c r="CY553" s="20">
        <v>3.5</v>
      </c>
      <c r="CZ553" s="8">
        <v>200</v>
      </c>
      <c r="DA553" s="6">
        <f t="shared" si="1251"/>
        <v>5000</v>
      </c>
      <c r="DB553" s="5">
        <v>1</v>
      </c>
      <c r="DC553" s="20">
        <f t="shared" si="1239"/>
        <v>1.5</v>
      </c>
      <c r="DD553" s="6">
        <f t="shared" si="1252"/>
        <v>0.5</v>
      </c>
      <c r="DE553" s="6">
        <v>1</v>
      </c>
      <c r="DF553" s="5">
        <v>0</v>
      </c>
      <c r="DG553" s="6">
        <v>2.5</v>
      </c>
      <c r="DH553" s="5">
        <v>0</v>
      </c>
      <c r="DI553" s="8">
        <v>0</v>
      </c>
      <c r="DJ553" s="5">
        <v>0</v>
      </c>
      <c r="DK553" s="8">
        <v>0</v>
      </c>
      <c r="DL553" s="5">
        <f t="shared" si="1210"/>
        <v>0</v>
      </c>
      <c r="DM553" s="5" t="str">
        <f t="shared" si="1241"/>
        <v>1级远古树龙</v>
      </c>
      <c r="DN553" s="5">
        <v>6</v>
      </c>
      <c r="DO553" s="5">
        <v>0</v>
      </c>
      <c r="DP553" s="5">
        <v>1</v>
      </c>
      <c r="DQ553" s="5">
        <v>1</v>
      </c>
      <c r="DR553" s="5">
        <v>2.5</v>
      </c>
      <c r="DS553" s="6">
        <v>3.5</v>
      </c>
      <c r="DT553" s="5">
        <v>-0.6</v>
      </c>
      <c r="DU553" s="5">
        <v>0.8</v>
      </c>
      <c r="DV553" s="6">
        <v>0.5</v>
      </c>
      <c r="DW553" s="5">
        <f t="shared" si="1253"/>
        <v>0.66666666666666663</v>
      </c>
      <c r="DX553" s="5">
        <v>8</v>
      </c>
      <c r="DY553" s="5">
        <f t="shared" si="1254"/>
        <v>0</v>
      </c>
      <c r="DZ553" s="5">
        <v>0</v>
      </c>
    </row>
    <row r="554" spans="1:130" x14ac:dyDescent="0.15">
      <c r="A554" s="5">
        <v>201552</v>
      </c>
      <c r="B554" s="28" t="s">
        <v>877</v>
      </c>
      <c r="C554" s="27">
        <v>25</v>
      </c>
      <c r="D554" s="27">
        <v>1</v>
      </c>
      <c r="E554" s="27">
        <v>3</v>
      </c>
      <c r="F554" s="5">
        <v>2</v>
      </c>
      <c r="G554" s="46">
        <f t="shared" si="1255"/>
        <v>0.40669999999999989</v>
      </c>
      <c r="H554" s="27"/>
      <c r="I554" s="27" t="s">
        <v>975</v>
      </c>
      <c r="J554" s="27"/>
      <c r="K554" s="5">
        <f t="shared" si="1229"/>
        <v>0.16</v>
      </c>
      <c r="L554" s="10">
        <v>3</v>
      </c>
      <c r="M554" s="5">
        <f t="shared" si="1230"/>
        <v>0.01</v>
      </c>
      <c r="N554" s="10">
        <v>0</v>
      </c>
      <c r="O554" s="5">
        <v>0</v>
      </c>
      <c r="P554" s="5">
        <f t="shared" si="1232"/>
        <v>0.2</v>
      </c>
      <c r="Q554" s="5">
        <v>2</v>
      </c>
      <c r="R554" s="5">
        <f t="shared" si="1256"/>
        <v>903935</v>
      </c>
      <c r="S554" s="5">
        <v>30</v>
      </c>
      <c r="T554" s="5">
        <v>10</v>
      </c>
      <c r="U554" s="5">
        <v>0.3</v>
      </c>
      <c r="V554" s="5">
        <v>0.15</v>
      </c>
      <c r="W554" s="5">
        <v>9</v>
      </c>
      <c r="X554" s="5">
        <v>-0.6</v>
      </c>
      <c r="Y554" s="5">
        <v>1.8</v>
      </c>
      <c r="Z554" s="27" t="s">
        <v>1051</v>
      </c>
      <c r="AA554" s="5">
        <v>3</v>
      </c>
      <c r="AB554" s="5">
        <v>2</v>
      </c>
      <c r="AC554" s="5">
        <v>6</v>
      </c>
      <c r="AD554" s="27" t="s">
        <v>1052</v>
      </c>
      <c r="AE554" s="20">
        <v>0</v>
      </c>
      <c r="AF554" s="5">
        <f t="shared" si="1257"/>
        <v>903951</v>
      </c>
      <c r="AG554" s="5">
        <v>60</v>
      </c>
      <c r="AH554" s="5">
        <f t="shared" si="1233"/>
        <v>0.1</v>
      </c>
      <c r="AI554" s="5">
        <v>2</v>
      </c>
      <c r="AJ554" s="5">
        <v>1</v>
      </c>
      <c r="AK554" s="5">
        <f t="shared" si="1258"/>
        <v>10</v>
      </c>
      <c r="AL554" s="5">
        <f t="shared" si="1234"/>
        <v>6</v>
      </c>
      <c r="AM554" s="5">
        <f t="shared" si="1235"/>
        <v>12</v>
      </c>
      <c r="AN554" s="8">
        <v>1</v>
      </c>
      <c r="AO554" s="5">
        <v>0</v>
      </c>
      <c r="AP554" s="28" t="s">
        <v>877</v>
      </c>
      <c r="AQ554" s="5">
        <v>0</v>
      </c>
      <c r="AR554" s="8">
        <v>2</v>
      </c>
      <c r="AS554" s="6">
        <f t="shared" si="1211"/>
        <v>12</v>
      </c>
      <c r="AT554" s="6">
        <f t="shared" si="1212"/>
        <v>18</v>
      </c>
      <c r="AU554" s="5">
        <v>0</v>
      </c>
      <c r="AV554" s="5">
        <v>0</v>
      </c>
      <c r="AW554" s="5">
        <v>0</v>
      </c>
      <c r="AX554" s="5">
        <v>1</v>
      </c>
      <c r="AY554" s="5">
        <v>0</v>
      </c>
      <c r="AZ554" s="5">
        <v>201552</v>
      </c>
      <c r="BA554" s="5">
        <f t="shared" si="1259"/>
        <v>203057</v>
      </c>
      <c r="BB554" s="5">
        <v>10</v>
      </c>
      <c r="BC554" s="5">
        <v>0</v>
      </c>
      <c r="BD554" s="5">
        <v>1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f t="shared" si="1204"/>
        <v>1</v>
      </c>
      <c r="BM554" s="5">
        <v>0</v>
      </c>
      <c r="BN554" s="5">
        <v>0</v>
      </c>
      <c r="BO554" s="5">
        <v>0</v>
      </c>
      <c r="BP554" s="5">
        <v>0</v>
      </c>
      <c r="BQ554" s="5"/>
      <c r="BR554" s="5"/>
      <c r="BS554" s="4">
        <v>0</v>
      </c>
      <c r="BT554" s="4">
        <f t="shared" si="1236"/>
        <v>2</v>
      </c>
      <c r="BU554" s="17">
        <v>142</v>
      </c>
      <c r="BV554" s="4">
        <f t="shared" ref="BV554:BY554" si="1273">BV544</f>
        <v>2</v>
      </c>
      <c r="BW554" s="4">
        <f t="shared" si="1273"/>
        <v>2</v>
      </c>
      <c r="BX554" s="4">
        <f t="shared" si="1273"/>
        <v>0.78</v>
      </c>
      <c r="BY554" s="4">
        <f t="shared" si="1273"/>
        <v>0.5</v>
      </c>
      <c r="BZ554" s="27" t="s">
        <v>1015</v>
      </c>
      <c r="CA554" s="30" t="str">
        <f t="shared" si="1261"/>
        <v>2</v>
      </c>
      <c r="CB554" s="30" t="s">
        <v>917</v>
      </c>
      <c r="CC554" s="5">
        <v>0</v>
      </c>
      <c r="CD554" s="8">
        <v>3</v>
      </c>
      <c r="CE554" s="5">
        <f t="shared" si="1238"/>
        <v>2</v>
      </c>
      <c r="CF554" s="5">
        <v>1</v>
      </c>
      <c r="CG554" s="27" t="str">
        <f t="shared" si="1244"/>
        <v>2级远古树龙</v>
      </c>
      <c r="CH554" s="5">
        <v>0</v>
      </c>
      <c r="CI554" s="5">
        <v>0</v>
      </c>
      <c r="CJ554" s="4">
        <v>0</v>
      </c>
      <c r="CK554" s="20">
        <v>0</v>
      </c>
      <c r="CL554" s="5">
        <v>0</v>
      </c>
      <c r="CM554" s="20">
        <v>114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20">
        <v>2.5</v>
      </c>
      <c r="CW554" s="20">
        <v>3</v>
      </c>
      <c r="CX554" s="20">
        <v>2.5</v>
      </c>
      <c r="CY554" s="20">
        <v>3.5</v>
      </c>
      <c r="CZ554" s="8">
        <v>200</v>
      </c>
      <c r="DA554" s="6">
        <f t="shared" si="1251"/>
        <v>10000</v>
      </c>
      <c r="DB554" s="5">
        <v>1</v>
      </c>
      <c r="DC554" s="20">
        <f t="shared" si="1239"/>
        <v>1.5750000000000002</v>
      </c>
      <c r="DD554" s="6">
        <f t="shared" si="1252"/>
        <v>0.52500000000000002</v>
      </c>
      <c r="DE554" s="6">
        <v>1</v>
      </c>
      <c r="DF554" s="5">
        <v>0</v>
      </c>
      <c r="DG554" s="6">
        <v>2.5</v>
      </c>
      <c r="DH554" s="5">
        <v>0</v>
      </c>
      <c r="DI554" s="8">
        <v>0</v>
      </c>
      <c r="DJ554" s="5">
        <v>0</v>
      </c>
      <c r="DK554" s="8">
        <v>0</v>
      </c>
      <c r="DL554" s="5">
        <f t="shared" si="1210"/>
        <v>0</v>
      </c>
      <c r="DM554" s="5" t="str">
        <f t="shared" si="1241"/>
        <v>2级远古树龙</v>
      </c>
      <c r="DN554" s="5">
        <v>6</v>
      </c>
      <c r="DO554" s="5">
        <v>0</v>
      </c>
      <c r="DP554" s="5">
        <v>1</v>
      </c>
      <c r="DQ554" s="5">
        <v>1</v>
      </c>
      <c r="DR554" s="5">
        <v>2.5</v>
      </c>
      <c r="DS554" s="6">
        <v>3.5</v>
      </c>
      <c r="DT554" s="5">
        <v>-0.6</v>
      </c>
      <c r="DU554" s="5">
        <v>0.8</v>
      </c>
      <c r="DV554" s="6">
        <v>0.5</v>
      </c>
      <c r="DW554" s="5">
        <f t="shared" si="1253"/>
        <v>0.66666666666666663</v>
      </c>
      <c r="DX554" s="5">
        <v>8</v>
      </c>
      <c r="DY554" s="5">
        <f t="shared" si="1254"/>
        <v>0</v>
      </c>
      <c r="DZ554" s="5">
        <v>0</v>
      </c>
    </row>
    <row r="555" spans="1:130" x14ac:dyDescent="0.15">
      <c r="A555" s="5">
        <v>201553</v>
      </c>
      <c r="B555" s="28" t="s">
        <v>878</v>
      </c>
      <c r="C555" s="27">
        <v>25</v>
      </c>
      <c r="D555" s="27">
        <v>1</v>
      </c>
      <c r="E555" s="27">
        <v>3</v>
      </c>
      <c r="F555" s="5">
        <v>2</v>
      </c>
      <c r="G555" s="46">
        <f t="shared" si="1255"/>
        <v>0.40669999999999989</v>
      </c>
      <c r="H555" s="27"/>
      <c r="I555" s="27" t="s">
        <v>975</v>
      </c>
      <c r="J555" s="27"/>
      <c r="K555" s="5">
        <f t="shared" si="1229"/>
        <v>0.16999999999999998</v>
      </c>
      <c r="L555" s="10">
        <v>3</v>
      </c>
      <c r="M555" s="5">
        <f t="shared" si="1230"/>
        <v>0.02</v>
      </c>
      <c r="N555" s="10">
        <v>0</v>
      </c>
      <c r="O555" s="5">
        <v>0</v>
      </c>
      <c r="P555" s="5">
        <f t="shared" si="1232"/>
        <v>0.2</v>
      </c>
      <c r="Q555" s="5">
        <v>2</v>
      </c>
      <c r="R555" s="5">
        <f t="shared" si="1256"/>
        <v>903935</v>
      </c>
      <c r="S555" s="5">
        <v>30</v>
      </c>
      <c r="T555" s="5">
        <v>10</v>
      </c>
      <c r="U555" s="5">
        <v>0.3</v>
      </c>
      <c r="V555" s="5">
        <v>0.15</v>
      </c>
      <c r="W555" s="5">
        <v>9</v>
      </c>
      <c r="X555" s="5">
        <v>-0.6</v>
      </c>
      <c r="Y555" s="5">
        <v>1.8</v>
      </c>
      <c r="Z555" s="27" t="s">
        <v>1051</v>
      </c>
      <c r="AA555" s="5">
        <v>3</v>
      </c>
      <c r="AB555" s="5">
        <v>2</v>
      </c>
      <c r="AC555" s="5">
        <v>6</v>
      </c>
      <c r="AD555" s="27" t="s">
        <v>1052</v>
      </c>
      <c r="AE555" s="20">
        <v>0</v>
      </c>
      <c r="AF555" s="5">
        <f t="shared" si="1257"/>
        <v>903951</v>
      </c>
      <c r="AG555" s="5">
        <v>60</v>
      </c>
      <c r="AH555" s="5">
        <f t="shared" si="1233"/>
        <v>0.1</v>
      </c>
      <c r="AI555" s="5">
        <v>2</v>
      </c>
      <c r="AJ555" s="5">
        <v>1</v>
      </c>
      <c r="AK555" s="5">
        <f t="shared" si="1258"/>
        <v>15</v>
      </c>
      <c r="AL555" s="5">
        <f t="shared" si="1234"/>
        <v>9</v>
      </c>
      <c r="AM555" s="5">
        <f t="shared" si="1235"/>
        <v>18</v>
      </c>
      <c r="AN555" s="8">
        <v>1</v>
      </c>
      <c r="AO555" s="5">
        <v>0</v>
      </c>
      <c r="AP555" s="28" t="s">
        <v>878</v>
      </c>
      <c r="AQ555" s="5">
        <v>0</v>
      </c>
      <c r="AR555" s="8">
        <v>2</v>
      </c>
      <c r="AS555" s="6">
        <f t="shared" si="1211"/>
        <v>18</v>
      </c>
      <c r="AT555" s="6">
        <f t="shared" si="1212"/>
        <v>27</v>
      </c>
      <c r="AU555" s="5">
        <v>0</v>
      </c>
      <c r="AV555" s="5">
        <v>0</v>
      </c>
      <c r="AW555" s="5">
        <v>0</v>
      </c>
      <c r="AX555" s="5">
        <v>1</v>
      </c>
      <c r="AY555" s="5">
        <v>0</v>
      </c>
      <c r="AZ555" s="5">
        <v>201553</v>
      </c>
      <c r="BA555" s="5">
        <f t="shared" si="1259"/>
        <v>203057</v>
      </c>
      <c r="BB555" s="5">
        <v>10</v>
      </c>
      <c r="BC555" s="5">
        <v>0</v>
      </c>
      <c r="BD555" s="5">
        <v>1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f t="shared" si="1204"/>
        <v>1</v>
      </c>
      <c r="BM555" s="5">
        <v>0</v>
      </c>
      <c r="BN555" s="5">
        <v>0</v>
      </c>
      <c r="BO555" s="5">
        <v>0</v>
      </c>
      <c r="BP555" s="5">
        <v>0</v>
      </c>
      <c r="BQ555" s="5"/>
      <c r="BR555" s="5"/>
      <c r="BS555" s="4">
        <v>0</v>
      </c>
      <c r="BT555" s="4">
        <f t="shared" si="1236"/>
        <v>3</v>
      </c>
      <c r="BU555" s="17">
        <v>143</v>
      </c>
      <c r="BV555" s="4">
        <f t="shared" ref="BV555:BY555" si="1274">BV545</f>
        <v>3</v>
      </c>
      <c r="BW555" s="4">
        <f t="shared" si="1274"/>
        <v>3</v>
      </c>
      <c r="BX555" s="4">
        <f t="shared" si="1274"/>
        <v>0.71</v>
      </c>
      <c r="BY555" s="4">
        <f t="shared" si="1274"/>
        <v>0.45000000000000007</v>
      </c>
      <c r="BZ555" s="27" t="s">
        <v>1015</v>
      </c>
      <c r="CA555" s="30" t="str">
        <f t="shared" si="1261"/>
        <v>3</v>
      </c>
      <c r="CB555" s="30" t="s">
        <v>917</v>
      </c>
      <c r="CC555" s="5">
        <v>0</v>
      </c>
      <c r="CD555" s="8">
        <v>3</v>
      </c>
      <c r="CE555" s="5">
        <f t="shared" si="1238"/>
        <v>3</v>
      </c>
      <c r="CF555" s="5">
        <v>1</v>
      </c>
      <c r="CG555" s="27" t="str">
        <f t="shared" si="1244"/>
        <v>3级远古树龙</v>
      </c>
      <c r="CH555" s="5">
        <v>0</v>
      </c>
      <c r="CI555" s="5">
        <v>0</v>
      </c>
      <c r="CJ555" s="4">
        <v>0</v>
      </c>
      <c r="CK555" s="20">
        <v>0</v>
      </c>
      <c r="CL555" s="5">
        <v>0</v>
      </c>
      <c r="CM555" s="20">
        <v>114</v>
      </c>
      <c r="CN555" s="5">
        <v>0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20">
        <v>2.5</v>
      </c>
      <c r="CW555" s="20">
        <v>3</v>
      </c>
      <c r="CX555" s="20">
        <v>2.5</v>
      </c>
      <c r="CY555" s="20">
        <v>3.5</v>
      </c>
      <c r="CZ555" s="8">
        <v>200</v>
      </c>
      <c r="DA555" s="6">
        <f t="shared" si="1251"/>
        <v>15000</v>
      </c>
      <c r="DB555" s="5">
        <v>1</v>
      </c>
      <c r="DC555" s="20">
        <f t="shared" si="1239"/>
        <v>1.6500000000000001</v>
      </c>
      <c r="DD555" s="6">
        <f t="shared" si="1252"/>
        <v>0.55000000000000004</v>
      </c>
      <c r="DE555" s="6">
        <v>1</v>
      </c>
      <c r="DF555" s="5">
        <v>0</v>
      </c>
      <c r="DG555" s="6">
        <v>2.5</v>
      </c>
      <c r="DH555" s="5">
        <v>0</v>
      </c>
      <c r="DI555" s="8">
        <v>0</v>
      </c>
      <c r="DJ555" s="5">
        <v>0</v>
      </c>
      <c r="DK555" s="8">
        <v>0</v>
      </c>
      <c r="DL555" s="5">
        <f t="shared" si="1210"/>
        <v>0</v>
      </c>
      <c r="DM555" s="5" t="str">
        <f t="shared" si="1241"/>
        <v>3级远古树龙</v>
      </c>
      <c r="DN555" s="5">
        <v>6</v>
      </c>
      <c r="DO555" s="5">
        <v>0</v>
      </c>
      <c r="DP555" s="5">
        <v>1</v>
      </c>
      <c r="DQ555" s="5">
        <v>1</v>
      </c>
      <c r="DR555" s="5">
        <v>2.5</v>
      </c>
      <c r="DS555" s="6">
        <v>3.5</v>
      </c>
      <c r="DT555" s="5">
        <v>-0.6</v>
      </c>
      <c r="DU555" s="5">
        <v>0.8</v>
      </c>
      <c r="DV555" s="6">
        <v>0.5</v>
      </c>
      <c r="DW555" s="5">
        <f t="shared" si="1253"/>
        <v>0.66666666666666663</v>
      </c>
      <c r="DX555" s="5">
        <v>8</v>
      </c>
      <c r="DY555" s="5">
        <f t="shared" si="1254"/>
        <v>0</v>
      </c>
      <c r="DZ555" s="5">
        <v>0</v>
      </c>
    </row>
    <row r="556" spans="1:130" x14ac:dyDescent="0.15">
      <c r="A556" s="5">
        <v>201554</v>
      </c>
      <c r="B556" s="28" t="s">
        <v>879</v>
      </c>
      <c r="C556" s="27">
        <v>25</v>
      </c>
      <c r="D556" s="27">
        <v>1</v>
      </c>
      <c r="E556" s="27">
        <v>3</v>
      </c>
      <c r="F556" s="5">
        <v>2</v>
      </c>
      <c r="G556" s="46">
        <f t="shared" si="1255"/>
        <v>0.40669999999999989</v>
      </c>
      <c r="H556" s="27"/>
      <c r="I556" s="27" t="s">
        <v>975</v>
      </c>
      <c r="J556" s="27"/>
      <c r="K556" s="5">
        <f t="shared" si="1229"/>
        <v>0.18</v>
      </c>
      <c r="L556" s="10">
        <v>3</v>
      </c>
      <c r="M556" s="5">
        <f t="shared" si="1230"/>
        <v>0.03</v>
      </c>
      <c r="N556" s="10">
        <v>0</v>
      </c>
      <c r="O556" s="5">
        <v>0</v>
      </c>
      <c r="P556" s="5">
        <f t="shared" si="1232"/>
        <v>0.2</v>
      </c>
      <c r="Q556" s="5">
        <v>2</v>
      </c>
      <c r="R556" s="5">
        <f t="shared" si="1256"/>
        <v>903935</v>
      </c>
      <c r="S556" s="5">
        <v>30</v>
      </c>
      <c r="T556" s="5">
        <v>10</v>
      </c>
      <c r="U556" s="5">
        <v>0.3</v>
      </c>
      <c r="V556" s="5">
        <v>0.15</v>
      </c>
      <c r="W556" s="5">
        <v>9</v>
      </c>
      <c r="X556" s="5">
        <v>-0.6</v>
      </c>
      <c r="Y556" s="5">
        <v>1.8</v>
      </c>
      <c r="Z556" s="27" t="s">
        <v>1051</v>
      </c>
      <c r="AA556" s="5">
        <v>3</v>
      </c>
      <c r="AB556" s="5">
        <v>2</v>
      </c>
      <c r="AC556" s="5">
        <v>6</v>
      </c>
      <c r="AD556" s="27" t="s">
        <v>1052</v>
      </c>
      <c r="AE556" s="20">
        <v>0</v>
      </c>
      <c r="AF556" s="5">
        <f t="shared" si="1257"/>
        <v>903951</v>
      </c>
      <c r="AG556" s="5">
        <v>60</v>
      </c>
      <c r="AH556" s="5">
        <f t="shared" si="1233"/>
        <v>0.1</v>
      </c>
      <c r="AI556" s="5">
        <v>2</v>
      </c>
      <c r="AJ556" s="5">
        <v>1</v>
      </c>
      <c r="AK556" s="5">
        <f t="shared" si="1258"/>
        <v>20</v>
      </c>
      <c r="AL556" s="5">
        <f t="shared" si="1234"/>
        <v>12</v>
      </c>
      <c r="AM556" s="5">
        <f t="shared" si="1235"/>
        <v>24</v>
      </c>
      <c r="AN556" s="8">
        <v>1</v>
      </c>
      <c r="AO556" s="5">
        <v>0</v>
      </c>
      <c r="AP556" s="28" t="s">
        <v>879</v>
      </c>
      <c r="AQ556" s="5">
        <v>0</v>
      </c>
      <c r="AR556" s="8">
        <v>2</v>
      </c>
      <c r="AS556" s="6">
        <f t="shared" si="1211"/>
        <v>24</v>
      </c>
      <c r="AT556" s="6">
        <f t="shared" si="1212"/>
        <v>36</v>
      </c>
      <c r="AU556" s="5">
        <v>0</v>
      </c>
      <c r="AV556" s="5">
        <v>0</v>
      </c>
      <c r="AW556" s="5">
        <v>0</v>
      </c>
      <c r="AX556" s="5">
        <v>1</v>
      </c>
      <c r="AY556" s="5">
        <v>0</v>
      </c>
      <c r="AZ556" s="5">
        <v>201554</v>
      </c>
      <c r="BA556" s="5">
        <f t="shared" si="1259"/>
        <v>203057</v>
      </c>
      <c r="BB556" s="5">
        <v>10</v>
      </c>
      <c r="BC556" s="5">
        <v>0</v>
      </c>
      <c r="BD556" s="5">
        <v>1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f t="shared" si="1204"/>
        <v>1</v>
      </c>
      <c r="BM556" s="5">
        <v>0</v>
      </c>
      <c r="BN556" s="5">
        <v>0</v>
      </c>
      <c r="BO556" s="5">
        <v>0</v>
      </c>
      <c r="BP556" s="5">
        <v>0</v>
      </c>
      <c r="BQ556" s="5"/>
      <c r="BR556" s="5"/>
      <c r="BS556" s="4">
        <v>0</v>
      </c>
      <c r="BT556" s="4">
        <f t="shared" si="1236"/>
        <v>4</v>
      </c>
      <c r="BU556" s="17">
        <v>144</v>
      </c>
      <c r="BV556" s="4">
        <f t="shared" ref="BV556:BY556" si="1275">BV546</f>
        <v>4</v>
      </c>
      <c r="BW556" s="4">
        <f t="shared" si="1275"/>
        <v>4</v>
      </c>
      <c r="BX556" s="4">
        <f t="shared" si="1275"/>
        <v>0.6399999999999999</v>
      </c>
      <c r="BY556" s="4">
        <f t="shared" si="1275"/>
        <v>0.4</v>
      </c>
      <c r="BZ556" s="27" t="s">
        <v>1015</v>
      </c>
      <c r="CA556" s="30" t="str">
        <f t="shared" si="1261"/>
        <v>4</v>
      </c>
      <c r="CB556" s="30" t="s">
        <v>917</v>
      </c>
      <c r="CC556" s="5">
        <v>0</v>
      </c>
      <c r="CD556" s="8">
        <v>3</v>
      </c>
      <c r="CE556" s="5">
        <f t="shared" si="1238"/>
        <v>4</v>
      </c>
      <c r="CF556" s="5">
        <v>1</v>
      </c>
      <c r="CG556" s="27" t="str">
        <f t="shared" si="1244"/>
        <v>4级远古树龙</v>
      </c>
      <c r="CH556" s="5">
        <v>0</v>
      </c>
      <c r="CI556" s="5">
        <v>0</v>
      </c>
      <c r="CJ556" s="4">
        <v>0</v>
      </c>
      <c r="CK556" s="20">
        <v>0</v>
      </c>
      <c r="CL556" s="5">
        <v>0</v>
      </c>
      <c r="CM556" s="20">
        <v>114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20">
        <v>2.5</v>
      </c>
      <c r="CW556" s="20">
        <v>3</v>
      </c>
      <c r="CX556" s="20">
        <v>2.5</v>
      </c>
      <c r="CY556" s="20">
        <v>3.5</v>
      </c>
      <c r="CZ556" s="8">
        <v>200</v>
      </c>
      <c r="DA556" s="6">
        <f t="shared" si="1251"/>
        <v>20000</v>
      </c>
      <c r="DB556" s="5">
        <v>1</v>
      </c>
      <c r="DC556" s="20">
        <f t="shared" si="1239"/>
        <v>1.7249999999999999</v>
      </c>
      <c r="DD556" s="6">
        <f t="shared" si="1252"/>
        <v>0.57499999999999996</v>
      </c>
      <c r="DE556" s="6">
        <v>1</v>
      </c>
      <c r="DF556" s="5">
        <v>0</v>
      </c>
      <c r="DG556" s="6">
        <v>2.5</v>
      </c>
      <c r="DH556" s="5">
        <v>0</v>
      </c>
      <c r="DI556" s="8">
        <v>0</v>
      </c>
      <c r="DJ556" s="5">
        <v>0</v>
      </c>
      <c r="DK556" s="8">
        <v>0</v>
      </c>
      <c r="DL556" s="5">
        <f t="shared" si="1210"/>
        <v>0</v>
      </c>
      <c r="DM556" s="5" t="str">
        <f t="shared" si="1241"/>
        <v>4级远古树龙</v>
      </c>
      <c r="DN556" s="5">
        <v>6</v>
      </c>
      <c r="DO556" s="5">
        <v>0</v>
      </c>
      <c r="DP556" s="5">
        <v>1</v>
      </c>
      <c r="DQ556" s="5">
        <v>1</v>
      </c>
      <c r="DR556" s="5">
        <v>2.5</v>
      </c>
      <c r="DS556" s="6">
        <v>3.5</v>
      </c>
      <c r="DT556" s="5">
        <v>-0.6</v>
      </c>
      <c r="DU556" s="5">
        <v>0.8</v>
      </c>
      <c r="DV556" s="6">
        <v>0.5</v>
      </c>
      <c r="DW556" s="5">
        <f t="shared" si="1253"/>
        <v>0.66666666666666663</v>
      </c>
      <c r="DX556" s="5">
        <v>8</v>
      </c>
      <c r="DY556" s="5">
        <f t="shared" si="1254"/>
        <v>0</v>
      </c>
      <c r="DZ556" s="5">
        <v>0</v>
      </c>
    </row>
    <row r="557" spans="1:130" x14ac:dyDescent="0.15">
      <c r="A557" s="5">
        <v>201555</v>
      </c>
      <c r="B557" s="28" t="s">
        <v>880</v>
      </c>
      <c r="C557" s="27">
        <v>25</v>
      </c>
      <c r="D557" s="27">
        <v>1</v>
      </c>
      <c r="E557" s="27">
        <v>3</v>
      </c>
      <c r="F557" s="5">
        <v>2</v>
      </c>
      <c r="G557" s="46">
        <f t="shared" si="1255"/>
        <v>0.40669999999999989</v>
      </c>
      <c r="H557" s="27"/>
      <c r="I557" s="27" t="s">
        <v>975</v>
      </c>
      <c r="J557" s="27"/>
      <c r="K557" s="5">
        <f t="shared" si="1229"/>
        <v>0.19</v>
      </c>
      <c r="L557" s="10">
        <v>3</v>
      </c>
      <c r="M557" s="5">
        <f t="shared" si="1230"/>
        <v>0.04</v>
      </c>
      <c r="N557" s="10">
        <v>0</v>
      </c>
      <c r="O557" s="5">
        <v>0</v>
      </c>
      <c r="P557" s="5">
        <f t="shared" si="1232"/>
        <v>0.2</v>
      </c>
      <c r="Q557" s="5">
        <v>2</v>
      </c>
      <c r="R557" s="5">
        <f t="shared" si="1256"/>
        <v>903935</v>
      </c>
      <c r="S557" s="5">
        <v>30</v>
      </c>
      <c r="T557" s="5">
        <v>10</v>
      </c>
      <c r="U557" s="5">
        <v>0.3</v>
      </c>
      <c r="V557" s="5">
        <v>0.15</v>
      </c>
      <c r="W557" s="5">
        <v>9</v>
      </c>
      <c r="X557" s="5">
        <v>-0.6</v>
      </c>
      <c r="Y557" s="5">
        <v>1.8</v>
      </c>
      <c r="Z557" s="27" t="s">
        <v>1051</v>
      </c>
      <c r="AA557" s="5">
        <v>3</v>
      </c>
      <c r="AB557" s="5">
        <v>2</v>
      </c>
      <c r="AC557" s="5">
        <v>6</v>
      </c>
      <c r="AD557" s="27" t="s">
        <v>1052</v>
      </c>
      <c r="AE557" s="20">
        <v>0</v>
      </c>
      <c r="AF557" s="5">
        <f t="shared" si="1257"/>
        <v>903951</v>
      </c>
      <c r="AG557" s="5">
        <v>60</v>
      </c>
      <c r="AH557" s="5">
        <f t="shared" si="1233"/>
        <v>0.1</v>
      </c>
      <c r="AI557" s="5">
        <v>2</v>
      </c>
      <c r="AJ557" s="5">
        <v>1</v>
      </c>
      <c r="AK557" s="5">
        <f t="shared" si="1258"/>
        <v>25</v>
      </c>
      <c r="AL557" s="5">
        <f t="shared" si="1234"/>
        <v>15</v>
      </c>
      <c r="AM557" s="5">
        <f t="shared" si="1235"/>
        <v>30</v>
      </c>
      <c r="AN557" s="8">
        <v>1</v>
      </c>
      <c r="AO557" s="5">
        <v>0</v>
      </c>
      <c r="AP557" s="28" t="s">
        <v>880</v>
      </c>
      <c r="AQ557" s="5">
        <v>0</v>
      </c>
      <c r="AR557" s="8">
        <v>2</v>
      </c>
      <c r="AS557" s="6">
        <f t="shared" si="1211"/>
        <v>30</v>
      </c>
      <c r="AT557" s="6">
        <f t="shared" si="1212"/>
        <v>45</v>
      </c>
      <c r="AU557" s="5">
        <v>0</v>
      </c>
      <c r="AV557" s="5">
        <v>0</v>
      </c>
      <c r="AW557" s="5">
        <v>0</v>
      </c>
      <c r="AX557" s="5">
        <v>1</v>
      </c>
      <c r="AY557" s="5">
        <v>0</v>
      </c>
      <c r="AZ557" s="5">
        <v>201555</v>
      </c>
      <c r="BA557" s="5">
        <f t="shared" si="1259"/>
        <v>203057</v>
      </c>
      <c r="BB557" s="5">
        <v>10</v>
      </c>
      <c r="BC557" s="5">
        <v>0</v>
      </c>
      <c r="BD557" s="5">
        <v>1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f t="shared" si="1204"/>
        <v>1</v>
      </c>
      <c r="BM557" s="5">
        <v>0</v>
      </c>
      <c r="BN557" s="5">
        <v>0</v>
      </c>
      <c r="BO557" s="5">
        <v>0</v>
      </c>
      <c r="BP557" s="5">
        <v>0</v>
      </c>
      <c r="BQ557" s="5"/>
      <c r="BR557" s="5"/>
      <c r="BS557" s="4">
        <v>0</v>
      </c>
      <c r="BT557" s="4">
        <f t="shared" si="1236"/>
        <v>5</v>
      </c>
      <c r="BU557" s="17">
        <v>145</v>
      </c>
      <c r="BV557" s="4">
        <f t="shared" ref="BV557:BY557" si="1276">BV547</f>
        <v>5</v>
      </c>
      <c r="BW557" s="4">
        <f t="shared" si="1276"/>
        <v>5</v>
      </c>
      <c r="BX557" s="4">
        <f t="shared" si="1276"/>
        <v>0.56999999999999995</v>
      </c>
      <c r="BY557" s="4">
        <f t="shared" si="1276"/>
        <v>0.35000000000000003</v>
      </c>
      <c r="BZ557" s="27" t="s">
        <v>1015</v>
      </c>
      <c r="CA557" s="30" t="str">
        <f t="shared" si="1261"/>
        <v>5</v>
      </c>
      <c r="CB557" s="30" t="s">
        <v>917</v>
      </c>
      <c r="CC557" s="5">
        <v>0</v>
      </c>
      <c r="CD557" s="8">
        <v>3</v>
      </c>
      <c r="CE557" s="5">
        <f t="shared" si="1238"/>
        <v>5</v>
      </c>
      <c r="CF557" s="5">
        <v>1</v>
      </c>
      <c r="CG557" s="27" t="str">
        <f t="shared" si="1244"/>
        <v>5级远古树龙</v>
      </c>
      <c r="CH557" s="5">
        <v>0</v>
      </c>
      <c r="CI557" s="5">
        <v>0</v>
      </c>
      <c r="CJ557" s="4">
        <v>0</v>
      </c>
      <c r="CK557" s="20">
        <v>0</v>
      </c>
      <c r="CL557" s="5">
        <v>0</v>
      </c>
      <c r="CM557" s="20">
        <v>114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20">
        <v>2.5</v>
      </c>
      <c r="CW557" s="20">
        <v>3</v>
      </c>
      <c r="CX557" s="20">
        <v>2.5</v>
      </c>
      <c r="CY557" s="20">
        <v>3.5</v>
      </c>
      <c r="CZ557" s="8">
        <v>200</v>
      </c>
      <c r="DA557" s="6">
        <f t="shared" si="1251"/>
        <v>25000</v>
      </c>
      <c r="DB557" s="5">
        <v>1</v>
      </c>
      <c r="DC557" s="20">
        <f t="shared" si="1239"/>
        <v>1.7999999999999998</v>
      </c>
      <c r="DD557" s="6">
        <f t="shared" si="1252"/>
        <v>0.6</v>
      </c>
      <c r="DE557" s="6">
        <v>1</v>
      </c>
      <c r="DF557" s="5">
        <v>0</v>
      </c>
      <c r="DG557" s="6">
        <v>2.5</v>
      </c>
      <c r="DH557" s="5">
        <v>0</v>
      </c>
      <c r="DI557" s="8">
        <v>0</v>
      </c>
      <c r="DJ557" s="5">
        <v>0</v>
      </c>
      <c r="DK557" s="8">
        <v>0</v>
      </c>
      <c r="DL557" s="5">
        <f t="shared" si="1210"/>
        <v>0</v>
      </c>
      <c r="DM557" s="5" t="str">
        <f t="shared" si="1241"/>
        <v>5级远古树龙</v>
      </c>
      <c r="DN557" s="5">
        <v>6</v>
      </c>
      <c r="DO557" s="5">
        <v>0</v>
      </c>
      <c r="DP557" s="5">
        <v>1</v>
      </c>
      <c r="DQ557" s="5">
        <v>1</v>
      </c>
      <c r="DR557" s="5">
        <v>2.5</v>
      </c>
      <c r="DS557" s="6">
        <v>3.5</v>
      </c>
      <c r="DT557" s="5">
        <v>-0.6</v>
      </c>
      <c r="DU557" s="5">
        <v>0.8</v>
      </c>
      <c r="DV557" s="6">
        <v>0.5</v>
      </c>
      <c r="DW557" s="5">
        <f t="shared" si="1253"/>
        <v>0.66666666666666663</v>
      </c>
      <c r="DX557" s="5">
        <v>8</v>
      </c>
      <c r="DY557" s="5">
        <f t="shared" si="1254"/>
        <v>0</v>
      </c>
      <c r="DZ557" s="5">
        <v>0</v>
      </c>
    </row>
    <row r="558" spans="1:130" x14ac:dyDescent="0.15">
      <c r="A558" s="5">
        <v>201556</v>
      </c>
      <c r="B558" s="28" t="s">
        <v>881</v>
      </c>
      <c r="C558" s="27">
        <v>25</v>
      </c>
      <c r="D558" s="27">
        <v>1</v>
      </c>
      <c r="E558" s="27">
        <v>3</v>
      </c>
      <c r="F558" s="5">
        <v>2</v>
      </c>
      <c r="G558" s="46">
        <f t="shared" si="1255"/>
        <v>0.40669999999999989</v>
      </c>
      <c r="H558" s="27"/>
      <c r="I558" s="27" t="s">
        <v>975</v>
      </c>
      <c r="J558" s="27"/>
      <c r="K558" s="5">
        <f t="shared" si="1229"/>
        <v>0.2</v>
      </c>
      <c r="L558" s="10">
        <v>3</v>
      </c>
      <c r="M558" s="5">
        <f t="shared" si="1230"/>
        <v>0.05</v>
      </c>
      <c r="N558" s="10">
        <v>0</v>
      </c>
      <c r="O558" s="5">
        <v>0</v>
      </c>
      <c r="P558" s="5">
        <f t="shared" si="1232"/>
        <v>0.2</v>
      </c>
      <c r="Q558" s="5">
        <v>2</v>
      </c>
      <c r="R558" s="5">
        <f t="shared" si="1256"/>
        <v>903935</v>
      </c>
      <c r="S558" s="5">
        <v>30</v>
      </c>
      <c r="T558" s="5">
        <v>10</v>
      </c>
      <c r="U558" s="5">
        <v>0.3</v>
      </c>
      <c r="V558" s="5">
        <v>0.15</v>
      </c>
      <c r="W558" s="5">
        <v>9</v>
      </c>
      <c r="X558" s="5">
        <v>-0.6</v>
      </c>
      <c r="Y558" s="5">
        <v>1.8</v>
      </c>
      <c r="Z558" s="27" t="s">
        <v>1051</v>
      </c>
      <c r="AA558" s="5">
        <v>3</v>
      </c>
      <c r="AB558" s="5">
        <v>2</v>
      </c>
      <c r="AC558" s="5">
        <v>6</v>
      </c>
      <c r="AD558" s="27" t="s">
        <v>1052</v>
      </c>
      <c r="AE558" s="20">
        <v>0</v>
      </c>
      <c r="AF558" s="5">
        <f t="shared" si="1257"/>
        <v>903951</v>
      </c>
      <c r="AG558" s="5">
        <v>60</v>
      </c>
      <c r="AH558" s="5">
        <f t="shared" si="1233"/>
        <v>0.1</v>
      </c>
      <c r="AI558" s="5">
        <v>2</v>
      </c>
      <c r="AJ558" s="5">
        <v>1</v>
      </c>
      <c r="AK558" s="5">
        <f t="shared" si="1258"/>
        <v>30</v>
      </c>
      <c r="AL558" s="5">
        <f t="shared" si="1234"/>
        <v>18</v>
      </c>
      <c r="AM558" s="5">
        <f t="shared" si="1235"/>
        <v>36</v>
      </c>
      <c r="AN558" s="8">
        <v>1</v>
      </c>
      <c r="AO558" s="5">
        <v>0</v>
      </c>
      <c r="AP558" s="28" t="s">
        <v>881</v>
      </c>
      <c r="AQ558" s="5">
        <v>0</v>
      </c>
      <c r="AR558" s="8">
        <v>2</v>
      </c>
      <c r="AS558" s="6">
        <f t="shared" si="1211"/>
        <v>36</v>
      </c>
      <c r="AT558" s="6">
        <f t="shared" si="1212"/>
        <v>54</v>
      </c>
      <c r="AU558" s="5">
        <v>0</v>
      </c>
      <c r="AV558" s="5">
        <v>0</v>
      </c>
      <c r="AW558" s="5">
        <v>0</v>
      </c>
      <c r="AX558" s="5">
        <v>1</v>
      </c>
      <c r="AY558" s="5">
        <v>0</v>
      </c>
      <c r="AZ558" s="5">
        <v>201556</v>
      </c>
      <c r="BA558" s="5">
        <f t="shared" si="1259"/>
        <v>203057</v>
      </c>
      <c r="BB558" s="5">
        <v>10</v>
      </c>
      <c r="BC558" s="5">
        <v>0</v>
      </c>
      <c r="BD558" s="5">
        <v>1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f t="shared" si="1204"/>
        <v>1</v>
      </c>
      <c r="BM558" s="5">
        <v>0</v>
      </c>
      <c r="BN558" s="5">
        <v>0</v>
      </c>
      <c r="BO558" s="5">
        <v>0</v>
      </c>
      <c r="BP558" s="5">
        <v>0</v>
      </c>
      <c r="BQ558" s="5"/>
      <c r="BR558" s="5"/>
      <c r="BS558" s="4">
        <v>0</v>
      </c>
      <c r="BT558" s="4">
        <f t="shared" si="1236"/>
        <v>6</v>
      </c>
      <c r="BU558" s="17">
        <v>146</v>
      </c>
      <c r="BV558" s="4">
        <f t="shared" ref="BV558:BY558" si="1277">BV548</f>
        <v>6</v>
      </c>
      <c r="BW558" s="4">
        <f t="shared" si="1277"/>
        <v>6</v>
      </c>
      <c r="BX558" s="4">
        <f t="shared" si="1277"/>
        <v>0.49999999999999994</v>
      </c>
      <c r="BY558" s="4">
        <f t="shared" si="1277"/>
        <v>0.30000000000000004</v>
      </c>
      <c r="BZ558" s="27" t="s">
        <v>1015</v>
      </c>
      <c r="CA558" s="30" t="str">
        <f t="shared" si="1261"/>
        <v>6</v>
      </c>
      <c r="CB558" s="30" t="s">
        <v>917</v>
      </c>
      <c r="CC558" s="5">
        <v>0</v>
      </c>
      <c r="CD558" s="8">
        <v>3</v>
      </c>
      <c r="CE558" s="5">
        <f t="shared" si="1238"/>
        <v>6</v>
      </c>
      <c r="CF558" s="5">
        <v>1</v>
      </c>
      <c r="CG558" s="27" t="str">
        <f t="shared" si="1244"/>
        <v>6级远古树龙</v>
      </c>
      <c r="CH558" s="5">
        <v>0</v>
      </c>
      <c r="CI558" s="5">
        <v>0</v>
      </c>
      <c r="CJ558" s="4">
        <v>0</v>
      </c>
      <c r="CK558" s="20">
        <v>0</v>
      </c>
      <c r="CL558" s="5">
        <v>0</v>
      </c>
      <c r="CM558" s="20">
        <v>114</v>
      </c>
      <c r="CN558" s="5">
        <v>0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20">
        <v>2.5</v>
      </c>
      <c r="CW558" s="20">
        <v>3</v>
      </c>
      <c r="CX558" s="20">
        <v>2.5</v>
      </c>
      <c r="CY558" s="20">
        <v>3.5</v>
      </c>
      <c r="CZ558" s="8">
        <v>200</v>
      </c>
      <c r="DA558" s="6">
        <f t="shared" si="1251"/>
        <v>30000</v>
      </c>
      <c r="DB558" s="5">
        <v>1</v>
      </c>
      <c r="DC558" s="20">
        <f t="shared" si="1239"/>
        <v>1.875</v>
      </c>
      <c r="DD558" s="6">
        <f t="shared" si="1252"/>
        <v>0.625</v>
      </c>
      <c r="DE558" s="6">
        <v>1</v>
      </c>
      <c r="DF558" s="5">
        <v>0</v>
      </c>
      <c r="DG558" s="6">
        <v>2.5</v>
      </c>
      <c r="DH558" s="5">
        <v>0</v>
      </c>
      <c r="DI558" s="8">
        <v>0</v>
      </c>
      <c r="DJ558" s="5">
        <v>0</v>
      </c>
      <c r="DK558" s="8">
        <v>0</v>
      </c>
      <c r="DL558" s="5">
        <f t="shared" si="1210"/>
        <v>0</v>
      </c>
      <c r="DM558" s="5" t="str">
        <f t="shared" si="1241"/>
        <v>6级远古树龙</v>
      </c>
      <c r="DN558" s="5">
        <v>6</v>
      </c>
      <c r="DO558" s="5">
        <v>0</v>
      </c>
      <c r="DP558" s="5">
        <v>1</v>
      </c>
      <c r="DQ558" s="5">
        <v>1</v>
      </c>
      <c r="DR558" s="5">
        <v>2.5</v>
      </c>
      <c r="DS558" s="6">
        <v>3.5</v>
      </c>
      <c r="DT558" s="5">
        <v>-0.6</v>
      </c>
      <c r="DU558" s="5">
        <v>0.8</v>
      </c>
      <c r="DV558" s="6">
        <v>0.5</v>
      </c>
      <c r="DW558" s="5">
        <f t="shared" si="1253"/>
        <v>0.66666666666666663</v>
      </c>
      <c r="DX558" s="5">
        <v>8</v>
      </c>
      <c r="DY558" s="5">
        <f t="shared" si="1254"/>
        <v>0</v>
      </c>
      <c r="DZ558" s="5">
        <v>0</v>
      </c>
    </row>
    <row r="559" spans="1:130" x14ac:dyDescent="0.15">
      <c r="A559" s="5">
        <v>201557</v>
      </c>
      <c r="B559" s="28" t="s">
        <v>882</v>
      </c>
      <c r="C559" s="27">
        <v>25</v>
      </c>
      <c r="D559" s="27">
        <v>1</v>
      </c>
      <c r="E559" s="27">
        <v>3</v>
      </c>
      <c r="F559" s="5">
        <v>2</v>
      </c>
      <c r="G559" s="46">
        <f t="shared" si="1255"/>
        <v>0.40669999999999989</v>
      </c>
      <c r="H559" s="27"/>
      <c r="I559" s="27" t="s">
        <v>975</v>
      </c>
      <c r="J559" s="27"/>
      <c r="K559" s="5">
        <f t="shared" si="1229"/>
        <v>0.21</v>
      </c>
      <c r="L559" s="10">
        <v>3</v>
      </c>
      <c r="M559" s="5">
        <f t="shared" si="1230"/>
        <v>0.06</v>
      </c>
      <c r="N559" s="10">
        <v>0</v>
      </c>
      <c r="O559" s="5">
        <v>0</v>
      </c>
      <c r="P559" s="5">
        <f t="shared" si="1232"/>
        <v>0.2</v>
      </c>
      <c r="Q559" s="5">
        <v>2</v>
      </c>
      <c r="R559" s="5">
        <f t="shared" si="1256"/>
        <v>903935</v>
      </c>
      <c r="S559" s="5">
        <v>30</v>
      </c>
      <c r="T559" s="5">
        <v>10</v>
      </c>
      <c r="U559" s="5">
        <v>0.3</v>
      </c>
      <c r="V559" s="5">
        <v>0.15</v>
      </c>
      <c r="W559" s="5">
        <v>9</v>
      </c>
      <c r="X559" s="5">
        <v>-0.6</v>
      </c>
      <c r="Y559" s="5">
        <v>1.8</v>
      </c>
      <c r="Z559" s="27" t="s">
        <v>1051</v>
      </c>
      <c r="AA559" s="5">
        <v>3</v>
      </c>
      <c r="AB559" s="5">
        <v>2</v>
      </c>
      <c r="AC559" s="5">
        <v>6</v>
      </c>
      <c r="AD559" s="27" t="s">
        <v>1052</v>
      </c>
      <c r="AE559" s="20">
        <v>0</v>
      </c>
      <c r="AF559" s="5">
        <f t="shared" si="1257"/>
        <v>903951</v>
      </c>
      <c r="AG559" s="5">
        <v>60</v>
      </c>
      <c r="AH559" s="5">
        <f t="shared" si="1233"/>
        <v>0.1</v>
      </c>
      <c r="AI559" s="5">
        <v>2</v>
      </c>
      <c r="AJ559" s="5">
        <v>1</v>
      </c>
      <c r="AK559" s="5">
        <f t="shared" si="1258"/>
        <v>35</v>
      </c>
      <c r="AL559" s="5">
        <f t="shared" si="1234"/>
        <v>21</v>
      </c>
      <c r="AM559" s="5">
        <f t="shared" si="1235"/>
        <v>42</v>
      </c>
      <c r="AN559" s="8">
        <v>1</v>
      </c>
      <c r="AO559" s="5">
        <v>0</v>
      </c>
      <c r="AP559" s="28" t="s">
        <v>882</v>
      </c>
      <c r="AQ559" s="5">
        <v>0</v>
      </c>
      <c r="AR559" s="8">
        <v>2</v>
      </c>
      <c r="AS559" s="6">
        <f t="shared" si="1211"/>
        <v>42</v>
      </c>
      <c r="AT559" s="6">
        <f t="shared" si="1212"/>
        <v>63</v>
      </c>
      <c r="AU559" s="5">
        <v>0</v>
      </c>
      <c r="AV559" s="5">
        <v>0</v>
      </c>
      <c r="AW559" s="5">
        <v>0</v>
      </c>
      <c r="AX559" s="5">
        <v>1</v>
      </c>
      <c r="AY559" s="5">
        <v>0</v>
      </c>
      <c r="AZ559" s="5">
        <v>201557</v>
      </c>
      <c r="BA559" s="5">
        <f t="shared" si="1259"/>
        <v>203057</v>
      </c>
      <c r="BB559" s="5">
        <v>10</v>
      </c>
      <c r="BC559" s="5">
        <v>0</v>
      </c>
      <c r="BD559" s="5">
        <v>1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f t="shared" si="1204"/>
        <v>1</v>
      </c>
      <c r="BM559" s="5">
        <v>0</v>
      </c>
      <c r="BN559" s="5">
        <v>0</v>
      </c>
      <c r="BO559" s="5">
        <v>0</v>
      </c>
      <c r="BP559" s="5">
        <v>0</v>
      </c>
      <c r="BQ559" s="5"/>
      <c r="BR559" s="5"/>
      <c r="BS559" s="4">
        <v>0</v>
      </c>
      <c r="BT559" s="4">
        <f t="shared" si="1236"/>
        <v>7</v>
      </c>
      <c r="BU559" s="17">
        <v>147</v>
      </c>
      <c r="BV559" s="4">
        <f t="shared" ref="BV559:BY559" si="1278">BV549</f>
        <v>7</v>
      </c>
      <c r="BW559" s="4">
        <f t="shared" si="1278"/>
        <v>7</v>
      </c>
      <c r="BX559" s="4">
        <f t="shared" si="1278"/>
        <v>0.42999999999999994</v>
      </c>
      <c r="BY559" s="4">
        <f t="shared" si="1278"/>
        <v>0.25</v>
      </c>
      <c r="BZ559" s="27" t="s">
        <v>1015</v>
      </c>
      <c r="CA559" s="30" t="str">
        <f t="shared" si="1261"/>
        <v>7</v>
      </c>
      <c r="CB559" s="30" t="s">
        <v>917</v>
      </c>
      <c r="CC559" s="5">
        <v>0</v>
      </c>
      <c r="CD559" s="8">
        <v>3</v>
      </c>
      <c r="CE559" s="5">
        <f t="shared" si="1238"/>
        <v>7</v>
      </c>
      <c r="CF559" s="5">
        <v>1</v>
      </c>
      <c r="CG559" s="27" t="str">
        <f t="shared" si="1244"/>
        <v>7级远古树龙</v>
      </c>
      <c r="CH559" s="5">
        <v>0</v>
      </c>
      <c r="CI559" s="5">
        <v>0</v>
      </c>
      <c r="CJ559" s="4">
        <v>0</v>
      </c>
      <c r="CK559" s="20">
        <v>0</v>
      </c>
      <c r="CL559" s="5">
        <v>0</v>
      </c>
      <c r="CM559" s="20">
        <v>114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20">
        <v>2.5</v>
      </c>
      <c r="CW559" s="20">
        <v>3</v>
      </c>
      <c r="CX559" s="20">
        <v>2.5</v>
      </c>
      <c r="CY559" s="20">
        <v>3.5</v>
      </c>
      <c r="CZ559" s="8">
        <v>200</v>
      </c>
      <c r="DA559" s="6">
        <f t="shared" si="1251"/>
        <v>35000</v>
      </c>
      <c r="DB559" s="5">
        <v>1</v>
      </c>
      <c r="DC559" s="20">
        <f t="shared" si="1239"/>
        <v>1.9500000000000002</v>
      </c>
      <c r="DD559" s="6">
        <f t="shared" si="1252"/>
        <v>0.65</v>
      </c>
      <c r="DE559" s="6">
        <v>1</v>
      </c>
      <c r="DF559" s="5">
        <v>0</v>
      </c>
      <c r="DG559" s="6">
        <v>2.5</v>
      </c>
      <c r="DH559" s="5">
        <v>0</v>
      </c>
      <c r="DI559" s="8">
        <v>0</v>
      </c>
      <c r="DJ559" s="5">
        <v>0</v>
      </c>
      <c r="DK559" s="8">
        <v>0</v>
      </c>
      <c r="DL559" s="5">
        <f t="shared" si="1210"/>
        <v>0</v>
      </c>
      <c r="DM559" s="5" t="str">
        <f t="shared" si="1241"/>
        <v>7级远古树龙</v>
      </c>
      <c r="DN559" s="5">
        <v>6</v>
      </c>
      <c r="DO559" s="5">
        <v>0</v>
      </c>
      <c r="DP559" s="5">
        <v>1</v>
      </c>
      <c r="DQ559" s="5">
        <v>1</v>
      </c>
      <c r="DR559" s="5">
        <v>2.5</v>
      </c>
      <c r="DS559" s="6">
        <v>3.5</v>
      </c>
      <c r="DT559" s="5">
        <v>-0.6</v>
      </c>
      <c r="DU559" s="5">
        <v>0.8</v>
      </c>
      <c r="DV559" s="6">
        <v>0.5</v>
      </c>
      <c r="DW559" s="5">
        <f t="shared" si="1253"/>
        <v>0.66666666666666663</v>
      </c>
      <c r="DX559" s="5">
        <v>8</v>
      </c>
      <c r="DY559" s="5">
        <f t="shared" si="1254"/>
        <v>0</v>
      </c>
      <c r="DZ559" s="5">
        <v>0</v>
      </c>
    </row>
    <row r="560" spans="1:130" x14ac:dyDescent="0.15">
      <c r="A560" s="5">
        <v>201558</v>
      </c>
      <c r="B560" s="28" t="s">
        <v>883</v>
      </c>
      <c r="C560" s="27">
        <v>25</v>
      </c>
      <c r="D560" s="27">
        <v>1</v>
      </c>
      <c r="E560" s="27">
        <v>3</v>
      </c>
      <c r="F560" s="5">
        <v>2</v>
      </c>
      <c r="G560" s="46">
        <f t="shared" si="1255"/>
        <v>0.40669999999999989</v>
      </c>
      <c r="H560" s="27"/>
      <c r="I560" s="27" t="s">
        <v>975</v>
      </c>
      <c r="J560" s="27"/>
      <c r="K560" s="5">
        <f t="shared" si="1229"/>
        <v>0.22</v>
      </c>
      <c r="L560" s="10">
        <v>3</v>
      </c>
      <c r="M560" s="5">
        <f t="shared" si="1230"/>
        <v>7.0000000000000007E-2</v>
      </c>
      <c r="N560" s="10">
        <v>0</v>
      </c>
      <c r="O560" s="5">
        <v>0</v>
      </c>
      <c r="P560" s="5">
        <f t="shared" si="1232"/>
        <v>0.2</v>
      </c>
      <c r="Q560" s="5">
        <v>2</v>
      </c>
      <c r="R560" s="5">
        <f t="shared" si="1256"/>
        <v>903935</v>
      </c>
      <c r="S560" s="5">
        <v>30</v>
      </c>
      <c r="T560" s="5">
        <v>10</v>
      </c>
      <c r="U560" s="5">
        <v>0.3</v>
      </c>
      <c r="V560" s="5">
        <v>0.15</v>
      </c>
      <c r="W560" s="5">
        <v>9</v>
      </c>
      <c r="X560" s="5">
        <v>-0.6</v>
      </c>
      <c r="Y560" s="5">
        <v>1.8</v>
      </c>
      <c r="Z560" s="27" t="s">
        <v>1051</v>
      </c>
      <c r="AA560" s="5">
        <v>3</v>
      </c>
      <c r="AB560" s="5">
        <v>2</v>
      </c>
      <c r="AC560" s="5">
        <v>6</v>
      </c>
      <c r="AD560" s="27" t="s">
        <v>1052</v>
      </c>
      <c r="AE560" s="20">
        <v>0</v>
      </c>
      <c r="AF560" s="5">
        <f t="shared" si="1257"/>
        <v>903951</v>
      </c>
      <c r="AG560" s="5">
        <v>60</v>
      </c>
      <c r="AH560" s="5">
        <f t="shared" si="1233"/>
        <v>0.1</v>
      </c>
      <c r="AI560" s="5">
        <v>2</v>
      </c>
      <c r="AJ560" s="5">
        <v>1</v>
      </c>
      <c r="AK560" s="5">
        <f t="shared" si="1258"/>
        <v>40</v>
      </c>
      <c r="AL560" s="5">
        <f t="shared" si="1234"/>
        <v>24</v>
      </c>
      <c r="AM560" s="5">
        <f t="shared" si="1235"/>
        <v>48</v>
      </c>
      <c r="AN560" s="8">
        <v>1</v>
      </c>
      <c r="AO560" s="5">
        <v>0</v>
      </c>
      <c r="AP560" s="28" t="s">
        <v>883</v>
      </c>
      <c r="AQ560" s="5">
        <v>0</v>
      </c>
      <c r="AR560" s="8">
        <v>2</v>
      </c>
      <c r="AS560" s="6">
        <f t="shared" si="1211"/>
        <v>48</v>
      </c>
      <c r="AT560" s="6">
        <f t="shared" si="1212"/>
        <v>72</v>
      </c>
      <c r="AU560" s="5">
        <v>0</v>
      </c>
      <c r="AV560" s="5">
        <v>0</v>
      </c>
      <c r="AW560" s="5">
        <v>0</v>
      </c>
      <c r="AX560" s="5">
        <v>1</v>
      </c>
      <c r="AY560" s="5">
        <v>0</v>
      </c>
      <c r="AZ560" s="5">
        <v>201558</v>
      </c>
      <c r="BA560" s="5">
        <f t="shared" si="1259"/>
        <v>203057</v>
      </c>
      <c r="BB560" s="5">
        <v>10</v>
      </c>
      <c r="BC560" s="5">
        <v>0</v>
      </c>
      <c r="BD560" s="5">
        <v>1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f t="shared" si="1204"/>
        <v>1</v>
      </c>
      <c r="BM560" s="5">
        <v>0</v>
      </c>
      <c r="BN560" s="5">
        <v>0</v>
      </c>
      <c r="BO560" s="5">
        <v>0</v>
      </c>
      <c r="BP560" s="5">
        <v>0</v>
      </c>
      <c r="BQ560" s="5"/>
      <c r="BR560" s="5"/>
      <c r="BS560" s="4">
        <v>0</v>
      </c>
      <c r="BT560" s="4">
        <f t="shared" si="1236"/>
        <v>8</v>
      </c>
      <c r="BU560" s="17">
        <v>148</v>
      </c>
      <c r="BV560" s="4">
        <f t="shared" ref="BV560:BY560" si="1279">BV550</f>
        <v>8</v>
      </c>
      <c r="BW560" s="4">
        <f t="shared" si="1279"/>
        <v>8</v>
      </c>
      <c r="BX560" s="4">
        <f t="shared" si="1279"/>
        <v>0.35999999999999993</v>
      </c>
      <c r="BY560" s="4">
        <f t="shared" si="1279"/>
        <v>0.2</v>
      </c>
      <c r="BZ560" s="27" t="s">
        <v>1015</v>
      </c>
      <c r="CA560" s="30" t="str">
        <f t="shared" si="1261"/>
        <v>8</v>
      </c>
      <c r="CB560" s="30" t="s">
        <v>917</v>
      </c>
      <c r="CC560" s="5">
        <v>0</v>
      </c>
      <c r="CD560" s="8">
        <v>3</v>
      </c>
      <c r="CE560" s="5">
        <f t="shared" si="1238"/>
        <v>8</v>
      </c>
      <c r="CF560" s="5">
        <v>1</v>
      </c>
      <c r="CG560" s="27" t="str">
        <f t="shared" si="1244"/>
        <v>8级远古树龙</v>
      </c>
      <c r="CH560" s="5">
        <v>0</v>
      </c>
      <c r="CI560" s="5">
        <v>0</v>
      </c>
      <c r="CJ560" s="4">
        <v>0</v>
      </c>
      <c r="CK560" s="20">
        <v>0</v>
      </c>
      <c r="CL560" s="5">
        <v>0</v>
      </c>
      <c r="CM560" s="20">
        <v>114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20">
        <v>2.5</v>
      </c>
      <c r="CW560" s="20">
        <v>3</v>
      </c>
      <c r="CX560" s="20">
        <v>2.5</v>
      </c>
      <c r="CY560" s="20">
        <v>3.5</v>
      </c>
      <c r="CZ560" s="8">
        <v>200</v>
      </c>
      <c r="DA560" s="6">
        <f t="shared" si="1251"/>
        <v>40000</v>
      </c>
      <c r="DB560" s="5">
        <v>1</v>
      </c>
      <c r="DC560" s="20">
        <f t="shared" si="1239"/>
        <v>2.0250000000000004</v>
      </c>
      <c r="DD560" s="6">
        <f t="shared" si="1252"/>
        <v>0.67500000000000004</v>
      </c>
      <c r="DE560" s="6">
        <v>1</v>
      </c>
      <c r="DF560" s="5">
        <v>0</v>
      </c>
      <c r="DG560" s="6">
        <v>2.5</v>
      </c>
      <c r="DH560" s="5">
        <v>0</v>
      </c>
      <c r="DI560" s="8">
        <v>0</v>
      </c>
      <c r="DJ560" s="5">
        <v>0</v>
      </c>
      <c r="DK560" s="8">
        <v>0</v>
      </c>
      <c r="DL560" s="5">
        <f t="shared" si="1210"/>
        <v>0</v>
      </c>
      <c r="DM560" s="5" t="str">
        <f t="shared" si="1241"/>
        <v>8级远古树龙</v>
      </c>
      <c r="DN560" s="5">
        <v>6</v>
      </c>
      <c r="DO560" s="5">
        <v>0</v>
      </c>
      <c r="DP560" s="5">
        <v>1</v>
      </c>
      <c r="DQ560" s="5">
        <v>1</v>
      </c>
      <c r="DR560" s="5">
        <v>2.5</v>
      </c>
      <c r="DS560" s="6">
        <v>3.5</v>
      </c>
      <c r="DT560" s="5">
        <v>-0.6</v>
      </c>
      <c r="DU560" s="5">
        <v>0.8</v>
      </c>
      <c r="DV560" s="6">
        <v>0.5</v>
      </c>
      <c r="DW560" s="5">
        <f t="shared" si="1253"/>
        <v>0.66666666666666663</v>
      </c>
      <c r="DX560" s="5">
        <v>8</v>
      </c>
      <c r="DY560" s="5">
        <f t="shared" si="1254"/>
        <v>0</v>
      </c>
      <c r="DZ560" s="5">
        <v>0</v>
      </c>
    </row>
    <row r="561" spans="1:130" x14ac:dyDescent="0.15">
      <c r="A561" s="5">
        <v>201559</v>
      </c>
      <c r="B561" s="28" t="s">
        <v>884</v>
      </c>
      <c r="C561" s="27">
        <v>25</v>
      </c>
      <c r="D561" s="27">
        <v>1</v>
      </c>
      <c r="E561" s="27">
        <v>3</v>
      </c>
      <c r="F561" s="5">
        <v>2</v>
      </c>
      <c r="G561" s="46">
        <f t="shared" si="1255"/>
        <v>0.40669999999999989</v>
      </c>
      <c r="H561" s="27"/>
      <c r="I561" s="27" t="s">
        <v>975</v>
      </c>
      <c r="J561" s="27"/>
      <c r="K561" s="5">
        <f t="shared" si="1229"/>
        <v>0.22999999999999998</v>
      </c>
      <c r="L561" s="10">
        <v>3</v>
      </c>
      <c r="M561" s="5">
        <f t="shared" si="1230"/>
        <v>0.08</v>
      </c>
      <c r="N561" s="10">
        <v>0</v>
      </c>
      <c r="O561" s="5">
        <v>0</v>
      </c>
      <c r="P561" s="5">
        <f t="shared" si="1232"/>
        <v>0.2</v>
      </c>
      <c r="Q561" s="5">
        <v>2</v>
      </c>
      <c r="R561" s="5">
        <f t="shared" si="1256"/>
        <v>903935</v>
      </c>
      <c r="S561" s="5">
        <v>30</v>
      </c>
      <c r="T561" s="5">
        <v>10</v>
      </c>
      <c r="U561" s="5">
        <v>0.3</v>
      </c>
      <c r="V561" s="5">
        <v>0.15</v>
      </c>
      <c r="W561" s="5">
        <v>9</v>
      </c>
      <c r="X561" s="5">
        <v>-0.6</v>
      </c>
      <c r="Y561" s="5">
        <v>1.8</v>
      </c>
      <c r="Z561" s="27" t="s">
        <v>1051</v>
      </c>
      <c r="AA561" s="5">
        <v>3</v>
      </c>
      <c r="AB561" s="5">
        <v>2</v>
      </c>
      <c r="AC561" s="5">
        <v>6</v>
      </c>
      <c r="AD561" s="27" t="s">
        <v>1052</v>
      </c>
      <c r="AE561" s="20">
        <v>0</v>
      </c>
      <c r="AF561" s="5">
        <f t="shared" si="1257"/>
        <v>903951</v>
      </c>
      <c r="AG561" s="5">
        <v>60</v>
      </c>
      <c r="AH561" s="5">
        <f t="shared" si="1233"/>
        <v>0.1</v>
      </c>
      <c r="AI561" s="5">
        <v>2</v>
      </c>
      <c r="AJ561" s="5">
        <v>1</v>
      </c>
      <c r="AK561" s="5">
        <f t="shared" si="1258"/>
        <v>45</v>
      </c>
      <c r="AL561" s="5">
        <f t="shared" si="1234"/>
        <v>27</v>
      </c>
      <c r="AM561" s="5">
        <f t="shared" si="1235"/>
        <v>54</v>
      </c>
      <c r="AN561" s="8">
        <v>1</v>
      </c>
      <c r="AO561" s="5">
        <v>0</v>
      </c>
      <c r="AP561" s="28" t="s">
        <v>884</v>
      </c>
      <c r="AQ561" s="5">
        <v>0</v>
      </c>
      <c r="AR561" s="8">
        <v>2</v>
      </c>
      <c r="AS561" s="6">
        <f t="shared" si="1211"/>
        <v>54</v>
      </c>
      <c r="AT561" s="6">
        <f t="shared" si="1212"/>
        <v>81</v>
      </c>
      <c r="AU561" s="5">
        <v>0</v>
      </c>
      <c r="AV561" s="5">
        <v>0</v>
      </c>
      <c r="AW561" s="5">
        <v>0</v>
      </c>
      <c r="AX561" s="5">
        <v>1</v>
      </c>
      <c r="AY561" s="5">
        <v>0</v>
      </c>
      <c r="AZ561" s="5">
        <v>201559</v>
      </c>
      <c r="BA561" s="5">
        <f t="shared" si="1259"/>
        <v>203057</v>
      </c>
      <c r="BB561" s="5">
        <v>10</v>
      </c>
      <c r="BC561" s="5">
        <v>0</v>
      </c>
      <c r="BD561" s="5">
        <v>1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f t="shared" si="1204"/>
        <v>1</v>
      </c>
      <c r="BM561" s="5">
        <v>0</v>
      </c>
      <c r="BN561" s="5">
        <v>0</v>
      </c>
      <c r="BO561" s="5">
        <v>0</v>
      </c>
      <c r="BP561" s="5">
        <v>0</v>
      </c>
      <c r="BQ561" s="5"/>
      <c r="BR561" s="5"/>
      <c r="BS561" s="4">
        <v>0</v>
      </c>
      <c r="BT561" s="4">
        <f t="shared" si="1236"/>
        <v>9</v>
      </c>
      <c r="BU561" s="17">
        <v>149</v>
      </c>
      <c r="BV561" s="4">
        <f t="shared" ref="BV561:BY561" si="1280">BV551</f>
        <v>9</v>
      </c>
      <c r="BW561" s="4">
        <f t="shared" si="1280"/>
        <v>9</v>
      </c>
      <c r="BX561" s="4">
        <f t="shared" si="1280"/>
        <v>0.28999999999999992</v>
      </c>
      <c r="BY561" s="4">
        <f t="shared" si="1280"/>
        <v>0.15000000000000002</v>
      </c>
      <c r="BZ561" s="27" t="s">
        <v>1015</v>
      </c>
      <c r="CA561" s="30" t="str">
        <f t="shared" si="1261"/>
        <v>9</v>
      </c>
      <c r="CB561" s="30" t="s">
        <v>917</v>
      </c>
      <c r="CC561" s="5">
        <v>0</v>
      </c>
      <c r="CD561" s="8">
        <v>3</v>
      </c>
      <c r="CE561" s="5">
        <f t="shared" si="1238"/>
        <v>9</v>
      </c>
      <c r="CF561" s="5">
        <v>1</v>
      </c>
      <c r="CG561" s="27" t="str">
        <f t="shared" si="1244"/>
        <v>9级远古树龙</v>
      </c>
      <c r="CH561" s="5">
        <v>0</v>
      </c>
      <c r="CI561" s="5">
        <v>0</v>
      </c>
      <c r="CJ561" s="4">
        <v>0</v>
      </c>
      <c r="CK561" s="20">
        <v>0</v>
      </c>
      <c r="CL561" s="5">
        <v>0</v>
      </c>
      <c r="CM561" s="20">
        <v>114</v>
      </c>
      <c r="CN561" s="5">
        <v>0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0</v>
      </c>
      <c r="CV561" s="20">
        <v>2.5</v>
      </c>
      <c r="CW561" s="20">
        <v>3</v>
      </c>
      <c r="CX561" s="20">
        <v>2.5</v>
      </c>
      <c r="CY561" s="20">
        <v>3.5</v>
      </c>
      <c r="CZ561" s="8">
        <v>200</v>
      </c>
      <c r="DA561" s="6">
        <f t="shared" si="1251"/>
        <v>45000</v>
      </c>
      <c r="DB561" s="5">
        <v>1</v>
      </c>
      <c r="DC561" s="20">
        <f t="shared" si="1239"/>
        <v>2.0999999999999996</v>
      </c>
      <c r="DD561" s="6">
        <f t="shared" si="1252"/>
        <v>0.7</v>
      </c>
      <c r="DE561" s="6">
        <v>1</v>
      </c>
      <c r="DF561" s="5">
        <v>0</v>
      </c>
      <c r="DG561" s="6">
        <v>2.5</v>
      </c>
      <c r="DH561" s="5">
        <v>0</v>
      </c>
      <c r="DI561" s="8">
        <v>0</v>
      </c>
      <c r="DJ561" s="5">
        <v>0</v>
      </c>
      <c r="DK561" s="8">
        <v>0</v>
      </c>
      <c r="DL561" s="5">
        <f t="shared" si="1210"/>
        <v>0</v>
      </c>
      <c r="DM561" s="5" t="str">
        <f t="shared" si="1241"/>
        <v>9级远古树龙</v>
      </c>
      <c r="DN561" s="5">
        <v>6</v>
      </c>
      <c r="DO561" s="5">
        <v>0</v>
      </c>
      <c r="DP561" s="5">
        <v>1</v>
      </c>
      <c r="DQ561" s="5">
        <v>1</v>
      </c>
      <c r="DR561" s="5">
        <v>2.5</v>
      </c>
      <c r="DS561" s="6">
        <v>3.5</v>
      </c>
      <c r="DT561" s="5">
        <v>-0.6</v>
      </c>
      <c r="DU561" s="5">
        <v>0.8</v>
      </c>
      <c r="DV561" s="6">
        <v>0.5</v>
      </c>
      <c r="DW561" s="5">
        <f t="shared" si="1253"/>
        <v>0.66666666666666663</v>
      </c>
      <c r="DX561" s="5">
        <v>8</v>
      </c>
      <c r="DY561" s="5">
        <f t="shared" si="1254"/>
        <v>0</v>
      </c>
      <c r="DZ561" s="5">
        <v>0</v>
      </c>
    </row>
    <row r="562" spans="1:130" x14ac:dyDescent="0.15">
      <c r="A562" s="5">
        <v>201560</v>
      </c>
      <c r="B562" s="28" t="s">
        <v>885</v>
      </c>
      <c r="C562" s="27">
        <v>25</v>
      </c>
      <c r="D562" s="27">
        <v>1</v>
      </c>
      <c r="E562" s="27">
        <v>3</v>
      </c>
      <c r="F562" s="5">
        <v>2</v>
      </c>
      <c r="G562" s="46">
        <f t="shared" si="1255"/>
        <v>0.40669999999999989</v>
      </c>
      <c r="H562" s="27"/>
      <c r="I562" s="27" t="s">
        <v>975</v>
      </c>
      <c r="J562" s="27"/>
      <c r="K562" s="5">
        <f t="shared" si="1229"/>
        <v>0.24</v>
      </c>
      <c r="L562" s="10">
        <v>3</v>
      </c>
      <c r="M562" s="5">
        <f t="shared" si="1230"/>
        <v>0.09</v>
      </c>
      <c r="N562" s="10">
        <v>0</v>
      </c>
      <c r="O562" s="5">
        <v>0</v>
      </c>
      <c r="P562" s="5">
        <f t="shared" si="1232"/>
        <v>0.2</v>
      </c>
      <c r="Q562" s="5">
        <v>2</v>
      </c>
      <c r="R562" s="5">
        <f t="shared" si="1256"/>
        <v>903935</v>
      </c>
      <c r="S562" s="5">
        <v>30</v>
      </c>
      <c r="T562" s="5">
        <v>10</v>
      </c>
      <c r="U562" s="5">
        <v>0.3</v>
      </c>
      <c r="V562" s="5">
        <v>0.15</v>
      </c>
      <c r="W562" s="5">
        <v>9</v>
      </c>
      <c r="X562" s="5">
        <v>-0.6</v>
      </c>
      <c r="Y562" s="5">
        <v>1.8</v>
      </c>
      <c r="Z562" s="27" t="s">
        <v>1051</v>
      </c>
      <c r="AA562" s="5">
        <v>3</v>
      </c>
      <c r="AB562" s="5">
        <v>2</v>
      </c>
      <c r="AC562" s="5">
        <v>6</v>
      </c>
      <c r="AD562" s="27" t="s">
        <v>1052</v>
      </c>
      <c r="AE562" s="20">
        <v>0</v>
      </c>
      <c r="AF562" s="5">
        <f t="shared" si="1257"/>
        <v>903951</v>
      </c>
      <c r="AG562" s="5">
        <v>60</v>
      </c>
      <c r="AH562" s="5">
        <f t="shared" si="1233"/>
        <v>0.1</v>
      </c>
      <c r="AI562" s="5">
        <v>2</v>
      </c>
      <c r="AJ562" s="5">
        <v>1</v>
      </c>
      <c r="AK562" s="5">
        <f t="shared" si="1258"/>
        <v>50</v>
      </c>
      <c r="AL562" s="5">
        <f t="shared" si="1234"/>
        <v>30</v>
      </c>
      <c r="AM562" s="5">
        <f t="shared" si="1235"/>
        <v>60</v>
      </c>
      <c r="AN562" s="8">
        <v>1</v>
      </c>
      <c r="AO562" s="5">
        <v>0</v>
      </c>
      <c r="AP562" s="28" t="s">
        <v>885</v>
      </c>
      <c r="AQ562" s="5">
        <v>0</v>
      </c>
      <c r="AR562" s="8">
        <v>2</v>
      </c>
      <c r="AS562" s="6">
        <f t="shared" si="1211"/>
        <v>60</v>
      </c>
      <c r="AT562" s="6">
        <f t="shared" si="1212"/>
        <v>90</v>
      </c>
      <c r="AU562" s="5">
        <v>0</v>
      </c>
      <c r="AV562" s="5">
        <v>0</v>
      </c>
      <c r="AW562" s="5">
        <v>0</v>
      </c>
      <c r="AX562" s="5">
        <v>1</v>
      </c>
      <c r="AY562" s="5">
        <v>0</v>
      </c>
      <c r="AZ562" s="5">
        <v>201560</v>
      </c>
      <c r="BA562" s="5">
        <f t="shared" si="1259"/>
        <v>203057</v>
      </c>
      <c r="BB562" s="5">
        <v>10</v>
      </c>
      <c r="BC562" s="5">
        <v>0</v>
      </c>
      <c r="BD562" s="5">
        <v>1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f t="shared" si="1204"/>
        <v>1</v>
      </c>
      <c r="BM562" s="5">
        <v>0</v>
      </c>
      <c r="BN562" s="5">
        <v>0</v>
      </c>
      <c r="BO562" s="5">
        <v>0</v>
      </c>
      <c r="BP562" s="5">
        <v>0</v>
      </c>
      <c r="BQ562" s="5"/>
      <c r="BR562" s="5"/>
      <c r="BS562" s="4">
        <v>0</v>
      </c>
      <c r="BT562" s="4">
        <f t="shared" si="1236"/>
        <v>10</v>
      </c>
      <c r="BU562" s="17">
        <v>150</v>
      </c>
      <c r="BV562" s="4">
        <f t="shared" ref="BV562:BY562" si="1281">BV552</f>
        <v>10</v>
      </c>
      <c r="BW562" s="4">
        <f t="shared" si="1281"/>
        <v>10</v>
      </c>
      <c r="BX562" s="4">
        <f t="shared" si="1281"/>
        <v>0.21999999999999986</v>
      </c>
      <c r="BY562" s="4">
        <f t="shared" si="1281"/>
        <v>0.10000000000000003</v>
      </c>
      <c r="BZ562" s="27" t="s">
        <v>1015</v>
      </c>
      <c r="CA562" s="30" t="str">
        <f t="shared" si="1261"/>
        <v>10</v>
      </c>
      <c r="CB562" s="30" t="s">
        <v>917</v>
      </c>
      <c r="CC562" s="5">
        <v>0</v>
      </c>
      <c r="CD562" s="8">
        <v>3</v>
      </c>
      <c r="CE562" s="5">
        <f t="shared" si="1238"/>
        <v>10</v>
      </c>
      <c r="CF562" s="5">
        <v>1</v>
      </c>
      <c r="CG562" s="27" t="str">
        <f t="shared" si="1244"/>
        <v>10级远古树龙</v>
      </c>
      <c r="CH562" s="5">
        <v>0</v>
      </c>
      <c r="CI562" s="5">
        <v>0</v>
      </c>
      <c r="CJ562" s="4">
        <v>0</v>
      </c>
      <c r="CK562" s="20">
        <v>0</v>
      </c>
      <c r="CL562" s="5">
        <v>0</v>
      </c>
      <c r="CM562" s="20">
        <v>114</v>
      </c>
      <c r="CN562" s="5">
        <v>0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20">
        <v>2.5</v>
      </c>
      <c r="CW562" s="20">
        <v>3</v>
      </c>
      <c r="CX562" s="20">
        <v>2.5</v>
      </c>
      <c r="CY562" s="20">
        <v>3.5</v>
      </c>
      <c r="CZ562" s="8">
        <v>200</v>
      </c>
      <c r="DA562" s="6">
        <f t="shared" si="1251"/>
        <v>50000</v>
      </c>
      <c r="DB562" s="5">
        <v>1</v>
      </c>
      <c r="DC562" s="20">
        <f t="shared" si="1239"/>
        <v>2.1749999999999998</v>
      </c>
      <c r="DD562" s="6">
        <f t="shared" si="1252"/>
        <v>0.72499999999999998</v>
      </c>
      <c r="DE562" s="6">
        <v>1</v>
      </c>
      <c r="DF562" s="5">
        <v>0</v>
      </c>
      <c r="DG562" s="6">
        <v>2.5</v>
      </c>
      <c r="DH562" s="5">
        <v>0</v>
      </c>
      <c r="DI562" s="8">
        <v>0</v>
      </c>
      <c r="DJ562" s="5">
        <v>0</v>
      </c>
      <c r="DK562" s="8">
        <v>0</v>
      </c>
      <c r="DL562" s="5">
        <f t="shared" si="1210"/>
        <v>0</v>
      </c>
      <c r="DM562" s="5" t="str">
        <f t="shared" si="1241"/>
        <v>10级远古树龙</v>
      </c>
      <c r="DN562" s="5">
        <v>6</v>
      </c>
      <c r="DO562" s="5">
        <v>0</v>
      </c>
      <c r="DP562" s="5">
        <v>1</v>
      </c>
      <c r="DQ562" s="5">
        <v>1</v>
      </c>
      <c r="DR562" s="5">
        <v>2.5</v>
      </c>
      <c r="DS562" s="6">
        <v>3.5</v>
      </c>
      <c r="DT562" s="5">
        <v>-0.6</v>
      </c>
      <c r="DU562" s="5">
        <v>0.8</v>
      </c>
      <c r="DV562" s="6">
        <v>0.5</v>
      </c>
      <c r="DW562" s="5">
        <f t="shared" si="1253"/>
        <v>0.66666666666666663</v>
      </c>
      <c r="DX562" s="5">
        <v>8</v>
      </c>
      <c r="DY562" s="5">
        <f t="shared" si="1254"/>
        <v>0</v>
      </c>
      <c r="DZ562" s="5">
        <v>0</v>
      </c>
    </row>
    <row r="563" spans="1:130" x14ac:dyDescent="0.15">
      <c r="A563" s="5">
        <v>201561</v>
      </c>
      <c r="B563" s="27" t="s">
        <v>919</v>
      </c>
      <c r="C563" s="27"/>
      <c r="D563" s="27"/>
      <c r="E563" s="27"/>
      <c r="F563" s="5">
        <v>3</v>
      </c>
      <c r="G563" s="45"/>
      <c r="H563" s="5"/>
      <c r="I563" s="5"/>
      <c r="J563" s="5"/>
      <c r="K563" s="5"/>
      <c r="L563" s="10"/>
      <c r="M563" s="5"/>
      <c r="N563" s="10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20"/>
      <c r="AF563" s="5"/>
      <c r="AG563" s="5"/>
      <c r="AH563" s="5"/>
      <c r="AI563" s="5"/>
      <c r="AJ563" s="5"/>
      <c r="AK563" s="5"/>
      <c r="AL563" s="5"/>
      <c r="AM563" s="5"/>
      <c r="AN563" s="8"/>
      <c r="AO563" s="5">
        <v>0</v>
      </c>
      <c r="AP563" s="27" t="s">
        <v>919</v>
      </c>
      <c r="AQ563" s="5">
        <v>0</v>
      </c>
      <c r="AR563" s="8">
        <v>1</v>
      </c>
      <c r="AS563" s="6">
        <f t="shared" si="1211"/>
        <v>3</v>
      </c>
      <c r="AT563" s="6">
        <f t="shared" si="1212"/>
        <v>6</v>
      </c>
      <c r="AU563" s="5">
        <v>0</v>
      </c>
      <c r="AV563" s="5">
        <v>1</v>
      </c>
      <c r="AW563" s="6">
        <v>1</v>
      </c>
      <c r="AX563" s="6">
        <v>1</v>
      </c>
      <c r="AY563" s="6">
        <v>1</v>
      </c>
      <c r="AZ563" s="5">
        <v>201561</v>
      </c>
      <c r="BA563" s="5">
        <v>203058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f t="shared" si="1204"/>
        <v>1</v>
      </c>
      <c r="BM563" s="5">
        <v>0</v>
      </c>
      <c r="BN563" s="5">
        <v>0</v>
      </c>
      <c r="BO563" s="5">
        <v>0</v>
      </c>
      <c r="BP563" s="5">
        <v>0</v>
      </c>
      <c r="BQ563" s="5"/>
      <c r="BR563" s="5"/>
      <c r="BS563" s="4">
        <v>0</v>
      </c>
      <c r="BT563" s="4">
        <f t="shared" si="1236"/>
        <v>1</v>
      </c>
      <c r="BU563" s="4">
        <v>0</v>
      </c>
      <c r="BV563" s="4">
        <f t="shared" ref="BV563:BV582" si="1282">BT563</f>
        <v>1</v>
      </c>
      <c r="BW563" s="4">
        <f t="shared" ref="BW563:BW582" si="1283">BT563</f>
        <v>1</v>
      </c>
      <c r="BX563" s="14">
        <f t="shared" ref="BX563:BX582" si="1284">0.85-(BT563-1)*0.07</f>
        <v>0.85</v>
      </c>
      <c r="BY563" s="14">
        <f t="shared" ref="BY563:BY582" si="1285">0.55-(BT563-1)*0.05</f>
        <v>0.55000000000000004</v>
      </c>
      <c r="BZ563" s="27" t="s">
        <v>713</v>
      </c>
      <c r="CA563" s="27" t="s">
        <v>939</v>
      </c>
      <c r="CB563" s="27" t="s">
        <v>713</v>
      </c>
      <c r="CC563" s="5">
        <v>1</v>
      </c>
      <c r="CD563" s="5">
        <v>1</v>
      </c>
      <c r="CE563" s="5">
        <f t="shared" ref="CE563:CE572" si="1286">BT563*CF563</f>
        <v>3</v>
      </c>
      <c r="CF563" s="5">
        <v>3</v>
      </c>
      <c r="CG563" s="6" t="str">
        <f t="shared" si="1244"/>
        <v>1级红工蚁</v>
      </c>
      <c r="CH563" s="5">
        <v>3</v>
      </c>
      <c r="CI563" s="5">
        <v>0</v>
      </c>
      <c r="CJ563" s="4">
        <v>0</v>
      </c>
      <c r="CK563" s="5">
        <v>0</v>
      </c>
      <c r="CL563" s="5">
        <v>0</v>
      </c>
      <c r="CM563" s="20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10">
        <v>0.8</v>
      </c>
      <c r="CW563" s="10">
        <v>0.7</v>
      </c>
      <c r="CX563" s="10">
        <v>1</v>
      </c>
      <c r="CY563" s="10">
        <v>1</v>
      </c>
      <c r="CZ563" s="8">
        <v>1</v>
      </c>
      <c r="DA563" s="6">
        <f t="shared" si="1251"/>
        <v>25</v>
      </c>
      <c r="DB563" s="5">
        <v>0</v>
      </c>
      <c r="DC563" s="5">
        <f t="shared" ref="DC563:DC579" si="1287">DD563</f>
        <v>0.6</v>
      </c>
      <c r="DD563" s="6">
        <f t="shared" si="1252"/>
        <v>0.6</v>
      </c>
      <c r="DE563" s="6">
        <v>1.2</v>
      </c>
      <c r="DF563" s="5">
        <v>0</v>
      </c>
      <c r="DG563" s="6">
        <f t="shared" ref="DG563:DG582" si="1288">DH563+1</f>
        <v>2.5</v>
      </c>
      <c r="DH563" s="5">
        <v>1.5</v>
      </c>
      <c r="DI563" s="8">
        <v>0</v>
      </c>
      <c r="DJ563" s="5">
        <f t="shared" ref="DJ563:DJ582" si="1289">DI563*5*(1+BV563/2)</f>
        <v>0</v>
      </c>
      <c r="DK563" s="8">
        <v>0</v>
      </c>
      <c r="DL563" s="5">
        <f t="shared" si="1210"/>
        <v>0</v>
      </c>
      <c r="DM563" s="27" t="str">
        <f t="shared" si="1241"/>
        <v>1级红工蚁</v>
      </c>
      <c r="DN563" s="5">
        <v>6</v>
      </c>
      <c r="DO563" s="5">
        <v>0</v>
      </c>
      <c r="DP563" s="5">
        <v>0</v>
      </c>
      <c r="DQ563" s="5">
        <v>0</v>
      </c>
      <c r="DR563" s="5">
        <f t="shared" ref="DR563:DR582" si="1290">DS563*0.9</f>
        <v>0.9</v>
      </c>
      <c r="DS563" s="6">
        <v>1</v>
      </c>
      <c r="DT563" s="5">
        <v>-0.5</v>
      </c>
      <c r="DU563" s="5">
        <v>0.5</v>
      </c>
      <c r="DV563" s="6">
        <v>0.5</v>
      </c>
      <c r="DW563" s="5">
        <f t="shared" si="1253"/>
        <v>0</v>
      </c>
      <c r="DX563" s="5">
        <f t="shared" ref="DX563:DX572" si="1291">DY563/12</f>
        <v>0</v>
      </c>
      <c r="DY563" s="5">
        <v>0</v>
      </c>
      <c r="DZ563" s="5">
        <v>0</v>
      </c>
    </row>
    <row r="564" spans="1:130" x14ac:dyDescent="0.15">
      <c r="A564" s="5">
        <v>201562</v>
      </c>
      <c r="B564" s="27" t="s">
        <v>920</v>
      </c>
      <c r="C564" s="27"/>
      <c r="D564" s="27"/>
      <c r="E564" s="27"/>
      <c r="F564" s="5">
        <v>3</v>
      </c>
      <c r="G564" s="45"/>
      <c r="H564" s="5"/>
      <c r="I564" s="5"/>
      <c r="J564" s="5"/>
      <c r="K564" s="5"/>
      <c r="L564" s="10"/>
      <c r="M564" s="5"/>
      <c r="N564" s="10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20"/>
      <c r="AF564" s="5"/>
      <c r="AG564" s="5"/>
      <c r="AH564" s="5"/>
      <c r="AI564" s="5"/>
      <c r="AJ564" s="5"/>
      <c r="AK564" s="5"/>
      <c r="AL564" s="5"/>
      <c r="AM564" s="5"/>
      <c r="AN564" s="8"/>
      <c r="AO564" s="5">
        <v>0</v>
      </c>
      <c r="AP564" s="27" t="s">
        <v>920</v>
      </c>
      <c r="AQ564" s="5">
        <v>0</v>
      </c>
      <c r="AR564" s="8">
        <v>1</v>
      </c>
      <c r="AS564" s="6">
        <f t="shared" si="1211"/>
        <v>6</v>
      </c>
      <c r="AT564" s="6">
        <f t="shared" si="1212"/>
        <v>12</v>
      </c>
      <c r="AU564" s="5">
        <v>0</v>
      </c>
      <c r="AV564" s="5">
        <v>1</v>
      </c>
      <c r="AW564" s="6">
        <v>1</v>
      </c>
      <c r="AX564" s="6">
        <v>1</v>
      </c>
      <c r="AY564" s="6">
        <v>1</v>
      </c>
      <c r="AZ564" s="5">
        <v>201562</v>
      </c>
      <c r="BA564" s="5">
        <v>203058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f t="shared" si="1204"/>
        <v>1</v>
      </c>
      <c r="BM564" s="5">
        <v>0</v>
      </c>
      <c r="BN564" s="5">
        <v>0</v>
      </c>
      <c r="BO564" s="5">
        <v>0</v>
      </c>
      <c r="BP564" s="5">
        <v>0</v>
      </c>
      <c r="BQ564" s="5"/>
      <c r="BR564" s="5"/>
      <c r="BS564" s="4">
        <v>0</v>
      </c>
      <c r="BT564" s="4">
        <f t="shared" si="1236"/>
        <v>2</v>
      </c>
      <c r="BU564" s="4">
        <v>0</v>
      </c>
      <c r="BV564" s="4">
        <f t="shared" si="1282"/>
        <v>2</v>
      </c>
      <c r="BW564" s="4">
        <f t="shared" si="1283"/>
        <v>2</v>
      </c>
      <c r="BX564" s="14">
        <f t="shared" si="1284"/>
        <v>0.78</v>
      </c>
      <c r="BY564" s="14">
        <f t="shared" si="1285"/>
        <v>0.5</v>
      </c>
      <c r="BZ564" s="27" t="s">
        <v>713</v>
      </c>
      <c r="CA564" s="27" t="s">
        <v>939</v>
      </c>
      <c r="CB564" s="27" t="s">
        <v>713</v>
      </c>
      <c r="CC564" s="5">
        <v>1</v>
      </c>
      <c r="CD564" s="5">
        <v>1</v>
      </c>
      <c r="CE564" s="5">
        <f t="shared" si="1286"/>
        <v>6</v>
      </c>
      <c r="CF564" s="5">
        <v>3</v>
      </c>
      <c r="CG564" s="6" t="str">
        <f t="shared" si="1244"/>
        <v>2级红工蚁</v>
      </c>
      <c r="CH564" s="5">
        <v>3</v>
      </c>
      <c r="CI564" s="5">
        <v>0</v>
      </c>
      <c r="CJ564" s="4">
        <v>0</v>
      </c>
      <c r="CK564" s="5">
        <v>0</v>
      </c>
      <c r="CL564" s="5">
        <v>0</v>
      </c>
      <c r="CM564" s="20">
        <v>0</v>
      </c>
      <c r="CN564" s="5">
        <v>0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10">
        <v>0.8</v>
      </c>
      <c r="CW564" s="10">
        <v>0.7</v>
      </c>
      <c r="CX564" s="10">
        <v>1</v>
      </c>
      <c r="CY564" s="10">
        <v>1</v>
      </c>
      <c r="CZ564" s="8">
        <v>1</v>
      </c>
      <c r="DA564" s="6">
        <f t="shared" si="1251"/>
        <v>50</v>
      </c>
      <c r="DB564" s="5">
        <v>0</v>
      </c>
      <c r="DC564" s="5">
        <f t="shared" si="1287"/>
        <v>0.63</v>
      </c>
      <c r="DD564" s="6">
        <f t="shared" si="1252"/>
        <v>0.63</v>
      </c>
      <c r="DE564" s="6">
        <v>1.2</v>
      </c>
      <c r="DF564" s="5">
        <v>0</v>
      </c>
      <c r="DG564" s="6">
        <f t="shared" si="1288"/>
        <v>2.5</v>
      </c>
      <c r="DH564" s="5">
        <v>1.5</v>
      </c>
      <c r="DI564" s="8">
        <v>0</v>
      </c>
      <c r="DJ564" s="5">
        <f t="shared" si="1289"/>
        <v>0</v>
      </c>
      <c r="DK564" s="8">
        <v>0</v>
      </c>
      <c r="DL564" s="5">
        <f t="shared" si="1210"/>
        <v>0</v>
      </c>
      <c r="DM564" s="27" t="str">
        <f t="shared" si="1241"/>
        <v>2级红工蚁</v>
      </c>
      <c r="DN564" s="5">
        <v>6</v>
      </c>
      <c r="DO564" s="5">
        <v>0</v>
      </c>
      <c r="DP564" s="5">
        <v>0</v>
      </c>
      <c r="DQ564" s="5">
        <v>0</v>
      </c>
      <c r="DR564" s="5">
        <f t="shared" si="1290"/>
        <v>0.9</v>
      </c>
      <c r="DS564" s="6">
        <v>1</v>
      </c>
      <c r="DT564" s="5">
        <v>-0.5</v>
      </c>
      <c r="DU564" s="5">
        <v>0.5</v>
      </c>
      <c r="DV564" s="6">
        <v>0.5</v>
      </c>
      <c r="DW564" s="5">
        <f t="shared" si="1253"/>
        <v>0</v>
      </c>
      <c r="DX564" s="5">
        <f t="shared" si="1291"/>
        <v>0</v>
      </c>
      <c r="DY564" s="5">
        <v>0</v>
      </c>
      <c r="DZ564" s="5">
        <v>0</v>
      </c>
    </row>
    <row r="565" spans="1:130" x14ac:dyDescent="0.15">
      <c r="A565" s="5">
        <v>201563</v>
      </c>
      <c r="B565" s="27" t="s">
        <v>921</v>
      </c>
      <c r="C565" s="27"/>
      <c r="D565" s="27"/>
      <c r="E565" s="27"/>
      <c r="F565" s="5">
        <v>3</v>
      </c>
      <c r="G565" s="45"/>
      <c r="H565" s="5"/>
      <c r="I565" s="5"/>
      <c r="J565" s="5"/>
      <c r="K565" s="5"/>
      <c r="L565" s="10"/>
      <c r="M565" s="5"/>
      <c r="N565" s="10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20"/>
      <c r="AF565" s="5"/>
      <c r="AG565" s="5"/>
      <c r="AH565" s="5"/>
      <c r="AI565" s="5"/>
      <c r="AJ565" s="5"/>
      <c r="AK565" s="5"/>
      <c r="AL565" s="5"/>
      <c r="AM565" s="5"/>
      <c r="AN565" s="8"/>
      <c r="AO565" s="5">
        <v>0</v>
      </c>
      <c r="AP565" s="27" t="s">
        <v>921</v>
      </c>
      <c r="AQ565" s="5">
        <v>0</v>
      </c>
      <c r="AR565" s="8">
        <v>1</v>
      </c>
      <c r="AS565" s="6">
        <f t="shared" si="1211"/>
        <v>9</v>
      </c>
      <c r="AT565" s="6">
        <f t="shared" si="1212"/>
        <v>18</v>
      </c>
      <c r="AU565" s="5">
        <v>0</v>
      </c>
      <c r="AV565" s="5">
        <v>1</v>
      </c>
      <c r="AW565" s="6">
        <v>1</v>
      </c>
      <c r="AX565" s="6">
        <v>1</v>
      </c>
      <c r="AY565" s="6">
        <v>1</v>
      </c>
      <c r="AZ565" s="5">
        <v>201563</v>
      </c>
      <c r="BA565" s="5">
        <v>203058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f t="shared" si="1204"/>
        <v>1</v>
      </c>
      <c r="BM565" s="5">
        <v>0</v>
      </c>
      <c r="BN565" s="5">
        <v>0</v>
      </c>
      <c r="BO565" s="5">
        <v>0</v>
      </c>
      <c r="BP565" s="5">
        <v>0</v>
      </c>
      <c r="BQ565" s="5"/>
      <c r="BR565" s="5"/>
      <c r="BS565" s="4">
        <v>0</v>
      </c>
      <c r="BT565" s="4">
        <f t="shared" si="1236"/>
        <v>3</v>
      </c>
      <c r="BU565" s="4">
        <v>0</v>
      </c>
      <c r="BV565" s="4">
        <f t="shared" si="1282"/>
        <v>3</v>
      </c>
      <c r="BW565" s="4">
        <f t="shared" si="1283"/>
        <v>3</v>
      </c>
      <c r="BX565" s="14">
        <f t="shared" si="1284"/>
        <v>0.71</v>
      </c>
      <c r="BY565" s="14">
        <f t="shared" si="1285"/>
        <v>0.45000000000000007</v>
      </c>
      <c r="BZ565" s="27" t="s">
        <v>713</v>
      </c>
      <c r="CA565" s="27" t="s">
        <v>939</v>
      </c>
      <c r="CB565" s="27" t="s">
        <v>713</v>
      </c>
      <c r="CC565" s="5">
        <v>1</v>
      </c>
      <c r="CD565" s="5">
        <v>1</v>
      </c>
      <c r="CE565" s="5">
        <f t="shared" si="1286"/>
        <v>9</v>
      </c>
      <c r="CF565" s="5">
        <v>3</v>
      </c>
      <c r="CG565" s="6" t="str">
        <f t="shared" si="1244"/>
        <v>3级红工蚁</v>
      </c>
      <c r="CH565" s="5">
        <v>3</v>
      </c>
      <c r="CI565" s="5">
        <v>0</v>
      </c>
      <c r="CJ565" s="4">
        <v>0</v>
      </c>
      <c r="CK565" s="5">
        <v>0</v>
      </c>
      <c r="CL565" s="5">
        <v>0</v>
      </c>
      <c r="CM565" s="20">
        <v>0</v>
      </c>
      <c r="CN565" s="5">
        <v>0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0</v>
      </c>
      <c r="CV565" s="10">
        <v>0.8</v>
      </c>
      <c r="CW565" s="10">
        <v>0.7</v>
      </c>
      <c r="CX565" s="10">
        <v>1</v>
      </c>
      <c r="CY565" s="10">
        <v>1</v>
      </c>
      <c r="CZ565" s="8">
        <v>1</v>
      </c>
      <c r="DA565" s="6">
        <f t="shared" si="1251"/>
        <v>75</v>
      </c>
      <c r="DB565" s="5">
        <v>0</v>
      </c>
      <c r="DC565" s="5">
        <f t="shared" si="1287"/>
        <v>0.66</v>
      </c>
      <c r="DD565" s="6">
        <f t="shared" si="1252"/>
        <v>0.66</v>
      </c>
      <c r="DE565" s="6">
        <v>1.2</v>
      </c>
      <c r="DF565" s="5">
        <v>0</v>
      </c>
      <c r="DG565" s="6">
        <f t="shared" si="1288"/>
        <v>2.5</v>
      </c>
      <c r="DH565" s="5">
        <v>1.5</v>
      </c>
      <c r="DI565" s="8">
        <v>0</v>
      </c>
      <c r="DJ565" s="5">
        <f t="shared" si="1289"/>
        <v>0</v>
      </c>
      <c r="DK565" s="8">
        <v>0</v>
      </c>
      <c r="DL565" s="5">
        <f t="shared" si="1210"/>
        <v>0</v>
      </c>
      <c r="DM565" s="27" t="str">
        <f t="shared" si="1241"/>
        <v>3级红工蚁</v>
      </c>
      <c r="DN565" s="5">
        <v>6</v>
      </c>
      <c r="DO565" s="5">
        <v>0</v>
      </c>
      <c r="DP565" s="5">
        <v>0</v>
      </c>
      <c r="DQ565" s="5">
        <v>0</v>
      </c>
      <c r="DR565" s="5">
        <f t="shared" si="1290"/>
        <v>0.9</v>
      </c>
      <c r="DS565" s="6">
        <v>1</v>
      </c>
      <c r="DT565" s="5">
        <v>-0.5</v>
      </c>
      <c r="DU565" s="5">
        <v>0.5</v>
      </c>
      <c r="DV565" s="6">
        <v>0.5</v>
      </c>
      <c r="DW565" s="5">
        <f t="shared" si="1253"/>
        <v>0</v>
      </c>
      <c r="DX565" s="5">
        <f t="shared" si="1291"/>
        <v>0</v>
      </c>
      <c r="DY565" s="5">
        <v>0</v>
      </c>
      <c r="DZ565" s="5">
        <v>0</v>
      </c>
    </row>
    <row r="566" spans="1:130" x14ac:dyDescent="0.15">
      <c r="A566" s="5">
        <v>201564</v>
      </c>
      <c r="B566" s="27" t="s">
        <v>922</v>
      </c>
      <c r="C566" s="27"/>
      <c r="D566" s="27"/>
      <c r="E566" s="27"/>
      <c r="F566" s="5">
        <v>3</v>
      </c>
      <c r="G566" s="45"/>
      <c r="H566" s="5"/>
      <c r="I566" s="5"/>
      <c r="J566" s="5"/>
      <c r="K566" s="5"/>
      <c r="L566" s="10"/>
      <c r="M566" s="5"/>
      <c r="N566" s="10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20"/>
      <c r="AF566" s="5"/>
      <c r="AG566" s="5"/>
      <c r="AH566" s="5"/>
      <c r="AI566" s="5"/>
      <c r="AJ566" s="5"/>
      <c r="AK566" s="5"/>
      <c r="AL566" s="5"/>
      <c r="AM566" s="5"/>
      <c r="AN566" s="8"/>
      <c r="AO566" s="5">
        <v>0</v>
      </c>
      <c r="AP566" s="27" t="s">
        <v>922</v>
      </c>
      <c r="AQ566" s="5">
        <v>0</v>
      </c>
      <c r="AR566" s="8">
        <v>1</v>
      </c>
      <c r="AS566" s="6">
        <f t="shared" si="1211"/>
        <v>12</v>
      </c>
      <c r="AT566" s="6">
        <f t="shared" si="1212"/>
        <v>24</v>
      </c>
      <c r="AU566" s="5">
        <v>0</v>
      </c>
      <c r="AV566" s="5">
        <v>1</v>
      </c>
      <c r="AW566" s="6">
        <v>1</v>
      </c>
      <c r="AX566" s="6">
        <v>1</v>
      </c>
      <c r="AY566" s="6">
        <v>1</v>
      </c>
      <c r="AZ566" s="5">
        <v>201564</v>
      </c>
      <c r="BA566" s="5">
        <v>203058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f t="shared" si="1204"/>
        <v>1</v>
      </c>
      <c r="BM566" s="5">
        <v>0</v>
      </c>
      <c r="BN566" s="5">
        <v>0</v>
      </c>
      <c r="BO566" s="5">
        <v>0</v>
      </c>
      <c r="BP566" s="5">
        <v>0</v>
      </c>
      <c r="BQ566" s="5"/>
      <c r="BR566" s="5"/>
      <c r="BS566" s="4">
        <v>0</v>
      </c>
      <c r="BT566" s="4">
        <f t="shared" si="1236"/>
        <v>4</v>
      </c>
      <c r="BU566" s="4">
        <v>0</v>
      </c>
      <c r="BV566" s="4">
        <f t="shared" si="1282"/>
        <v>4</v>
      </c>
      <c r="BW566" s="4">
        <f t="shared" si="1283"/>
        <v>4</v>
      </c>
      <c r="BX566" s="14">
        <f t="shared" si="1284"/>
        <v>0.6399999999999999</v>
      </c>
      <c r="BY566" s="14">
        <f t="shared" si="1285"/>
        <v>0.4</v>
      </c>
      <c r="BZ566" s="27" t="s">
        <v>713</v>
      </c>
      <c r="CA566" s="27" t="s">
        <v>939</v>
      </c>
      <c r="CB566" s="27" t="s">
        <v>713</v>
      </c>
      <c r="CC566" s="5">
        <v>1</v>
      </c>
      <c r="CD566" s="5">
        <v>1</v>
      </c>
      <c r="CE566" s="5">
        <f t="shared" si="1286"/>
        <v>12</v>
      </c>
      <c r="CF566" s="5">
        <v>3</v>
      </c>
      <c r="CG566" s="6" t="str">
        <f t="shared" si="1244"/>
        <v>4级红工蚁</v>
      </c>
      <c r="CH566" s="5">
        <v>3</v>
      </c>
      <c r="CI566" s="5">
        <v>0</v>
      </c>
      <c r="CJ566" s="4">
        <v>0</v>
      </c>
      <c r="CK566" s="5">
        <v>0</v>
      </c>
      <c r="CL566" s="5">
        <v>0</v>
      </c>
      <c r="CM566" s="20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10">
        <v>0.8</v>
      </c>
      <c r="CW566" s="10">
        <v>0.7</v>
      </c>
      <c r="CX566" s="10">
        <v>1</v>
      </c>
      <c r="CY566" s="10">
        <v>1</v>
      </c>
      <c r="CZ566" s="8">
        <v>1</v>
      </c>
      <c r="DA566" s="6">
        <f t="shared" si="1251"/>
        <v>100</v>
      </c>
      <c r="DB566" s="5">
        <v>0</v>
      </c>
      <c r="DC566" s="5">
        <f t="shared" si="1287"/>
        <v>0.69</v>
      </c>
      <c r="DD566" s="6">
        <f t="shared" si="1252"/>
        <v>0.69</v>
      </c>
      <c r="DE566" s="6">
        <v>1.2</v>
      </c>
      <c r="DF566" s="5">
        <v>0</v>
      </c>
      <c r="DG566" s="6">
        <f t="shared" si="1288"/>
        <v>2.5</v>
      </c>
      <c r="DH566" s="5">
        <v>1.5</v>
      </c>
      <c r="DI566" s="8">
        <v>0</v>
      </c>
      <c r="DJ566" s="5">
        <f t="shared" si="1289"/>
        <v>0</v>
      </c>
      <c r="DK566" s="8">
        <v>0</v>
      </c>
      <c r="DL566" s="5">
        <f t="shared" si="1210"/>
        <v>0</v>
      </c>
      <c r="DM566" s="27" t="str">
        <f t="shared" si="1241"/>
        <v>4级红工蚁</v>
      </c>
      <c r="DN566" s="5">
        <v>6</v>
      </c>
      <c r="DO566" s="5">
        <v>0</v>
      </c>
      <c r="DP566" s="5">
        <v>0</v>
      </c>
      <c r="DQ566" s="5">
        <v>0</v>
      </c>
      <c r="DR566" s="5">
        <f t="shared" si="1290"/>
        <v>0.9</v>
      </c>
      <c r="DS566" s="6">
        <v>1</v>
      </c>
      <c r="DT566" s="5">
        <v>-0.5</v>
      </c>
      <c r="DU566" s="5">
        <v>0.5</v>
      </c>
      <c r="DV566" s="6">
        <v>0.5</v>
      </c>
      <c r="DW566" s="5">
        <f t="shared" si="1253"/>
        <v>0</v>
      </c>
      <c r="DX566" s="5">
        <f t="shared" si="1291"/>
        <v>0</v>
      </c>
      <c r="DY566" s="5">
        <v>0</v>
      </c>
      <c r="DZ566" s="5">
        <v>0</v>
      </c>
    </row>
    <row r="567" spans="1:130" x14ac:dyDescent="0.15">
      <c r="A567" s="5">
        <v>201565</v>
      </c>
      <c r="B567" s="27" t="s">
        <v>923</v>
      </c>
      <c r="C567" s="27"/>
      <c r="D567" s="27"/>
      <c r="E567" s="27"/>
      <c r="F567" s="5">
        <v>3</v>
      </c>
      <c r="G567" s="45"/>
      <c r="H567" s="5"/>
      <c r="I567" s="5"/>
      <c r="J567" s="5"/>
      <c r="K567" s="5"/>
      <c r="L567" s="10"/>
      <c r="M567" s="5"/>
      <c r="N567" s="10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20"/>
      <c r="AF567" s="5"/>
      <c r="AG567" s="5"/>
      <c r="AH567" s="5"/>
      <c r="AI567" s="5"/>
      <c r="AJ567" s="5"/>
      <c r="AK567" s="5"/>
      <c r="AL567" s="5"/>
      <c r="AM567" s="5"/>
      <c r="AN567" s="8"/>
      <c r="AO567" s="5">
        <v>0</v>
      </c>
      <c r="AP567" s="27" t="s">
        <v>923</v>
      </c>
      <c r="AQ567" s="5">
        <v>0</v>
      </c>
      <c r="AR567" s="8">
        <v>1</v>
      </c>
      <c r="AS567" s="6">
        <f t="shared" si="1211"/>
        <v>15</v>
      </c>
      <c r="AT567" s="6">
        <f t="shared" si="1212"/>
        <v>30</v>
      </c>
      <c r="AU567" s="5">
        <v>0</v>
      </c>
      <c r="AV567" s="5">
        <v>1</v>
      </c>
      <c r="AW567" s="6">
        <v>1</v>
      </c>
      <c r="AX567" s="6">
        <v>1</v>
      </c>
      <c r="AY567" s="6">
        <v>1</v>
      </c>
      <c r="AZ567" s="5">
        <v>201565</v>
      </c>
      <c r="BA567" s="5">
        <v>203058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f t="shared" si="1204"/>
        <v>1</v>
      </c>
      <c r="BM567" s="5">
        <v>0</v>
      </c>
      <c r="BN567" s="5">
        <v>0</v>
      </c>
      <c r="BO567" s="5">
        <v>0</v>
      </c>
      <c r="BP567" s="5">
        <v>0</v>
      </c>
      <c r="BQ567" s="5"/>
      <c r="BR567" s="5"/>
      <c r="BS567" s="4">
        <v>0</v>
      </c>
      <c r="BT567" s="4">
        <f t="shared" si="1236"/>
        <v>5</v>
      </c>
      <c r="BU567" s="4">
        <v>0</v>
      </c>
      <c r="BV567" s="4">
        <f t="shared" si="1282"/>
        <v>5</v>
      </c>
      <c r="BW567" s="4">
        <f t="shared" si="1283"/>
        <v>5</v>
      </c>
      <c r="BX567" s="14">
        <f t="shared" si="1284"/>
        <v>0.56999999999999995</v>
      </c>
      <c r="BY567" s="14">
        <f t="shared" si="1285"/>
        <v>0.35000000000000003</v>
      </c>
      <c r="BZ567" s="27" t="s">
        <v>713</v>
      </c>
      <c r="CA567" s="27" t="s">
        <v>939</v>
      </c>
      <c r="CB567" s="27" t="s">
        <v>713</v>
      </c>
      <c r="CC567" s="5">
        <v>1</v>
      </c>
      <c r="CD567" s="5">
        <v>1</v>
      </c>
      <c r="CE567" s="5">
        <f t="shared" si="1286"/>
        <v>15</v>
      </c>
      <c r="CF567" s="5">
        <v>3</v>
      </c>
      <c r="CG567" s="6" t="str">
        <f t="shared" si="1244"/>
        <v>5级红工蚁</v>
      </c>
      <c r="CH567" s="5">
        <v>3</v>
      </c>
      <c r="CI567" s="5">
        <v>0</v>
      </c>
      <c r="CJ567" s="4">
        <v>0</v>
      </c>
      <c r="CK567" s="5">
        <v>0</v>
      </c>
      <c r="CL567" s="5">
        <v>0</v>
      </c>
      <c r="CM567" s="20">
        <v>0</v>
      </c>
      <c r="CN567" s="5">
        <v>0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0</v>
      </c>
      <c r="CV567" s="10">
        <v>0.8</v>
      </c>
      <c r="CW567" s="10">
        <v>0.7</v>
      </c>
      <c r="CX567" s="10">
        <v>1</v>
      </c>
      <c r="CY567" s="10">
        <v>1</v>
      </c>
      <c r="CZ567" s="8">
        <v>1</v>
      </c>
      <c r="DA567" s="6">
        <f t="shared" si="1251"/>
        <v>125</v>
      </c>
      <c r="DB567" s="5">
        <v>0</v>
      </c>
      <c r="DC567" s="5">
        <f t="shared" si="1287"/>
        <v>0.72</v>
      </c>
      <c r="DD567" s="6">
        <f t="shared" si="1252"/>
        <v>0.72</v>
      </c>
      <c r="DE567" s="6">
        <v>1.2</v>
      </c>
      <c r="DF567" s="5">
        <v>0</v>
      </c>
      <c r="DG567" s="6">
        <f t="shared" si="1288"/>
        <v>2.5</v>
      </c>
      <c r="DH567" s="5">
        <v>1.5</v>
      </c>
      <c r="DI567" s="8">
        <v>0</v>
      </c>
      <c r="DJ567" s="5">
        <f t="shared" si="1289"/>
        <v>0</v>
      </c>
      <c r="DK567" s="8">
        <v>0</v>
      </c>
      <c r="DL567" s="5">
        <f t="shared" si="1210"/>
        <v>0</v>
      </c>
      <c r="DM567" s="27" t="str">
        <f t="shared" si="1241"/>
        <v>5级红工蚁</v>
      </c>
      <c r="DN567" s="5">
        <v>6</v>
      </c>
      <c r="DO567" s="5">
        <v>0</v>
      </c>
      <c r="DP567" s="5">
        <v>0</v>
      </c>
      <c r="DQ567" s="5">
        <v>0</v>
      </c>
      <c r="DR567" s="5">
        <f t="shared" si="1290"/>
        <v>0.9</v>
      </c>
      <c r="DS567" s="6">
        <v>1</v>
      </c>
      <c r="DT567" s="5">
        <v>-0.5</v>
      </c>
      <c r="DU567" s="5">
        <v>0.5</v>
      </c>
      <c r="DV567" s="6">
        <v>0.5</v>
      </c>
      <c r="DW567" s="5">
        <f t="shared" si="1253"/>
        <v>0</v>
      </c>
      <c r="DX567" s="5">
        <f t="shared" si="1291"/>
        <v>0</v>
      </c>
      <c r="DY567" s="5">
        <v>0</v>
      </c>
      <c r="DZ567" s="5">
        <v>0</v>
      </c>
    </row>
    <row r="568" spans="1:130" x14ac:dyDescent="0.15">
      <c r="A568" s="5">
        <v>201566</v>
      </c>
      <c r="B568" s="27" t="s">
        <v>924</v>
      </c>
      <c r="C568" s="27"/>
      <c r="D568" s="27"/>
      <c r="E568" s="27"/>
      <c r="F568" s="5">
        <v>3</v>
      </c>
      <c r="G568" s="45"/>
      <c r="H568" s="5"/>
      <c r="I568" s="5"/>
      <c r="J568" s="5"/>
      <c r="K568" s="5"/>
      <c r="L568" s="10"/>
      <c r="M568" s="5"/>
      <c r="N568" s="10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20"/>
      <c r="AF568" s="5"/>
      <c r="AG568" s="5"/>
      <c r="AH568" s="5"/>
      <c r="AI568" s="5"/>
      <c r="AJ568" s="5"/>
      <c r="AK568" s="5"/>
      <c r="AL568" s="5"/>
      <c r="AM568" s="5"/>
      <c r="AN568" s="8"/>
      <c r="AO568" s="5">
        <v>0</v>
      </c>
      <c r="AP568" s="27" t="s">
        <v>924</v>
      </c>
      <c r="AQ568" s="5">
        <v>0</v>
      </c>
      <c r="AR568" s="8">
        <v>1</v>
      </c>
      <c r="AS568" s="6">
        <f t="shared" si="1211"/>
        <v>18</v>
      </c>
      <c r="AT568" s="6">
        <f t="shared" si="1212"/>
        <v>36</v>
      </c>
      <c r="AU568" s="5">
        <v>0</v>
      </c>
      <c r="AV568" s="5">
        <v>1</v>
      </c>
      <c r="AW568" s="6">
        <v>1</v>
      </c>
      <c r="AX568" s="6">
        <v>1</v>
      </c>
      <c r="AY568" s="6">
        <v>1</v>
      </c>
      <c r="AZ568" s="5">
        <v>201566</v>
      </c>
      <c r="BA568" s="5">
        <v>203058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f t="shared" si="1204"/>
        <v>1</v>
      </c>
      <c r="BM568" s="5">
        <v>0</v>
      </c>
      <c r="BN568" s="5">
        <v>0</v>
      </c>
      <c r="BO568" s="5">
        <v>0</v>
      </c>
      <c r="BP568" s="5">
        <v>0</v>
      </c>
      <c r="BQ568" s="5"/>
      <c r="BR568" s="5"/>
      <c r="BS568" s="4">
        <v>0</v>
      </c>
      <c r="BT568" s="4">
        <f t="shared" si="1236"/>
        <v>6</v>
      </c>
      <c r="BU568" s="4">
        <v>0</v>
      </c>
      <c r="BV568" s="4">
        <f t="shared" si="1282"/>
        <v>6</v>
      </c>
      <c r="BW568" s="4">
        <f t="shared" si="1283"/>
        <v>6</v>
      </c>
      <c r="BX568" s="14">
        <f t="shared" si="1284"/>
        <v>0.49999999999999994</v>
      </c>
      <c r="BY568" s="14">
        <f t="shared" si="1285"/>
        <v>0.30000000000000004</v>
      </c>
      <c r="BZ568" s="27" t="s">
        <v>713</v>
      </c>
      <c r="CA568" s="27" t="s">
        <v>939</v>
      </c>
      <c r="CB568" s="27" t="s">
        <v>713</v>
      </c>
      <c r="CC568" s="5">
        <v>1</v>
      </c>
      <c r="CD568" s="5">
        <v>1</v>
      </c>
      <c r="CE568" s="5">
        <f t="shared" si="1286"/>
        <v>18</v>
      </c>
      <c r="CF568" s="5">
        <v>3</v>
      </c>
      <c r="CG568" s="6" t="str">
        <f t="shared" si="1244"/>
        <v>6级红工蚁</v>
      </c>
      <c r="CH568" s="5">
        <v>3</v>
      </c>
      <c r="CI568" s="5">
        <v>0</v>
      </c>
      <c r="CJ568" s="4">
        <v>0</v>
      </c>
      <c r="CK568" s="5">
        <v>0</v>
      </c>
      <c r="CL568" s="5">
        <v>0</v>
      </c>
      <c r="CM568" s="20">
        <v>0</v>
      </c>
      <c r="CN568" s="5">
        <v>0</v>
      </c>
      <c r="CO568" s="5">
        <v>0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10">
        <v>0.8</v>
      </c>
      <c r="CW568" s="10">
        <v>0.7</v>
      </c>
      <c r="CX568" s="10">
        <v>1</v>
      </c>
      <c r="CY568" s="10">
        <v>1</v>
      </c>
      <c r="CZ568" s="8">
        <v>1</v>
      </c>
      <c r="DA568" s="6">
        <f t="shared" si="1251"/>
        <v>150</v>
      </c>
      <c r="DB568" s="5">
        <v>0</v>
      </c>
      <c r="DC568" s="5">
        <f t="shared" si="1287"/>
        <v>0.75</v>
      </c>
      <c r="DD568" s="6">
        <f t="shared" si="1252"/>
        <v>0.75</v>
      </c>
      <c r="DE568" s="6">
        <v>1.2</v>
      </c>
      <c r="DF568" s="5">
        <v>0</v>
      </c>
      <c r="DG568" s="6">
        <f t="shared" si="1288"/>
        <v>2.5</v>
      </c>
      <c r="DH568" s="5">
        <v>1.5</v>
      </c>
      <c r="DI568" s="8">
        <v>0</v>
      </c>
      <c r="DJ568" s="5">
        <f t="shared" si="1289"/>
        <v>0</v>
      </c>
      <c r="DK568" s="8">
        <v>0</v>
      </c>
      <c r="DL568" s="5">
        <f t="shared" si="1210"/>
        <v>0</v>
      </c>
      <c r="DM568" s="27" t="str">
        <f t="shared" si="1241"/>
        <v>6级红工蚁</v>
      </c>
      <c r="DN568" s="5">
        <v>6</v>
      </c>
      <c r="DO568" s="5">
        <v>0</v>
      </c>
      <c r="DP568" s="5">
        <v>0</v>
      </c>
      <c r="DQ568" s="5">
        <v>0</v>
      </c>
      <c r="DR568" s="5">
        <f t="shared" si="1290"/>
        <v>0.9</v>
      </c>
      <c r="DS568" s="6">
        <v>1</v>
      </c>
      <c r="DT568" s="5">
        <v>-0.5</v>
      </c>
      <c r="DU568" s="5">
        <v>0.5</v>
      </c>
      <c r="DV568" s="6">
        <v>0.5</v>
      </c>
      <c r="DW568" s="5">
        <f t="shared" si="1253"/>
        <v>0</v>
      </c>
      <c r="DX568" s="5">
        <f t="shared" si="1291"/>
        <v>0</v>
      </c>
      <c r="DY568" s="5">
        <v>0</v>
      </c>
      <c r="DZ568" s="5">
        <v>0</v>
      </c>
    </row>
    <row r="569" spans="1:130" x14ac:dyDescent="0.15">
      <c r="A569" s="5">
        <v>201567</v>
      </c>
      <c r="B569" s="27" t="s">
        <v>925</v>
      </c>
      <c r="C569" s="27"/>
      <c r="D569" s="27"/>
      <c r="E569" s="27"/>
      <c r="F569" s="5">
        <v>3</v>
      </c>
      <c r="G569" s="45"/>
      <c r="H569" s="5"/>
      <c r="I569" s="5"/>
      <c r="J569" s="5"/>
      <c r="K569" s="5"/>
      <c r="L569" s="10"/>
      <c r="M569" s="5"/>
      <c r="N569" s="10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20"/>
      <c r="AF569" s="5"/>
      <c r="AG569" s="5"/>
      <c r="AH569" s="5"/>
      <c r="AI569" s="5"/>
      <c r="AJ569" s="5"/>
      <c r="AK569" s="5"/>
      <c r="AL569" s="5"/>
      <c r="AM569" s="5"/>
      <c r="AN569" s="8"/>
      <c r="AO569" s="5">
        <v>0</v>
      </c>
      <c r="AP569" s="27" t="s">
        <v>925</v>
      </c>
      <c r="AQ569" s="5">
        <v>0</v>
      </c>
      <c r="AR569" s="8">
        <v>1</v>
      </c>
      <c r="AS569" s="6">
        <f t="shared" si="1211"/>
        <v>21</v>
      </c>
      <c r="AT569" s="6">
        <f t="shared" si="1212"/>
        <v>42</v>
      </c>
      <c r="AU569" s="5">
        <v>0</v>
      </c>
      <c r="AV569" s="5">
        <v>1</v>
      </c>
      <c r="AW569" s="6">
        <v>1</v>
      </c>
      <c r="AX569" s="6">
        <v>1</v>
      </c>
      <c r="AY569" s="6">
        <v>1</v>
      </c>
      <c r="AZ569" s="5">
        <v>201567</v>
      </c>
      <c r="BA569" s="5">
        <v>203058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f t="shared" si="1204"/>
        <v>1</v>
      </c>
      <c r="BM569" s="5">
        <v>0</v>
      </c>
      <c r="BN569" s="5">
        <v>0</v>
      </c>
      <c r="BO569" s="5">
        <v>0</v>
      </c>
      <c r="BP569" s="5">
        <v>0</v>
      </c>
      <c r="BQ569" s="5"/>
      <c r="BR569" s="5"/>
      <c r="BS569" s="4">
        <v>0</v>
      </c>
      <c r="BT569" s="4">
        <f t="shared" si="1236"/>
        <v>7</v>
      </c>
      <c r="BU569" s="4">
        <v>0</v>
      </c>
      <c r="BV569" s="4">
        <f t="shared" si="1282"/>
        <v>7</v>
      </c>
      <c r="BW569" s="4">
        <f t="shared" si="1283"/>
        <v>7</v>
      </c>
      <c r="BX569" s="14">
        <f t="shared" si="1284"/>
        <v>0.42999999999999994</v>
      </c>
      <c r="BY569" s="14">
        <f t="shared" si="1285"/>
        <v>0.25</v>
      </c>
      <c r="BZ569" s="27" t="s">
        <v>713</v>
      </c>
      <c r="CA569" s="27" t="s">
        <v>939</v>
      </c>
      <c r="CB569" s="27" t="s">
        <v>713</v>
      </c>
      <c r="CC569" s="5">
        <v>1</v>
      </c>
      <c r="CD569" s="5">
        <v>1</v>
      </c>
      <c r="CE569" s="5">
        <f t="shared" si="1286"/>
        <v>21</v>
      </c>
      <c r="CF569" s="5">
        <v>3</v>
      </c>
      <c r="CG569" s="6" t="str">
        <f t="shared" si="1244"/>
        <v>7级红工蚁</v>
      </c>
      <c r="CH569" s="5">
        <v>3</v>
      </c>
      <c r="CI569" s="5">
        <v>0</v>
      </c>
      <c r="CJ569" s="4">
        <v>0</v>
      </c>
      <c r="CK569" s="5">
        <v>0</v>
      </c>
      <c r="CL569" s="5">
        <v>0</v>
      </c>
      <c r="CM569" s="20">
        <v>0</v>
      </c>
      <c r="CN569" s="5">
        <v>0</v>
      </c>
      <c r="CO569" s="5">
        <v>0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0</v>
      </c>
      <c r="CV569" s="10">
        <v>0.8</v>
      </c>
      <c r="CW569" s="10">
        <v>0.7</v>
      </c>
      <c r="CX569" s="10">
        <v>1</v>
      </c>
      <c r="CY569" s="10">
        <v>1</v>
      </c>
      <c r="CZ569" s="8">
        <v>1</v>
      </c>
      <c r="DA569" s="6">
        <f t="shared" si="1251"/>
        <v>175</v>
      </c>
      <c r="DB569" s="5">
        <v>0</v>
      </c>
      <c r="DC569" s="5">
        <f t="shared" si="1287"/>
        <v>0.78</v>
      </c>
      <c r="DD569" s="6">
        <f t="shared" si="1252"/>
        <v>0.78</v>
      </c>
      <c r="DE569" s="6">
        <v>1.2</v>
      </c>
      <c r="DF569" s="5">
        <v>0</v>
      </c>
      <c r="DG569" s="6">
        <f t="shared" si="1288"/>
        <v>2.5</v>
      </c>
      <c r="DH569" s="5">
        <v>1.5</v>
      </c>
      <c r="DI569" s="8">
        <v>0</v>
      </c>
      <c r="DJ569" s="5">
        <f t="shared" si="1289"/>
        <v>0</v>
      </c>
      <c r="DK569" s="8">
        <v>0</v>
      </c>
      <c r="DL569" s="5">
        <f t="shared" si="1210"/>
        <v>0</v>
      </c>
      <c r="DM569" s="27" t="str">
        <f t="shared" si="1241"/>
        <v>7级红工蚁</v>
      </c>
      <c r="DN569" s="5">
        <v>6</v>
      </c>
      <c r="DO569" s="5">
        <v>0</v>
      </c>
      <c r="DP569" s="5">
        <v>0</v>
      </c>
      <c r="DQ569" s="5">
        <v>0</v>
      </c>
      <c r="DR569" s="5">
        <f t="shared" si="1290"/>
        <v>0.9</v>
      </c>
      <c r="DS569" s="6">
        <v>1</v>
      </c>
      <c r="DT569" s="5">
        <v>-0.5</v>
      </c>
      <c r="DU569" s="5">
        <v>0.5</v>
      </c>
      <c r="DV569" s="6">
        <v>0.5</v>
      </c>
      <c r="DW569" s="5">
        <f t="shared" si="1253"/>
        <v>0</v>
      </c>
      <c r="DX569" s="5">
        <f t="shared" si="1291"/>
        <v>0</v>
      </c>
      <c r="DY569" s="5">
        <v>0</v>
      </c>
      <c r="DZ569" s="5">
        <v>0</v>
      </c>
    </row>
    <row r="570" spans="1:130" x14ac:dyDescent="0.15">
      <c r="A570" s="5">
        <v>201568</v>
      </c>
      <c r="B570" s="27" t="s">
        <v>926</v>
      </c>
      <c r="C570" s="27"/>
      <c r="D570" s="27"/>
      <c r="E570" s="27"/>
      <c r="F570" s="5">
        <v>3</v>
      </c>
      <c r="G570" s="45"/>
      <c r="H570" s="5"/>
      <c r="I570" s="5"/>
      <c r="J570" s="5"/>
      <c r="K570" s="5"/>
      <c r="L570" s="10"/>
      <c r="M570" s="5"/>
      <c r="N570" s="10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20"/>
      <c r="AF570" s="5"/>
      <c r="AG570" s="5"/>
      <c r="AH570" s="5"/>
      <c r="AI570" s="5"/>
      <c r="AJ570" s="5"/>
      <c r="AK570" s="5"/>
      <c r="AL570" s="5"/>
      <c r="AM570" s="5"/>
      <c r="AN570" s="8"/>
      <c r="AO570" s="5">
        <v>0</v>
      </c>
      <c r="AP570" s="27" t="s">
        <v>926</v>
      </c>
      <c r="AQ570" s="5">
        <v>0</v>
      </c>
      <c r="AR570" s="8">
        <v>1</v>
      </c>
      <c r="AS570" s="6">
        <f t="shared" si="1211"/>
        <v>24</v>
      </c>
      <c r="AT570" s="6">
        <f t="shared" si="1212"/>
        <v>48</v>
      </c>
      <c r="AU570" s="5">
        <v>0</v>
      </c>
      <c r="AV570" s="5">
        <v>1</v>
      </c>
      <c r="AW570" s="6">
        <v>1</v>
      </c>
      <c r="AX570" s="6">
        <v>1</v>
      </c>
      <c r="AY570" s="6">
        <v>1</v>
      </c>
      <c r="AZ570" s="5">
        <v>201568</v>
      </c>
      <c r="BA570" s="5">
        <v>203058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f t="shared" si="1204"/>
        <v>1</v>
      </c>
      <c r="BM570" s="5">
        <v>0</v>
      </c>
      <c r="BN570" s="5">
        <v>0</v>
      </c>
      <c r="BO570" s="5">
        <v>0</v>
      </c>
      <c r="BP570" s="5">
        <v>0</v>
      </c>
      <c r="BQ570" s="5"/>
      <c r="BR570" s="5"/>
      <c r="BS570" s="4">
        <v>0</v>
      </c>
      <c r="BT570" s="4">
        <f t="shared" si="1236"/>
        <v>8</v>
      </c>
      <c r="BU570" s="4">
        <v>0</v>
      </c>
      <c r="BV570" s="4">
        <f t="shared" si="1282"/>
        <v>8</v>
      </c>
      <c r="BW570" s="4">
        <f t="shared" si="1283"/>
        <v>8</v>
      </c>
      <c r="BX570" s="14">
        <f t="shared" si="1284"/>
        <v>0.35999999999999993</v>
      </c>
      <c r="BY570" s="14">
        <f t="shared" si="1285"/>
        <v>0.2</v>
      </c>
      <c r="BZ570" s="27" t="s">
        <v>713</v>
      </c>
      <c r="CA570" s="27" t="s">
        <v>939</v>
      </c>
      <c r="CB570" s="27" t="s">
        <v>713</v>
      </c>
      <c r="CC570" s="5">
        <v>1</v>
      </c>
      <c r="CD570" s="5">
        <v>1</v>
      </c>
      <c r="CE570" s="5">
        <f t="shared" si="1286"/>
        <v>24</v>
      </c>
      <c r="CF570" s="5">
        <v>3</v>
      </c>
      <c r="CG570" s="6" t="str">
        <f t="shared" si="1244"/>
        <v>8级红工蚁</v>
      </c>
      <c r="CH570" s="5">
        <v>3</v>
      </c>
      <c r="CI570" s="5">
        <v>0</v>
      </c>
      <c r="CJ570" s="4">
        <v>0</v>
      </c>
      <c r="CK570" s="5">
        <v>0</v>
      </c>
      <c r="CL570" s="5">
        <v>0</v>
      </c>
      <c r="CM570" s="20">
        <v>0</v>
      </c>
      <c r="CN570" s="5">
        <v>0</v>
      </c>
      <c r="CO570" s="5">
        <v>0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10">
        <v>0.8</v>
      </c>
      <c r="CW570" s="10">
        <v>0.7</v>
      </c>
      <c r="CX570" s="10">
        <v>1</v>
      </c>
      <c r="CY570" s="10">
        <v>1</v>
      </c>
      <c r="CZ570" s="8">
        <v>1</v>
      </c>
      <c r="DA570" s="6">
        <f t="shared" si="1251"/>
        <v>200</v>
      </c>
      <c r="DB570" s="5">
        <v>0</v>
      </c>
      <c r="DC570" s="5">
        <f t="shared" si="1287"/>
        <v>0.81</v>
      </c>
      <c r="DD570" s="6">
        <f t="shared" si="1252"/>
        <v>0.81</v>
      </c>
      <c r="DE570" s="6">
        <v>1.2</v>
      </c>
      <c r="DF570" s="5">
        <v>0</v>
      </c>
      <c r="DG570" s="6">
        <f t="shared" si="1288"/>
        <v>2.5</v>
      </c>
      <c r="DH570" s="5">
        <v>1.5</v>
      </c>
      <c r="DI570" s="8">
        <v>0</v>
      </c>
      <c r="DJ570" s="5">
        <f t="shared" si="1289"/>
        <v>0</v>
      </c>
      <c r="DK570" s="8">
        <v>0</v>
      </c>
      <c r="DL570" s="5">
        <f t="shared" si="1210"/>
        <v>0</v>
      </c>
      <c r="DM570" s="27" t="str">
        <f t="shared" si="1241"/>
        <v>8级红工蚁</v>
      </c>
      <c r="DN570" s="5">
        <v>6</v>
      </c>
      <c r="DO570" s="5">
        <v>0</v>
      </c>
      <c r="DP570" s="5">
        <v>0</v>
      </c>
      <c r="DQ570" s="5">
        <v>0</v>
      </c>
      <c r="DR570" s="5">
        <f t="shared" si="1290"/>
        <v>0.9</v>
      </c>
      <c r="DS570" s="6">
        <v>1</v>
      </c>
      <c r="DT570" s="5">
        <v>-0.5</v>
      </c>
      <c r="DU570" s="5">
        <v>0.5</v>
      </c>
      <c r="DV570" s="6">
        <v>0.5</v>
      </c>
      <c r="DW570" s="5">
        <f t="shared" si="1253"/>
        <v>0</v>
      </c>
      <c r="DX570" s="5">
        <f t="shared" si="1291"/>
        <v>0</v>
      </c>
      <c r="DY570" s="5">
        <v>0</v>
      </c>
      <c r="DZ570" s="5">
        <v>0</v>
      </c>
    </row>
    <row r="571" spans="1:130" x14ac:dyDescent="0.15">
      <c r="A571" s="5">
        <v>201569</v>
      </c>
      <c r="B571" s="27" t="s">
        <v>927</v>
      </c>
      <c r="C571" s="27"/>
      <c r="D571" s="27"/>
      <c r="E571" s="27"/>
      <c r="F571" s="5">
        <v>3</v>
      </c>
      <c r="G571" s="45"/>
      <c r="H571" s="5"/>
      <c r="I571" s="5"/>
      <c r="J571" s="5"/>
      <c r="K571" s="5"/>
      <c r="L571" s="10"/>
      <c r="M571" s="5"/>
      <c r="N571" s="10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20"/>
      <c r="AF571" s="5"/>
      <c r="AG571" s="5"/>
      <c r="AH571" s="5"/>
      <c r="AI571" s="5"/>
      <c r="AJ571" s="5"/>
      <c r="AK571" s="5"/>
      <c r="AL571" s="5"/>
      <c r="AM571" s="5"/>
      <c r="AN571" s="8"/>
      <c r="AO571" s="5">
        <v>0</v>
      </c>
      <c r="AP571" s="27" t="s">
        <v>927</v>
      </c>
      <c r="AQ571" s="5">
        <v>0</v>
      </c>
      <c r="AR571" s="8">
        <v>1</v>
      </c>
      <c r="AS571" s="6">
        <f t="shared" si="1211"/>
        <v>27</v>
      </c>
      <c r="AT571" s="6">
        <f t="shared" si="1212"/>
        <v>54</v>
      </c>
      <c r="AU571" s="5">
        <v>0</v>
      </c>
      <c r="AV571" s="5">
        <v>1</v>
      </c>
      <c r="AW571" s="6">
        <v>1</v>
      </c>
      <c r="AX571" s="6">
        <v>1</v>
      </c>
      <c r="AY571" s="6">
        <v>1</v>
      </c>
      <c r="AZ571" s="5">
        <v>201569</v>
      </c>
      <c r="BA571" s="5">
        <v>203058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f t="shared" si="1204"/>
        <v>1</v>
      </c>
      <c r="BM571" s="5">
        <v>0</v>
      </c>
      <c r="BN571" s="5">
        <v>0</v>
      </c>
      <c r="BO571" s="5">
        <v>0</v>
      </c>
      <c r="BP571" s="5">
        <v>0</v>
      </c>
      <c r="BQ571" s="5"/>
      <c r="BR571" s="5"/>
      <c r="BS571" s="4">
        <v>0</v>
      </c>
      <c r="BT571" s="4">
        <f t="shared" si="1236"/>
        <v>9</v>
      </c>
      <c r="BU571" s="4">
        <v>0</v>
      </c>
      <c r="BV571" s="4">
        <f t="shared" si="1282"/>
        <v>9</v>
      </c>
      <c r="BW571" s="4">
        <f t="shared" si="1283"/>
        <v>9</v>
      </c>
      <c r="BX571" s="14">
        <f t="shared" si="1284"/>
        <v>0.28999999999999992</v>
      </c>
      <c r="BY571" s="14">
        <f t="shared" si="1285"/>
        <v>0.15000000000000002</v>
      </c>
      <c r="BZ571" s="27" t="s">
        <v>713</v>
      </c>
      <c r="CA571" s="27" t="s">
        <v>939</v>
      </c>
      <c r="CB571" s="27" t="s">
        <v>713</v>
      </c>
      <c r="CC571" s="5">
        <v>1</v>
      </c>
      <c r="CD571" s="5">
        <v>1</v>
      </c>
      <c r="CE571" s="5">
        <f t="shared" si="1286"/>
        <v>27</v>
      </c>
      <c r="CF571" s="5">
        <v>3</v>
      </c>
      <c r="CG571" s="6" t="str">
        <f t="shared" si="1244"/>
        <v>9级红工蚁</v>
      </c>
      <c r="CH571" s="5">
        <v>3</v>
      </c>
      <c r="CI571" s="5">
        <v>0</v>
      </c>
      <c r="CJ571" s="4">
        <v>0</v>
      </c>
      <c r="CK571" s="5">
        <v>0</v>
      </c>
      <c r="CL571" s="5">
        <v>0</v>
      </c>
      <c r="CM571" s="20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10">
        <v>0.8</v>
      </c>
      <c r="CW571" s="10">
        <v>0.7</v>
      </c>
      <c r="CX571" s="10">
        <v>1</v>
      </c>
      <c r="CY571" s="10">
        <v>1</v>
      </c>
      <c r="CZ571" s="8">
        <v>1</v>
      </c>
      <c r="DA571" s="6">
        <f t="shared" si="1251"/>
        <v>225</v>
      </c>
      <c r="DB571" s="5">
        <v>0</v>
      </c>
      <c r="DC571" s="5">
        <f t="shared" si="1287"/>
        <v>0.84</v>
      </c>
      <c r="DD571" s="6">
        <f t="shared" si="1252"/>
        <v>0.84</v>
      </c>
      <c r="DE571" s="6">
        <v>1.2</v>
      </c>
      <c r="DF571" s="5">
        <v>0</v>
      </c>
      <c r="DG571" s="6">
        <f t="shared" si="1288"/>
        <v>2.5</v>
      </c>
      <c r="DH571" s="5">
        <v>1.5</v>
      </c>
      <c r="DI571" s="8">
        <v>0</v>
      </c>
      <c r="DJ571" s="5">
        <f t="shared" si="1289"/>
        <v>0</v>
      </c>
      <c r="DK571" s="8">
        <v>0</v>
      </c>
      <c r="DL571" s="5">
        <f t="shared" si="1210"/>
        <v>0</v>
      </c>
      <c r="DM571" s="27" t="str">
        <f t="shared" si="1241"/>
        <v>9级红工蚁</v>
      </c>
      <c r="DN571" s="5">
        <v>6</v>
      </c>
      <c r="DO571" s="5">
        <v>0</v>
      </c>
      <c r="DP571" s="5">
        <v>0</v>
      </c>
      <c r="DQ571" s="5">
        <v>0</v>
      </c>
      <c r="DR571" s="5">
        <f t="shared" si="1290"/>
        <v>0.9</v>
      </c>
      <c r="DS571" s="6">
        <v>1</v>
      </c>
      <c r="DT571" s="5">
        <v>-0.5</v>
      </c>
      <c r="DU571" s="5">
        <v>0.5</v>
      </c>
      <c r="DV571" s="6">
        <v>0.5</v>
      </c>
      <c r="DW571" s="5">
        <f t="shared" si="1253"/>
        <v>0</v>
      </c>
      <c r="DX571" s="5">
        <f t="shared" si="1291"/>
        <v>0</v>
      </c>
      <c r="DY571" s="5">
        <v>0</v>
      </c>
      <c r="DZ571" s="5">
        <v>0</v>
      </c>
    </row>
    <row r="572" spans="1:130" x14ac:dyDescent="0.15">
      <c r="A572" s="5">
        <v>201570</v>
      </c>
      <c r="B572" s="27" t="s">
        <v>928</v>
      </c>
      <c r="C572" s="27"/>
      <c r="D572" s="27"/>
      <c r="E572" s="27"/>
      <c r="F572" s="5">
        <v>3</v>
      </c>
      <c r="G572" s="45"/>
      <c r="H572" s="5"/>
      <c r="I572" s="5"/>
      <c r="J572" s="5"/>
      <c r="K572" s="5"/>
      <c r="L572" s="10"/>
      <c r="M572" s="5"/>
      <c r="N572" s="10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20"/>
      <c r="AF572" s="5"/>
      <c r="AG572" s="5"/>
      <c r="AH572" s="5"/>
      <c r="AI572" s="5"/>
      <c r="AJ572" s="5"/>
      <c r="AK572" s="5"/>
      <c r="AL572" s="5"/>
      <c r="AM572" s="5"/>
      <c r="AN572" s="8"/>
      <c r="AO572" s="5">
        <v>0</v>
      </c>
      <c r="AP572" s="27" t="s">
        <v>928</v>
      </c>
      <c r="AQ572" s="5">
        <v>0</v>
      </c>
      <c r="AR572" s="8">
        <v>1</v>
      </c>
      <c r="AS572" s="6">
        <f t="shared" si="1211"/>
        <v>30</v>
      </c>
      <c r="AT572" s="6">
        <f t="shared" si="1212"/>
        <v>60</v>
      </c>
      <c r="AU572" s="5">
        <v>0</v>
      </c>
      <c r="AV572" s="5">
        <v>1</v>
      </c>
      <c r="AW572" s="6">
        <v>1</v>
      </c>
      <c r="AX572" s="6">
        <v>1</v>
      </c>
      <c r="AY572" s="6">
        <v>1</v>
      </c>
      <c r="AZ572" s="5">
        <v>201570</v>
      </c>
      <c r="BA572" s="5">
        <v>203058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f t="shared" si="1204"/>
        <v>1</v>
      </c>
      <c r="BM572" s="5">
        <v>0</v>
      </c>
      <c r="BN572" s="5">
        <v>0</v>
      </c>
      <c r="BO572" s="5">
        <v>0</v>
      </c>
      <c r="BP572" s="5">
        <v>0</v>
      </c>
      <c r="BQ572" s="5"/>
      <c r="BR572" s="5"/>
      <c r="BS572" s="4">
        <v>0</v>
      </c>
      <c r="BT572" s="4">
        <f t="shared" si="1236"/>
        <v>10</v>
      </c>
      <c r="BU572" s="4">
        <v>0</v>
      </c>
      <c r="BV572" s="4">
        <f t="shared" si="1282"/>
        <v>10</v>
      </c>
      <c r="BW572" s="4">
        <f t="shared" si="1283"/>
        <v>10</v>
      </c>
      <c r="BX572" s="14">
        <f t="shared" si="1284"/>
        <v>0.21999999999999986</v>
      </c>
      <c r="BY572" s="14">
        <f t="shared" si="1285"/>
        <v>0.10000000000000003</v>
      </c>
      <c r="BZ572" s="27" t="s">
        <v>713</v>
      </c>
      <c r="CA572" s="27" t="s">
        <v>939</v>
      </c>
      <c r="CB572" s="27" t="s">
        <v>713</v>
      </c>
      <c r="CC572" s="5">
        <v>1</v>
      </c>
      <c r="CD572" s="5">
        <v>1</v>
      </c>
      <c r="CE572" s="5">
        <f t="shared" si="1286"/>
        <v>30</v>
      </c>
      <c r="CF572" s="5">
        <v>3</v>
      </c>
      <c r="CG572" s="6" t="str">
        <f t="shared" si="1244"/>
        <v>10级红工蚁</v>
      </c>
      <c r="CH572" s="5">
        <v>3</v>
      </c>
      <c r="CI572" s="5">
        <v>0</v>
      </c>
      <c r="CJ572" s="4">
        <v>0</v>
      </c>
      <c r="CK572" s="5">
        <v>0</v>
      </c>
      <c r="CL572" s="5">
        <v>0</v>
      </c>
      <c r="CM572" s="20">
        <v>0</v>
      </c>
      <c r="CN572" s="5">
        <v>0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10">
        <v>0.8</v>
      </c>
      <c r="CW572" s="10">
        <v>0.7</v>
      </c>
      <c r="CX572" s="10">
        <v>1</v>
      </c>
      <c r="CY572" s="10">
        <v>1</v>
      </c>
      <c r="CZ572" s="8">
        <v>1</v>
      </c>
      <c r="DA572" s="6">
        <f t="shared" si="1251"/>
        <v>250</v>
      </c>
      <c r="DB572" s="5">
        <v>0</v>
      </c>
      <c r="DC572" s="5">
        <f t="shared" si="1287"/>
        <v>0.87</v>
      </c>
      <c r="DD572" s="6">
        <f t="shared" si="1252"/>
        <v>0.87</v>
      </c>
      <c r="DE572" s="6">
        <v>1.2</v>
      </c>
      <c r="DF572" s="5">
        <v>0</v>
      </c>
      <c r="DG572" s="6">
        <f t="shared" si="1288"/>
        <v>2.5</v>
      </c>
      <c r="DH572" s="5">
        <v>1.5</v>
      </c>
      <c r="DI572" s="8">
        <v>0</v>
      </c>
      <c r="DJ572" s="5">
        <f t="shared" si="1289"/>
        <v>0</v>
      </c>
      <c r="DK572" s="8">
        <v>0</v>
      </c>
      <c r="DL572" s="5">
        <f t="shared" si="1210"/>
        <v>0</v>
      </c>
      <c r="DM572" s="27" t="str">
        <f t="shared" si="1241"/>
        <v>10级红工蚁</v>
      </c>
      <c r="DN572" s="5">
        <v>6</v>
      </c>
      <c r="DO572" s="5">
        <v>0</v>
      </c>
      <c r="DP572" s="5">
        <v>0</v>
      </c>
      <c r="DQ572" s="5">
        <v>0</v>
      </c>
      <c r="DR572" s="5">
        <f t="shared" si="1290"/>
        <v>0.9</v>
      </c>
      <c r="DS572" s="6">
        <v>1</v>
      </c>
      <c r="DT572" s="5">
        <v>-0.5</v>
      </c>
      <c r="DU572" s="5">
        <v>0.5</v>
      </c>
      <c r="DV572" s="6">
        <v>0.5</v>
      </c>
      <c r="DW572" s="5">
        <f t="shared" si="1253"/>
        <v>0</v>
      </c>
      <c r="DX572" s="5">
        <f t="shared" si="1291"/>
        <v>0</v>
      </c>
      <c r="DY572" s="5">
        <v>0</v>
      </c>
      <c r="DZ572" s="5">
        <v>0</v>
      </c>
    </row>
    <row r="573" spans="1:130" x14ac:dyDescent="0.15">
      <c r="A573" s="5">
        <v>201571</v>
      </c>
      <c r="B573" s="27" t="s">
        <v>929</v>
      </c>
      <c r="C573" s="27"/>
      <c r="D573" s="27"/>
      <c r="E573" s="27"/>
      <c r="F573" s="5">
        <v>3</v>
      </c>
      <c r="G573" s="45"/>
      <c r="H573" s="5"/>
      <c r="I573" s="5"/>
      <c r="J573" s="5"/>
      <c r="K573" s="5"/>
      <c r="L573" s="10"/>
      <c r="M573" s="5"/>
      <c r="N573" s="10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20"/>
      <c r="AF573" s="5"/>
      <c r="AG573" s="5"/>
      <c r="AH573" s="5"/>
      <c r="AI573" s="5"/>
      <c r="AJ573" s="5"/>
      <c r="AK573" s="5"/>
      <c r="AL573" s="5"/>
      <c r="AM573" s="5"/>
      <c r="AN573" s="8"/>
      <c r="AO573" s="5">
        <v>0</v>
      </c>
      <c r="AP573" s="27" t="s">
        <v>929</v>
      </c>
      <c r="AQ573" s="5">
        <v>0</v>
      </c>
      <c r="AR573" s="8">
        <v>1</v>
      </c>
      <c r="AS573" s="6">
        <f t="shared" si="1211"/>
        <v>3</v>
      </c>
      <c r="AT573" s="6">
        <f t="shared" si="1212"/>
        <v>6</v>
      </c>
      <c r="AU573" s="5">
        <v>0</v>
      </c>
      <c r="AV573" s="5">
        <v>1</v>
      </c>
      <c r="AW573" s="6">
        <v>1</v>
      </c>
      <c r="AX573" s="6">
        <v>1</v>
      </c>
      <c r="AY573" s="6">
        <v>1</v>
      </c>
      <c r="AZ573" s="5">
        <v>201571</v>
      </c>
      <c r="BA573" s="5">
        <v>203059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f t="shared" si="1204"/>
        <v>1</v>
      </c>
      <c r="BM573" s="5">
        <v>0</v>
      </c>
      <c r="BN573" s="5">
        <v>0</v>
      </c>
      <c r="BO573" s="5">
        <v>0</v>
      </c>
      <c r="BP573" s="5">
        <v>0</v>
      </c>
      <c r="BQ573" s="5"/>
      <c r="BR573" s="5"/>
      <c r="BS573" s="4">
        <v>0</v>
      </c>
      <c r="BT573" s="4">
        <f t="shared" si="1236"/>
        <v>1</v>
      </c>
      <c r="BU573" s="4">
        <v>0</v>
      </c>
      <c r="BV573" s="4">
        <f t="shared" si="1282"/>
        <v>1</v>
      </c>
      <c r="BW573" s="4">
        <f t="shared" si="1283"/>
        <v>1</v>
      </c>
      <c r="BX573" s="14">
        <f t="shared" si="1284"/>
        <v>0.85</v>
      </c>
      <c r="BY573" s="14">
        <f t="shared" si="1285"/>
        <v>0.55000000000000004</v>
      </c>
      <c r="BZ573" s="27" t="s">
        <v>714</v>
      </c>
      <c r="CA573" s="27" t="s">
        <v>940</v>
      </c>
      <c r="CB573" s="27" t="s">
        <v>714</v>
      </c>
      <c r="CC573" s="5">
        <v>1</v>
      </c>
      <c r="CD573" s="5">
        <v>1</v>
      </c>
      <c r="CE573" s="5">
        <v>0</v>
      </c>
      <c r="CF573" s="5">
        <v>0</v>
      </c>
      <c r="CG573" s="6" t="str">
        <f t="shared" si="1244"/>
        <v>1级红兵蚁</v>
      </c>
      <c r="CH573" s="5">
        <v>0</v>
      </c>
      <c r="CI573" s="5">
        <v>0</v>
      </c>
      <c r="CJ573" s="4">
        <v>0</v>
      </c>
      <c r="CK573" s="5">
        <v>0</v>
      </c>
      <c r="CL573" s="5">
        <v>0</v>
      </c>
      <c r="CM573" s="20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10">
        <v>0.9</v>
      </c>
      <c r="CW573" s="10">
        <v>0.7</v>
      </c>
      <c r="CX573" s="10">
        <v>1</v>
      </c>
      <c r="CY573" s="10">
        <v>1</v>
      </c>
      <c r="CZ573" s="8">
        <v>1</v>
      </c>
      <c r="DA573" s="6">
        <f t="shared" si="1251"/>
        <v>25</v>
      </c>
      <c r="DB573" s="5">
        <v>0</v>
      </c>
      <c r="DC573" s="5">
        <f t="shared" si="1287"/>
        <v>0.6</v>
      </c>
      <c r="DD573" s="6">
        <f t="shared" si="1252"/>
        <v>0.6</v>
      </c>
      <c r="DE573" s="6">
        <v>1.2</v>
      </c>
      <c r="DF573" s="5">
        <v>0</v>
      </c>
      <c r="DG573" s="6">
        <f t="shared" si="1288"/>
        <v>2.5</v>
      </c>
      <c r="DH573" s="5">
        <v>1.5</v>
      </c>
      <c r="DI573" s="8">
        <v>0</v>
      </c>
      <c r="DJ573" s="5">
        <f t="shared" si="1289"/>
        <v>0</v>
      </c>
      <c r="DK573" s="8">
        <v>0</v>
      </c>
      <c r="DL573" s="5">
        <f t="shared" si="1210"/>
        <v>0</v>
      </c>
      <c r="DM573" s="27" t="str">
        <f t="shared" si="1241"/>
        <v>1级红兵蚁</v>
      </c>
      <c r="DN573" s="5">
        <v>6</v>
      </c>
      <c r="DO573" s="5">
        <v>0</v>
      </c>
      <c r="DP573" s="5">
        <v>0</v>
      </c>
      <c r="DQ573" s="5">
        <v>0</v>
      </c>
      <c r="DR573" s="5">
        <f t="shared" si="1290"/>
        <v>0.9</v>
      </c>
      <c r="DS573" s="6">
        <v>1</v>
      </c>
      <c r="DT573" s="5">
        <v>-0.5</v>
      </c>
      <c r="DU573" s="5">
        <v>0.5</v>
      </c>
      <c r="DV573" s="6">
        <v>0.9</v>
      </c>
      <c r="DW573" s="5">
        <f t="shared" si="1253"/>
        <v>0.25</v>
      </c>
      <c r="DX573" s="5">
        <v>3</v>
      </c>
      <c r="DY573" s="5">
        <v>0</v>
      </c>
      <c r="DZ573" s="5">
        <v>0</v>
      </c>
    </row>
    <row r="574" spans="1:130" x14ac:dyDescent="0.15">
      <c r="A574" s="5">
        <v>201572</v>
      </c>
      <c r="B574" s="27" t="s">
        <v>930</v>
      </c>
      <c r="C574" s="27"/>
      <c r="D574" s="27"/>
      <c r="E574" s="27"/>
      <c r="F574" s="5">
        <v>3</v>
      </c>
      <c r="G574" s="45"/>
      <c r="H574" s="5"/>
      <c r="I574" s="5"/>
      <c r="J574" s="5"/>
      <c r="K574" s="5"/>
      <c r="L574" s="10"/>
      <c r="M574" s="5"/>
      <c r="N574" s="10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20"/>
      <c r="AF574" s="5"/>
      <c r="AG574" s="5"/>
      <c r="AH574" s="5"/>
      <c r="AI574" s="5"/>
      <c r="AJ574" s="5"/>
      <c r="AK574" s="5"/>
      <c r="AL574" s="5"/>
      <c r="AM574" s="5"/>
      <c r="AN574" s="8"/>
      <c r="AO574" s="5">
        <v>0</v>
      </c>
      <c r="AP574" s="27" t="s">
        <v>930</v>
      </c>
      <c r="AQ574" s="5">
        <v>0</v>
      </c>
      <c r="AR574" s="8">
        <v>1</v>
      </c>
      <c r="AS574" s="6">
        <f t="shared" si="1211"/>
        <v>6</v>
      </c>
      <c r="AT574" s="6">
        <f t="shared" si="1212"/>
        <v>12</v>
      </c>
      <c r="AU574" s="5">
        <v>0</v>
      </c>
      <c r="AV574" s="5">
        <v>1</v>
      </c>
      <c r="AW574" s="6">
        <v>1</v>
      </c>
      <c r="AX574" s="6">
        <v>1</v>
      </c>
      <c r="AY574" s="6">
        <v>1</v>
      </c>
      <c r="AZ574" s="5">
        <v>201572</v>
      </c>
      <c r="BA574" s="5">
        <v>203059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f t="shared" si="1204"/>
        <v>1</v>
      </c>
      <c r="BM574" s="5">
        <v>0</v>
      </c>
      <c r="BN574" s="5">
        <v>0</v>
      </c>
      <c r="BO574" s="5">
        <v>0</v>
      </c>
      <c r="BP574" s="5">
        <v>0</v>
      </c>
      <c r="BQ574" s="5"/>
      <c r="BR574" s="5"/>
      <c r="BS574" s="4">
        <v>0</v>
      </c>
      <c r="BT574" s="4">
        <f t="shared" si="1236"/>
        <v>2</v>
      </c>
      <c r="BU574" s="4">
        <v>0</v>
      </c>
      <c r="BV574" s="4">
        <f t="shared" si="1282"/>
        <v>2</v>
      </c>
      <c r="BW574" s="4">
        <f t="shared" si="1283"/>
        <v>2</v>
      </c>
      <c r="BX574" s="14">
        <f t="shared" si="1284"/>
        <v>0.78</v>
      </c>
      <c r="BY574" s="14">
        <f t="shared" si="1285"/>
        <v>0.5</v>
      </c>
      <c r="BZ574" s="27" t="s">
        <v>714</v>
      </c>
      <c r="CA574" s="27" t="s">
        <v>940</v>
      </c>
      <c r="CB574" s="27" t="s">
        <v>714</v>
      </c>
      <c r="CC574" s="5">
        <v>1</v>
      </c>
      <c r="CD574" s="5">
        <v>1</v>
      </c>
      <c r="CE574" s="5">
        <v>0</v>
      </c>
      <c r="CF574" s="5">
        <v>0</v>
      </c>
      <c r="CG574" s="6" t="str">
        <f t="shared" si="1244"/>
        <v>2级红兵蚁</v>
      </c>
      <c r="CH574" s="5">
        <v>0</v>
      </c>
      <c r="CI574" s="5">
        <v>0</v>
      </c>
      <c r="CJ574" s="4">
        <v>0</v>
      </c>
      <c r="CK574" s="5">
        <v>0</v>
      </c>
      <c r="CL574" s="5">
        <v>0</v>
      </c>
      <c r="CM574" s="20">
        <v>0</v>
      </c>
      <c r="CN574" s="5">
        <v>0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10">
        <v>0.9</v>
      </c>
      <c r="CW574" s="10">
        <v>0.7</v>
      </c>
      <c r="CX574" s="10">
        <v>1</v>
      </c>
      <c r="CY574" s="10">
        <v>1</v>
      </c>
      <c r="CZ574" s="8">
        <v>1</v>
      </c>
      <c r="DA574" s="6">
        <f t="shared" si="1251"/>
        <v>50</v>
      </c>
      <c r="DB574" s="5">
        <v>0</v>
      </c>
      <c r="DC574" s="5">
        <f t="shared" si="1287"/>
        <v>0.63</v>
      </c>
      <c r="DD574" s="6">
        <f t="shared" si="1252"/>
        <v>0.63</v>
      </c>
      <c r="DE574" s="6">
        <v>1.2</v>
      </c>
      <c r="DF574" s="5">
        <v>0</v>
      </c>
      <c r="DG574" s="6">
        <f t="shared" si="1288"/>
        <v>2.5</v>
      </c>
      <c r="DH574" s="5">
        <v>1.5</v>
      </c>
      <c r="DI574" s="8">
        <v>0</v>
      </c>
      <c r="DJ574" s="5">
        <f t="shared" si="1289"/>
        <v>0</v>
      </c>
      <c r="DK574" s="8">
        <v>0</v>
      </c>
      <c r="DL574" s="5">
        <f t="shared" si="1210"/>
        <v>0</v>
      </c>
      <c r="DM574" s="27" t="str">
        <f t="shared" si="1241"/>
        <v>2级红兵蚁</v>
      </c>
      <c r="DN574" s="5">
        <v>6</v>
      </c>
      <c r="DO574" s="5">
        <v>0</v>
      </c>
      <c r="DP574" s="5">
        <v>0</v>
      </c>
      <c r="DQ574" s="5">
        <v>0</v>
      </c>
      <c r="DR574" s="5">
        <f t="shared" si="1290"/>
        <v>0.9</v>
      </c>
      <c r="DS574" s="6">
        <v>1</v>
      </c>
      <c r="DT574" s="5">
        <v>-0.5</v>
      </c>
      <c r="DU574" s="5">
        <v>0.5</v>
      </c>
      <c r="DV574" s="6">
        <v>0.9</v>
      </c>
      <c r="DW574" s="5">
        <f t="shared" si="1253"/>
        <v>0.25</v>
      </c>
      <c r="DX574" s="5">
        <v>3</v>
      </c>
      <c r="DY574" s="5">
        <v>0</v>
      </c>
      <c r="DZ574" s="5">
        <v>0</v>
      </c>
    </row>
    <row r="575" spans="1:130" x14ac:dyDescent="0.15">
      <c r="A575" s="5">
        <v>201573</v>
      </c>
      <c r="B575" s="27" t="s">
        <v>931</v>
      </c>
      <c r="C575" s="27"/>
      <c r="D575" s="27"/>
      <c r="E575" s="27"/>
      <c r="F575" s="5">
        <v>3</v>
      </c>
      <c r="G575" s="45"/>
      <c r="H575" s="5"/>
      <c r="I575" s="5"/>
      <c r="J575" s="5"/>
      <c r="K575" s="5"/>
      <c r="L575" s="10"/>
      <c r="M575" s="5"/>
      <c r="N575" s="10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20"/>
      <c r="AF575" s="5"/>
      <c r="AG575" s="5"/>
      <c r="AH575" s="5"/>
      <c r="AI575" s="5"/>
      <c r="AJ575" s="5"/>
      <c r="AK575" s="5"/>
      <c r="AL575" s="5"/>
      <c r="AM575" s="5"/>
      <c r="AN575" s="8"/>
      <c r="AO575" s="5">
        <v>0</v>
      </c>
      <c r="AP575" s="27" t="s">
        <v>931</v>
      </c>
      <c r="AQ575" s="5">
        <v>0</v>
      </c>
      <c r="AR575" s="8">
        <v>1</v>
      </c>
      <c r="AS575" s="6">
        <f t="shared" si="1211"/>
        <v>9</v>
      </c>
      <c r="AT575" s="6">
        <f t="shared" si="1212"/>
        <v>18</v>
      </c>
      <c r="AU575" s="5">
        <v>0</v>
      </c>
      <c r="AV575" s="5">
        <v>1</v>
      </c>
      <c r="AW575" s="6">
        <v>1</v>
      </c>
      <c r="AX575" s="6">
        <v>1</v>
      </c>
      <c r="AY575" s="6">
        <v>1</v>
      </c>
      <c r="AZ575" s="5">
        <v>201573</v>
      </c>
      <c r="BA575" s="5">
        <v>203059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f t="shared" ref="BL575:BL582" si="1292">BL554</f>
        <v>1</v>
      </c>
      <c r="BM575" s="5">
        <v>0</v>
      </c>
      <c r="BN575" s="5">
        <v>0</v>
      </c>
      <c r="BO575" s="5">
        <v>0</v>
      </c>
      <c r="BP575" s="5">
        <v>0</v>
      </c>
      <c r="BQ575" s="5"/>
      <c r="BR575" s="5"/>
      <c r="BS575" s="4">
        <v>0</v>
      </c>
      <c r="BT575" s="4">
        <f t="shared" si="1236"/>
        <v>3</v>
      </c>
      <c r="BU575" s="4">
        <v>0</v>
      </c>
      <c r="BV575" s="4">
        <f t="shared" si="1282"/>
        <v>3</v>
      </c>
      <c r="BW575" s="4">
        <f t="shared" si="1283"/>
        <v>3</v>
      </c>
      <c r="BX575" s="14">
        <f t="shared" si="1284"/>
        <v>0.71</v>
      </c>
      <c r="BY575" s="14">
        <f t="shared" si="1285"/>
        <v>0.45000000000000007</v>
      </c>
      <c r="BZ575" s="27" t="s">
        <v>714</v>
      </c>
      <c r="CA575" s="27" t="s">
        <v>940</v>
      </c>
      <c r="CB575" s="27" t="s">
        <v>714</v>
      </c>
      <c r="CC575" s="5">
        <v>1</v>
      </c>
      <c r="CD575" s="5">
        <v>1</v>
      </c>
      <c r="CE575" s="5">
        <v>0</v>
      </c>
      <c r="CF575" s="5">
        <v>0</v>
      </c>
      <c r="CG575" s="6" t="str">
        <f t="shared" si="1244"/>
        <v>3级红兵蚁</v>
      </c>
      <c r="CH575" s="5">
        <v>0</v>
      </c>
      <c r="CI575" s="5">
        <v>0</v>
      </c>
      <c r="CJ575" s="4">
        <v>0</v>
      </c>
      <c r="CK575" s="5">
        <v>0</v>
      </c>
      <c r="CL575" s="5">
        <v>0</v>
      </c>
      <c r="CM575" s="20">
        <v>0</v>
      </c>
      <c r="CN575" s="5">
        <v>0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10">
        <v>0.9</v>
      </c>
      <c r="CW575" s="10">
        <v>0.7</v>
      </c>
      <c r="CX575" s="10">
        <v>1</v>
      </c>
      <c r="CY575" s="10">
        <v>1</v>
      </c>
      <c r="CZ575" s="8">
        <v>1</v>
      </c>
      <c r="DA575" s="6">
        <f t="shared" si="1251"/>
        <v>75</v>
      </c>
      <c r="DB575" s="5">
        <v>0</v>
      </c>
      <c r="DC575" s="5">
        <f t="shared" si="1287"/>
        <v>0.66</v>
      </c>
      <c r="DD575" s="6">
        <f t="shared" si="1252"/>
        <v>0.66</v>
      </c>
      <c r="DE575" s="6">
        <v>1.2</v>
      </c>
      <c r="DF575" s="5">
        <v>0</v>
      </c>
      <c r="DG575" s="6">
        <f t="shared" si="1288"/>
        <v>2.5</v>
      </c>
      <c r="DH575" s="5">
        <v>1.5</v>
      </c>
      <c r="DI575" s="8">
        <v>0</v>
      </c>
      <c r="DJ575" s="5">
        <f t="shared" si="1289"/>
        <v>0</v>
      </c>
      <c r="DK575" s="8">
        <v>0</v>
      </c>
      <c r="DL575" s="5">
        <f t="shared" si="1210"/>
        <v>0</v>
      </c>
      <c r="DM575" s="27" t="str">
        <f t="shared" si="1241"/>
        <v>3级红兵蚁</v>
      </c>
      <c r="DN575" s="5">
        <v>6</v>
      </c>
      <c r="DO575" s="5">
        <v>0</v>
      </c>
      <c r="DP575" s="5">
        <v>0</v>
      </c>
      <c r="DQ575" s="5">
        <v>0</v>
      </c>
      <c r="DR575" s="5">
        <f t="shared" si="1290"/>
        <v>0.9</v>
      </c>
      <c r="DS575" s="6">
        <v>1</v>
      </c>
      <c r="DT575" s="5">
        <v>-0.5</v>
      </c>
      <c r="DU575" s="5">
        <v>0.5</v>
      </c>
      <c r="DV575" s="6">
        <v>0.9</v>
      </c>
      <c r="DW575" s="5">
        <f t="shared" si="1253"/>
        <v>0.25</v>
      </c>
      <c r="DX575" s="5">
        <v>3</v>
      </c>
      <c r="DY575" s="5">
        <v>0</v>
      </c>
      <c r="DZ575" s="5">
        <v>0</v>
      </c>
    </row>
    <row r="576" spans="1:130" x14ac:dyDescent="0.15">
      <c r="A576" s="5">
        <v>201574</v>
      </c>
      <c r="B576" s="27" t="s">
        <v>932</v>
      </c>
      <c r="C576" s="27"/>
      <c r="D576" s="27"/>
      <c r="E576" s="27"/>
      <c r="F576" s="5">
        <v>3</v>
      </c>
      <c r="G576" s="45"/>
      <c r="H576" s="5"/>
      <c r="I576" s="5"/>
      <c r="J576" s="5"/>
      <c r="K576" s="5"/>
      <c r="L576" s="10"/>
      <c r="M576" s="5"/>
      <c r="N576" s="10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20"/>
      <c r="AF576" s="5"/>
      <c r="AG576" s="5"/>
      <c r="AH576" s="5"/>
      <c r="AI576" s="5"/>
      <c r="AJ576" s="5"/>
      <c r="AK576" s="5"/>
      <c r="AL576" s="5"/>
      <c r="AM576" s="5"/>
      <c r="AN576" s="8"/>
      <c r="AO576" s="5">
        <v>0</v>
      </c>
      <c r="AP576" s="27" t="s">
        <v>932</v>
      </c>
      <c r="AQ576" s="5">
        <v>0</v>
      </c>
      <c r="AR576" s="8">
        <v>1</v>
      </c>
      <c r="AS576" s="6">
        <f t="shared" si="1211"/>
        <v>12</v>
      </c>
      <c r="AT576" s="6">
        <f t="shared" si="1212"/>
        <v>24</v>
      </c>
      <c r="AU576" s="5">
        <v>0</v>
      </c>
      <c r="AV576" s="5">
        <v>1</v>
      </c>
      <c r="AW576" s="6">
        <v>1</v>
      </c>
      <c r="AX576" s="6">
        <v>1</v>
      </c>
      <c r="AY576" s="6">
        <v>1</v>
      </c>
      <c r="AZ576" s="5">
        <v>201574</v>
      </c>
      <c r="BA576" s="5">
        <v>203059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f t="shared" si="1292"/>
        <v>1</v>
      </c>
      <c r="BM576" s="5">
        <v>0</v>
      </c>
      <c r="BN576" s="5">
        <v>0</v>
      </c>
      <c r="BO576" s="5">
        <v>0</v>
      </c>
      <c r="BP576" s="5">
        <v>0</v>
      </c>
      <c r="BQ576" s="5"/>
      <c r="BR576" s="5"/>
      <c r="BS576" s="4">
        <v>0</v>
      </c>
      <c r="BT576" s="4">
        <f t="shared" si="1236"/>
        <v>4</v>
      </c>
      <c r="BU576" s="4">
        <v>0</v>
      </c>
      <c r="BV576" s="4">
        <f t="shared" si="1282"/>
        <v>4</v>
      </c>
      <c r="BW576" s="4">
        <f t="shared" si="1283"/>
        <v>4</v>
      </c>
      <c r="BX576" s="14">
        <f t="shared" si="1284"/>
        <v>0.6399999999999999</v>
      </c>
      <c r="BY576" s="14">
        <f t="shared" si="1285"/>
        <v>0.4</v>
      </c>
      <c r="BZ576" s="27" t="s">
        <v>714</v>
      </c>
      <c r="CA576" s="27" t="s">
        <v>940</v>
      </c>
      <c r="CB576" s="27" t="s">
        <v>714</v>
      </c>
      <c r="CC576" s="5">
        <v>1</v>
      </c>
      <c r="CD576" s="5">
        <v>1</v>
      </c>
      <c r="CE576" s="5">
        <v>0</v>
      </c>
      <c r="CF576" s="5">
        <v>0</v>
      </c>
      <c r="CG576" s="6" t="str">
        <f t="shared" si="1244"/>
        <v>4级红兵蚁</v>
      </c>
      <c r="CH576" s="5">
        <v>0</v>
      </c>
      <c r="CI576" s="5">
        <v>0</v>
      </c>
      <c r="CJ576" s="4">
        <v>0</v>
      </c>
      <c r="CK576" s="5">
        <v>0</v>
      </c>
      <c r="CL576" s="5">
        <v>0</v>
      </c>
      <c r="CM576" s="20">
        <v>0</v>
      </c>
      <c r="CN576" s="5">
        <v>0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0</v>
      </c>
      <c r="CV576" s="10">
        <v>0.9</v>
      </c>
      <c r="CW576" s="10">
        <v>0.7</v>
      </c>
      <c r="CX576" s="10">
        <v>1</v>
      </c>
      <c r="CY576" s="10">
        <v>1</v>
      </c>
      <c r="CZ576" s="8">
        <v>1</v>
      </c>
      <c r="DA576" s="6">
        <f t="shared" si="1251"/>
        <v>100</v>
      </c>
      <c r="DB576" s="5">
        <v>0</v>
      </c>
      <c r="DC576" s="5">
        <f t="shared" si="1287"/>
        <v>0.69</v>
      </c>
      <c r="DD576" s="6">
        <f t="shared" si="1252"/>
        <v>0.69</v>
      </c>
      <c r="DE576" s="6">
        <v>1.2</v>
      </c>
      <c r="DF576" s="5">
        <v>0</v>
      </c>
      <c r="DG576" s="6">
        <f t="shared" si="1288"/>
        <v>2.5</v>
      </c>
      <c r="DH576" s="5">
        <v>1.5</v>
      </c>
      <c r="DI576" s="8">
        <v>0</v>
      </c>
      <c r="DJ576" s="5">
        <f t="shared" si="1289"/>
        <v>0</v>
      </c>
      <c r="DK576" s="8">
        <v>0</v>
      </c>
      <c r="DL576" s="5">
        <f t="shared" si="1210"/>
        <v>0</v>
      </c>
      <c r="DM576" s="27" t="str">
        <f t="shared" si="1241"/>
        <v>4级红兵蚁</v>
      </c>
      <c r="DN576" s="5">
        <v>6</v>
      </c>
      <c r="DO576" s="5">
        <v>0</v>
      </c>
      <c r="DP576" s="5">
        <v>0</v>
      </c>
      <c r="DQ576" s="5">
        <v>0</v>
      </c>
      <c r="DR576" s="5">
        <f t="shared" si="1290"/>
        <v>0.9</v>
      </c>
      <c r="DS576" s="6">
        <v>1</v>
      </c>
      <c r="DT576" s="5">
        <v>-0.5</v>
      </c>
      <c r="DU576" s="5">
        <v>0.5</v>
      </c>
      <c r="DV576" s="6">
        <v>0.9</v>
      </c>
      <c r="DW576" s="5">
        <f t="shared" si="1253"/>
        <v>0.25</v>
      </c>
      <c r="DX576" s="5">
        <v>3</v>
      </c>
      <c r="DY576" s="5">
        <v>0</v>
      </c>
      <c r="DZ576" s="5">
        <v>0</v>
      </c>
    </row>
    <row r="577" spans="1:130" x14ac:dyDescent="0.15">
      <c r="A577" s="5">
        <v>201575</v>
      </c>
      <c r="B577" s="27" t="s">
        <v>933</v>
      </c>
      <c r="C577" s="27"/>
      <c r="D577" s="27"/>
      <c r="E577" s="27"/>
      <c r="F577" s="5">
        <v>3</v>
      </c>
      <c r="G577" s="45"/>
      <c r="H577" s="5"/>
      <c r="I577" s="5"/>
      <c r="J577" s="5"/>
      <c r="K577" s="5"/>
      <c r="L577" s="10"/>
      <c r="M577" s="5"/>
      <c r="N577" s="10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20"/>
      <c r="AF577" s="5"/>
      <c r="AG577" s="5"/>
      <c r="AH577" s="5"/>
      <c r="AI577" s="5"/>
      <c r="AJ577" s="5"/>
      <c r="AK577" s="5"/>
      <c r="AL577" s="5"/>
      <c r="AM577" s="5"/>
      <c r="AN577" s="8"/>
      <c r="AO577" s="5">
        <v>0</v>
      </c>
      <c r="AP577" s="27" t="s">
        <v>933</v>
      </c>
      <c r="AQ577" s="5">
        <v>0</v>
      </c>
      <c r="AR577" s="8">
        <v>1</v>
      </c>
      <c r="AS577" s="6">
        <f t="shared" si="1211"/>
        <v>15</v>
      </c>
      <c r="AT577" s="6">
        <f t="shared" si="1212"/>
        <v>30</v>
      </c>
      <c r="AU577" s="5">
        <v>0</v>
      </c>
      <c r="AV577" s="5">
        <v>1</v>
      </c>
      <c r="AW577" s="6">
        <v>1</v>
      </c>
      <c r="AX577" s="6">
        <v>1</v>
      </c>
      <c r="AY577" s="6">
        <v>1</v>
      </c>
      <c r="AZ577" s="5">
        <v>201575</v>
      </c>
      <c r="BA577" s="5">
        <v>203059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f t="shared" si="1292"/>
        <v>1</v>
      </c>
      <c r="BM577" s="5">
        <v>0</v>
      </c>
      <c r="BN577" s="5">
        <v>0</v>
      </c>
      <c r="BO577" s="5">
        <v>0</v>
      </c>
      <c r="BP577" s="5">
        <v>0</v>
      </c>
      <c r="BQ577" s="5"/>
      <c r="BR577" s="5"/>
      <c r="BS577" s="4">
        <v>0</v>
      </c>
      <c r="BT577" s="4">
        <f t="shared" si="1236"/>
        <v>5</v>
      </c>
      <c r="BU577" s="4">
        <v>0</v>
      </c>
      <c r="BV577" s="4">
        <f t="shared" si="1282"/>
        <v>5</v>
      </c>
      <c r="BW577" s="4">
        <f t="shared" si="1283"/>
        <v>5</v>
      </c>
      <c r="BX577" s="14">
        <f t="shared" si="1284"/>
        <v>0.56999999999999995</v>
      </c>
      <c r="BY577" s="14">
        <f t="shared" si="1285"/>
        <v>0.35000000000000003</v>
      </c>
      <c r="BZ577" s="27" t="s">
        <v>714</v>
      </c>
      <c r="CA577" s="27" t="s">
        <v>940</v>
      </c>
      <c r="CB577" s="27" t="s">
        <v>714</v>
      </c>
      <c r="CC577" s="5">
        <v>1</v>
      </c>
      <c r="CD577" s="5">
        <v>1</v>
      </c>
      <c r="CE577" s="5">
        <v>0</v>
      </c>
      <c r="CF577" s="5">
        <v>0</v>
      </c>
      <c r="CG577" s="6" t="str">
        <f t="shared" si="1244"/>
        <v>5级红兵蚁</v>
      </c>
      <c r="CH577" s="5">
        <v>0</v>
      </c>
      <c r="CI577" s="5">
        <v>0</v>
      </c>
      <c r="CJ577" s="4">
        <v>0</v>
      </c>
      <c r="CK577" s="5">
        <v>0</v>
      </c>
      <c r="CL577" s="5">
        <v>0</v>
      </c>
      <c r="CM577" s="20">
        <v>0</v>
      </c>
      <c r="CN577" s="5">
        <v>0</v>
      </c>
      <c r="CO577" s="5">
        <v>0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10">
        <v>0.9</v>
      </c>
      <c r="CW577" s="10">
        <v>0.7</v>
      </c>
      <c r="CX577" s="10">
        <v>1</v>
      </c>
      <c r="CY577" s="10">
        <v>1</v>
      </c>
      <c r="CZ577" s="8">
        <v>1</v>
      </c>
      <c r="DA577" s="6">
        <f t="shared" si="1251"/>
        <v>125</v>
      </c>
      <c r="DB577" s="5">
        <v>0</v>
      </c>
      <c r="DC577" s="5">
        <f t="shared" si="1287"/>
        <v>0.72</v>
      </c>
      <c r="DD577" s="6">
        <f t="shared" si="1252"/>
        <v>0.72</v>
      </c>
      <c r="DE577" s="6">
        <v>1.2</v>
      </c>
      <c r="DF577" s="5">
        <v>0</v>
      </c>
      <c r="DG577" s="6">
        <f t="shared" si="1288"/>
        <v>2.5</v>
      </c>
      <c r="DH577" s="5">
        <v>1.5</v>
      </c>
      <c r="DI577" s="8">
        <v>0</v>
      </c>
      <c r="DJ577" s="5">
        <f t="shared" si="1289"/>
        <v>0</v>
      </c>
      <c r="DK577" s="8">
        <v>0</v>
      </c>
      <c r="DL577" s="5">
        <f t="shared" si="1210"/>
        <v>0</v>
      </c>
      <c r="DM577" s="27" t="str">
        <f t="shared" si="1241"/>
        <v>5级红兵蚁</v>
      </c>
      <c r="DN577" s="5">
        <v>6</v>
      </c>
      <c r="DO577" s="5">
        <v>0</v>
      </c>
      <c r="DP577" s="5">
        <v>0</v>
      </c>
      <c r="DQ577" s="5">
        <v>0</v>
      </c>
      <c r="DR577" s="5">
        <f t="shared" si="1290"/>
        <v>0.9</v>
      </c>
      <c r="DS577" s="6">
        <v>1</v>
      </c>
      <c r="DT577" s="5">
        <v>-0.5</v>
      </c>
      <c r="DU577" s="5">
        <v>0.5</v>
      </c>
      <c r="DV577" s="6">
        <v>0.9</v>
      </c>
      <c r="DW577" s="5">
        <f t="shared" si="1253"/>
        <v>0.25</v>
      </c>
      <c r="DX577" s="5">
        <v>3</v>
      </c>
      <c r="DY577" s="5">
        <v>0</v>
      </c>
      <c r="DZ577" s="5">
        <v>0</v>
      </c>
    </row>
    <row r="578" spans="1:130" x14ac:dyDescent="0.15">
      <c r="A578" s="5">
        <v>201576</v>
      </c>
      <c r="B578" s="27" t="s">
        <v>934</v>
      </c>
      <c r="C578" s="27"/>
      <c r="D578" s="27"/>
      <c r="E578" s="27"/>
      <c r="F578" s="5">
        <v>3</v>
      </c>
      <c r="G578" s="45"/>
      <c r="H578" s="5"/>
      <c r="I578" s="5"/>
      <c r="J578" s="5"/>
      <c r="K578" s="5"/>
      <c r="L578" s="10"/>
      <c r="M578" s="5"/>
      <c r="N578" s="10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20"/>
      <c r="AF578" s="5"/>
      <c r="AG578" s="5"/>
      <c r="AH578" s="5"/>
      <c r="AI578" s="5"/>
      <c r="AJ578" s="5"/>
      <c r="AK578" s="5"/>
      <c r="AL578" s="5"/>
      <c r="AM578" s="5"/>
      <c r="AN578" s="8"/>
      <c r="AO578" s="5">
        <v>0</v>
      </c>
      <c r="AP578" s="27" t="s">
        <v>934</v>
      </c>
      <c r="AQ578" s="5">
        <v>0</v>
      </c>
      <c r="AR578" s="8">
        <v>1</v>
      </c>
      <c r="AS578" s="6">
        <f t="shared" si="1211"/>
        <v>18</v>
      </c>
      <c r="AT578" s="6">
        <f t="shared" si="1212"/>
        <v>36</v>
      </c>
      <c r="AU578" s="5">
        <v>0</v>
      </c>
      <c r="AV578" s="5">
        <v>1</v>
      </c>
      <c r="AW578" s="6">
        <v>1</v>
      </c>
      <c r="AX578" s="6">
        <v>1</v>
      </c>
      <c r="AY578" s="6">
        <v>1</v>
      </c>
      <c r="AZ578" s="5">
        <v>201576</v>
      </c>
      <c r="BA578" s="5">
        <v>203059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f t="shared" si="1292"/>
        <v>1</v>
      </c>
      <c r="BM578" s="5">
        <v>0</v>
      </c>
      <c r="BN578" s="5">
        <v>0</v>
      </c>
      <c r="BO578" s="5">
        <v>0</v>
      </c>
      <c r="BP578" s="5">
        <v>0</v>
      </c>
      <c r="BQ578" s="5"/>
      <c r="BR578" s="5"/>
      <c r="BS578" s="4">
        <v>0</v>
      </c>
      <c r="BT578" s="4">
        <f t="shared" si="1236"/>
        <v>6</v>
      </c>
      <c r="BU578" s="4">
        <v>0</v>
      </c>
      <c r="BV578" s="4">
        <f t="shared" si="1282"/>
        <v>6</v>
      </c>
      <c r="BW578" s="4">
        <f t="shared" si="1283"/>
        <v>6</v>
      </c>
      <c r="BX578" s="14">
        <f t="shared" si="1284"/>
        <v>0.49999999999999994</v>
      </c>
      <c r="BY578" s="14">
        <f t="shared" si="1285"/>
        <v>0.30000000000000004</v>
      </c>
      <c r="BZ578" s="27" t="s">
        <v>714</v>
      </c>
      <c r="CA578" s="27" t="s">
        <v>940</v>
      </c>
      <c r="CB578" s="27" t="s">
        <v>714</v>
      </c>
      <c r="CC578" s="5">
        <v>1</v>
      </c>
      <c r="CD578" s="5">
        <v>1</v>
      </c>
      <c r="CE578" s="5">
        <v>0</v>
      </c>
      <c r="CF578" s="5">
        <v>0</v>
      </c>
      <c r="CG578" s="6" t="str">
        <f t="shared" si="1244"/>
        <v>6级红兵蚁</v>
      </c>
      <c r="CH578" s="5">
        <v>0</v>
      </c>
      <c r="CI578" s="5">
        <v>0</v>
      </c>
      <c r="CJ578" s="4">
        <v>0</v>
      </c>
      <c r="CK578" s="5">
        <v>0</v>
      </c>
      <c r="CL578" s="5">
        <v>0</v>
      </c>
      <c r="CM578" s="20">
        <v>0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10">
        <v>0.9</v>
      </c>
      <c r="CW578" s="10">
        <v>0.7</v>
      </c>
      <c r="CX578" s="10">
        <v>1</v>
      </c>
      <c r="CY578" s="10">
        <v>1</v>
      </c>
      <c r="CZ578" s="8">
        <v>1</v>
      </c>
      <c r="DA578" s="6">
        <f t="shared" si="1251"/>
        <v>150</v>
      </c>
      <c r="DB578" s="5">
        <v>0</v>
      </c>
      <c r="DC578" s="5">
        <f t="shared" si="1287"/>
        <v>0.75</v>
      </c>
      <c r="DD578" s="6">
        <f t="shared" si="1252"/>
        <v>0.75</v>
      </c>
      <c r="DE578" s="6">
        <v>1.2</v>
      </c>
      <c r="DF578" s="5">
        <v>0</v>
      </c>
      <c r="DG578" s="6">
        <f t="shared" si="1288"/>
        <v>2.5</v>
      </c>
      <c r="DH578" s="5">
        <v>1.5</v>
      </c>
      <c r="DI578" s="8">
        <v>0</v>
      </c>
      <c r="DJ578" s="5">
        <f t="shared" si="1289"/>
        <v>0</v>
      </c>
      <c r="DK578" s="8">
        <v>0</v>
      </c>
      <c r="DL578" s="5">
        <f t="shared" si="1210"/>
        <v>0</v>
      </c>
      <c r="DM578" s="27" t="str">
        <f t="shared" si="1241"/>
        <v>6级红兵蚁</v>
      </c>
      <c r="DN578" s="5">
        <v>6</v>
      </c>
      <c r="DO578" s="5">
        <v>0</v>
      </c>
      <c r="DP578" s="5">
        <v>0</v>
      </c>
      <c r="DQ578" s="5">
        <v>0</v>
      </c>
      <c r="DR578" s="5">
        <f t="shared" si="1290"/>
        <v>0.9</v>
      </c>
      <c r="DS578" s="6">
        <v>1</v>
      </c>
      <c r="DT578" s="5">
        <v>-0.5</v>
      </c>
      <c r="DU578" s="5">
        <v>0.5</v>
      </c>
      <c r="DV578" s="6">
        <v>0.9</v>
      </c>
      <c r="DW578" s="5">
        <f t="shared" si="1253"/>
        <v>0.25</v>
      </c>
      <c r="DX578" s="5">
        <v>3</v>
      </c>
      <c r="DY578" s="5">
        <v>0</v>
      </c>
      <c r="DZ578" s="5">
        <v>0</v>
      </c>
    </row>
    <row r="579" spans="1:130" x14ac:dyDescent="0.15">
      <c r="A579" s="5">
        <v>201577</v>
      </c>
      <c r="B579" s="27" t="s">
        <v>935</v>
      </c>
      <c r="C579" s="27"/>
      <c r="D579" s="27"/>
      <c r="E579" s="27"/>
      <c r="F579" s="5">
        <v>3</v>
      </c>
      <c r="G579" s="45"/>
      <c r="H579" s="5"/>
      <c r="I579" s="5"/>
      <c r="J579" s="5"/>
      <c r="K579" s="5"/>
      <c r="L579" s="10"/>
      <c r="M579" s="5"/>
      <c r="N579" s="10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20"/>
      <c r="AF579" s="5"/>
      <c r="AG579" s="5"/>
      <c r="AH579" s="5"/>
      <c r="AI579" s="5"/>
      <c r="AJ579" s="5"/>
      <c r="AK579" s="5"/>
      <c r="AL579" s="5"/>
      <c r="AM579" s="5"/>
      <c r="AN579" s="8"/>
      <c r="AO579" s="5">
        <v>0</v>
      </c>
      <c r="AP579" s="27" t="s">
        <v>935</v>
      </c>
      <c r="AQ579" s="5">
        <v>0</v>
      </c>
      <c r="AR579" s="8">
        <v>1</v>
      </c>
      <c r="AS579" s="6">
        <f t="shared" si="1211"/>
        <v>21</v>
      </c>
      <c r="AT579" s="6">
        <f t="shared" si="1212"/>
        <v>42</v>
      </c>
      <c r="AU579" s="5">
        <v>0</v>
      </c>
      <c r="AV579" s="5">
        <v>1</v>
      </c>
      <c r="AW579" s="6">
        <v>1</v>
      </c>
      <c r="AX579" s="6">
        <v>1</v>
      </c>
      <c r="AY579" s="6">
        <v>1</v>
      </c>
      <c r="AZ579" s="5">
        <v>201577</v>
      </c>
      <c r="BA579" s="5">
        <v>203059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f t="shared" si="1292"/>
        <v>1</v>
      </c>
      <c r="BM579" s="5">
        <v>0</v>
      </c>
      <c r="BN579" s="5">
        <v>0</v>
      </c>
      <c r="BO579" s="5">
        <v>0</v>
      </c>
      <c r="BP579" s="5">
        <v>0</v>
      </c>
      <c r="BQ579" s="5"/>
      <c r="BR579" s="5"/>
      <c r="BS579" s="4">
        <v>0</v>
      </c>
      <c r="BT579" s="4">
        <f t="shared" si="1236"/>
        <v>7</v>
      </c>
      <c r="BU579" s="4">
        <v>0</v>
      </c>
      <c r="BV579" s="4">
        <f t="shared" si="1282"/>
        <v>7</v>
      </c>
      <c r="BW579" s="4">
        <f t="shared" si="1283"/>
        <v>7</v>
      </c>
      <c r="BX579" s="14">
        <f t="shared" si="1284"/>
        <v>0.42999999999999994</v>
      </c>
      <c r="BY579" s="14">
        <f t="shared" si="1285"/>
        <v>0.25</v>
      </c>
      <c r="BZ579" s="27" t="s">
        <v>714</v>
      </c>
      <c r="CA579" s="27" t="s">
        <v>940</v>
      </c>
      <c r="CB579" s="27" t="s">
        <v>714</v>
      </c>
      <c r="CC579" s="5">
        <v>1</v>
      </c>
      <c r="CD579" s="5">
        <v>1</v>
      </c>
      <c r="CE579" s="5">
        <v>0</v>
      </c>
      <c r="CF579" s="5">
        <v>0</v>
      </c>
      <c r="CG579" s="6" t="str">
        <f t="shared" si="1244"/>
        <v>7级红兵蚁</v>
      </c>
      <c r="CH579" s="5">
        <v>0</v>
      </c>
      <c r="CI579" s="5">
        <v>0</v>
      </c>
      <c r="CJ579" s="4">
        <v>0</v>
      </c>
      <c r="CK579" s="5">
        <v>0</v>
      </c>
      <c r="CL579" s="5">
        <v>0</v>
      </c>
      <c r="CM579" s="20">
        <v>0</v>
      </c>
      <c r="CN579" s="5">
        <v>0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10">
        <v>0.9</v>
      </c>
      <c r="CW579" s="10">
        <v>0.7</v>
      </c>
      <c r="CX579" s="10">
        <v>1</v>
      </c>
      <c r="CY579" s="10">
        <v>1</v>
      </c>
      <c r="CZ579" s="8">
        <v>1</v>
      </c>
      <c r="DA579" s="6">
        <f t="shared" si="1251"/>
        <v>175</v>
      </c>
      <c r="DB579" s="5">
        <v>0</v>
      </c>
      <c r="DC579" s="5">
        <f t="shared" si="1287"/>
        <v>0.78</v>
      </c>
      <c r="DD579" s="6">
        <f t="shared" si="1252"/>
        <v>0.78</v>
      </c>
      <c r="DE579" s="6">
        <v>1.2</v>
      </c>
      <c r="DF579" s="5">
        <v>0</v>
      </c>
      <c r="DG579" s="6">
        <f t="shared" si="1288"/>
        <v>2.5</v>
      </c>
      <c r="DH579" s="5">
        <v>1.5</v>
      </c>
      <c r="DI579" s="8">
        <v>0</v>
      </c>
      <c r="DJ579" s="5">
        <f t="shared" si="1289"/>
        <v>0</v>
      </c>
      <c r="DK579" s="8">
        <v>0</v>
      </c>
      <c r="DL579" s="5">
        <f t="shared" ref="DL579:DL582" si="1293">DK579*5*(1+BV579/2)</f>
        <v>0</v>
      </c>
      <c r="DM579" s="27" t="str">
        <f t="shared" si="1241"/>
        <v>7级红兵蚁</v>
      </c>
      <c r="DN579" s="5">
        <v>6</v>
      </c>
      <c r="DO579" s="5">
        <v>0</v>
      </c>
      <c r="DP579" s="5">
        <v>0</v>
      </c>
      <c r="DQ579" s="5">
        <v>0</v>
      </c>
      <c r="DR579" s="5">
        <f t="shared" si="1290"/>
        <v>0.9</v>
      </c>
      <c r="DS579" s="6">
        <v>1</v>
      </c>
      <c r="DT579" s="5">
        <v>-0.5</v>
      </c>
      <c r="DU579" s="5">
        <v>0.5</v>
      </c>
      <c r="DV579" s="6">
        <v>0.9</v>
      </c>
      <c r="DW579" s="5">
        <f t="shared" si="1253"/>
        <v>0.25</v>
      </c>
      <c r="DX579" s="5">
        <v>3</v>
      </c>
      <c r="DY579" s="5">
        <v>0</v>
      </c>
      <c r="DZ579" s="5">
        <v>0</v>
      </c>
    </row>
    <row r="580" spans="1:130" x14ac:dyDescent="0.15">
      <c r="A580" s="5">
        <v>201578</v>
      </c>
      <c r="B580" s="27" t="s">
        <v>936</v>
      </c>
      <c r="C580" s="27"/>
      <c r="D580" s="27"/>
      <c r="E580" s="27"/>
      <c r="F580" s="5">
        <v>3</v>
      </c>
      <c r="G580" s="45"/>
      <c r="H580" s="5"/>
      <c r="I580" s="5"/>
      <c r="J580" s="5"/>
      <c r="K580" s="5"/>
      <c r="L580" s="10"/>
      <c r="M580" s="5"/>
      <c r="N580" s="10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20"/>
      <c r="AF580" s="5"/>
      <c r="AG580" s="5"/>
      <c r="AH580" s="5"/>
      <c r="AI580" s="5"/>
      <c r="AJ580" s="5"/>
      <c r="AK580" s="5"/>
      <c r="AL580" s="5"/>
      <c r="AM580" s="5"/>
      <c r="AN580" s="8"/>
      <c r="AO580" s="5">
        <v>0</v>
      </c>
      <c r="AP580" s="27" t="s">
        <v>936</v>
      </c>
      <c r="AQ580" s="5">
        <v>0</v>
      </c>
      <c r="AR580" s="8">
        <v>1</v>
      </c>
      <c r="AS580" s="6">
        <f t="shared" ref="AS580:AS582" si="1294">AR580*3*BV580</f>
        <v>24</v>
      </c>
      <c r="AT580" s="6">
        <f t="shared" ref="AT580:AT582" si="1295">(AR580+1)*3*BV580</f>
        <v>48</v>
      </c>
      <c r="AU580" s="5">
        <v>0</v>
      </c>
      <c r="AV580" s="5">
        <v>1</v>
      </c>
      <c r="AW580" s="6">
        <v>1</v>
      </c>
      <c r="AX580" s="6">
        <v>1</v>
      </c>
      <c r="AY580" s="6">
        <v>1</v>
      </c>
      <c r="AZ580" s="5">
        <v>201578</v>
      </c>
      <c r="BA580" s="5">
        <v>203059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f t="shared" si="1292"/>
        <v>1</v>
      </c>
      <c r="BM580" s="5">
        <v>0</v>
      </c>
      <c r="BN580" s="5">
        <v>0</v>
      </c>
      <c r="BO580" s="5">
        <v>0</v>
      </c>
      <c r="BP580" s="5">
        <v>0</v>
      </c>
      <c r="BQ580" s="5"/>
      <c r="BR580" s="5"/>
      <c r="BS580" s="4">
        <v>0</v>
      </c>
      <c r="BT580" s="4">
        <f t="shared" si="1236"/>
        <v>8</v>
      </c>
      <c r="BU580" s="4">
        <v>0</v>
      </c>
      <c r="BV580" s="4">
        <f t="shared" si="1282"/>
        <v>8</v>
      </c>
      <c r="BW580" s="4">
        <f t="shared" si="1283"/>
        <v>8</v>
      </c>
      <c r="BX580" s="14">
        <f t="shared" si="1284"/>
        <v>0.35999999999999993</v>
      </c>
      <c r="BY580" s="14">
        <f t="shared" si="1285"/>
        <v>0.2</v>
      </c>
      <c r="BZ580" s="27" t="s">
        <v>714</v>
      </c>
      <c r="CA580" s="27" t="s">
        <v>940</v>
      </c>
      <c r="CB580" s="27" t="s">
        <v>714</v>
      </c>
      <c r="CC580" s="5">
        <v>1</v>
      </c>
      <c r="CD580" s="5">
        <v>1</v>
      </c>
      <c r="CE580" s="5">
        <v>0</v>
      </c>
      <c r="CF580" s="5">
        <v>0</v>
      </c>
      <c r="CG580" s="6" t="str">
        <f t="shared" si="1244"/>
        <v>8级红兵蚁</v>
      </c>
      <c r="CH580" s="5">
        <v>0</v>
      </c>
      <c r="CI580" s="5">
        <v>0</v>
      </c>
      <c r="CJ580" s="4">
        <v>0</v>
      </c>
      <c r="CK580" s="5">
        <v>0</v>
      </c>
      <c r="CL580" s="5">
        <v>0</v>
      </c>
      <c r="CM580" s="20">
        <v>0</v>
      </c>
      <c r="CN580" s="5">
        <v>0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10">
        <v>0.9</v>
      </c>
      <c r="CW580" s="10">
        <v>0.7</v>
      </c>
      <c r="CX580" s="10">
        <v>1</v>
      </c>
      <c r="CY580" s="10">
        <v>1</v>
      </c>
      <c r="CZ580" s="8">
        <v>1</v>
      </c>
      <c r="DA580" s="6">
        <f t="shared" si="1251"/>
        <v>200</v>
      </c>
      <c r="DB580" s="5">
        <v>0</v>
      </c>
      <c r="DC580" s="5">
        <f t="shared" ref="DC580:DC582" si="1296">DD580</f>
        <v>0.81</v>
      </c>
      <c r="DD580" s="6">
        <f t="shared" si="1252"/>
        <v>0.81</v>
      </c>
      <c r="DE580" s="6">
        <v>1.2</v>
      </c>
      <c r="DF580" s="5">
        <v>0</v>
      </c>
      <c r="DG580" s="6">
        <f t="shared" si="1288"/>
        <v>2.5</v>
      </c>
      <c r="DH580" s="5">
        <v>1.5</v>
      </c>
      <c r="DI580" s="8">
        <v>0</v>
      </c>
      <c r="DJ580" s="5">
        <f t="shared" si="1289"/>
        <v>0</v>
      </c>
      <c r="DK580" s="8">
        <v>0</v>
      </c>
      <c r="DL580" s="5">
        <f t="shared" si="1293"/>
        <v>0</v>
      </c>
      <c r="DM580" s="27" t="str">
        <f t="shared" si="1241"/>
        <v>8级红兵蚁</v>
      </c>
      <c r="DN580" s="5">
        <v>6</v>
      </c>
      <c r="DO580" s="5">
        <v>0</v>
      </c>
      <c r="DP580" s="5">
        <v>0</v>
      </c>
      <c r="DQ580" s="5">
        <v>0</v>
      </c>
      <c r="DR580" s="5">
        <f t="shared" si="1290"/>
        <v>0.9</v>
      </c>
      <c r="DS580" s="6">
        <v>1</v>
      </c>
      <c r="DT580" s="5">
        <v>-0.5</v>
      </c>
      <c r="DU580" s="5">
        <v>0.5</v>
      </c>
      <c r="DV580" s="6">
        <v>0.9</v>
      </c>
      <c r="DW580" s="5">
        <f t="shared" si="1253"/>
        <v>0.25</v>
      </c>
      <c r="DX580" s="5">
        <v>3</v>
      </c>
      <c r="DY580" s="5">
        <v>0</v>
      </c>
      <c r="DZ580" s="5">
        <v>0</v>
      </c>
    </row>
    <row r="581" spans="1:130" x14ac:dyDescent="0.15">
      <c r="A581" s="5">
        <v>201579</v>
      </c>
      <c r="B581" s="27" t="s">
        <v>937</v>
      </c>
      <c r="C581" s="27"/>
      <c r="D581" s="27"/>
      <c r="E581" s="27"/>
      <c r="F581" s="5">
        <v>3</v>
      </c>
      <c r="G581" s="45"/>
      <c r="H581" s="5"/>
      <c r="I581" s="5"/>
      <c r="J581" s="5"/>
      <c r="K581" s="5"/>
      <c r="L581" s="10"/>
      <c r="M581" s="5"/>
      <c r="N581" s="10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20"/>
      <c r="AF581" s="5"/>
      <c r="AG581" s="5"/>
      <c r="AH581" s="5"/>
      <c r="AI581" s="5"/>
      <c r="AJ581" s="5"/>
      <c r="AK581" s="5"/>
      <c r="AL581" s="5"/>
      <c r="AM581" s="5"/>
      <c r="AN581" s="8"/>
      <c r="AO581" s="5">
        <v>0</v>
      </c>
      <c r="AP581" s="27" t="s">
        <v>937</v>
      </c>
      <c r="AQ581" s="5">
        <v>0</v>
      </c>
      <c r="AR581" s="8">
        <v>1</v>
      </c>
      <c r="AS581" s="6">
        <f t="shared" si="1294"/>
        <v>27</v>
      </c>
      <c r="AT581" s="6">
        <f t="shared" si="1295"/>
        <v>54</v>
      </c>
      <c r="AU581" s="5">
        <v>0</v>
      </c>
      <c r="AV581" s="5">
        <v>1</v>
      </c>
      <c r="AW581" s="6">
        <v>1</v>
      </c>
      <c r="AX581" s="6">
        <v>1</v>
      </c>
      <c r="AY581" s="6">
        <v>1</v>
      </c>
      <c r="AZ581" s="5">
        <v>201579</v>
      </c>
      <c r="BA581" s="5">
        <v>203059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f t="shared" si="1292"/>
        <v>1</v>
      </c>
      <c r="BM581" s="5">
        <v>0</v>
      </c>
      <c r="BN581" s="5">
        <v>0</v>
      </c>
      <c r="BO581" s="5">
        <v>0</v>
      </c>
      <c r="BP581" s="5">
        <v>0</v>
      </c>
      <c r="BQ581" s="5"/>
      <c r="BR581" s="5"/>
      <c r="BS581" s="4">
        <v>0</v>
      </c>
      <c r="BT581" s="4">
        <f t="shared" si="1236"/>
        <v>9</v>
      </c>
      <c r="BU581" s="4">
        <v>0</v>
      </c>
      <c r="BV581" s="4">
        <f t="shared" si="1282"/>
        <v>9</v>
      </c>
      <c r="BW581" s="4">
        <f t="shared" si="1283"/>
        <v>9</v>
      </c>
      <c r="BX581" s="14">
        <f t="shared" si="1284"/>
        <v>0.28999999999999992</v>
      </c>
      <c r="BY581" s="14">
        <f t="shared" si="1285"/>
        <v>0.15000000000000002</v>
      </c>
      <c r="BZ581" s="27" t="s">
        <v>714</v>
      </c>
      <c r="CA581" s="27" t="s">
        <v>940</v>
      </c>
      <c r="CB581" s="27" t="s">
        <v>714</v>
      </c>
      <c r="CC581" s="5">
        <v>1</v>
      </c>
      <c r="CD581" s="5">
        <v>1</v>
      </c>
      <c r="CE581" s="5">
        <v>0</v>
      </c>
      <c r="CF581" s="5">
        <v>0</v>
      </c>
      <c r="CG581" s="6" t="str">
        <f t="shared" si="1244"/>
        <v>9级红兵蚁</v>
      </c>
      <c r="CH581" s="5">
        <v>0</v>
      </c>
      <c r="CI581" s="5">
        <v>0</v>
      </c>
      <c r="CJ581" s="4">
        <v>0</v>
      </c>
      <c r="CK581" s="5">
        <v>0</v>
      </c>
      <c r="CL581" s="5">
        <v>0</v>
      </c>
      <c r="CM581" s="20">
        <v>0</v>
      </c>
      <c r="CN581" s="5">
        <v>0</v>
      </c>
      <c r="CO581" s="5">
        <v>0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0</v>
      </c>
      <c r="CV581" s="10">
        <v>0.9</v>
      </c>
      <c r="CW581" s="10">
        <v>0.7</v>
      </c>
      <c r="CX581" s="10">
        <v>1</v>
      </c>
      <c r="CY581" s="10">
        <v>1</v>
      </c>
      <c r="CZ581" s="8">
        <v>1</v>
      </c>
      <c r="DA581" s="6">
        <f t="shared" si="1251"/>
        <v>225</v>
      </c>
      <c r="DB581" s="5">
        <v>0</v>
      </c>
      <c r="DC581" s="5">
        <f t="shared" si="1296"/>
        <v>0.84</v>
      </c>
      <c r="DD581" s="6">
        <f t="shared" si="1252"/>
        <v>0.84</v>
      </c>
      <c r="DE581" s="6">
        <v>1.2</v>
      </c>
      <c r="DF581" s="5">
        <v>0</v>
      </c>
      <c r="DG581" s="6">
        <f t="shared" si="1288"/>
        <v>2.5</v>
      </c>
      <c r="DH581" s="5">
        <v>1.5</v>
      </c>
      <c r="DI581" s="8">
        <v>0</v>
      </c>
      <c r="DJ581" s="5">
        <f t="shared" si="1289"/>
        <v>0</v>
      </c>
      <c r="DK581" s="8">
        <v>0</v>
      </c>
      <c r="DL581" s="5">
        <f t="shared" si="1293"/>
        <v>0</v>
      </c>
      <c r="DM581" s="27" t="str">
        <f t="shared" si="1241"/>
        <v>9级红兵蚁</v>
      </c>
      <c r="DN581" s="5">
        <v>6</v>
      </c>
      <c r="DO581" s="5">
        <v>0</v>
      </c>
      <c r="DP581" s="5">
        <v>0</v>
      </c>
      <c r="DQ581" s="5">
        <v>0</v>
      </c>
      <c r="DR581" s="5">
        <f t="shared" si="1290"/>
        <v>0.9</v>
      </c>
      <c r="DS581" s="6">
        <v>1</v>
      </c>
      <c r="DT581" s="5">
        <v>-0.5</v>
      </c>
      <c r="DU581" s="5">
        <v>0.5</v>
      </c>
      <c r="DV581" s="6">
        <v>0.9</v>
      </c>
      <c r="DW581" s="5">
        <f t="shared" si="1253"/>
        <v>0.25</v>
      </c>
      <c r="DX581" s="5">
        <v>3</v>
      </c>
      <c r="DY581" s="5">
        <v>0</v>
      </c>
      <c r="DZ581" s="5">
        <v>0</v>
      </c>
    </row>
    <row r="582" spans="1:130" x14ac:dyDescent="0.15">
      <c r="A582" s="5">
        <v>201580</v>
      </c>
      <c r="B582" s="27" t="s">
        <v>938</v>
      </c>
      <c r="C582" s="27"/>
      <c r="D582" s="27"/>
      <c r="E582" s="27"/>
      <c r="F582" s="5">
        <v>3</v>
      </c>
      <c r="G582" s="45"/>
      <c r="H582" s="5"/>
      <c r="I582" s="5"/>
      <c r="J582" s="5"/>
      <c r="K582" s="5"/>
      <c r="L582" s="10"/>
      <c r="M582" s="5"/>
      <c r="N582" s="10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20"/>
      <c r="AF582" s="5"/>
      <c r="AG582" s="5"/>
      <c r="AH582" s="5"/>
      <c r="AI582" s="5"/>
      <c r="AJ582" s="5"/>
      <c r="AK582" s="5"/>
      <c r="AL582" s="5"/>
      <c r="AM582" s="5"/>
      <c r="AN582" s="8"/>
      <c r="AO582" s="5">
        <v>0</v>
      </c>
      <c r="AP582" s="27" t="s">
        <v>938</v>
      </c>
      <c r="AQ582" s="5">
        <v>0</v>
      </c>
      <c r="AR582" s="8">
        <v>1</v>
      </c>
      <c r="AS582" s="6">
        <f t="shared" si="1294"/>
        <v>30</v>
      </c>
      <c r="AT582" s="6">
        <f t="shared" si="1295"/>
        <v>60</v>
      </c>
      <c r="AU582" s="5">
        <v>0</v>
      </c>
      <c r="AV582" s="5">
        <v>1</v>
      </c>
      <c r="AW582" s="6">
        <v>1</v>
      </c>
      <c r="AX582" s="6">
        <v>1</v>
      </c>
      <c r="AY582" s="6">
        <v>1</v>
      </c>
      <c r="AZ582" s="5">
        <v>201580</v>
      </c>
      <c r="BA582" s="5">
        <v>203059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f t="shared" si="1292"/>
        <v>1</v>
      </c>
      <c r="BM582" s="5">
        <v>0</v>
      </c>
      <c r="BN582" s="5">
        <v>0</v>
      </c>
      <c r="BO582" s="5">
        <v>0</v>
      </c>
      <c r="BP582" s="5">
        <v>0</v>
      </c>
      <c r="BQ582" s="5"/>
      <c r="BR582" s="5"/>
      <c r="BS582" s="4">
        <v>0</v>
      </c>
      <c r="BT582" s="4">
        <f t="shared" si="1236"/>
        <v>10</v>
      </c>
      <c r="BU582" s="4">
        <v>0</v>
      </c>
      <c r="BV582" s="4">
        <f t="shared" si="1282"/>
        <v>10</v>
      </c>
      <c r="BW582" s="4">
        <f t="shared" si="1283"/>
        <v>10</v>
      </c>
      <c r="BX582" s="14">
        <f t="shared" si="1284"/>
        <v>0.21999999999999986</v>
      </c>
      <c r="BY582" s="14">
        <f t="shared" si="1285"/>
        <v>0.10000000000000003</v>
      </c>
      <c r="BZ582" s="27" t="s">
        <v>714</v>
      </c>
      <c r="CA582" s="27" t="s">
        <v>940</v>
      </c>
      <c r="CB582" s="27" t="s">
        <v>714</v>
      </c>
      <c r="CC582" s="5">
        <v>1</v>
      </c>
      <c r="CD582" s="5">
        <v>1</v>
      </c>
      <c r="CE582" s="5">
        <v>0</v>
      </c>
      <c r="CF582" s="5">
        <v>0</v>
      </c>
      <c r="CG582" s="6" t="str">
        <f t="shared" si="1244"/>
        <v>10级红兵蚁</v>
      </c>
      <c r="CH582" s="5">
        <v>0</v>
      </c>
      <c r="CI582" s="5">
        <v>0</v>
      </c>
      <c r="CJ582" s="4">
        <v>0</v>
      </c>
      <c r="CK582" s="5">
        <v>0</v>
      </c>
      <c r="CL582" s="5">
        <v>0</v>
      </c>
      <c r="CM582" s="20">
        <v>0</v>
      </c>
      <c r="CN582" s="5">
        <v>0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10">
        <v>0.9</v>
      </c>
      <c r="CW582" s="10">
        <v>0.7</v>
      </c>
      <c r="CX582" s="10">
        <v>1</v>
      </c>
      <c r="CY582" s="10">
        <v>1</v>
      </c>
      <c r="CZ582" s="8">
        <v>1</v>
      </c>
      <c r="DA582" s="6">
        <f t="shared" si="1251"/>
        <v>250</v>
      </c>
      <c r="DB582" s="5">
        <v>0</v>
      </c>
      <c r="DC582" s="5">
        <f t="shared" si="1296"/>
        <v>0.87</v>
      </c>
      <c r="DD582" s="6">
        <f t="shared" si="1252"/>
        <v>0.87</v>
      </c>
      <c r="DE582" s="6">
        <v>1.2</v>
      </c>
      <c r="DF582" s="5">
        <v>0</v>
      </c>
      <c r="DG582" s="6">
        <f t="shared" si="1288"/>
        <v>2.5</v>
      </c>
      <c r="DH582" s="5">
        <v>1.5</v>
      </c>
      <c r="DI582" s="8">
        <v>0</v>
      </c>
      <c r="DJ582" s="5">
        <f t="shared" si="1289"/>
        <v>0</v>
      </c>
      <c r="DK582" s="8">
        <v>0</v>
      </c>
      <c r="DL582" s="5">
        <f t="shared" si="1293"/>
        <v>0</v>
      </c>
      <c r="DM582" s="27" t="str">
        <f t="shared" si="1241"/>
        <v>10级红兵蚁</v>
      </c>
      <c r="DN582" s="5">
        <v>6</v>
      </c>
      <c r="DO582" s="5">
        <v>0</v>
      </c>
      <c r="DP582" s="5">
        <v>0</v>
      </c>
      <c r="DQ582" s="5">
        <v>0</v>
      </c>
      <c r="DR582" s="5">
        <f t="shared" si="1290"/>
        <v>0.9</v>
      </c>
      <c r="DS582" s="6">
        <v>1</v>
      </c>
      <c r="DT582" s="5">
        <v>-0.5</v>
      </c>
      <c r="DU582" s="5">
        <v>0.5</v>
      </c>
      <c r="DV582" s="6">
        <v>0.9</v>
      </c>
      <c r="DW582" s="5">
        <f t="shared" si="1253"/>
        <v>0.25</v>
      </c>
      <c r="DX582" s="5">
        <v>3</v>
      </c>
      <c r="DY582" s="5">
        <v>0</v>
      </c>
      <c r="DZ582" s="5">
        <v>0</v>
      </c>
    </row>
  </sheetData>
  <autoFilter ref="BA1:BA582" xr:uid="{00000000-0001-0000-0000-000000000000}"/>
  <phoneticPr fontId="3" type="noConversion"/>
  <conditionalFormatting sqref="CD1:CD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2026-01-26T16:30:03Z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FD234799B8074899A2042D1FE551AA6B_12</vt:lpwstr>
  </property>
</Properties>
</file>