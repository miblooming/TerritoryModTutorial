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0" yWindow="705" windowWidth="24855" windowHeight="14355"/>
  </bookViews>
  <sheets>
    <sheet name="fruit_tree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/>
  <c r="I5"/>
  <c r="I6"/>
  <c r="I7"/>
  <c r="I3"/>
  <c r="G4" l="1"/>
  <c r="G5"/>
  <c r="G6"/>
  <c r="G7"/>
  <c r="E4"/>
  <c r="E5"/>
  <c r="E6"/>
  <c r="E7"/>
  <c r="G3"/>
  <c r="E3"/>
  <c r="H4" l="1"/>
  <c r="H5"/>
  <c r="H6"/>
  <c r="H7"/>
  <c r="H3"/>
  <c r="F4" l="1"/>
  <c r="F5"/>
  <c r="F6"/>
  <c r="F7"/>
  <c r="F3"/>
  <c r="R7" l="1"/>
  <c r="R6"/>
  <c r="R5"/>
  <c r="R4"/>
  <c r="R3"/>
</calcChain>
</file>

<file path=xl/sharedStrings.xml><?xml version="1.0" encoding="utf-8"?>
<sst xmlns="http://schemas.openxmlformats.org/spreadsheetml/2006/main" count="119" uniqueCount="103">
  <si>
    <t>苹果</t>
  </si>
  <si>
    <t>核桃</t>
  </si>
  <si>
    <t>梨</t>
  </si>
  <si>
    <t>梅子</t>
  </si>
  <si>
    <t>核桃种子</t>
    <phoneticPr fontId="2" type="noConversion"/>
  </si>
  <si>
    <t>seed_id#int</t>
  </si>
  <si>
    <t>product_stuff_id#int</t>
    <phoneticPr fontId="2" type="noConversion"/>
  </si>
  <si>
    <t>temp_high#int</t>
    <phoneticPr fontId="2" type="noConversion"/>
  </si>
  <si>
    <t>_sow_month#str</t>
    <phoneticPr fontId="2" type="noConversion"/>
  </si>
  <si>
    <t>remark#str</t>
    <phoneticPr fontId="2" type="noConversion"/>
  </si>
  <si>
    <t>种子物品ID</t>
  </si>
  <si>
    <t>种子名称</t>
  </si>
  <si>
    <t>产出物品</t>
  </si>
  <si>
    <t>作物名称</t>
  </si>
  <si>
    <t>生长最高温</t>
    <phoneticPr fontId="2" type="noConversion"/>
  </si>
  <si>
    <t>播种月份</t>
    <phoneticPr fontId="2" type="noConversion"/>
  </si>
  <si>
    <t>说明</t>
    <phoneticPr fontId="2" type="noConversion"/>
  </si>
  <si>
    <t>寿命</t>
    <phoneticPr fontId="1" type="noConversion"/>
  </si>
  <si>
    <t>max_age#int</t>
    <phoneticPr fontId="2" type="noConversion"/>
  </si>
  <si>
    <t>早春,春,晚春</t>
    <phoneticPr fontId="2" type="noConversion"/>
  </si>
  <si>
    <t>早秋</t>
    <phoneticPr fontId="2" type="noConversion"/>
  </si>
  <si>
    <t>生长天数</t>
    <phoneticPr fontId="2" type="noConversion"/>
  </si>
  <si>
    <t>状态1树苗</t>
    <phoneticPr fontId="2" type="noConversion"/>
  </si>
  <si>
    <t>收割强制开始月份</t>
    <phoneticPr fontId="2" type="noConversion"/>
  </si>
  <si>
    <t>product_count#int</t>
    <phoneticPr fontId="1" type="noConversion"/>
  </si>
  <si>
    <t>育苗生长天数</t>
    <phoneticPr fontId="1" type="noConversion"/>
  </si>
  <si>
    <t>seeding_years#int</t>
    <phoneticPr fontId="1" type="noConversion"/>
  </si>
  <si>
    <t>水需求</t>
    <phoneticPr fontId="2" type="noConversion"/>
  </si>
  <si>
    <t>肥需求</t>
    <phoneticPr fontId="2" type="noConversion"/>
  </si>
  <si>
    <t>水增产</t>
    <phoneticPr fontId="2" type="noConversion"/>
  </si>
  <si>
    <t>肥增产</t>
    <phoneticPr fontId="2" type="noConversion"/>
  </si>
  <si>
    <t>cell_water_need#int</t>
    <phoneticPr fontId="2" type="noConversion"/>
  </si>
  <si>
    <t>cell_fertilize_need#int</t>
    <phoneticPr fontId="2" type="noConversion"/>
  </si>
  <si>
    <t>cell_fertilize_effect#int</t>
    <phoneticPr fontId="2" type="noConversion"/>
  </si>
  <si>
    <t>沙地</t>
    <phoneticPr fontId="1" type="noConversion"/>
  </si>
  <si>
    <t>戈壁</t>
    <phoneticPr fontId="1" type="noConversion"/>
  </si>
  <si>
    <t>岩地1</t>
    <phoneticPr fontId="1" type="noConversion"/>
  </si>
  <si>
    <t>岩地2</t>
    <phoneticPr fontId="1" type="noConversion"/>
  </si>
  <si>
    <t>黄土</t>
    <phoneticPr fontId="1" type="noConversion"/>
  </si>
  <si>
    <t>灰土</t>
    <phoneticPr fontId="1" type="noConversion"/>
  </si>
  <si>
    <t>黑土</t>
    <phoneticPr fontId="1" type="noConversion"/>
  </si>
  <si>
    <t>红土</t>
    <phoneticPr fontId="1" type="noConversion"/>
  </si>
  <si>
    <t>草地</t>
    <phoneticPr fontId="1" type="noConversion"/>
  </si>
  <si>
    <t>soil1_effect#float</t>
    <phoneticPr fontId="1" type="noConversion"/>
  </si>
  <si>
    <t>soil2_effect#float</t>
  </si>
  <si>
    <t>soil3_effect#float</t>
    <phoneticPr fontId="1" type="noConversion"/>
  </si>
  <si>
    <t>soil4_effect#float</t>
  </si>
  <si>
    <t>soil5_effect#float</t>
  </si>
  <si>
    <t>soil6_effect#float</t>
  </si>
  <si>
    <t>soil7_effect#float</t>
  </si>
  <si>
    <t>soil8_effect#float</t>
  </si>
  <si>
    <t>soil12_effect#float</t>
    <phoneticPr fontId="1" type="noConversion"/>
  </si>
  <si>
    <t>cell_water_effect#int</t>
    <phoneticPr fontId="2" type="noConversion"/>
  </si>
  <si>
    <t>苹果树种子</t>
    <phoneticPr fontId="1" type="noConversion"/>
  </si>
  <si>
    <t>樱桃</t>
    <phoneticPr fontId="1" type="noConversion"/>
  </si>
  <si>
    <t>梨树种子</t>
    <phoneticPr fontId="1" type="noConversion"/>
  </si>
  <si>
    <t>梅子树种子</t>
    <phoneticPr fontId="1" type="noConversion"/>
  </si>
  <si>
    <t>樱桃树种子</t>
    <phoneticPr fontId="1" type="noConversion"/>
  </si>
  <si>
    <t>s1#int</t>
    <phoneticPr fontId="2" type="noConversion"/>
  </si>
  <si>
    <t>s2#int</t>
  </si>
  <si>
    <t>s3#int</t>
  </si>
  <si>
    <t>s4#int</t>
  </si>
  <si>
    <t>s5#int</t>
  </si>
  <si>
    <t>!temp_high#int</t>
    <phoneticPr fontId="2" type="noConversion"/>
  </si>
  <si>
    <t>状态2小树</t>
    <phoneticPr fontId="2" type="noConversion"/>
  </si>
  <si>
    <t>状态3小树</t>
    <phoneticPr fontId="1" type="noConversion"/>
  </si>
  <si>
    <t>状态4成熟树</t>
    <phoneticPr fontId="1" type="noConversion"/>
  </si>
  <si>
    <t>状态5开花</t>
    <phoneticPr fontId="1" type="noConversion"/>
  </si>
  <si>
    <t>状态6结果</t>
    <phoneticPr fontId="2" type="noConversion"/>
  </si>
  <si>
    <t>状态7结果</t>
  </si>
  <si>
    <t>状态8结果</t>
  </si>
  <si>
    <t>状态9结果</t>
  </si>
  <si>
    <t>状态10枯树</t>
    <phoneticPr fontId="1" type="noConversion"/>
  </si>
  <si>
    <t>s6#int</t>
  </si>
  <si>
    <t>s7#int</t>
  </si>
  <si>
    <t>s8#int</t>
  </si>
  <si>
    <t>s9#int</t>
  </si>
  <si>
    <t>s10#int</t>
  </si>
  <si>
    <t>砍伐掉落木头数量</t>
    <phoneticPr fontId="1" type="noConversion"/>
  </si>
  <si>
    <t>drop_wood_count#int</t>
    <phoneticPr fontId="1" type="noConversion"/>
  </si>
  <si>
    <t>total_grow_days#int</t>
    <phoneticPr fontId="2" type="noConversion"/>
  </si>
  <si>
    <t>temp_low#int</t>
    <phoneticPr fontId="1" type="noConversion"/>
  </si>
  <si>
    <t>生长最低温</t>
    <phoneticPr fontId="1" type="noConversion"/>
  </si>
  <si>
    <t>!tmp</t>
    <phoneticPr fontId="1" type="noConversion"/>
  </si>
  <si>
    <t>无肥产量</t>
    <phoneticPr fontId="1" type="noConversion"/>
  </si>
  <si>
    <t>!tmp</t>
    <phoneticPr fontId="1" type="noConversion"/>
  </si>
  <si>
    <t>无肥年均</t>
    <phoneticPr fontId="1" type="noConversion"/>
  </si>
  <si>
    <t>年均</t>
    <phoneticPr fontId="1" type="noConversion"/>
  </si>
  <si>
    <t>基础产量</t>
    <phoneticPr fontId="1" type="noConversion"/>
  </si>
  <si>
    <t>!平均产量</t>
    <phoneticPr fontId="1" type="noConversion"/>
  </si>
  <si>
    <t>单位肥料效用</t>
    <phoneticPr fontId="1" type="noConversion"/>
  </si>
  <si>
    <t>!tmp</t>
    <phoneticPr fontId="1" type="noConversion"/>
  </si>
  <si>
    <t>昆虫增产</t>
    <phoneticPr fontId="1" type="noConversion"/>
  </si>
  <si>
    <t>bee_effect#int</t>
    <phoneticPr fontId="1" type="noConversion"/>
  </si>
  <si>
    <t>education_effect#int</t>
    <phoneticPr fontId="1" type="noConversion"/>
  </si>
  <si>
    <t>教育增产</t>
    <phoneticPr fontId="1" type="noConversion"/>
  </si>
  <si>
    <t>!_sow_month#str</t>
    <phoneticPr fontId="2" type="noConversion"/>
  </si>
  <si>
    <r>
      <t>0</t>
    </r>
    <r>
      <rPr>
        <sz val="11"/>
        <color theme="1"/>
        <rFont val="宋体"/>
        <family val="3"/>
        <charset val="134"/>
        <scheme val="minor"/>
      </rPr>
      <t>,1,2</t>
    </r>
    <phoneticPr fontId="2" type="noConversion"/>
  </si>
  <si>
    <t>早秋</t>
    <phoneticPr fontId="2" type="noConversion"/>
  </si>
  <si>
    <t>!_havest_latest_start_month#str</t>
    <phoneticPr fontId="2" type="noConversion"/>
  </si>
  <si>
    <t>havest_latest_start_month#int</t>
    <phoneticPr fontId="2" type="noConversion"/>
  </si>
  <si>
    <t>!plant_name#str</t>
    <phoneticPr fontId="1" type="noConversion"/>
  </si>
  <si>
    <t>!seed_name#str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</si>
</sst>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7"/>
  <sheetViews>
    <sheetView tabSelected="1" workbookViewId="0">
      <selection activeCell="Q13" sqref="Q13"/>
    </sheetView>
  </sheetViews>
  <sheetFormatPr defaultColWidth="9" defaultRowHeight="13.5"/>
  <cols>
    <col min="1" max="1" width="13.375" customWidth="1"/>
    <col min="2" max="2" width="13.875" customWidth="1"/>
    <col min="3" max="3" width="8.5" customWidth="1"/>
    <col min="4" max="4" width="9.375" customWidth="1"/>
    <col min="5" max="5" width="8.625" customWidth="1"/>
    <col min="6" max="6" width="6.125" customWidth="1"/>
    <col min="7" max="7" width="8" customWidth="1"/>
    <col min="8" max="8" width="6.5" customWidth="1"/>
    <col min="9" max="10" width="5" customWidth="1"/>
    <col min="11" max="11" width="5.5" customWidth="1"/>
    <col min="12" max="15" width="6" customWidth="1"/>
    <col min="16" max="16" width="2.875" customWidth="1"/>
    <col min="17" max="17" width="8.375" customWidth="1"/>
    <col min="18" max="19" width="10.625" customWidth="1"/>
    <col min="20" max="20" width="9.5" customWidth="1"/>
    <col min="21" max="21" width="8.125" customWidth="1"/>
    <col min="22" max="22" width="5.25" customWidth="1"/>
    <col min="23" max="23" width="7.875" customWidth="1"/>
    <col min="24" max="24" width="12.625" customWidth="1"/>
    <col min="25" max="27" width="6.25" customWidth="1"/>
    <col min="28" max="28" width="8.25" customWidth="1"/>
  </cols>
  <sheetData>
    <row r="1" spans="1:47" s="5" customFormat="1" ht="54">
      <c r="A1" s="3" t="s">
        <v>10</v>
      </c>
      <c r="B1" s="3" t="s">
        <v>11</v>
      </c>
      <c r="C1" s="3" t="s">
        <v>12</v>
      </c>
      <c r="D1" s="3" t="s">
        <v>13</v>
      </c>
      <c r="E1" s="4" t="s">
        <v>89</v>
      </c>
      <c r="F1" s="4" t="s">
        <v>87</v>
      </c>
      <c r="G1" s="4" t="s">
        <v>84</v>
      </c>
      <c r="H1" s="4" t="s">
        <v>86</v>
      </c>
      <c r="I1" s="4" t="s">
        <v>90</v>
      </c>
      <c r="J1" s="4" t="s">
        <v>95</v>
      </c>
      <c r="K1" s="4" t="s">
        <v>88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92</v>
      </c>
      <c r="Q1" s="4" t="s">
        <v>21</v>
      </c>
      <c r="R1" s="4" t="s">
        <v>14</v>
      </c>
      <c r="S1" s="4" t="s">
        <v>14</v>
      </c>
      <c r="T1" s="4" t="s">
        <v>82</v>
      </c>
      <c r="U1" s="4" t="s">
        <v>25</v>
      </c>
      <c r="V1" s="4" t="s">
        <v>17</v>
      </c>
      <c r="W1" s="4" t="s">
        <v>15</v>
      </c>
      <c r="X1" s="4" t="s">
        <v>15</v>
      </c>
      <c r="Y1" s="4" t="s">
        <v>23</v>
      </c>
      <c r="Z1" s="4" t="s">
        <v>23</v>
      </c>
      <c r="AA1" s="4" t="s">
        <v>78</v>
      </c>
      <c r="AB1" s="4" t="s">
        <v>16</v>
      </c>
      <c r="AC1" s="4" t="s">
        <v>22</v>
      </c>
      <c r="AD1" s="4" t="s">
        <v>64</v>
      </c>
      <c r="AE1" s="4" t="s">
        <v>65</v>
      </c>
      <c r="AF1" s="4" t="s">
        <v>66</v>
      </c>
      <c r="AG1" s="4" t="s">
        <v>67</v>
      </c>
      <c r="AH1" s="4" t="s">
        <v>68</v>
      </c>
      <c r="AI1" s="4" t="s">
        <v>69</v>
      </c>
      <c r="AJ1" s="4" t="s">
        <v>70</v>
      </c>
      <c r="AK1" s="4" t="s">
        <v>71</v>
      </c>
      <c r="AL1" s="4" t="s">
        <v>72</v>
      </c>
      <c r="AM1" s="4" t="s">
        <v>34</v>
      </c>
      <c r="AN1" s="4" t="s">
        <v>35</v>
      </c>
      <c r="AO1" s="4" t="s">
        <v>36</v>
      </c>
      <c r="AP1" s="3" t="s">
        <v>37</v>
      </c>
      <c r="AQ1" s="3" t="s">
        <v>38</v>
      </c>
      <c r="AR1" s="3" t="s">
        <v>39</v>
      </c>
      <c r="AS1" s="4" t="s">
        <v>40</v>
      </c>
      <c r="AT1" s="3" t="s">
        <v>41</v>
      </c>
      <c r="AU1" s="4" t="s">
        <v>42</v>
      </c>
    </row>
    <row r="2" spans="1:47">
      <c r="A2" s="1" t="s">
        <v>5</v>
      </c>
      <c r="B2" s="2" t="s">
        <v>102</v>
      </c>
      <c r="C2" s="1" t="s">
        <v>6</v>
      </c>
      <c r="D2" s="2" t="s">
        <v>101</v>
      </c>
      <c r="E2" s="2" t="s">
        <v>83</v>
      </c>
      <c r="F2" s="2" t="s">
        <v>83</v>
      </c>
      <c r="G2" s="2" t="s">
        <v>85</v>
      </c>
      <c r="H2" s="2" t="s">
        <v>83</v>
      </c>
      <c r="I2" s="2" t="s">
        <v>91</v>
      </c>
      <c r="J2" s="2" t="s">
        <v>94</v>
      </c>
      <c r="K2" s="2" t="s">
        <v>24</v>
      </c>
      <c r="L2" s="1" t="s">
        <v>31</v>
      </c>
      <c r="M2" s="1" t="s">
        <v>32</v>
      </c>
      <c r="N2" s="2" t="s">
        <v>52</v>
      </c>
      <c r="O2" s="1" t="s">
        <v>33</v>
      </c>
      <c r="P2" s="2" t="s">
        <v>93</v>
      </c>
      <c r="Q2" s="2" t="s">
        <v>80</v>
      </c>
      <c r="R2" s="2" t="s">
        <v>7</v>
      </c>
      <c r="S2" s="2" t="s">
        <v>63</v>
      </c>
      <c r="T2" s="2" t="s">
        <v>81</v>
      </c>
      <c r="U2" s="2" t="s">
        <v>26</v>
      </c>
      <c r="V2" s="2" t="s">
        <v>18</v>
      </c>
      <c r="W2" s="2" t="s">
        <v>8</v>
      </c>
      <c r="X2" s="2" t="s">
        <v>96</v>
      </c>
      <c r="Y2" s="2" t="s">
        <v>100</v>
      </c>
      <c r="Z2" s="2" t="s">
        <v>99</v>
      </c>
      <c r="AA2" s="2" t="s">
        <v>79</v>
      </c>
      <c r="AB2" s="2" t="s">
        <v>9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73</v>
      </c>
      <c r="AI2" s="2" t="s">
        <v>74</v>
      </c>
      <c r="AJ2" s="2" t="s">
        <v>75</v>
      </c>
      <c r="AK2" s="2" t="s">
        <v>76</v>
      </c>
      <c r="AL2" s="2" t="s">
        <v>77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</row>
    <row r="3" spans="1:47">
      <c r="A3" s="1">
        <v>703001</v>
      </c>
      <c r="B3" s="2" t="s">
        <v>53</v>
      </c>
      <c r="C3" s="1">
        <v>303001</v>
      </c>
      <c r="D3" s="1" t="s">
        <v>0</v>
      </c>
      <c r="E3" s="1">
        <f>((K3+N3+O3)+(N3+O3))*40</f>
        <v>4000</v>
      </c>
      <c r="F3" s="1">
        <f>E3*(V3-U3)/V3</f>
        <v>2285.7142857142858</v>
      </c>
      <c r="G3" s="1">
        <f>((K3+N3)+(N3))*40</f>
        <v>1600</v>
      </c>
      <c r="H3" s="1">
        <f>G3*(V3-U3)/V3</f>
        <v>914.28571428571433</v>
      </c>
      <c r="I3" s="1">
        <f>(O3*2*(V3-U3))/ (M3*V3)</f>
        <v>1.1428571428571428</v>
      </c>
      <c r="J3" s="1">
        <v>5</v>
      </c>
      <c r="K3" s="1">
        <v>30</v>
      </c>
      <c r="L3" s="1">
        <v>5</v>
      </c>
      <c r="M3" s="1">
        <v>30</v>
      </c>
      <c r="N3" s="1">
        <v>5</v>
      </c>
      <c r="O3" s="1">
        <v>30</v>
      </c>
      <c r="P3" s="1">
        <v>10</v>
      </c>
      <c r="Q3" s="1">
        <v>60</v>
      </c>
      <c r="R3" s="1">
        <f>S3+5</f>
        <v>30</v>
      </c>
      <c r="S3" s="1">
        <v>25</v>
      </c>
      <c r="T3" s="1">
        <v>0</v>
      </c>
      <c r="U3" s="1">
        <v>3</v>
      </c>
      <c r="V3" s="1">
        <v>7</v>
      </c>
      <c r="W3" s="2" t="s">
        <v>97</v>
      </c>
      <c r="X3" s="1" t="s">
        <v>19</v>
      </c>
      <c r="Y3" s="2">
        <v>6</v>
      </c>
      <c r="Z3" s="2" t="s">
        <v>98</v>
      </c>
      <c r="AA3" s="2">
        <v>5</v>
      </c>
      <c r="AB3" s="1"/>
      <c r="AC3" s="1">
        <v>0</v>
      </c>
      <c r="AD3" s="1">
        <v>1</v>
      </c>
      <c r="AE3" s="1">
        <v>2</v>
      </c>
      <c r="AF3" s="1">
        <v>3</v>
      </c>
      <c r="AG3" s="1">
        <v>4</v>
      </c>
      <c r="AH3" s="1">
        <v>5</v>
      </c>
      <c r="AI3" s="1">
        <v>6</v>
      </c>
      <c r="AJ3" s="1">
        <v>7</v>
      </c>
      <c r="AK3" s="1">
        <v>8</v>
      </c>
      <c r="AL3" s="1">
        <v>9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</row>
    <row r="4" spans="1:47">
      <c r="A4" s="1">
        <v>703002</v>
      </c>
      <c r="B4" s="2" t="s">
        <v>57</v>
      </c>
      <c r="C4" s="1">
        <v>303002</v>
      </c>
      <c r="D4" s="2" t="s">
        <v>54</v>
      </c>
      <c r="E4" s="1">
        <f t="shared" ref="E4:E7" si="0">((K4+N4+O4)+(N4+O4))*40</f>
        <v>4200</v>
      </c>
      <c r="F4" s="1">
        <f>E4*(V4-U4)/V4</f>
        <v>2520</v>
      </c>
      <c r="G4" s="1">
        <f t="shared" ref="G4:G7" si="1">((K4+N4)+(N4))*40</f>
        <v>1800</v>
      </c>
      <c r="H4" s="1">
        <f>G4*(V4-U4)/V4</f>
        <v>1080</v>
      </c>
      <c r="I4" s="1">
        <f t="shared" ref="I4:I7" si="2">(O4*2*(V4-U4))/ (M4*V4)</f>
        <v>1.2</v>
      </c>
      <c r="J4" s="1">
        <v>5</v>
      </c>
      <c r="K4" s="1">
        <v>35</v>
      </c>
      <c r="L4" s="1">
        <v>5</v>
      </c>
      <c r="M4" s="1">
        <v>30</v>
      </c>
      <c r="N4" s="1">
        <v>5</v>
      </c>
      <c r="O4" s="1">
        <v>30</v>
      </c>
      <c r="P4" s="1">
        <v>10</v>
      </c>
      <c r="Q4" s="1">
        <v>60</v>
      </c>
      <c r="R4" s="1">
        <f>S4+5</f>
        <v>30</v>
      </c>
      <c r="S4" s="1">
        <v>25</v>
      </c>
      <c r="T4" s="1">
        <v>0</v>
      </c>
      <c r="U4" s="1">
        <v>2</v>
      </c>
      <c r="V4" s="1">
        <v>5</v>
      </c>
      <c r="W4" s="2" t="s">
        <v>97</v>
      </c>
      <c r="X4" s="1" t="s">
        <v>19</v>
      </c>
      <c r="Y4" s="2">
        <v>6</v>
      </c>
      <c r="Z4" s="2" t="s">
        <v>20</v>
      </c>
      <c r="AA4" s="2">
        <v>5</v>
      </c>
      <c r="AB4" s="1"/>
      <c r="AC4" s="1">
        <v>10</v>
      </c>
      <c r="AD4" s="1">
        <v>11</v>
      </c>
      <c r="AE4" s="1">
        <v>12</v>
      </c>
      <c r="AF4" s="1">
        <v>13</v>
      </c>
      <c r="AG4" s="1">
        <v>14</v>
      </c>
      <c r="AH4" s="1">
        <v>15</v>
      </c>
      <c r="AI4" s="1">
        <v>16</v>
      </c>
      <c r="AJ4" s="1">
        <v>17</v>
      </c>
      <c r="AK4" s="1">
        <v>18</v>
      </c>
      <c r="AL4" s="1">
        <v>19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</row>
    <row r="5" spans="1:47">
      <c r="A5" s="1">
        <v>703004</v>
      </c>
      <c r="B5" s="2" t="s">
        <v>55</v>
      </c>
      <c r="C5" s="1">
        <v>303004</v>
      </c>
      <c r="D5" s="1" t="s">
        <v>2</v>
      </c>
      <c r="E5" s="1">
        <f t="shared" si="0"/>
        <v>4000</v>
      </c>
      <c r="F5" s="1">
        <f>E5*(V5-U5)/V5</f>
        <v>2400</v>
      </c>
      <c r="G5" s="1">
        <f t="shared" si="1"/>
        <v>1600</v>
      </c>
      <c r="H5" s="1">
        <f>G5*(V5-U5)/V5</f>
        <v>960</v>
      </c>
      <c r="I5" s="1">
        <f t="shared" si="2"/>
        <v>1.2</v>
      </c>
      <c r="J5" s="1">
        <v>5</v>
      </c>
      <c r="K5" s="1">
        <v>30</v>
      </c>
      <c r="L5" s="1">
        <v>5</v>
      </c>
      <c r="M5" s="1">
        <v>30</v>
      </c>
      <c r="N5" s="1">
        <v>5</v>
      </c>
      <c r="O5" s="1">
        <v>30</v>
      </c>
      <c r="P5" s="1">
        <v>10</v>
      </c>
      <c r="Q5" s="1">
        <v>60</v>
      </c>
      <c r="R5" s="1">
        <f>S5+5</f>
        <v>37</v>
      </c>
      <c r="S5" s="1">
        <v>32</v>
      </c>
      <c r="T5" s="1">
        <v>0</v>
      </c>
      <c r="U5" s="1">
        <v>4</v>
      </c>
      <c r="V5" s="1">
        <v>10</v>
      </c>
      <c r="W5" s="2" t="s">
        <v>97</v>
      </c>
      <c r="X5" s="1" t="s">
        <v>19</v>
      </c>
      <c r="Y5" s="2">
        <v>6</v>
      </c>
      <c r="Z5" s="2" t="s">
        <v>20</v>
      </c>
      <c r="AA5" s="2">
        <v>5</v>
      </c>
      <c r="AB5" s="1"/>
      <c r="AC5" s="1">
        <v>20</v>
      </c>
      <c r="AD5" s="1">
        <v>21</v>
      </c>
      <c r="AE5" s="1">
        <v>22</v>
      </c>
      <c r="AF5" s="1">
        <v>23</v>
      </c>
      <c r="AG5" s="1">
        <v>24</v>
      </c>
      <c r="AH5" s="1">
        <v>25</v>
      </c>
      <c r="AI5" s="1">
        <v>26</v>
      </c>
      <c r="AJ5" s="1">
        <v>27</v>
      </c>
      <c r="AK5" s="1">
        <v>28</v>
      </c>
      <c r="AL5" s="1">
        <v>29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</row>
    <row r="6" spans="1:47">
      <c r="A6" s="1">
        <v>703006</v>
      </c>
      <c r="B6" s="2" t="s">
        <v>56</v>
      </c>
      <c r="C6" s="1">
        <v>303006</v>
      </c>
      <c r="D6" s="1" t="s">
        <v>3</v>
      </c>
      <c r="E6" s="1">
        <f t="shared" si="0"/>
        <v>4000</v>
      </c>
      <c r="F6" s="1">
        <f>E6*(V6-U6)/V6</f>
        <v>2285.7142857142858</v>
      </c>
      <c r="G6" s="1">
        <f t="shared" si="1"/>
        <v>1600</v>
      </c>
      <c r="H6" s="1">
        <f>G6*(V6-U6)/V6</f>
        <v>914.28571428571433</v>
      </c>
      <c r="I6" s="1">
        <f t="shared" si="2"/>
        <v>1.1428571428571428</v>
      </c>
      <c r="J6" s="1">
        <v>5</v>
      </c>
      <c r="K6" s="1">
        <v>30</v>
      </c>
      <c r="L6" s="1">
        <v>5</v>
      </c>
      <c r="M6" s="1">
        <v>30</v>
      </c>
      <c r="N6" s="1">
        <v>5</v>
      </c>
      <c r="O6" s="1">
        <v>30</v>
      </c>
      <c r="P6" s="1">
        <v>10</v>
      </c>
      <c r="Q6" s="1">
        <v>60</v>
      </c>
      <c r="R6" s="1">
        <f>S6+5</f>
        <v>40</v>
      </c>
      <c r="S6" s="1">
        <v>35</v>
      </c>
      <c r="T6" s="1">
        <v>0</v>
      </c>
      <c r="U6" s="1">
        <v>3</v>
      </c>
      <c r="V6" s="1">
        <v>7</v>
      </c>
      <c r="W6" s="2" t="s">
        <v>97</v>
      </c>
      <c r="X6" s="1" t="s">
        <v>19</v>
      </c>
      <c r="Y6" s="2">
        <v>6</v>
      </c>
      <c r="Z6" s="2" t="s">
        <v>20</v>
      </c>
      <c r="AA6" s="2">
        <v>5</v>
      </c>
      <c r="AB6" s="1"/>
      <c r="AC6" s="1">
        <v>30</v>
      </c>
      <c r="AD6" s="1">
        <v>31</v>
      </c>
      <c r="AE6" s="1">
        <v>32</v>
      </c>
      <c r="AF6" s="1">
        <v>33</v>
      </c>
      <c r="AG6" s="1">
        <v>34</v>
      </c>
      <c r="AH6" s="1">
        <v>35</v>
      </c>
      <c r="AI6" s="1">
        <v>36</v>
      </c>
      <c r="AJ6" s="1">
        <v>37</v>
      </c>
      <c r="AK6" s="1">
        <v>38</v>
      </c>
      <c r="AL6" s="1">
        <v>39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</row>
    <row r="7" spans="1:47">
      <c r="A7" s="1">
        <v>703007</v>
      </c>
      <c r="B7" s="1" t="s">
        <v>4</v>
      </c>
      <c r="C7" s="1">
        <v>303007</v>
      </c>
      <c r="D7" s="1" t="s">
        <v>1</v>
      </c>
      <c r="E7" s="1">
        <f t="shared" si="0"/>
        <v>4200</v>
      </c>
      <c r="F7" s="1">
        <f>E7*(V7-U7)/V7</f>
        <v>2584.6153846153848</v>
      </c>
      <c r="G7" s="1">
        <f t="shared" si="1"/>
        <v>1800</v>
      </c>
      <c r="H7" s="1">
        <f>G7*(V7-U7)/V7</f>
        <v>1107.6923076923076</v>
      </c>
      <c r="I7" s="1">
        <f t="shared" si="2"/>
        <v>1.2307692307692308</v>
      </c>
      <c r="J7" s="1">
        <v>5</v>
      </c>
      <c r="K7" s="1">
        <v>35</v>
      </c>
      <c r="L7" s="1">
        <v>5</v>
      </c>
      <c r="M7" s="1">
        <v>30</v>
      </c>
      <c r="N7" s="1">
        <v>5</v>
      </c>
      <c r="O7" s="1">
        <v>30</v>
      </c>
      <c r="P7" s="1">
        <v>10</v>
      </c>
      <c r="Q7" s="1">
        <v>60</v>
      </c>
      <c r="R7" s="1">
        <f>S7+5</f>
        <v>26</v>
      </c>
      <c r="S7" s="1">
        <v>21</v>
      </c>
      <c r="T7" s="1">
        <v>0</v>
      </c>
      <c r="U7" s="1">
        <v>5</v>
      </c>
      <c r="V7" s="1">
        <v>13</v>
      </c>
      <c r="W7" s="2" t="s">
        <v>97</v>
      </c>
      <c r="X7" s="1" t="s">
        <v>19</v>
      </c>
      <c r="Y7" s="2">
        <v>6</v>
      </c>
      <c r="Z7" s="2" t="s">
        <v>20</v>
      </c>
      <c r="AA7" s="2">
        <v>5</v>
      </c>
      <c r="AB7" s="1"/>
      <c r="AC7" s="1">
        <v>40</v>
      </c>
      <c r="AD7" s="1">
        <v>41</v>
      </c>
      <c r="AE7" s="1">
        <v>42</v>
      </c>
      <c r="AF7" s="1">
        <v>43</v>
      </c>
      <c r="AG7" s="1">
        <v>44</v>
      </c>
      <c r="AH7" s="1">
        <v>45</v>
      </c>
      <c r="AI7" s="1">
        <v>46</v>
      </c>
      <c r="AJ7" s="1">
        <v>47</v>
      </c>
      <c r="AK7" s="1">
        <v>48</v>
      </c>
      <c r="AL7" s="1">
        <v>49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</row>
  </sheetData>
  <phoneticPr fontId="1" type="noConversion"/>
  <conditionalFormatting sqref="AB2:AL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1:AG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1:AL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fruit_tree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</cp:lastModifiedBy>
  <dcterms:created xsi:type="dcterms:W3CDTF">2006-09-16T00:00:00Z</dcterms:created>
  <dcterms:modified xsi:type="dcterms:W3CDTF">2023-08-13T15:00:41Z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61AE096DF27345BEB40620656AA69A3C</vt:lpwstr>
  </property>
</Properties>
</file>