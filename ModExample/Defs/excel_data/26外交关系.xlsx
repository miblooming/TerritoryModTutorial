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507BC954-C5C0-42CC-AC24-9D0375EB2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plomacy" sheetId="1" r:id="rId1"/>
    <sheet name="!tmp" sheetId="2" r:id="rId2"/>
  </sheets>
  <externalReferences>
    <externalReference r:id="rId3"/>
  </externalReferences>
  <calcPr calcId="181029"/>
</workbook>
</file>

<file path=xl/calcChain.xml><?xml version="1.0" encoding="utf-8"?>
<calcChain xmlns="http://schemas.openxmlformats.org/spreadsheetml/2006/main">
  <c r="AD15" i="1" l="1"/>
  <c r="AD26" i="1" s="1"/>
  <c r="AD37" i="1" s="1"/>
  <c r="AD48" i="1" s="1"/>
  <c r="AD59" i="1" s="1"/>
  <c r="AD70" i="1" s="1"/>
  <c r="AD16" i="1"/>
  <c r="AD27" i="1" s="1"/>
  <c r="AD38" i="1" s="1"/>
  <c r="AD49" i="1" s="1"/>
  <c r="AD60" i="1" s="1"/>
  <c r="AD71" i="1" s="1"/>
  <c r="AD17" i="1"/>
  <c r="AD28" i="1" s="1"/>
  <c r="AD39" i="1" s="1"/>
  <c r="AD50" i="1" s="1"/>
  <c r="AD61" i="1" s="1"/>
  <c r="AD72" i="1" s="1"/>
  <c r="AD18" i="1"/>
  <c r="AD29" i="1" s="1"/>
  <c r="AD40" i="1" s="1"/>
  <c r="AD51" i="1" s="1"/>
  <c r="AD62" i="1" s="1"/>
  <c r="AD73" i="1" s="1"/>
  <c r="AD19" i="1"/>
  <c r="AD30" i="1" s="1"/>
  <c r="AD41" i="1" s="1"/>
  <c r="AD52" i="1" s="1"/>
  <c r="AD63" i="1" s="1"/>
  <c r="AD74" i="1" s="1"/>
  <c r="AD20" i="1"/>
  <c r="AD31" i="1" s="1"/>
  <c r="AD42" i="1" s="1"/>
  <c r="AD53" i="1" s="1"/>
  <c r="AD64" i="1" s="1"/>
  <c r="AD75" i="1" s="1"/>
  <c r="AD21" i="1"/>
  <c r="AD32" i="1" s="1"/>
  <c r="AD43" i="1" s="1"/>
  <c r="AD54" i="1" s="1"/>
  <c r="AD65" i="1" s="1"/>
  <c r="AD76" i="1" s="1"/>
  <c r="AD22" i="1"/>
  <c r="AD33" i="1" s="1"/>
  <c r="AD44" i="1" s="1"/>
  <c r="AD55" i="1" s="1"/>
  <c r="AD66" i="1" s="1"/>
  <c r="AD77" i="1" s="1"/>
  <c r="AD23" i="1"/>
  <c r="AD34" i="1" s="1"/>
  <c r="AD45" i="1" s="1"/>
  <c r="AD56" i="1" s="1"/>
  <c r="AD67" i="1" s="1"/>
  <c r="AD78" i="1" s="1"/>
  <c r="AD24" i="1"/>
  <c r="AD35" i="1" s="1"/>
  <c r="AD46" i="1" s="1"/>
  <c r="AD57" i="1" s="1"/>
  <c r="AD68" i="1" s="1"/>
  <c r="AD79" i="1" s="1"/>
  <c r="AD25" i="1"/>
  <c r="AD36" i="1" s="1"/>
  <c r="AD47" i="1" s="1"/>
  <c r="AD58" i="1" s="1"/>
  <c r="AD69" i="1" s="1"/>
  <c r="AD14" i="1"/>
  <c r="AC15" i="1"/>
  <c r="AC16" i="1"/>
  <c r="AC17" i="1"/>
  <c r="AC18" i="1"/>
  <c r="AC19" i="1"/>
  <c r="AC20" i="1"/>
  <c r="AC21" i="1"/>
  <c r="AC22" i="1"/>
  <c r="AC23" i="1"/>
  <c r="AC14" i="1"/>
  <c r="AC70" i="1"/>
  <c r="AC71" i="1"/>
  <c r="AC72" i="1"/>
  <c r="AC73" i="1"/>
  <c r="AC74" i="1"/>
  <c r="AC75" i="1"/>
  <c r="AC76" i="1"/>
  <c r="AC77" i="1"/>
  <c r="AC78" i="1"/>
  <c r="AC37" i="1"/>
  <c r="AC38" i="1"/>
  <c r="AC39" i="1"/>
  <c r="AC40" i="1"/>
  <c r="AC41" i="1"/>
  <c r="AC42" i="1"/>
  <c r="AC43" i="1"/>
  <c r="AC44" i="1"/>
  <c r="AC45" i="1"/>
  <c r="AC36" i="1"/>
  <c r="AC69" i="1"/>
  <c r="A4" i="1" l="1"/>
  <c r="A5" i="1"/>
  <c r="A6" i="1"/>
  <c r="A7" i="1"/>
  <c r="A8" i="1"/>
  <c r="A9" i="1"/>
  <c r="A10" i="1"/>
  <c r="A11" i="1"/>
  <c r="A12" i="1"/>
  <c r="A13" i="1"/>
  <c r="A3" i="1"/>
  <c r="K14" i="1"/>
  <c r="BB79" i="1"/>
  <c r="BB4" i="1"/>
  <c r="BB5" i="1"/>
  <c r="BB6" i="1"/>
  <c r="BB7" i="1"/>
  <c r="BB8" i="1"/>
  <c r="BB9" i="1"/>
  <c r="BB10" i="1"/>
  <c r="BB11" i="1"/>
  <c r="BB12" i="1"/>
  <c r="BB13" i="1"/>
  <c r="BB24" i="1"/>
  <c r="BB35" i="1"/>
  <c r="BB46" i="1"/>
  <c r="BB57" i="1"/>
  <c r="BB68" i="1"/>
  <c r="BB3" i="1"/>
  <c r="T24" i="1"/>
  <c r="T35" i="1"/>
  <c r="T46" i="1"/>
  <c r="T57" i="1"/>
  <c r="T68" i="1"/>
  <c r="T79" i="1"/>
  <c r="T3" i="1"/>
  <c r="T4" i="1"/>
  <c r="T5" i="1"/>
  <c r="T6" i="1"/>
  <c r="T7" i="1"/>
  <c r="T8" i="1"/>
  <c r="T9" i="1"/>
  <c r="T10" i="1"/>
  <c r="T11" i="1"/>
  <c r="T12" i="1"/>
  <c r="T13" i="1"/>
  <c r="AA71" i="1" l="1"/>
  <c r="S71" i="1" s="1"/>
  <c r="AA72" i="1"/>
  <c r="S72" i="1" s="1"/>
  <c r="AA73" i="1"/>
  <c r="S73" i="1" s="1"/>
  <c r="AA74" i="1"/>
  <c r="S74" i="1" s="1"/>
  <c r="AA75" i="1"/>
  <c r="S75" i="1" s="1"/>
  <c r="AA77" i="1"/>
  <c r="S77" i="1" s="1"/>
  <c r="AA78" i="1"/>
  <c r="S78" i="1" s="1"/>
  <c r="Z76" i="1"/>
  <c r="Y76" i="1"/>
  <c r="AA76" i="1" s="1"/>
  <c r="S76" i="1" s="1"/>
  <c r="W72" i="1"/>
  <c r="R72" i="1" s="1"/>
  <c r="W73" i="1"/>
  <c r="R73" i="1" s="1"/>
  <c r="W74" i="1"/>
  <c r="R74" i="1" s="1"/>
  <c r="W75" i="1"/>
  <c r="R75" i="1" s="1"/>
  <c r="W76" i="1"/>
  <c r="R76" i="1" s="1"/>
  <c r="W77" i="1"/>
  <c r="R77" i="1" s="1"/>
  <c r="W78" i="1"/>
  <c r="R78" i="1" s="1"/>
  <c r="AA42" i="1"/>
  <c r="AA43" i="1"/>
  <c r="AA44" i="1"/>
  <c r="AA40" i="1"/>
  <c r="AA41" i="1"/>
  <c r="AA45" i="1"/>
  <c r="W40" i="1"/>
  <c r="W41" i="1"/>
  <c r="W42" i="1"/>
  <c r="W43" i="1"/>
  <c r="W44" i="1"/>
  <c r="W45" i="1"/>
  <c r="N15" i="1"/>
  <c r="N16" i="1"/>
  <c r="N17" i="1"/>
  <c r="N18" i="1"/>
  <c r="N19" i="1"/>
  <c r="N20" i="1"/>
  <c r="N21" i="1"/>
  <c r="N22" i="1"/>
  <c r="N23" i="1"/>
  <c r="J73" i="1"/>
  <c r="J74" i="1"/>
  <c r="J75" i="1"/>
  <c r="W50" i="1"/>
  <c r="R50" i="1" s="1"/>
  <c r="W51" i="1"/>
  <c r="R51" i="1" s="1"/>
  <c r="W52" i="1"/>
  <c r="R52" i="1" s="1"/>
  <c r="W53" i="1"/>
  <c r="R53" i="1" s="1"/>
  <c r="W54" i="1"/>
  <c r="R54" i="1" s="1"/>
  <c r="W55" i="1"/>
  <c r="R55" i="1" s="1"/>
  <c r="W56" i="1"/>
  <c r="R56" i="1" s="1"/>
  <c r="AA51" i="1"/>
  <c r="S51" i="1" s="1"/>
  <c r="AA52" i="1"/>
  <c r="S52" i="1" s="1"/>
  <c r="AA53" i="1"/>
  <c r="S53" i="1" s="1"/>
  <c r="AA54" i="1"/>
  <c r="S54" i="1" s="1"/>
  <c r="AA55" i="1"/>
  <c r="S55" i="1" s="1"/>
  <c r="AA56" i="1"/>
  <c r="S56" i="1" s="1"/>
  <c r="AA50" i="1"/>
  <c r="S50" i="1" s="1"/>
  <c r="AA62" i="1"/>
  <c r="S62" i="1" s="1"/>
  <c r="AA63" i="1"/>
  <c r="AA64" i="1"/>
  <c r="AA65" i="1"/>
  <c r="S65" i="1" s="1"/>
  <c r="AA66" i="1"/>
  <c r="S66" i="1" s="1"/>
  <c r="AA67" i="1"/>
  <c r="S67" i="1" s="1"/>
  <c r="W67" i="1"/>
  <c r="R67" i="1" s="1"/>
  <c r="J64" i="1"/>
  <c r="J65" i="1"/>
  <c r="J66" i="1"/>
  <c r="J67" i="1"/>
  <c r="W62" i="1"/>
  <c r="R62" i="1" s="1"/>
  <c r="W63" i="1"/>
  <c r="R63" i="1" s="1"/>
  <c r="W64" i="1"/>
  <c r="R64" i="1" s="1"/>
  <c r="W65" i="1"/>
  <c r="R65" i="1" s="1"/>
  <c r="W66" i="1"/>
  <c r="R66" i="1" s="1"/>
  <c r="J61" i="1"/>
  <c r="R40" i="1" l="1"/>
  <c r="S40" i="1"/>
  <c r="R41" i="1"/>
  <c r="S41" i="1"/>
  <c r="R42" i="1"/>
  <c r="R45" i="1"/>
  <c r="S45" i="1"/>
  <c r="AA61" i="1"/>
  <c r="S61" i="1" s="1"/>
  <c r="AA39" i="1"/>
  <c r="S39" i="1" s="1"/>
  <c r="W39" i="1"/>
  <c r="R39" i="1" s="1"/>
  <c r="BD2" i="1" l="1"/>
  <c r="BC2" i="1"/>
  <c r="AA33" i="1" l="1"/>
  <c r="S33" i="1" s="1"/>
  <c r="AA32" i="1"/>
  <c r="S32" i="1" s="1"/>
  <c r="AA31" i="1"/>
  <c r="S31" i="1" s="1"/>
  <c r="W28" i="1"/>
  <c r="W29" i="1"/>
  <c r="R29" i="1" s="1"/>
  <c r="W30" i="1"/>
  <c r="R30" i="1" s="1"/>
  <c r="W31" i="1"/>
  <c r="R31" i="1" s="1"/>
  <c r="W32" i="1"/>
  <c r="R32" i="1" s="1"/>
  <c r="W33" i="1"/>
  <c r="R33" i="1" s="1"/>
  <c r="AA29" i="1"/>
  <c r="S29" i="1" s="1"/>
  <c r="AA30" i="1"/>
  <c r="S30" i="1" s="1"/>
  <c r="AA34" i="1"/>
  <c r="S34" i="1" s="1"/>
  <c r="J29" i="1"/>
  <c r="J30" i="1"/>
  <c r="J31" i="1"/>
  <c r="J32" i="1"/>
  <c r="J33" i="1"/>
  <c r="J34" i="1"/>
  <c r="AB15" i="1"/>
  <c r="AB26" i="1" s="1"/>
  <c r="AB37" i="1" s="1"/>
  <c r="AB16" i="1"/>
  <c r="AB27" i="1" s="1"/>
  <c r="AB49" i="1" s="1"/>
  <c r="AB60" i="1" s="1"/>
  <c r="AB14" i="1"/>
  <c r="AB25" i="1" s="1"/>
  <c r="AB36" i="1" s="1"/>
  <c r="AB47" i="1" s="1"/>
  <c r="AB58" i="1" s="1"/>
  <c r="W34" i="1"/>
  <c r="Y15" i="1"/>
  <c r="Z15" i="1"/>
  <c r="Z26" i="1" s="1"/>
  <c r="Z37" i="1" s="1"/>
  <c r="Z48" i="1" s="1"/>
  <c r="Z59" i="1" s="1"/>
  <c r="Z70" i="1" s="1"/>
  <c r="Y16" i="1"/>
  <c r="Y27" i="1" s="1"/>
  <c r="Z16" i="1"/>
  <c r="Z27" i="1" s="1"/>
  <c r="Z49" i="1" s="1"/>
  <c r="Z60" i="1" s="1"/>
  <c r="Z14" i="1"/>
  <c r="Z25" i="1" s="1"/>
  <c r="Z36" i="1" s="1"/>
  <c r="Z47" i="1" s="1"/>
  <c r="Z58" i="1" s="1"/>
  <c r="Z69" i="1" s="1"/>
  <c r="Y14" i="1"/>
  <c r="AA14" i="1" s="1"/>
  <c r="AA17" i="1"/>
  <c r="S17" i="1" s="1"/>
  <c r="AA6" i="1"/>
  <c r="S6" i="1" s="1"/>
  <c r="AA5" i="1"/>
  <c r="S5" i="1" s="1"/>
  <c r="AA3" i="1"/>
  <c r="S3" i="1" s="1"/>
  <c r="AA4" i="1"/>
  <c r="S4" i="1" s="1"/>
  <c r="AA18" i="1"/>
  <c r="S18" i="1" s="1"/>
  <c r="X15" i="1"/>
  <c r="X26" i="1" s="1"/>
  <c r="X37" i="1" s="1"/>
  <c r="X48" i="1" s="1"/>
  <c r="X59" i="1" s="1"/>
  <c r="X70" i="1" s="1"/>
  <c r="X27" i="1"/>
  <c r="X23" i="1"/>
  <c r="X34" i="1" s="1"/>
  <c r="U15" i="1"/>
  <c r="U26" i="1" s="1"/>
  <c r="V15" i="1"/>
  <c r="V26" i="1" s="1"/>
  <c r="V37" i="1" s="1"/>
  <c r="V48" i="1" s="1"/>
  <c r="V59" i="1" s="1"/>
  <c r="V70" i="1" s="1"/>
  <c r="U16" i="1"/>
  <c r="U27" i="1" s="1"/>
  <c r="V16" i="1"/>
  <c r="V27" i="1" s="1"/>
  <c r="V38" i="1" s="1"/>
  <c r="V49" i="1" s="1"/>
  <c r="V60" i="1" s="1"/>
  <c r="V71" i="1" s="1"/>
  <c r="U17" i="1"/>
  <c r="V17" i="1"/>
  <c r="U18" i="1"/>
  <c r="V18" i="1"/>
  <c r="X14" i="1"/>
  <c r="X25" i="1" s="1"/>
  <c r="X36" i="1" s="1"/>
  <c r="X47" i="1" s="1"/>
  <c r="X58" i="1" s="1"/>
  <c r="X69" i="1" s="1"/>
  <c r="V14" i="1"/>
  <c r="V25" i="1" s="1"/>
  <c r="V36" i="1" s="1"/>
  <c r="V47" i="1" s="1"/>
  <c r="V58" i="1" s="1"/>
  <c r="V69" i="1" s="1"/>
  <c r="U14" i="1"/>
  <c r="U25" i="1" s="1"/>
  <c r="U36" i="1" s="1"/>
  <c r="Q3" i="1"/>
  <c r="W36" i="1" l="1"/>
  <c r="R36" i="1" s="1"/>
  <c r="U47" i="1"/>
  <c r="AA38" i="1"/>
  <c r="S38" i="1" s="1"/>
  <c r="Y49" i="1"/>
  <c r="W27" i="1"/>
  <c r="R27" i="1" s="1"/>
  <c r="U38" i="1"/>
  <c r="W26" i="1"/>
  <c r="R26" i="1" s="1"/>
  <c r="U37" i="1"/>
  <c r="S37" i="1"/>
  <c r="AB48" i="1"/>
  <c r="S48" i="1" s="1"/>
  <c r="W61" i="1"/>
  <c r="R61" i="1" s="1"/>
  <c r="R34" i="1"/>
  <c r="Y26" i="1"/>
  <c r="Y37" i="1" s="1"/>
  <c r="Y48" i="1" s="1"/>
  <c r="Y59" i="1" s="1"/>
  <c r="Y70" i="1" s="1"/>
  <c r="AA70" i="1" s="1"/>
  <c r="S70" i="1" s="1"/>
  <c r="R28" i="1"/>
  <c r="S15" i="1"/>
  <c r="Y25" i="1"/>
  <c r="Y36" i="1" s="1"/>
  <c r="AA16" i="1"/>
  <c r="S16" i="1" s="1"/>
  <c r="S14" i="1"/>
  <c r="Y47" i="1" l="1"/>
  <c r="AA36" i="1"/>
  <c r="S36" i="1" s="1"/>
  <c r="R38" i="1"/>
  <c r="U49" i="1"/>
  <c r="W49" i="1" s="1"/>
  <c r="R49" i="1" s="1"/>
  <c r="AA49" i="1"/>
  <c r="S49" i="1" s="1"/>
  <c r="Y60" i="1"/>
  <c r="AB59" i="1"/>
  <c r="S59" i="1" s="1"/>
  <c r="W37" i="1"/>
  <c r="R37" i="1" s="1"/>
  <c r="U48" i="1"/>
  <c r="W48" i="1" s="1"/>
  <c r="W47" i="1"/>
  <c r="R47" i="1" s="1"/>
  <c r="U58" i="1"/>
  <c r="W3" i="1"/>
  <c r="R3" i="1" s="1"/>
  <c r="S64" i="1"/>
  <c r="S63" i="1"/>
  <c r="S44" i="1"/>
  <c r="S43" i="1"/>
  <c r="S42" i="1"/>
  <c r="AA28" i="1"/>
  <c r="S28" i="1" s="1"/>
  <c r="AA27" i="1"/>
  <c r="S27" i="1" s="1"/>
  <c r="AA26" i="1"/>
  <c r="S26" i="1" s="1"/>
  <c r="AA25" i="1"/>
  <c r="S25" i="1" s="1"/>
  <c r="AA23" i="1"/>
  <c r="S23" i="1" s="1"/>
  <c r="AA22" i="1"/>
  <c r="S22" i="1" s="1"/>
  <c r="AA21" i="1"/>
  <c r="S21" i="1" s="1"/>
  <c r="AA20" i="1"/>
  <c r="S20" i="1" s="1"/>
  <c r="AA19" i="1"/>
  <c r="S19" i="1" s="1"/>
  <c r="AA12" i="1"/>
  <c r="S12" i="1" s="1"/>
  <c r="AA11" i="1"/>
  <c r="S11" i="1" s="1"/>
  <c r="AA10" i="1"/>
  <c r="S10" i="1" s="1"/>
  <c r="AA9" i="1"/>
  <c r="S9" i="1" s="1"/>
  <c r="AA8" i="1"/>
  <c r="S8" i="1" s="1"/>
  <c r="AA7" i="1"/>
  <c r="S7" i="1" s="1"/>
  <c r="R44" i="1"/>
  <c r="R43" i="1"/>
  <c r="W25" i="1"/>
  <c r="R25" i="1" s="1"/>
  <c r="W23" i="1"/>
  <c r="R23" i="1" s="1"/>
  <c r="W22" i="1"/>
  <c r="R22" i="1" s="1"/>
  <c r="W21" i="1"/>
  <c r="R21" i="1" s="1"/>
  <c r="W20" i="1"/>
  <c r="R20" i="1" s="1"/>
  <c r="W19" i="1"/>
  <c r="R19" i="1" s="1"/>
  <c r="W18" i="1"/>
  <c r="R18" i="1" s="1"/>
  <c r="W17" i="1"/>
  <c r="R17" i="1" s="1"/>
  <c r="W16" i="1"/>
  <c r="R16" i="1" s="1"/>
  <c r="W15" i="1"/>
  <c r="R15" i="1" s="1"/>
  <c r="W14" i="1"/>
  <c r="R14" i="1" s="1"/>
  <c r="W12" i="1"/>
  <c r="R12" i="1" s="1"/>
  <c r="W11" i="1"/>
  <c r="R11" i="1" s="1"/>
  <c r="W10" i="1"/>
  <c r="R10" i="1" s="1"/>
  <c r="W9" i="1"/>
  <c r="R9" i="1" s="1"/>
  <c r="W8" i="1"/>
  <c r="R8" i="1" s="1"/>
  <c r="W7" i="1"/>
  <c r="R7" i="1" s="1"/>
  <c r="W6" i="1"/>
  <c r="R6" i="1" s="1"/>
  <c r="W5" i="1"/>
  <c r="R5" i="1" s="1"/>
  <c r="W4" i="1"/>
  <c r="R4" i="1" s="1"/>
  <c r="K15" i="1"/>
  <c r="K26" i="1" s="1"/>
  <c r="L37" i="1"/>
  <c r="N37" i="1" s="1"/>
  <c r="M37" i="1"/>
  <c r="M48" i="1" s="1"/>
  <c r="M59" i="1" s="1"/>
  <c r="M70" i="1" s="1"/>
  <c r="K16" i="1"/>
  <c r="M38" i="1"/>
  <c r="M49" i="1" s="1"/>
  <c r="M60" i="1" s="1"/>
  <c r="M71" i="1" s="1"/>
  <c r="M39" i="1"/>
  <c r="M50" i="1" s="1"/>
  <c r="M61" i="1" s="1"/>
  <c r="M72" i="1" s="1"/>
  <c r="M40" i="1"/>
  <c r="M51" i="1" s="1"/>
  <c r="M62" i="1" s="1"/>
  <c r="M73" i="1" s="1"/>
  <c r="M41" i="1"/>
  <c r="M52" i="1" s="1"/>
  <c r="M63" i="1" s="1"/>
  <c r="M74" i="1" s="1"/>
  <c r="M42" i="1"/>
  <c r="M53" i="1" s="1"/>
  <c r="M64" i="1" s="1"/>
  <c r="M75" i="1" s="1"/>
  <c r="K32" i="1"/>
  <c r="Q21" i="1"/>
  <c r="L44" i="1"/>
  <c r="M44" i="1"/>
  <c r="M55" i="1" s="1"/>
  <c r="M66" i="1" s="1"/>
  <c r="M77" i="1" s="1"/>
  <c r="L45" i="1"/>
  <c r="M45" i="1"/>
  <c r="M56" i="1" s="1"/>
  <c r="M67" i="1" s="1"/>
  <c r="M78" i="1" s="1"/>
  <c r="H15" i="1"/>
  <c r="H26" i="1" s="1"/>
  <c r="I15" i="1"/>
  <c r="I26" i="1" s="1"/>
  <c r="I37" i="1" s="1"/>
  <c r="I48" i="1" s="1"/>
  <c r="I59" i="1" s="1"/>
  <c r="I70" i="1" s="1"/>
  <c r="H16" i="1"/>
  <c r="H27" i="1" s="1"/>
  <c r="I16" i="1"/>
  <c r="I27" i="1" s="1"/>
  <c r="I38" i="1" s="1"/>
  <c r="I60" i="1" s="1"/>
  <c r="I71" i="1" s="1"/>
  <c r="J17" i="1"/>
  <c r="P17" i="1" s="1"/>
  <c r="I72" i="1"/>
  <c r="J18" i="1"/>
  <c r="I62" i="1"/>
  <c r="J19" i="1"/>
  <c r="I76" i="1"/>
  <c r="J22" i="1"/>
  <c r="P22" i="1" s="1"/>
  <c r="I77" i="1"/>
  <c r="J23" i="1"/>
  <c r="I78" i="1"/>
  <c r="I63" i="1"/>
  <c r="M14" i="1"/>
  <c r="M25" i="1" s="1"/>
  <c r="M36" i="1" s="1"/>
  <c r="M47" i="1" s="1"/>
  <c r="M58" i="1" s="1"/>
  <c r="M69" i="1" s="1"/>
  <c r="L14" i="1"/>
  <c r="N14" i="1" s="1"/>
  <c r="I14" i="1"/>
  <c r="I25" i="1" s="1"/>
  <c r="I36" i="1" s="1"/>
  <c r="I47" i="1" s="1"/>
  <c r="I58" i="1" s="1"/>
  <c r="I69" i="1" s="1"/>
  <c r="H14" i="1"/>
  <c r="H25" i="1" s="1"/>
  <c r="H36" i="1" s="1"/>
  <c r="J36" i="1" s="1"/>
  <c r="F15" i="1"/>
  <c r="F16" i="1"/>
  <c r="F17" i="1"/>
  <c r="F18" i="1"/>
  <c r="F19" i="1"/>
  <c r="F20" i="1"/>
  <c r="F21" i="1"/>
  <c r="F22" i="1"/>
  <c r="F23" i="1"/>
  <c r="F14" i="1"/>
  <c r="G15" i="1"/>
  <c r="G26" i="1" s="1"/>
  <c r="G37" i="1" s="1"/>
  <c r="G48" i="1" s="1"/>
  <c r="G59" i="1" s="1"/>
  <c r="G70" i="1" s="1"/>
  <c r="G16" i="1"/>
  <c r="G27" i="1" s="1"/>
  <c r="G38" i="1" s="1"/>
  <c r="G49" i="1" s="1"/>
  <c r="G60" i="1" s="1"/>
  <c r="G71" i="1" s="1"/>
  <c r="G17" i="1"/>
  <c r="G28" i="1" s="1"/>
  <c r="G39" i="1" s="1"/>
  <c r="G50" i="1" s="1"/>
  <c r="G61" i="1" s="1"/>
  <c r="G72" i="1" s="1"/>
  <c r="G18" i="1"/>
  <c r="G29" i="1" s="1"/>
  <c r="G40" i="1" s="1"/>
  <c r="G51" i="1" s="1"/>
  <c r="G62" i="1" s="1"/>
  <c r="G73" i="1" s="1"/>
  <c r="G19" i="1"/>
  <c r="G30" i="1" s="1"/>
  <c r="G41" i="1" s="1"/>
  <c r="G52" i="1" s="1"/>
  <c r="G63" i="1" s="1"/>
  <c r="G74" i="1" s="1"/>
  <c r="G20" i="1"/>
  <c r="G31" i="1" s="1"/>
  <c r="G42" i="1" s="1"/>
  <c r="G53" i="1" s="1"/>
  <c r="G64" i="1" s="1"/>
  <c r="G75" i="1" s="1"/>
  <c r="G21" i="1"/>
  <c r="G32" i="1" s="1"/>
  <c r="G43" i="1" s="1"/>
  <c r="G54" i="1" s="1"/>
  <c r="G65" i="1" s="1"/>
  <c r="G76" i="1" s="1"/>
  <c r="G22" i="1"/>
  <c r="G33" i="1" s="1"/>
  <c r="G44" i="1" s="1"/>
  <c r="G55" i="1" s="1"/>
  <c r="G66" i="1" s="1"/>
  <c r="G77" i="1" s="1"/>
  <c r="G23" i="1"/>
  <c r="G34" i="1" s="1"/>
  <c r="G45" i="1" s="1"/>
  <c r="G56" i="1" s="1"/>
  <c r="G67" i="1" s="1"/>
  <c r="G78" i="1" s="1"/>
  <c r="G24" i="1"/>
  <c r="G35" i="1" s="1"/>
  <c r="G46" i="1" s="1"/>
  <c r="G57" i="1" s="1"/>
  <c r="G68" i="1" s="1"/>
  <c r="G79" i="1" s="1"/>
  <c r="G14" i="1"/>
  <c r="G25" i="1" s="1"/>
  <c r="G36" i="1" s="1"/>
  <c r="G47" i="1" s="1"/>
  <c r="G58" i="1" s="1"/>
  <c r="G69" i="1" s="1"/>
  <c r="E15" i="1"/>
  <c r="E16" i="1"/>
  <c r="E17" i="1"/>
  <c r="E18" i="1"/>
  <c r="E19" i="1"/>
  <c r="E20" i="1"/>
  <c r="E21" i="1"/>
  <c r="E22" i="1"/>
  <c r="E23" i="1"/>
  <c r="E24" i="1"/>
  <c r="E14" i="1"/>
  <c r="N8" i="1"/>
  <c r="Q8" i="1" s="1"/>
  <c r="N9" i="1"/>
  <c r="Q9" i="1" s="1"/>
  <c r="N10" i="1"/>
  <c r="Q10" i="1" s="1"/>
  <c r="N11" i="1"/>
  <c r="Q11" i="1" s="1"/>
  <c r="N12" i="1"/>
  <c r="Q12" i="1" s="1"/>
  <c r="J8" i="1"/>
  <c r="P8" i="1" s="1"/>
  <c r="J9" i="1"/>
  <c r="P9" i="1" s="1"/>
  <c r="J10" i="1"/>
  <c r="P10" i="1" s="1"/>
  <c r="N5" i="1"/>
  <c r="Q5" i="1" s="1"/>
  <c r="N6" i="1"/>
  <c r="Q6" i="1" s="1"/>
  <c r="N7" i="1"/>
  <c r="Q7" i="1" s="1"/>
  <c r="N4" i="1"/>
  <c r="Q4" i="1" s="1"/>
  <c r="J11" i="1"/>
  <c r="P11" i="1" s="1"/>
  <c r="J12" i="1"/>
  <c r="P12" i="1" s="1"/>
  <c r="J20" i="1"/>
  <c r="J21" i="1"/>
  <c r="J4" i="1"/>
  <c r="P4" i="1" s="1"/>
  <c r="J5" i="1"/>
  <c r="P5" i="1" s="1"/>
  <c r="J6" i="1"/>
  <c r="P6" i="1" s="1"/>
  <c r="J7" i="1"/>
  <c r="P7" i="1" s="1"/>
  <c r="J3" i="1"/>
  <c r="P3" i="1" s="1"/>
  <c r="E34" i="1" l="1"/>
  <c r="A23" i="1"/>
  <c r="E35" i="1"/>
  <c r="A24" i="1"/>
  <c r="E25" i="1"/>
  <c r="A14" i="1"/>
  <c r="E32" i="1"/>
  <c r="A21" i="1"/>
  <c r="E31" i="1"/>
  <c r="A20" i="1"/>
  <c r="E29" i="1"/>
  <c r="A18" i="1"/>
  <c r="E30" i="1"/>
  <c r="A19" i="1"/>
  <c r="E28" i="1"/>
  <c r="A17" i="1"/>
  <c r="E26" i="1"/>
  <c r="A15" i="1"/>
  <c r="E33" i="1"/>
  <c r="A22" i="1"/>
  <c r="E27" i="1"/>
  <c r="A16" i="1"/>
  <c r="F32" i="1"/>
  <c r="BB32" i="1" s="1"/>
  <c r="T21" i="1"/>
  <c r="BB21" i="1"/>
  <c r="F29" i="1"/>
  <c r="T18" i="1"/>
  <c r="BB18" i="1"/>
  <c r="F25" i="1"/>
  <c r="BB14" i="1"/>
  <c r="T14" i="1"/>
  <c r="F34" i="1"/>
  <c r="BB23" i="1"/>
  <c r="T23" i="1"/>
  <c r="F31" i="1"/>
  <c r="T20" i="1"/>
  <c r="BB20" i="1"/>
  <c r="F28" i="1"/>
  <c r="T17" i="1"/>
  <c r="BB17" i="1"/>
  <c r="F33" i="1"/>
  <c r="T22" i="1"/>
  <c r="BB22" i="1"/>
  <c r="F30" i="1"/>
  <c r="T19" i="1"/>
  <c r="BB19" i="1"/>
  <c r="F27" i="1"/>
  <c r="BB16" i="1"/>
  <c r="T16" i="1"/>
  <c r="F26" i="1"/>
  <c r="BB15" i="1"/>
  <c r="T15" i="1"/>
  <c r="W58" i="1"/>
  <c r="R58" i="1" s="1"/>
  <c r="U69" i="1"/>
  <c r="W69" i="1" s="1"/>
  <c r="R69" i="1" s="1"/>
  <c r="J43" i="1"/>
  <c r="R48" i="1"/>
  <c r="U59" i="1"/>
  <c r="L56" i="1"/>
  <c r="N45" i="1"/>
  <c r="J42" i="1"/>
  <c r="L55" i="1"/>
  <c r="N44" i="1"/>
  <c r="AA60" i="1"/>
  <c r="S60" i="1" s="1"/>
  <c r="U60" i="1"/>
  <c r="AA47" i="1"/>
  <c r="S47" i="1" s="1"/>
  <c r="Y58" i="1"/>
  <c r="Q15" i="1"/>
  <c r="Q14" i="1"/>
  <c r="M43" i="1"/>
  <c r="M54" i="1" s="1"/>
  <c r="M65" i="1" s="1"/>
  <c r="M76" i="1" s="1"/>
  <c r="P23" i="1"/>
  <c r="Q20" i="1"/>
  <c r="Q19" i="1"/>
  <c r="Q18" i="1"/>
  <c r="P21" i="1"/>
  <c r="P20" i="1"/>
  <c r="K27" i="1"/>
  <c r="K33" i="1"/>
  <c r="K30" i="1"/>
  <c r="P32" i="1"/>
  <c r="K37" i="1"/>
  <c r="P19" i="1"/>
  <c r="J16" i="1"/>
  <c r="P16" i="1" s="1"/>
  <c r="P18" i="1"/>
  <c r="Q16" i="1"/>
  <c r="K31" i="1"/>
  <c r="L25" i="1"/>
  <c r="L36" i="1" s="1"/>
  <c r="N36" i="1" s="1"/>
  <c r="Q36" i="1" s="1"/>
  <c r="Q22" i="1"/>
  <c r="L38" i="1"/>
  <c r="Q23" i="1"/>
  <c r="J14" i="1"/>
  <c r="P14" i="1" s="1"/>
  <c r="L48" i="1"/>
  <c r="N48" i="1" s="1"/>
  <c r="L39" i="1"/>
  <c r="N39" i="1" s="1"/>
  <c r="Q17" i="1"/>
  <c r="J27" i="1"/>
  <c r="H38" i="1"/>
  <c r="J38" i="1" s="1"/>
  <c r="H47" i="1"/>
  <c r="H37" i="1"/>
  <c r="J37" i="1" s="1"/>
  <c r="J26" i="1"/>
  <c r="P26" i="1" s="1"/>
  <c r="J25" i="1"/>
  <c r="J15" i="1"/>
  <c r="P15" i="1" s="1"/>
  <c r="E38" i="1" l="1"/>
  <c r="A27" i="1"/>
  <c r="E37" i="1"/>
  <c r="A26" i="1"/>
  <c r="E44" i="1"/>
  <c r="A33" i="1"/>
  <c r="E41" i="1"/>
  <c r="A30" i="1"/>
  <c r="E40" i="1"/>
  <c r="A29" i="1"/>
  <c r="E42" i="1"/>
  <c r="A31" i="1"/>
  <c r="E43" i="1"/>
  <c r="A32" i="1"/>
  <c r="E36" i="1"/>
  <c r="A25" i="1"/>
  <c r="E46" i="1"/>
  <c r="A35" i="1"/>
  <c r="E39" i="1"/>
  <c r="A28" i="1"/>
  <c r="E45" i="1"/>
  <c r="A34" i="1"/>
  <c r="F44" i="1"/>
  <c r="BB33" i="1"/>
  <c r="T33" i="1"/>
  <c r="F45" i="1"/>
  <c r="BB34" i="1"/>
  <c r="T34" i="1"/>
  <c r="F39" i="1"/>
  <c r="BB28" i="1"/>
  <c r="T28" i="1"/>
  <c r="F42" i="1"/>
  <c r="BB31" i="1"/>
  <c r="T31" i="1"/>
  <c r="F37" i="1"/>
  <c r="BB26" i="1"/>
  <c r="T26" i="1"/>
  <c r="F36" i="1"/>
  <c r="BB25" i="1"/>
  <c r="T25" i="1"/>
  <c r="F38" i="1"/>
  <c r="BB27" i="1"/>
  <c r="T27" i="1"/>
  <c r="F40" i="1"/>
  <c r="BB29" i="1"/>
  <c r="T29" i="1"/>
  <c r="F41" i="1"/>
  <c r="BB30" i="1"/>
  <c r="T30" i="1"/>
  <c r="F43" i="1"/>
  <c r="T32" i="1"/>
  <c r="AA58" i="1"/>
  <c r="S58" i="1" s="1"/>
  <c r="Y69" i="1"/>
  <c r="AA69" i="1" s="1"/>
  <c r="S69" i="1" s="1"/>
  <c r="J44" i="1"/>
  <c r="W60" i="1"/>
  <c r="R60" i="1" s="1"/>
  <c r="U71" i="1"/>
  <c r="W71" i="1" s="1"/>
  <c r="R71" i="1" s="1"/>
  <c r="J45" i="1"/>
  <c r="J40" i="1"/>
  <c r="L49" i="1"/>
  <c r="N49" i="1" s="1"/>
  <c r="N38" i="1"/>
  <c r="L66" i="1"/>
  <c r="L77" i="1" s="1"/>
  <c r="N77" i="1" s="1"/>
  <c r="N55" i="1"/>
  <c r="J41" i="1"/>
  <c r="J53" i="1"/>
  <c r="L67" i="1"/>
  <c r="L78" i="1" s="1"/>
  <c r="N78" i="1" s="1"/>
  <c r="N56" i="1"/>
  <c r="W59" i="1"/>
  <c r="R59" i="1" s="1"/>
  <c r="U70" i="1"/>
  <c r="H76" i="1"/>
  <c r="J76" i="1" s="1"/>
  <c r="J54" i="1"/>
  <c r="L42" i="1"/>
  <c r="Q31" i="1"/>
  <c r="L40" i="1"/>
  <c r="Q29" i="1"/>
  <c r="L41" i="1"/>
  <c r="Q30" i="1"/>
  <c r="L43" i="1"/>
  <c r="Q32" i="1"/>
  <c r="P25" i="1"/>
  <c r="P27" i="1"/>
  <c r="Q34" i="1"/>
  <c r="Q28" i="1"/>
  <c r="Q33" i="1"/>
  <c r="Q27" i="1"/>
  <c r="Q26" i="1"/>
  <c r="P31" i="1"/>
  <c r="P34" i="1"/>
  <c r="K48" i="1"/>
  <c r="L47" i="1"/>
  <c r="L58" i="1" s="1"/>
  <c r="P43" i="1"/>
  <c r="P33" i="1"/>
  <c r="N25" i="1"/>
  <c r="Q25" i="1" s="1"/>
  <c r="P29" i="1"/>
  <c r="K36" i="1"/>
  <c r="P36" i="1" s="1"/>
  <c r="P30" i="1"/>
  <c r="K38" i="1"/>
  <c r="L50" i="1"/>
  <c r="N50" i="1" s="1"/>
  <c r="L59" i="1"/>
  <c r="J28" i="1"/>
  <c r="P28" i="1" s="1"/>
  <c r="J39" i="1"/>
  <c r="P37" i="1"/>
  <c r="H48" i="1"/>
  <c r="J48" i="1" s="1"/>
  <c r="H58" i="1"/>
  <c r="J47" i="1"/>
  <c r="J49" i="1"/>
  <c r="E56" i="1" l="1"/>
  <c r="A45" i="1"/>
  <c r="E54" i="1"/>
  <c r="A43" i="1"/>
  <c r="E53" i="1"/>
  <c r="A42" i="1"/>
  <c r="E47" i="1"/>
  <c r="A36" i="1"/>
  <c r="E52" i="1"/>
  <c r="A41" i="1"/>
  <c r="E50" i="1"/>
  <c r="A39" i="1"/>
  <c r="E55" i="1"/>
  <c r="A44" i="1"/>
  <c r="E48" i="1"/>
  <c r="A37" i="1"/>
  <c r="E57" i="1"/>
  <c r="A46" i="1"/>
  <c r="E51" i="1"/>
  <c r="A40" i="1"/>
  <c r="E49" i="1"/>
  <c r="A38" i="1"/>
  <c r="F48" i="1"/>
  <c r="T37" i="1"/>
  <c r="BB37" i="1"/>
  <c r="F53" i="1"/>
  <c r="T42" i="1"/>
  <c r="BB42" i="1"/>
  <c r="F54" i="1"/>
  <c r="BB43" i="1"/>
  <c r="T43" i="1"/>
  <c r="F49" i="1"/>
  <c r="T38" i="1"/>
  <c r="BB38" i="1"/>
  <c r="F47" i="1"/>
  <c r="T36" i="1"/>
  <c r="BB36" i="1"/>
  <c r="F56" i="1"/>
  <c r="BB45" i="1"/>
  <c r="T45" i="1"/>
  <c r="F51" i="1"/>
  <c r="T40" i="1"/>
  <c r="BB40" i="1"/>
  <c r="F50" i="1"/>
  <c r="T39" i="1"/>
  <c r="BB39" i="1"/>
  <c r="F52" i="1"/>
  <c r="T41" i="1"/>
  <c r="BB41" i="1"/>
  <c r="L60" i="1"/>
  <c r="F55" i="1"/>
  <c r="BB44" i="1"/>
  <c r="T44" i="1"/>
  <c r="W70" i="1"/>
  <c r="R70" i="1" s="1"/>
  <c r="N59" i="1"/>
  <c r="L70" i="1"/>
  <c r="N70" i="1" s="1"/>
  <c r="N60" i="1"/>
  <c r="L71" i="1"/>
  <c r="N71" i="1" s="1"/>
  <c r="H63" i="1"/>
  <c r="J52" i="1"/>
  <c r="L53" i="1"/>
  <c r="N42" i="1"/>
  <c r="Q42" i="1" s="1"/>
  <c r="N67" i="1"/>
  <c r="N66" i="1"/>
  <c r="L54" i="1"/>
  <c r="N43" i="1"/>
  <c r="Q43" i="1" s="1"/>
  <c r="L52" i="1"/>
  <c r="N41" i="1"/>
  <c r="Q41" i="1" s="1"/>
  <c r="H62" i="1"/>
  <c r="J51" i="1"/>
  <c r="L51" i="1"/>
  <c r="N40" i="1"/>
  <c r="Q40" i="1" s="1"/>
  <c r="H78" i="1"/>
  <c r="J78" i="1" s="1"/>
  <c r="J56" i="1"/>
  <c r="H77" i="1"/>
  <c r="J77" i="1" s="1"/>
  <c r="J55" i="1"/>
  <c r="N47" i="1"/>
  <c r="Q47" i="1" s="1"/>
  <c r="P38" i="1"/>
  <c r="Q45" i="1"/>
  <c r="Q44" i="1"/>
  <c r="Q39" i="1"/>
  <c r="Q38" i="1"/>
  <c r="Q37" i="1"/>
  <c r="P44" i="1"/>
  <c r="K49" i="1"/>
  <c r="P54" i="1"/>
  <c r="K59" i="1"/>
  <c r="P41" i="1"/>
  <c r="K47" i="1"/>
  <c r="P47" i="1" s="1"/>
  <c r="P45" i="1"/>
  <c r="K51" i="1"/>
  <c r="P40" i="1"/>
  <c r="P42" i="1"/>
  <c r="L69" i="1"/>
  <c r="N69" i="1" s="1"/>
  <c r="Q69" i="1" s="1"/>
  <c r="N58" i="1"/>
  <c r="Q58" i="1" s="1"/>
  <c r="L61" i="1"/>
  <c r="H60" i="1"/>
  <c r="J60" i="1" s="1"/>
  <c r="H69" i="1"/>
  <c r="J69" i="1" s="1"/>
  <c r="J58" i="1"/>
  <c r="H59" i="1"/>
  <c r="J59" i="1" s="1"/>
  <c r="P48" i="1"/>
  <c r="P39" i="1"/>
  <c r="J50" i="1"/>
  <c r="E61" i="1" l="1"/>
  <c r="A50" i="1"/>
  <c r="E63" i="1"/>
  <c r="A52" i="1"/>
  <c r="E60" i="1"/>
  <c r="A49" i="1"/>
  <c r="E59" i="1"/>
  <c r="A48" i="1"/>
  <c r="E58" i="1"/>
  <c r="A47" i="1"/>
  <c r="E64" i="1"/>
  <c r="A53" i="1"/>
  <c r="E65" i="1"/>
  <c r="A54" i="1"/>
  <c r="E68" i="1"/>
  <c r="A57" i="1"/>
  <c r="E66" i="1"/>
  <c r="A55" i="1"/>
  <c r="E62" i="1"/>
  <c r="A51" i="1"/>
  <c r="E67" i="1"/>
  <c r="A56" i="1"/>
  <c r="F67" i="1"/>
  <c r="BB56" i="1"/>
  <c r="T56" i="1"/>
  <c r="F60" i="1"/>
  <c r="BB49" i="1"/>
  <c r="T49" i="1"/>
  <c r="F58" i="1"/>
  <c r="BB47" i="1"/>
  <c r="T47" i="1"/>
  <c r="F66" i="1"/>
  <c r="BB55" i="1"/>
  <c r="T55" i="1"/>
  <c r="F65" i="1"/>
  <c r="BB54" i="1"/>
  <c r="T54" i="1"/>
  <c r="F63" i="1"/>
  <c r="BB52" i="1"/>
  <c r="T52" i="1"/>
  <c r="F61" i="1"/>
  <c r="BB50" i="1"/>
  <c r="T50" i="1"/>
  <c r="F62" i="1"/>
  <c r="BB51" i="1"/>
  <c r="T51" i="1"/>
  <c r="F64" i="1"/>
  <c r="BB53" i="1"/>
  <c r="T53" i="1"/>
  <c r="F59" i="1"/>
  <c r="BB48" i="1"/>
  <c r="T48" i="1"/>
  <c r="N61" i="1"/>
  <c r="L72" i="1"/>
  <c r="N72" i="1" s="1"/>
  <c r="L62" i="1"/>
  <c r="L73" i="1" s="1"/>
  <c r="N73" i="1" s="1"/>
  <c r="N51" i="1"/>
  <c r="Q51" i="1" s="1"/>
  <c r="J62" i="1"/>
  <c r="L63" i="1"/>
  <c r="L74" i="1" s="1"/>
  <c r="N74" i="1" s="1"/>
  <c r="N52" i="1"/>
  <c r="Q52" i="1" s="1"/>
  <c r="L65" i="1"/>
  <c r="L76" i="1" s="1"/>
  <c r="N76" i="1" s="1"/>
  <c r="N54" i="1"/>
  <c r="Q54" i="1" s="1"/>
  <c r="L64" i="1"/>
  <c r="L75" i="1" s="1"/>
  <c r="N75" i="1" s="1"/>
  <c r="N53" i="1"/>
  <c r="Q53" i="1" s="1"/>
  <c r="J63" i="1"/>
  <c r="Q56" i="1"/>
  <c r="Q50" i="1"/>
  <c r="Q55" i="1"/>
  <c r="Q49" i="1"/>
  <c r="Q48" i="1"/>
  <c r="K70" i="1"/>
  <c r="K61" i="1"/>
  <c r="K63" i="1"/>
  <c r="P52" i="1"/>
  <c r="P53" i="1"/>
  <c r="P65" i="1"/>
  <c r="K62" i="1"/>
  <c r="P51" i="1"/>
  <c r="P49" i="1"/>
  <c r="P56" i="1"/>
  <c r="K58" i="1"/>
  <c r="P58" i="1" s="1"/>
  <c r="K60" i="1"/>
  <c r="P55" i="1"/>
  <c r="P59" i="1"/>
  <c r="H70" i="1"/>
  <c r="J70" i="1" s="1"/>
  <c r="P50" i="1"/>
  <c r="H71" i="1"/>
  <c r="J71" i="1" s="1"/>
  <c r="E76" i="1" l="1"/>
  <c r="A76" i="1" s="1"/>
  <c r="A65" i="1"/>
  <c r="E78" i="1"/>
  <c r="A78" i="1" s="1"/>
  <c r="A67" i="1"/>
  <c r="E75" i="1"/>
  <c r="A75" i="1" s="1"/>
  <c r="A64" i="1"/>
  <c r="E69" i="1"/>
  <c r="A69" i="1" s="1"/>
  <c r="A58" i="1"/>
  <c r="E74" i="1"/>
  <c r="A74" i="1" s="1"/>
  <c r="A63" i="1"/>
  <c r="E73" i="1"/>
  <c r="A73" i="1" s="1"/>
  <c r="A62" i="1"/>
  <c r="E77" i="1"/>
  <c r="A77" i="1" s="1"/>
  <c r="A66" i="1"/>
  <c r="E70" i="1"/>
  <c r="A70" i="1" s="1"/>
  <c r="A59" i="1"/>
  <c r="E71" i="1"/>
  <c r="A71" i="1" s="1"/>
  <c r="A60" i="1"/>
  <c r="E79" i="1"/>
  <c r="A79" i="1" s="1"/>
  <c r="A68" i="1"/>
  <c r="E72" i="1"/>
  <c r="A72" i="1" s="1"/>
  <c r="A61" i="1"/>
  <c r="F76" i="1"/>
  <c r="BB65" i="1"/>
  <c r="T65" i="1"/>
  <c r="F77" i="1"/>
  <c r="BB66" i="1"/>
  <c r="T66" i="1"/>
  <c r="F72" i="1"/>
  <c r="T61" i="1"/>
  <c r="BB61" i="1"/>
  <c r="F70" i="1"/>
  <c r="T59" i="1"/>
  <c r="BB59" i="1"/>
  <c r="F69" i="1"/>
  <c r="T58" i="1"/>
  <c r="BB58" i="1"/>
  <c r="F74" i="1"/>
  <c r="BB63" i="1"/>
  <c r="T63" i="1"/>
  <c r="F75" i="1"/>
  <c r="BB64" i="1"/>
  <c r="T64" i="1"/>
  <c r="F71" i="1"/>
  <c r="T60" i="1"/>
  <c r="BB60" i="1"/>
  <c r="F73" i="1"/>
  <c r="T62" i="1"/>
  <c r="BB62" i="1"/>
  <c r="F78" i="1"/>
  <c r="BB67" i="1"/>
  <c r="T67" i="1"/>
  <c r="Q74" i="1"/>
  <c r="Q76" i="1"/>
  <c r="Q75" i="1"/>
  <c r="Q73" i="1"/>
  <c r="N64" i="1"/>
  <c r="Q64" i="1" s="1"/>
  <c r="N65" i="1"/>
  <c r="Q65" i="1" s="1"/>
  <c r="N63" i="1"/>
  <c r="Q63" i="1" s="1"/>
  <c r="N62" i="1"/>
  <c r="Q62" i="1" s="1"/>
  <c r="P70" i="1"/>
  <c r="Q78" i="1"/>
  <c r="Q67" i="1"/>
  <c r="Q77" i="1"/>
  <c r="Q66" i="1"/>
  <c r="Q72" i="1"/>
  <c r="Q61" i="1"/>
  <c r="Q71" i="1"/>
  <c r="Q60" i="1"/>
  <c r="Q70" i="1"/>
  <c r="Q59" i="1"/>
  <c r="P62" i="1"/>
  <c r="P76" i="1"/>
  <c r="K71" i="1"/>
  <c r="K75" i="1"/>
  <c r="P64" i="1"/>
  <c r="P60" i="1"/>
  <c r="P66" i="1"/>
  <c r="P63" i="1"/>
  <c r="K69" i="1"/>
  <c r="P67" i="1"/>
  <c r="H72" i="1"/>
  <c r="P61" i="1"/>
  <c r="BB69" i="1" l="1"/>
  <c r="T69" i="1"/>
  <c r="BB75" i="1"/>
  <c r="T75" i="1"/>
  <c r="BB70" i="1"/>
  <c r="T70" i="1"/>
  <c r="T78" i="1"/>
  <c r="BB78" i="1"/>
  <c r="BB72" i="1"/>
  <c r="T72" i="1"/>
  <c r="BB71" i="1"/>
  <c r="T71" i="1"/>
  <c r="BB74" i="1"/>
  <c r="T74" i="1"/>
  <c r="BB73" i="1"/>
  <c r="T73" i="1"/>
  <c r="T77" i="1"/>
  <c r="BB77" i="1"/>
  <c r="BB76" i="1"/>
  <c r="T76" i="1"/>
  <c r="J72" i="1"/>
  <c r="P72" i="1" s="1"/>
  <c r="P69" i="1"/>
  <c r="P77" i="1"/>
  <c r="P78" i="1"/>
  <c r="P74" i="1"/>
  <c r="P75" i="1"/>
  <c r="P71" i="1"/>
  <c r="P73" i="1"/>
</calcChain>
</file>

<file path=xl/sharedStrings.xml><?xml version="1.0" encoding="utf-8"?>
<sst xmlns="http://schemas.openxmlformats.org/spreadsheetml/2006/main" count="784" uniqueCount="298">
  <si>
    <t>王国ID</t>
  </si>
  <si>
    <t>王国名称</t>
  </si>
  <si>
    <t>北王</t>
  </si>
  <si>
    <t>南洋王</t>
  </si>
  <si>
    <t>西洋王</t>
  </si>
  <si>
    <t>!kingdom_name#str</t>
    <phoneticPr fontId="4" type="noConversion"/>
  </si>
  <si>
    <t>!tmp</t>
    <phoneticPr fontId="4" type="noConversion"/>
  </si>
  <si>
    <t>特色种族</t>
    <phoneticPr fontId="4" type="noConversion"/>
  </si>
  <si>
    <t>狼人</t>
    <phoneticPr fontId="4" type="noConversion"/>
  </si>
  <si>
    <t>技能</t>
    <phoneticPr fontId="4" type="noConversion"/>
  </si>
  <si>
    <t>限制武器出售，或武器涨价</t>
    <phoneticPr fontId="4" type="noConversion"/>
  </si>
  <si>
    <t>结盟的好处</t>
    <phoneticPr fontId="4" type="noConversion"/>
  </si>
  <si>
    <t>玩家可获得火药，武器装备
有力的军事援助</t>
    <phoneticPr fontId="4" type="noConversion"/>
  </si>
  <si>
    <t>结盟的代价</t>
    <phoneticPr fontId="4" type="noConversion"/>
  </si>
  <si>
    <t>需提供大量的基础物资贡品</t>
    <phoneticPr fontId="4" type="noConversion"/>
  </si>
  <si>
    <t>鼠人</t>
    <phoneticPr fontId="4" type="noConversion"/>
  </si>
  <si>
    <t>三眼人</t>
    <phoneticPr fontId="4" type="noConversion"/>
  </si>
  <si>
    <t>擅长种植
简单的防守
有二王子的援兵</t>
    <phoneticPr fontId="4" type="noConversion"/>
  </si>
  <si>
    <t>猪人</t>
    <phoneticPr fontId="4" type="noConversion"/>
  </si>
  <si>
    <t>操控基础物资的价格，导致涨价</t>
    <phoneticPr fontId="4" type="noConversion"/>
  </si>
  <si>
    <t>玩家需持续向其输送人口</t>
    <phoneticPr fontId="4" type="noConversion"/>
  </si>
  <si>
    <t>!tmp</t>
    <phoneticPr fontId="4" type="noConversion"/>
  </si>
  <si>
    <t>势力</t>
    <phoneticPr fontId="4" type="noConversion"/>
  </si>
  <si>
    <t>擅长贸易，富甲一方，通过贸易往来，与各方势力建立的深入的关系
城堡坚固，有大量大炮
有源源不断的雇佣兵上场，甚至野蛮人或强盗为其战斗</t>
    <phoneticPr fontId="4" type="noConversion"/>
  </si>
  <si>
    <t>掌控的合成品及宝石的定价权</t>
    <phoneticPr fontId="4" type="noConversion"/>
  </si>
  <si>
    <t>蚁人</t>
    <phoneticPr fontId="4" type="noConversion"/>
  </si>
  <si>
    <t>玩家与之结盟，可保证出售价格不被压价太多</t>
    <phoneticPr fontId="4" type="noConversion"/>
  </si>
  <si>
    <t>蜥蜴人，精灵</t>
    <phoneticPr fontId="4" type="noConversion"/>
  </si>
  <si>
    <t>纵情声色，偏安一隅，谁给好处支持谁，无争位之心
拥有强大且残暴的士兵</t>
    <phoneticPr fontId="4" type="noConversion"/>
  </si>
  <si>
    <t>无</t>
    <phoneticPr fontId="4" type="noConversion"/>
  </si>
  <si>
    <t>获买珍宝（泰坦之心）</t>
    <phoneticPr fontId="4" type="noConversion"/>
  </si>
  <si>
    <t>擅长养殖，渔猎
简单的防守
有二王子的援兵</t>
    <phoneticPr fontId="4" type="noConversion"/>
  </si>
  <si>
    <t>羊人，猫人</t>
    <phoneticPr fontId="4" type="noConversion"/>
  </si>
  <si>
    <t>解锁素食购买
但价格偏贵</t>
    <phoneticPr fontId="4" type="noConversion"/>
  </si>
  <si>
    <t>解锁肉食购买
但价格偏贵</t>
    <phoneticPr fontId="4" type="noConversion"/>
  </si>
  <si>
    <t>玩家与之结盟，可获得稳定且较低的价格</t>
    <phoneticPr fontId="4" type="noConversion"/>
  </si>
  <si>
    <t>提供工具衣服</t>
    <phoneticPr fontId="4" type="noConversion"/>
  </si>
  <si>
    <t>提供工具马车</t>
    <phoneticPr fontId="4" type="noConversion"/>
  </si>
  <si>
    <t>需提供大量美酒，美食，美女，零售，成瘾品</t>
    <phoneticPr fontId="4" type="noConversion"/>
  </si>
  <si>
    <t>提供食物和衣服</t>
    <phoneticPr fontId="4" type="noConversion"/>
  </si>
  <si>
    <t>解锁武器的购买
但价格偏贵</t>
    <phoneticPr fontId="4" type="noConversion"/>
  </si>
  <si>
    <t>南王</t>
    <phoneticPr fontId="4" type="noConversion"/>
  </si>
  <si>
    <t>kingdom_id#int</t>
    <phoneticPr fontId="4" type="noConversion"/>
  </si>
  <si>
    <t>关系值</t>
    <phoneticPr fontId="4" type="noConversion"/>
  </si>
  <si>
    <t>relation#int</t>
    <phoneticPr fontId="4" type="noConversion"/>
  </si>
  <si>
    <t>关系等级</t>
    <phoneticPr fontId="4" type="noConversion"/>
  </si>
  <si>
    <t>relation_level#int</t>
    <phoneticPr fontId="4" type="noConversion"/>
  </si>
  <si>
    <t>tribute1#int</t>
    <phoneticPr fontId="4" type="noConversion"/>
  </si>
  <si>
    <t>tribute1_count#int</t>
    <phoneticPr fontId="4" type="noConversion"/>
  </si>
  <si>
    <t>贡品1</t>
    <phoneticPr fontId="4" type="noConversion"/>
  </si>
  <si>
    <t>贡品1数量</t>
    <phoneticPr fontId="4" type="noConversion"/>
  </si>
  <si>
    <t>tribute2#int</t>
    <phoneticPr fontId="4" type="noConversion"/>
  </si>
  <si>
    <t>tribute2_count#int</t>
    <phoneticPr fontId="4" type="noConversion"/>
  </si>
  <si>
    <t>贡品2数量</t>
    <phoneticPr fontId="4" type="noConversion"/>
  </si>
  <si>
    <t>贡品2</t>
    <phoneticPr fontId="4" type="noConversion"/>
  </si>
  <si>
    <t>等级奖励</t>
    <phoneticPr fontId="4" type="noConversion"/>
  </si>
  <si>
    <t>等级奖励数量</t>
    <phoneticPr fontId="4" type="noConversion"/>
  </si>
  <si>
    <t>!stuff_name</t>
    <phoneticPr fontId="4" type="noConversion"/>
  </si>
  <si>
    <t>rank_reward1#int</t>
    <phoneticPr fontId="4" type="noConversion"/>
  </si>
  <si>
    <t>rank_reward1_count#int</t>
    <phoneticPr fontId="4" type="noConversion"/>
  </si>
  <si>
    <t>rank_reward2#int</t>
    <phoneticPr fontId="4" type="noConversion"/>
  </si>
  <si>
    <t>rank_reward2_count#int</t>
    <phoneticPr fontId="4" type="noConversion"/>
  </si>
  <si>
    <t>等级奖励1</t>
    <phoneticPr fontId="4" type="noConversion"/>
  </si>
  <si>
    <t>等级奖励2</t>
    <phoneticPr fontId="4" type="noConversion"/>
  </si>
  <si>
    <t>钢铁之心</t>
    <phoneticPr fontId="4" type="noConversion"/>
  </si>
  <si>
    <t>熔岩之心</t>
  </si>
  <si>
    <t>寒冰之心</t>
  </si>
  <si>
    <t>森林之心</t>
    <phoneticPr fontId="4" type="noConversion"/>
  </si>
  <si>
    <t>传说武器</t>
  </si>
  <si>
    <t>史诗武器</t>
  </si>
  <si>
    <t>传说盔甲</t>
  </si>
  <si>
    <t>史诗盔甲</t>
  </si>
  <si>
    <t>传说盾牌</t>
  </si>
  <si>
    <t>史诗盾牌</t>
  </si>
  <si>
    <t>史诗武器制造</t>
    <phoneticPr fontId="4" type="noConversion"/>
  </si>
  <si>
    <t>鸡</t>
  </si>
  <si>
    <t>羊</t>
  </si>
  <si>
    <t>牛</t>
  </si>
  <si>
    <t>猪</t>
  </si>
  <si>
    <t>驯狼</t>
  </si>
  <si>
    <t>生命药水</t>
  </si>
  <si>
    <t>皮革</t>
  </si>
  <si>
    <t>玉米种子</t>
  </si>
  <si>
    <t>南瓜种子</t>
  </si>
  <si>
    <t>咖啡</t>
    <phoneticPr fontId="4" type="noConversion"/>
  </si>
  <si>
    <t>巧克力</t>
  </si>
  <si>
    <t>糖</t>
    <phoneticPr fontId="4" type="noConversion"/>
  </si>
  <si>
    <t>精致食物</t>
  </si>
  <si>
    <t>火药</t>
  </si>
  <si>
    <t>白银</t>
  </si>
  <si>
    <t>黄金</t>
  </si>
  <si>
    <t>蘑菇精华</t>
    <phoneticPr fontId="4" type="noConversion"/>
  </si>
  <si>
    <t>养颜丹</t>
  </si>
  <si>
    <t>红宝石</t>
  </si>
  <si>
    <t>绿宝石</t>
  </si>
  <si>
    <t>狼人</t>
  </si>
  <si>
    <t>矮人</t>
    <phoneticPr fontId="5" type="noConversion"/>
  </si>
  <si>
    <t>蚁人</t>
    <phoneticPr fontId="5" type="noConversion"/>
  </si>
  <si>
    <t>鼠人</t>
  </si>
  <si>
    <t>猫人</t>
  </si>
  <si>
    <t>羊人</t>
  </si>
  <si>
    <t>猪人</t>
  </si>
  <si>
    <t>精灵族</t>
  </si>
  <si>
    <t>蜥蜴人</t>
    <phoneticPr fontId="5" type="noConversion"/>
  </si>
  <si>
    <t>提升关系所需
贡品1</t>
    <phoneticPr fontId="4" type="noConversion"/>
  </si>
  <si>
    <t>提升关系所需
贡品2</t>
    <phoneticPr fontId="4" type="noConversion"/>
  </si>
  <si>
    <t>!tmp</t>
    <phoneticPr fontId="4" type="noConversion"/>
  </si>
  <si>
    <t>敌对</t>
    <phoneticPr fontId="4" type="noConversion"/>
  </si>
  <si>
    <t>对立</t>
    <phoneticPr fontId="4" type="noConversion"/>
  </si>
  <si>
    <t>往来</t>
    <phoneticPr fontId="4" type="noConversion"/>
  </si>
  <si>
    <t>合作</t>
    <phoneticPr fontId="4" type="noConversion"/>
  </si>
  <si>
    <t>友好</t>
    <phoneticPr fontId="4" type="noConversion"/>
  </si>
  <si>
    <t>信任</t>
  </si>
  <si>
    <t>同盟</t>
    <phoneticPr fontId="4" type="noConversion"/>
  </si>
  <si>
    <t>厌恶</t>
    <phoneticPr fontId="4" type="noConversion"/>
  </si>
  <si>
    <t>讨厌</t>
    <phoneticPr fontId="4" type="noConversion"/>
  </si>
  <si>
    <t>烈酒</t>
  </si>
  <si>
    <t>白银</t>
    <phoneticPr fontId="4" type="noConversion"/>
  </si>
  <si>
    <t>精致食物</t>
    <phoneticPr fontId="4" type="noConversion"/>
  </si>
  <si>
    <t>四轮马车</t>
  </si>
  <si>
    <t>保暖衣</t>
  </si>
  <si>
    <t>价格</t>
    <phoneticPr fontId="4" type="noConversion"/>
  </si>
  <si>
    <t>黄金</t>
    <phoneticPr fontId="4" type="noConversion"/>
  </si>
  <si>
    <t>极品武器</t>
    <phoneticPr fontId="4" type="noConversion"/>
  </si>
  <si>
    <t>精金锭</t>
  </si>
  <si>
    <t>山铜锭</t>
  </si>
  <si>
    <t>极品盔甲</t>
  </si>
  <si>
    <t>!tmp</t>
    <phoneticPr fontId="4" type="noConversion"/>
  </si>
  <si>
    <t>优良武器</t>
  </si>
  <si>
    <t>高级武器</t>
  </si>
  <si>
    <t>稀有武器</t>
  </si>
  <si>
    <t>特殊武器</t>
  </si>
  <si>
    <t>极品武器</t>
  </si>
  <si>
    <t>优质工具</t>
    <phoneticPr fontId="4" type="noConversion"/>
  </si>
  <si>
    <t>贡品1总价值</t>
    <phoneticPr fontId="4" type="noConversion"/>
  </si>
  <si>
    <t>贡品2总价值</t>
    <phoneticPr fontId="4" type="noConversion"/>
  </si>
  <si>
    <t>巨型炸弹</t>
    <phoneticPr fontId="4" type="noConversion"/>
  </si>
  <si>
    <t>三眼人</t>
    <phoneticPr fontId="4" type="noConversion"/>
  </si>
  <si>
    <t>简单食物</t>
  </si>
  <si>
    <t>奖励1价值</t>
    <phoneticPr fontId="4" type="noConversion"/>
  </si>
  <si>
    <t>奖励2价值</t>
    <phoneticPr fontId="4" type="noConversion"/>
  </si>
  <si>
    <t>极品盾牌</t>
  </si>
  <si>
    <t>肥料</t>
  </si>
  <si>
    <t>极品盾牌</t>
    <phoneticPr fontId="4" type="noConversion"/>
  </si>
  <si>
    <t>特殊盾牌</t>
  </si>
  <si>
    <t>黄金</t>
    <phoneticPr fontId="4" type="noConversion"/>
  </si>
  <si>
    <t>猪人</t>
    <phoneticPr fontId="4" type="noConversion"/>
  </si>
  <si>
    <t>小麦</t>
  </si>
  <si>
    <t>苹果</t>
  </si>
  <si>
    <t>梅子</t>
  </si>
  <si>
    <t>zh-CN</t>
  </si>
  <si>
    <t>想和解？得拿出你的诚意。</t>
    <phoneticPr fontId="4" type="noConversion"/>
  </si>
  <si>
    <t>你欠我的，得加倍返还。</t>
    <phoneticPr fontId="4" type="noConversion"/>
  </si>
  <si>
    <t>你这个懦弱的家伙，你并不适合这个时代！</t>
    <phoneticPr fontId="4" type="noConversion"/>
  </si>
  <si>
    <t>向我求饶吗？我们之间的恩怨不会就止了结。</t>
    <phoneticPr fontId="4" type="noConversion"/>
  </si>
  <si>
    <t>想要讨好我吗？送礼记得找个好日子。</t>
    <phoneticPr fontId="4" type="noConversion"/>
  </si>
  <si>
    <t>没事请让开，这儿不是你该来的地方。</t>
    <phoneticPr fontId="4" type="noConversion"/>
  </si>
  <si>
    <t>诚意不错！</t>
    <phoneticPr fontId="4" type="noConversion"/>
  </si>
  <si>
    <t>有是没事常联系。</t>
    <phoneticPr fontId="4" type="noConversion"/>
  </si>
  <si>
    <t>别客气，这儿就是你的家。</t>
    <phoneticPr fontId="4" type="noConversion"/>
  </si>
  <si>
    <t>随时欢迎你来。</t>
    <phoneticPr fontId="4" type="noConversion"/>
  </si>
  <si>
    <t>糖</t>
  </si>
  <si>
    <t>拥有绝对的实力，才能成为所有人的王。</t>
    <phoneticPr fontId="4" type="noConversion"/>
  </si>
  <si>
    <t>你得为你的所作所为，付出代价！</t>
    <phoneticPr fontId="4" type="noConversion"/>
  </si>
  <si>
    <t>中立</t>
    <phoneticPr fontId="4" type="noConversion"/>
  </si>
  <si>
    <t>我们的关系好坏，在于你的态度。</t>
    <phoneticPr fontId="4" type="noConversion"/>
  </si>
  <si>
    <t>你我联手，天下无敌。</t>
    <phoneticPr fontId="4" type="noConversion"/>
  </si>
  <si>
    <t>你今天的行为，超出我的预期。</t>
    <phoneticPr fontId="4" type="noConversion"/>
  </si>
  <si>
    <t>我们还有很大的合作空间。</t>
    <phoneticPr fontId="4" type="noConversion"/>
  </si>
  <si>
    <t>世界需要像你这样有智慧的人。</t>
    <phoneticPr fontId="4" type="noConversion"/>
  </si>
  <si>
    <t>王国的未来，全在你我。</t>
    <phoneticPr fontId="4" type="noConversion"/>
  </si>
  <si>
    <t>肉</t>
  </si>
  <si>
    <t>蘑菇</t>
    <phoneticPr fontId="4" type="noConversion"/>
  </si>
  <si>
    <t>草药</t>
    <phoneticPr fontId="4" type="noConversion"/>
  </si>
  <si>
    <t>!tmp</t>
    <phoneticPr fontId="4" type="noConversion"/>
  </si>
  <si>
    <t>羊毛</t>
  </si>
  <si>
    <t>蝼蚁尚且偷生，我可以放你一马。</t>
    <phoneticPr fontId="4" type="noConversion"/>
  </si>
  <si>
    <t>不错，你学会做人了。</t>
    <phoneticPr fontId="4" type="noConversion"/>
  </si>
  <si>
    <t>我们之间并没有什么感情。</t>
    <phoneticPr fontId="4" type="noConversion"/>
  </si>
  <si>
    <t>没看出来，你有点能耐。</t>
    <phoneticPr fontId="4" type="noConversion"/>
  </si>
  <si>
    <t>有好东西，送过来。该给你的，我一分不会少。</t>
    <phoneticPr fontId="4" type="noConversion"/>
  </si>
  <si>
    <t>咱们互通有无。</t>
    <phoneticPr fontId="4" type="noConversion"/>
  </si>
  <si>
    <t>我什么都不缺，就缺个像你这样的弟弟。</t>
    <phoneticPr fontId="4" type="noConversion"/>
  </si>
  <si>
    <t>有什么事，给哥哥打个招呼，没有办不了的。</t>
    <phoneticPr fontId="4" type="noConversion"/>
  </si>
  <si>
    <t>哥哥的后背托付给你了。</t>
    <phoneticPr fontId="4" type="noConversion"/>
  </si>
  <si>
    <t>能征善战，崇尚武力征服
大量的士兵在外驻守，会主动发起进攻。士兵等级非常高
城堡中，有大量大炮</t>
    <phoneticPr fontId="4" type="noConversion"/>
  </si>
  <si>
    <t>擅长操纵政治，招揽人心，几乎垄断了基础物资来源
城堡持续对外补兵，总兵力源源不断，人海战术</t>
    <phoneticPr fontId="4" type="noConversion"/>
  </si>
  <si>
    <t>史诗盾牌制造</t>
    <phoneticPr fontId="4" type="noConversion"/>
  </si>
  <si>
    <t>牧草</t>
    <phoneticPr fontId="4" type="noConversion"/>
  </si>
  <si>
    <t>蓝宝石</t>
  </si>
  <si>
    <t>龙涎香</t>
  </si>
  <si>
    <t>马</t>
  </si>
  <si>
    <t>擅长采矿冶炼，武器装备打造
士兵不多，但大炮和雕像众多，以守为主。同时有大王子的援兵支持</t>
    <phoneticPr fontId="4" type="noConversion"/>
  </si>
  <si>
    <t>秘银锭</t>
  </si>
  <si>
    <t>优质工具</t>
  </si>
  <si>
    <t>药茶</t>
  </si>
  <si>
    <t>魔法戒指</t>
    <phoneticPr fontId="4" type="noConversion"/>
  </si>
  <si>
    <t>魔法项链</t>
    <phoneticPr fontId="4" type="noConversion"/>
  </si>
  <si>
    <t>矮人</t>
  </si>
  <si>
    <t>稀有盾牌</t>
  </si>
  <si>
    <t>巧克力</t>
    <phoneticPr fontId="4" type="noConversion"/>
  </si>
  <si>
    <t>蜂蜜</t>
    <phoneticPr fontId="4" type="noConversion"/>
  </si>
  <si>
    <t>宝石</t>
    <phoneticPr fontId="4" type="noConversion"/>
  </si>
  <si>
    <t>!tmp</t>
    <phoneticPr fontId="4" type="noConversion"/>
  </si>
  <si>
    <t>王位支持者</t>
  </si>
  <si>
    <t>大王子</t>
    <phoneticPr fontId="4" type="noConversion"/>
  </si>
  <si>
    <t>二王子</t>
    <phoneticPr fontId="4" type="noConversion"/>
  </si>
  <si>
    <t>三王子</t>
    <phoneticPr fontId="4" type="noConversion"/>
  </si>
  <si>
    <t>支持大王子</t>
  </si>
  <si>
    <t>支持二王子</t>
    <phoneticPr fontId="4" type="noConversion"/>
  </si>
  <si>
    <t>无</t>
    <phoneticPr fontId="4" type="noConversion"/>
  </si>
  <si>
    <t>一山不容二虎，我才是真正的王。</t>
    <phoneticPr fontId="4" type="noConversion"/>
  </si>
  <si>
    <t>王位争夺者</t>
    <phoneticPr fontId="4" type="noConversion"/>
  </si>
  <si>
    <t>什么？没看出来，你也想争夺王位？</t>
    <phoneticPr fontId="4" type="noConversion"/>
  </si>
  <si>
    <t>武器</t>
    <phoneticPr fontId="4" type="noConversion"/>
  </si>
  <si>
    <t>物价</t>
    <phoneticPr fontId="4" type="noConversion"/>
  </si>
  <si>
    <t>盾牌</t>
    <phoneticPr fontId="4" type="noConversion"/>
  </si>
  <si>
    <t>盔甲</t>
    <phoneticPr fontId="4" type="noConversion"/>
  </si>
  <si>
    <t>从今天起，咱们仍然是朋友。</t>
    <phoneticPr fontId="4" type="noConversion"/>
  </si>
  <si>
    <t>stuff_to_effect_price_for_player_buy1#int</t>
    <phoneticPr fontId="4" type="noConversion"/>
  </si>
  <si>
    <t>stuff_to_effect_price_for_player_buy2#int</t>
    <phoneticPr fontId="4" type="noConversion"/>
  </si>
  <si>
    <t>effect_price_for_player_buy1#int</t>
    <phoneticPr fontId="4" type="noConversion"/>
  </si>
  <si>
    <t>stuff_to_effect_price_for_player_buy3#int</t>
    <phoneticPr fontId="4" type="noConversion"/>
  </si>
  <si>
    <t>effect_price_for_player_buy3#int</t>
    <phoneticPr fontId="4" type="noConversion"/>
  </si>
  <si>
    <t>effect_price_for_player_buy2#int</t>
    <phoneticPr fontId="4" type="noConversion"/>
  </si>
  <si>
    <t>影响玩家买入价物品1</t>
    <phoneticPr fontId="4" type="noConversion"/>
  </si>
  <si>
    <t>影响玩家买入价物品2</t>
    <phoneticPr fontId="4" type="noConversion"/>
  </si>
  <si>
    <t>影响玩家买入价物品3</t>
    <phoneticPr fontId="4" type="noConversion"/>
  </si>
  <si>
    <t>影响玩家卖出价物品1</t>
    <phoneticPr fontId="4" type="noConversion"/>
  </si>
  <si>
    <t>影响玩家卖出价物品2</t>
    <phoneticPr fontId="4" type="noConversion"/>
  </si>
  <si>
    <t>影响玩家卖出价物品3</t>
    <phoneticPr fontId="4" type="noConversion"/>
  </si>
  <si>
    <t>stuff_to_effect_price_for_player_sell1#int</t>
    <phoneticPr fontId="4" type="noConversion"/>
  </si>
  <si>
    <t>effect_price_for_player_sell1#int</t>
    <phoneticPr fontId="4" type="noConversion"/>
  </si>
  <si>
    <t>stuff_to_effect_price_for_player_sell2#int</t>
    <phoneticPr fontId="4" type="noConversion"/>
  </si>
  <si>
    <t>effect_price_for_player_sell2#int</t>
    <phoneticPr fontId="4" type="noConversion"/>
  </si>
  <si>
    <t>stuff_to_effect_price_for_player_sell3#int</t>
    <phoneticPr fontId="4" type="noConversion"/>
  </si>
  <si>
    <t>effect_price_for_player_sell3#int</t>
    <phoneticPr fontId="4" type="noConversion"/>
  </si>
  <si>
    <t>烈酒</t>
    <phoneticPr fontId="4" type="noConversion"/>
  </si>
  <si>
    <t>甘蔗</t>
  </si>
  <si>
    <t>我还是太仁慈，你现在这个样子真可怜。</t>
    <phoneticPr fontId="4" type="noConversion"/>
  </si>
  <si>
    <t>你今天的表现勉强还行。</t>
    <phoneticPr fontId="4" type="noConversion"/>
  </si>
  <si>
    <t>有一说一，有时候你并不是那么让人讨厌。</t>
    <phoneticPr fontId="4" type="noConversion"/>
  </si>
  <si>
    <t>和则两利，斗则两伤。</t>
    <phoneticPr fontId="4" type="noConversion"/>
  </si>
  <si>
    <t>合作才是最明智的选择。</t>
    <phoneticPr fontId="4" type="noConversion"/>
  </si>
  <si>
    <t>我们有很多地方可以互补。</t>
    <phoneticPr fontId="4" type="noConversion"/>
  </si>
  <si>
    <t>你就是一个不可多得的战略天才。</t>
    <phoneticPr fontId="4" type="noConversion"/>
  </si>
  <si>
    <t>你是我最忠诚的伙伴。</t>
    <phoneticPr fontId="4" type="noConversion"/>
  </si>
  <si>
    <t>只要你愿意，我们的合作可以进一步加深。</t>
    <phoneticPr fontId="4" type="noConversion"/>
  </si>
  <si>
    <t>我就知道，你不会辜负我的信任。</t>
    <phoneticPr fontId="4" type="noConversion"/>
  </si>
  <si>
    <t>我出个价，你若同意，咱俩的恩怨一比勾销。</t>
    <phoneticPr fontId="4" type="noConversion"/>
  </si>
  <si>
    <t>愿意给钱，一切可谈。</t>
    <phoneticPr fontId="4" type="noConversion"/>
  </si>
  <si>
    <t>你要清楚，我们并不朋友。</t>
    <phoneticPr fontId="4" type="noConversion"/>
  </si>
  <si>
    <t>做交易没问题，但这并不妨碍我讨厌你。</t>
    <phoneticPr fontId="4" type="noConversion"/>
  </si>
  <si>
    <t>我的优惠条件已经开出来了，接下来看你的诚意。</t>
    <phoneticPr fontId="4" type="noConversion"/>
  </si>
  <si>
    <t>我们之间是纯粹的交易关系。</t>
    <phoneticPr fontId="4" type="noConversion"/>
  </si>
  <si>
    <t>你是一块做生意的料。</t>
    <phoneticPr fontId="4" type="noConversion"/>
  </si>
  <si>
    <t>我们的合作空间蛮大的。</t>
    <phoneticPr fontId="4" type="noConversion"/>
  </si>
  <si>
    <t>你的善意我收到了。</t>
    <phoneticPr fontId="4" type="noConversion"/>
  </si>
  <si>
    <t>和你做交易，很愉快。</t>
    <phoneticPr fontId="4" type="noConversion"/>
  </si>
  <si>
    <t>相信我，我们的合作可以更进一步。</t>
    <phoneticPr fontId="4" type="noConversion"/>
  </si>
  <si>
    <t>你我联手，我们可以吃下整个市场。</t>
    <phoneticPr fontId="4" type="noConversion"/>
  </si>
  <si>
    <t>这个世界，属于你和我。</t>
    <phoneticPr fontId="4" type="noConversion"/>
  </si>
  <si>
    <t>想当国王，得知道自己有几斤几两。</t>
    <phoneticPr fontId="4" type="noConversion"/>
  </si>
  <si>
    <t>什么？你想当国王，开玩笑吧。</t>
    <phoneticPr fontId="4" type="noConversion"/>
  </si>
  <si>
    <t>王位，我志在必得。</t>
    <phoneticPr fontId="4" type="noConversion"/>
  </si>
  <si>
    <t>你的意向我知道了。</t>
    <phoneticPr fontId="4" type="noConversion"/>
  </si>
  <si>
    <t>交易可以继续做。</t>
    <phoneticPr fontId="4" type="noConversion"/>
  </si>
  <si>
    <t>你的诚意我看到了。</t>
    <phoneticPr fontId="4" type="noConversion"/>
  </si>
  <si>
    <t>未来可期。</t>
    <phoneticPr fontId="4" type="noConversion"/>
  </si>
  <si>
    <t>与其它王子相比，你差得远了。</t>
    <phoneticPr fontId="4" type="noConversion"/>
  </si>
  <si>
    <t>要与其它王子竞争，你还需努力。</t>
    <phoneticPr fontId="4" type="noConversion"/>
  </si>
  <si>
    <t>与其它王子相比，你并不讨人喜欢。</t>
    <phoneticPr fontId="4" type="noConversion"/>
  </si>
  <si>
    <t>王子殿下，有什么事，尽管吩咐。</t>
    <phoneticPr fontId="4" type="noConversion"/>
  </si>
  <si>
    <t>愿意为王子殿下服务。</t>
    <phoneticPr fontId="4" type="noConversion"/>
  </si>
  <si>
    <t>王子殿下，雄才大略</t>
    <phoneticPr fontId="4" type="noConversion"/>
  </si>
  <si>
    <t>王子殿下，才是王国的未来。</t>
    <phoneticPr fontId="4" type="noConversion"/>
  </si>
  <si>
    <t>有幸追随王子殿下。</t>
    <phoneticPr fontId="4" type="noConversion"/>
  </si>
  <si>
    <t>愿为王子殿下效犬马之劳。</t>
    <phoneticPr fontId="4" type="noConversion"/>
  </si>
  <si>
    <t>希望你能记住这个教训。</t>
    <phoneticPr fontId="4" type="noConversion"/>
  </si>
  <si>
    <t>并不是我想为难你，你从前的行为太可恶了。</t>
    <phoneticPr fontId="4" type="noConversion"/>
  </si>
  <si>
    <t>你愿意为过去的行为忏悔，并非完全不可救药。</t>
    <phoneticPr fontId="4" type="noConversion"/>
  </si>
  <si>
    <t>我看到了你的努力。</t>
    <phoneticPr fontId="4" type="noConversion"/>
  </si>
  <si>
    <t>王子殿下，你像变了一个人似的。</t>
    <phoneticPr fontId="4" type="noConversion"/>
  </si>
  <si>
    <t>为王子殿下服务，是我的荣幸。</t>
    <phoneticPr fontId="4" type="noConversion"/>
  </si>
  <si>
    <t>王子殿下志向远大，仆人愿一生追随。</t>
    <phoneticPr fontId="4" type="noConversion"/>
  </si>
  <si>
    <t>你居然也想争夺王位，那得看你有没有能耐。</t>
    <phoneticPr fontId="4" type="noConversion"/>
  </si>
  <si>
    <t>史诗盔甲制造</t>
    <phoneticPr fontId="4" type="noConversion"/>
  </si>
  <si>
    <t>方尖碑</t>
    <phoneticPr fontId="4" type="noConversion"/>
  </si>
  <si>
    <t>泰坦祭坛</t>
    <phoneticPr fontId="4" type="noConversion"/>
  </si>
  <si>
    <t>我开个价，你若同意，咱俩的恩怨一比勾销。</t>
    <phoneticPr fontId="4" type="noConversion"/>
  </si>
  <si>
    <t>id#int</t>
    <phoneticPr fontId="4" type="noConversion"/>
  </si>
  <si>
    <t xml:space="preserve">唯一编号 </t>
    <phoneticPr fontId="4" type="noConversion"/>
  </si>
  <si>
    <t>大王子</t>
    <phoneticPr fontId="4" type="noConversion"/>
  </si>
  <si>
    <t>商王</t>
  </si>
  <si>
    <t>逍遥王</t>
    <phoneticPr fontId="4" type="noConversion"/>
  </si>
  <si>
    <t>宣王</t>
    <phoneticPr fontId="4" type="noConversion"/>
  </si>
  <si>
    <t>关系等级</t>
    <phoneticPr fontId="4" type="noConversion"/>
  </si>
  <si>
    <t>!tmp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</si>
</sst>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0" fontId="3" fillId="0" borderId="0"/>
    <xf numFmtId="0" fontId="1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8" fillId="0" borderId="0"/>
    <xf numFmtId="0" fontId="2" fillId="0" borderId="0"/>
    <xf numFmtId="0" fontId="2" fillId="0" borderId="0"/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3" fillId="0" borderId="1" xfId="1" applyBorder="1"/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2" fillId="3" borderId="1" xfId="1" applyFont="1" applyFill="1" applyBorder="1"/>
    <xf numFmtId="0" fontId="2" fillId="2" borderId="1" xfId="1" applyFont="1" applyFill="1" applyBorder="1"/>
    <xf numFmtId="0" fontId="2" fillId="0" borderId="1" xfId="1" applyFont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/>
    <xf numFmtId="0" fontId="2" fillId="2" borderId="1" xfId="0" applyFont="1" applyFill="1" applyBorder="1" applyAlignment="1"/>
    <xf numFmtId="0" fontId="0" fillId="4" borderId="1" xfId="0" applyFill="1" applyBorder="1" applyAlignment="1"/>
    <xf numFmtId="0" fontId="3" fillId="0" borderId="1" xfId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>
      <alignment vertical="center"/>
    </xf>
    <xf numFmtId="0" fontId="0" fillId="5" borderId="0" xfId="0" applyFill="1">
      <alignment vertical="center"/>
    </xf>
    <xf numFmtId="0" fontId="0" fillId="5" borderId="1" xfId="0" applyFill="1" applyBorder="1" applyAlignment="1"/>
    <xf numFmtId="0" fontId="0" fillId="3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>
      <alignment vertical="center"/>
    </xf>
    <xf numFmtId="0" fontId="0" fillId="6" borderId="1" xfId="0" applyFill="1" applyBorder="1" applyAlignment="1"/>
    <xf numFmtId="0" fontId="0" fillId="6" borderId="0" xfId="0" applyFill="1">
      <alignment vertical="center"/>
    </xf>
    <xf numFmtId="0" fontId="6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7" fillId="4" borderId="1" xfId="3" applyFill="1" applyBorder="1"/>
    <xf numFmtId="0" fontId="1" fillId="0" borderId="1" xfId="2" applyBorder="1" applyAlignment="1">
      <alignment wrapText="1"/>
    </xf>
    <xf numFmtId="0" fontId="2" fillId="7" borderId="1" xfId="1" applyFont="1" applyFill="1" applyBorder="1"/>
    <xf numFmtId="0" fontId="2" fillId="7" borderId="1" xfId="1" applyFont="1" applyFill="1" applyBorder="1" applyAlignment="1">
      <alignment wrapText="1"/>
    </xf>
    <xf numFmtId="0" fontId="0" fillId="7" borderId="1" xfId="0" applyFill="1" applyBorder="1">
      <alignment vertical="center"/>
    </xf>
    <xf numFmtId="0" fontId="2" fillId="3" borderId="1" xfId="0" applyFont="1" applyFill="1" applyBorder="1" applyAlignment="1"/>
    <xf numFmtId="0" fontId="2" fillId="5" borderId="1" xfId="0" applyFont="1" applyFill="1" applyBorder="1" applyAlignment="1"/>
    <xf numFmtId="0" fontId="2" fillId="8" borderId="1" xfId="0" applyFont="1" applyFill="1" applyBorder="1" applyAlignment="1">
      <alignment vertical="center" wrapText="1"/>
    </xf>
    <xf numFmtId="0" fontId="8" fillId="0" borderId="1" xfId="8" applyBorder="1"/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0" borderId="1" xfId="4" applyBorder="1"/>
    <xf numFmtId="0" fontId="0" fillId="2" borderId="1" xfId="0" applyFill="1" applyBorder="1">
      <alignment vertical="center"/>
    </xf>
    <xf numFmtId="0" fontId="8" fillId="2" borderId="1" xfId="8" applyFill="1" applyBorder="1"/>
  </cellXfs>
  <cellStyles count="11">
    <cellStyle name="常规" xfId="0" builtinId="0"/>
    <cellStyle name="常规 2" xfId="1" xr:uid="{00000000-0005-0000-0000-000001000000}"/>
    <cellStyle name="常规 2 2" xfId="4" xr:uid="{00000000-0005-0000-0000-000002000000}"/>
    <cellStyle name="常规 2 3" xfId="7" xr:uid="{00000000-0005-0000-0000-000003000000}"/>
    <cellStyle name="常规 2 4" xfId="9" xr:uid="{00000000-0005-0000-0000-000004000000}"/>
    <cellStyle name="常规 3" xfId="3" xr:uid="{00000000-0005-0000-0000-000005000000}"/>
    <cellStyle name="常规 3 2" xfId="5" xr:uid="{00000000-0005-0000-0000-000006000000}"/>
    <cellStyle name="常规 3 3" xfId="10" xr:uid="{00000000-0005-0000-0000-000007000000}"/>
    <cellStyle name="常规 4" xfId="6" xr:uid="{00000000-0005-0000-0000-000008000000}"/>
    <cellStyle name="常规 5" xfId="8" xr:uid="{00000000-0005-0000-0000-000009000000}"/>
    <cellStyle name="常规 6" xfId="2" xr:uid="{00000000-0005-0000-0000-00000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Territory\&#25968;&#20540;&#34920;\1&#29289;&#21697;&#34920;.xlsx" TargetMode="External"/><Relationship Id="rId1" Type="http://schemas.openxmlformats.org/officeDocument/2006/relationships/externalLinkPath" Target="1&#29289;&#21697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ff"/>
      <sheetName val="stuff2"/>
      <sheetName val="stuff_type_name"/>
    </sheetNames>
    <sheetDataSet>
      <sheetData sheetId="0">
        <row r="1">
          <cell r="A1" t="str">
            <v>物品ID</v>
          </cell>
          <cell r="B1" t="str">
            <v xml:space="preserve"> </v>
          </cell>
          <cell r="C1" t="str">
            <v>价格</v>
          </cell>
        </row>
        <row r="2">
          <cell r="A2" t="str">
            <v>stuff_id#int</v>
          </cell>
          <cell r="B2" t="str">
            <v>!stuff_name#str</v>
          </cell>
          <cell r="C2" t="str">
            <v>price#int</v>
          </cell>
        </row>
        <row r="3">
          <cell r="A3">
            <v>100001</v>
          </cell>
          <cell r="B3" t="str">
            <v>初始马车</v>
          </cell>
          <cell r="C3">
            <v>0</v>
          </cell>
        </row>
        <row r="4">
          <cell r="A4">
            <v>100002</v>
          </cell>
          <cell r="B4" t="str">
            <v>帝国村庄</v>
          </cell>
          <cell r="C4">
            <v>0</v>
          </cell>
        </row>
        <row r="5">
          <cell r="A5">
            <v>101001</v>
          </cell>
          <cell r="B5" t="str">
            <v>小床</v>
          </cell>
          <cell r="C5">
            <v>0</v>
          </cell>
        </row>
        <row r="6">
          <cell r="A6">
            <v>101002</v>
          </cell>
          <cell r="B6" t="str">
            <v>大床</v>
          </cell>
          <cell r="C6">
            <v>0</v>
          </cell>
        </row>
        <row r="7">
          <cell r="A7">
            <v>101003</v>
          </cell>
          <cell r="B7" t="str">
            <v>精致大床</v>
          </cell>
          <cell r="C7">
            <v>0</v>
          </cell>
        </row>
        <row r="8">
          <cell r="A8">
            <v>101004</v>
          </cell>
          <cell r="B8" t="str">
            <v>洞穴</v>
          </cell>
          <cell r="C8">
            <v>0</v>
          </cell>
        </row>
        <row r="9">
          <cell r="A9">
            <v>101005</v>
          </cell>
          <cell r="B9" t="str">
            <v>双层床</v>
          </cell>
          <cell r="C9">
            <v>0</v>
          </cell>
        </row>
        <row r="10">
          <cell r="A10">
            <v>101006</v>
          </cell>
          <cell r="B10" t="str">
            <v>精致小床</v>
          </cell>
          <cell r="C10">
            <v>0</v>
          </cell>
        </row>
        <row r="11">
          <cell r="A11">
            <v>102001</v>
          </cell>
          <cell r="B11" t="str">
            <v>土路</v>
          </cell>
          <cell r="C11">
            <v>0</v>
          </cell>
        </row>
        <row r="12">
          <cell r="A12">
            <v>102002</v>
          </cell>
          <cell r="B12" t="str">
            <v>石板路</v>
          </cell>
          <cell r="C12">
            <v>0</v>
          </cell>
        </row>
        <row r="13">
          <cell r="A13">
            <v>102003</v>
          </cell>
          <cell r="B13" t="str">
            <v>木桥</v>
          </cell>
          <cell r="C13">
            <v>0</v>
          </cell>
        </row>
        <row r="14">
          <cell r="A14">
            <v>102004</v>
          </cell>
          <cell r="B14" t="str">
            <v>山路</v>
          </cell>
          <cell r="C14">
            <v>0</v>
          </cell>
        </row>
        <row r="15">
          <cell r="A15">
            <v>102005</v>
          </cell>
          <cell r="B15" t="str">
            <v>木墙</v>
          </cell>
          <cell r="C15">
            <v>0</v>
          </cell>
        </row>
        <row r="16">
          <cell r="A16">
            <v>102006</v>
          </cell>
          <cell r="B16" t="str">
            <v>石墙</v>
          </cell>
          <cell r="C16">
            <v>0</v>
          </cell>
        </row>
        <row r="17">
          <cell r="A17">
            <v>102007</v>
          </cell>
          <cell r="B17" t="str">
            <v>门</v>
          </cell>
          <cell r="C17">
            <v>0</v>
          </cell>
        </row>
        <row r="18">
          <cell r="A18">
            <v>102008</v>
          </cell>
          <cell r="B18" t="str">
            <v>城墙</v>
          </cell>
          <cell r="C18">
            <v>0</v>
          </cell>
        </row>
        <row r="19">
          <cell r="A19">
            <v>102009</v>
          </cell>
          <cell r="B19" t="str">
            <v>城门</v>
          </cell>
          <cell r="C19">
            <v>0</v>
          </cell>
        </row>
        <row r="20">
          <cell r="A20">
            <v>102010</v>
          </cell>
          <cell r="B20" t="str">
            <v>传送门</v>
          </cell>
          <cell r="C20">
            <v>0</v>
          </cell>
        </row>
        <row r="21">
          <cell r="A21">
            <v>102011</v>
          </cell>
          <cell r="B21" t="str">
            <v>铁墙</v>
          </cell>
          <cell r="C21">
            <v>0</v>
          </cell>
        </row>
        <row r="22">
          <cell r="A22">
            <v>102012</v>
          </cell>
          <cell r="B22" t="str">
            <v>铁门</v>
          </cell>
          <cell r="C22">
            <v>0</v>
          </cell>
        </row>
        <row r="23">
          <cell r="A23">
            <v>102013</v>
          </cell>
          <cell r="B23" t="str">
            <v>石桥</v>
          </cell>
          <cell r="C23">
            <v>0</v>
          </cell>
        </row>
        <row r="24">
          <cell r="A24">
            <v>103001</v>
          </cell>
          <cell r="B24" t="str">
            <v>大箱子</v>
          </cell>
          <cell r="C24">
            <v>0</v>
          </cell>
        </row>
        <row r="25">
          <cell r="A25">
            <v>103002</v>
          </cell>
          <cell r="B25" t="str">
            <v>料堆</v>
          </cell>
          <cell r="C25">
            <v>0</v>
          </cell>
        </row>
        <row r="26">
          <cell r="A26">
            <v>103003</v>
          </cell>
          <cell r="B26" t="str">
            <v>货架</v>
          </cell>
          <cell r="C26">
            <v>0</v>
          </cell>
        </row>
        <row r="27">
          <cell r="A27">
            <v>103004</v>
          </cell>
          <cell r="B27" t="str">
            <v>交易台</v>
          </cell>
          <cell r="C27">
            <v>0</v>
          </cell>
        </row>
        <row r="28">
          <cell r="A28">
            <v>103005</v>
          </cell>
          <cell r="B28" t="str">
            <v>边贸口岸</v>
          </cell>
          <cell r="C28">
            <v>0</v>
          </cell>
        </row>
        <row r="29">
          <cell r="A29">
            <v>103006</v>
          </cell>
          <cell r="B29" t="str">
            <v>路标</v>
          </cell>
          <cell r="C29">
            <v>0</v>
          </cell>
        </row>
        <row r="30">
          <cell r="A30">
            <v>103007</v>
          </cell>
          <cell r="B30" t="str">
            <v>冰窖</v>
          </cell>
          <cell r="C30">
            <v>0</v>
          </cell>
        </row>
        <row r="31">
          <cell r="A31">
            <v>103008</v>
          </cell>
          <cell r="B31" t="str">
            <v>周转箱</v>
          </cell>
          <cell r="C31">
            <v>0</v>
          </cell>
        </row>
        <row r="32">
          <cell r="A32">
            <v>103009</v>
          </cell>
          <cell r="B32" t="str">
            <v>冰窖</v>
          </cell>
          <cell r="C32">
            <v>0</v>
          </cell>
        </row>
        <row r="33">
          <cell r="A33">
            <v>103012</v>
          </cell>
          <cell r="B33" t="str">
            <v>马车站</v>
          </cell>
          <cell r="C33">
            <v>0</v>
          </cell>
        </row>
        <row r="34">
          <cell r="A34">
            <v>103013</v>
          </cell>
          <cell r="B34" t="str">
            <v>喂食器</v>
          </cell>
          <cell r="C34">
            <v>0</v>
          </cell>
        </row>
        <row r="35">
          <cell r="A35">
            <v>104001</v>
          </cell>
          <cell r="B35" t="str">
            <v>水井</v>
          </cell>
          <cell r="C35">
            <v>0</v>
          </cell>
        </row>
        <row r="36">
          <cell r="A36">
            <v>104002</v>
          </cell>
          <cell r="B36" t="str">
            <v>讲台</v>
          </cell>
          <cell r="C36">
            <v>0</v>
          </cell>
        </row>
        <row r="37">
          <cell r="A37">
            <v>104004</v>
          </cell>
          <cell r="B37" t="str">
            <v>布道台</v>
          </cell>
          <cell r="C37">
            <v>0</v>
          </cell>
        </row>
        <row r="38">
          <cell r="A38">
            <v>104005</v>
          </cell>
          <cell r="B38" t="str">
            <v>墓地</v>
          </cell>
          <cell r="C38">
            <v>0</v>
          </cell>
        </row>
        <row r="39">
          <cell r="A39">
            <v>104007</v>
          </cell>
          <cell r="B39" t="str">
            <v>诊断台</v>
          </cell>
          <cell r="C39">
            <v>0</v>
          </cell>
        </row>
        <row r="40">
          <cell r="A40">
            <v>104008</v>
          </cell>
          <cell r="B40" t="str">
            <v>医疗床</v>
          </cell>
          <cell r="C40">
            <v>0</v>
          </cell>
        </row>
        <row r="41">
          <cell r="A41">
            <v>104011</v>
          </cell>
          <cell r="B41" t="str">
            <v>篝火堆</v>
          </cell>
          <cell r="C41">
            <v>0</v>
          </cell>
        </row>
        <row r="42">
          <cell r="A42">
            <v>104012</v>
          </cell>
          <cell r="B42" t="str">
            <v>火把</v>
          </cell>
          <cell r="C42">
            <v>0</v>
          </cell>
        </row>
        <row r="43">
          <cell r="A43">
            <v>104013</v>
          </cell>
          <cell r="B43" t="str">
            <v>火盆</v>
          </cell>
          <cell r="C43">
            <v>0</v>
          </cell>
        </row>
        <row r="44">
          <cell r="A44">
            <v>104014</v>
          </cell>
          <cell r="B44" t="str">
            <v>壁炉</v>
          </cell>
          <cell r="C44">
            <v>0</v>
          </cell>
        </row>
        <row r="45">
          <cell r="A45">
            <v>104015</v>
          </cell>
          <cell r="B45" t="str">
            <v>椅子</v>
          </cell>
          <cell r="C45">
            <v>0</v>
          </cell>
        </row>
        <row r="46">
          <cell r="A46">
            <v>104016</v>
          </cell>
          <cell r="B46" t="str">
            <v>餐桌</v>
          </cell>
          <cell r="C46">
            <v>0</v>
          </cell>
        </row>
        <row r="47">
          <cell r="A47">
            <v>104017</v>
          </cell>
          <cell r="B47" t="str">
            <v>研究台</v>
          </cell>
          <cell r="C47">
            <v>0</v>
          </cell>
        </row>
        <row r="48">
          <cell r="A48">
            <v>104018</v>
          </cell>
          <cell r="B48" t="str">
            <v>小花盆</v>
          </cell>
          <cell r="C48">
            <v>0</v>
          </cell>
        </row>
        <row r="49">
          <cell r="A49">
            <v>104019</v>
          </cell>
          <cell r="B49" t="str">
            <v>接待台</v>
          </cell>
          <cell r="C49">
            <v>0</v>
          </cell>
        </row>
        <row r="50">
          <cell r="A50">
            <v>104020</v>
          </cell>
          <cell r="B50" t="str">
            <v>宴会桌</v>
          </cell>
          <cell r="C50">
            <v>0</v>
          </cell>
        </row>
        <row r="51">
          <cell r="A51">
            <v>104021</v>
          </cell>
          <cell r="B51" t="str">
            <v>厕所</v>
          </cell>
          <cell r="C51">
            <v>0</v>
          </cell>
        </row>
        <row r="52">
          <cell r="A52">
            <v>104022</v>
          </cell>
          <cell r="B52" t="str">
            <v>英雄纪念碑</v>
          </cell>
          <cell r="C52">
            <v>0</v>
          </cell>
        </row>
        <row r="53">
          <cell r="A53">
            <v>104023</v>
          </cell>
          <cell r="B53" t="str">
            <v>扑克桌</v>
          </cell>
          <cell r="C53">
            <v>0</v>
          </cell>
        </row>
        <row r="54">
          <cell r="A54">
            <v>104024</v>
          </cell>
          <cell r="B54" t="str">
            <v>高级扑克桌</v>
          </cell>
          <cell r="C54">
            <v>0</v>
          </cell>
        </row>
        <row r="55">
          <cell r="A55">
            <v>104025</v>
          </cell>
          <cell r="B55" t="str">
            <v>豪华扑克桌</v>
          </cell>
          <cell r="C55">
            <v>0</v>
          </cell>
        </row>
        <row r="56">
          <cell r="A56">
            <v>104026</v>
          </cell>
          <cell r="B56" t="str">
            <v>幸运轮盘</v>
          </cell>
          <cell r="C56">
            <v>0</v>
          </cell>
        </row>
        <row r="57">
          <cell r="A57">
            <v>104027</v>
          </cell>
          <cell r="B57" t="str">
            <v>公共浴场</v>
          </cell>
          <cell r="C57">
            <v>0</v>
          </cell>
        </row>
        <row r="58">
          <cell r="A58">
            <v>104028</v>
          </cell>
          <cell r="B58" t="str">
            <v>花盆</v>
          </cell>
          <cell r="C58">
            <v>0</v>
          </cell>
        </row>
        <row r="59">
          <cell r="A59">
            <v>104029</v>
          </cell>
          <cell r="B59" t="str">
            <v>灌木花盆</v>
          </cell>
          <cell r="C59">
            <v>0</v>
          </cell>
        </row>
        <row r="60">
          <cell r="A60">
            <v>104030</v>
          </cell>
          <cell r="B60" t="str">
            <v>种树花盆</v>
          </cell>
          <cell r="C60">
            <v>0</v>
          </cell>
        </row>
        <row r="61">
          <cell r="A61">
            <v>105001</v>
          </cell>
          <cell r="B61" t="str">
            <v>农田</v>
          </cell>
          <cell r="C61">
            <v>0</v>
          </cell>
        </row>
        <row r="62">
          <cell r="A62">
            <v>105002</v>
          </cell>
          <cell r="B62" t="str">
            <v>果园</v>
          </cell>
          <cell r="C62">
            <v>0</v>
          </cell>
        </row>
        <row r="63">
          <cell r="A63">
            <v>105003</v>
          </cell>
          <cell r="B63" t="str">
            <v>牧场</v>
          </cell>
          <cell r="C63">
            <v>0</v>
          </cell>
        </row>
        <row r="64">
          <cell r="A64">
            <v>105004</v>
          </cell>
          <cell r="B64" t="str">
            <v>渔人码头</v>
          </cell>
          <cell r="C64">
            <v>0</v>
          </cell>
        </row>
        <row r="65">
          <cell r="A65">
            <v>105005</v>
          </cell>
          <cell r="B65" t="str">
            <v>猎人营地</v>
          </cell>
          <cell r="C65">
            <v>0</v>
          </cell>
        </row>
        <row r="66">
          <cell r="A66">
            <v>105006</v>
          </cell>
          <cell r="B66" t="str">
            <v>采集营地</v>
          </cell>
          <cell r="C66">
            <v>0</v>
          </cell>
        </row>
        <row r="67">
          <cell r="A67">
            <v>105007</v>
          </cell>
          <cell r="B67" t="str">
            <v>劈材桩</v>
          </cell>
          <cell r="C67">
            <v>0</v>
          </cell>
        </row>
        <row r="68">
          <cell r="A68">
            <v>105008</v>
          </cell>
          <cell r="B68" t="str">
            <v>护林营地</v>
          </cell>
          <cell r="C68">
            <v>0</v>
          </cell>
        </row>
        <row r="69">
          <cell r="A69">
            <v>105009</v>
          </cell>
          <cell r="B69" t="str">
            <v>采药营地</v>
          </cell>
          <cell r="C69">
            <v>0</v>
          </cell>
        </row>
        <row r="70">
          <cell r="A70">
            <v>105010</v>
          </cell>
          <cell r="B70" t="str">
            <v>制造台</v>
          </cell>
          <cell r="C70">
            <v>0</v>
          </cell>
        </row>
        <row r="71">
          <cell r="A71">
            <v>105011</v>
          </cell>
          <cell r="B71" t="str">
            <v>缝纫台</v>
          </cell>
          <cell r="C71">
            <v>0</v>
          </cell>
        </row>
        <row r="72">
          <cell r="A72">
            <v>105012</v>
          </cell>
          <cell r="B72" t="str">
            <v>酿酒桶</v>
          </cell>
          <cell r="C72">
            <v>0</v>
          </cell>
        </row>
        <row r="73">
          <cell r="A73">
            <v>105013</v>
          </cell>
          <cell r="B73" t="str">
            <v>矿井</v>
          </cell>
          <cell r="C73">
            <v>0</v>
          </cell>
        </row>
        <row r="74">
          <cell r="A74">
            <v>105014</v>
          </cell>
          <cell r="B74" t="str">
            <v>采石场</v>
          </cell>
          <cell r="C74">
            <v>0</v>
          </cell>
        </row>
        <row r="75">
          <cell r="A75">
            <v>105015</v>
          </cell>
          <cell r="B75" t="str">
            <v>堆肥桶</v>
          </cell>
          <cell r="C75">
            <v>0</v>
          </cell>
        </row>
        <row r="76">
          <cell r="A76">
            <v>105016</v>
          </cell>
          <cell r="B76" t="str">
            <v>烹饪台</v>
          </cell>
          <cell r="C76">
            <v>0</v>
          </cell>
        </row>
        <row r="77">
          <cell r="A77">
            <v>105017</v>
          </cell>
          <cell r="B77" t="str">
            <v>捕兽夹</v>
          </cell>
          <cell r="C77">
            <v>0</v>
          </cell>
        </row>
        <row r="78">
          <cell r="A78">
            <v>105018</v>
          </cell>
          <cell r="B78" t="str">
            <v>蟹笼</v>
          </cell>
          <cell r="C78">
            <v>0</v>
          </cell>
        </row>
        <row r="79">
          <cell r="A79">
            <v>105019</v>
          </cell>
          <cell r="B79" t="str">
            <v>取水点</v>
          </cell>
          <cell r="C79">
            <v>0</v>
          </cell>
        </row>
        <row r="80">
          <cell r="A80">
            <v>105020</v>
          </cell>
          <cell r="B80" t="str">
            <v>采石点</v>
          </cell>
          <cell r="C80">
            <v>0</v>
          </cell>
        </row>
        <row r="81">
          <cell r="A81">
            <v>105021</v>
          </cell>
          <cell r="B81" t="str">
            <v>挖掘点</v>
          </cell>
          <cell r="C81">
            <v>0</v>
          </cell>
        </row>
        <row r="82">
          <cell r="A82">
            <v>105022</v>
          </cell>
          <cell r="B82" t="str">
            <v>造陆点</v>
          </cell>
          <cell r="C82">
            <v>0</v>
          </cell>
        </row>
        <row r="83">
          <cell r="A83">
            <v>105023</v>
          </cell>
          <cell r="B83" t="str">
            <v>蜂房</v>
          </cell>
          <cell r="C83">
            <v>0</v>
          </cell>
        </row>
        <row r="84">
          <cell r="A84">
            <v>105024</v>
          </cell>
          <cell r="B84" t="str">
            <v>雕像座</v>
          </cell>
          <cell r="C84">
            <v>0</v>
          </cell>
        </row>
        <row r="85">
          <cell r="A85">
            <v>105025</v>
          </cell>
          <cell r="B85" t="str">
            <v>炼药锅</v>
          </cell>
          <cell r="C85">
            <v>0</v>
          </cell>
        </row>
        <row r="86">
          <cell r="A86">
            <v>105026</v>
          </cell>
          <cell r="B86" t="str">
            <v>码头</v>
          </cell>
          <cell r="C86">
            <v>0</v>
          </cell>
        </row>
        <row r="87">
          <cell r="A87">
            <v>105027</v>
          </cell>
          <cell r="B87" t="str">
            <v>出海口</v>
          </cell>
          <cell r="C87">
            <v>0</v>
          </cell>
        </row>
        <row r="88">
          <cell r="A88">
            <v>105028</v>
          </cell>
          <cell r="B88" t="str">
            <v>熔炉</v>
          </cell>
          <cell r="C88">
            <v>0</v>
          </cell>
        </row>
        <row r="89">
          <cell r="A89">
            <v>105029</v>
          </cell>
          <cell r="B89" t="str">
            <v>磨坊</v>
          </cell>
          <cell r="C89">
            <v>0</v>
          </cell>
        </row>
        <row r="90">
          <cell r="A90">
            <v>105030</v>
          </cell>
          <cell r="B90" t="str">
            <v>蘑菇箱</v>
          </cell>
          <cell r="C90">
            <v>0</v>
          </cell>
        </row>
        <row r="91">
          <cell r="A91">
            <v>105031</v>
          </cell>
          <cell r="B91" t="str">
            <v>资源搜集点</v>
          </cell>
          <cell r="C91">
            <v>0</v>
          </cell>
        </row>
        <row r="92">
          <cell r="A92">
            <v>105032</v>
          </cell>
          <cell r="B92" t="str">
            <v>磨坊</v>
          </cell>
          <cell r="C92">
            <v>0</v>
          </cell>
        </row>
        <row r="93">
          <cell r="A93">
            <v>106001</v>
          </cell>
          <cell r="B93" t="str">
            <v>军营</v>
          </cell>
          <cell r="C93">
            <v>0</v>
          </cell>
        </row>
        <row r="94">
          <cell r="A94">
            <v>106002</v>
          </cell>
          <cell r="B94" t="str">
            <v>牢房</v>
          </cell>
          <cell r="C94">
            <v>0</v>
          </cell>
        </row>
        <row r="95">
          <cell r="A95">
            <v>106003</v>
          </cell>
          <cell r="B95" t="str">
            <v>大炮</v>
          </cell>
          <cell r="C95">
            <v>0</v>
          </cell>
        </row>
        <row r="96">
          <cell r="A96">
            <v>106004</v>
          </cell>
          <cell r="B96" t="str">
            <v>野营</v>
          </cell>
          <cell r="C96">
            <v>0</v>
          </cell>
        </row>
        <row r="97">
          <cell r="A97">
            <v>106005</v>
          </cell>
          <cell r="B97" t="str">
            <v>王座</v>
          </cell>
          <cell r="C97">
            <v>0</v>
          </cell>
        </row>
        <row r="98">
          <cell r="A98">
            <v>106006</v>
          </cell>
          <cell r="B98" t="str">
            <v>地雷</v>
          </cell>
          <cell r="C98">
            <v>0</v>
          </cell>
        </row>
        <row r="99">
          <cell r="A99">
            <v>106007</v>
          </cell>
          <cell r="B99" t="str">
            <v>水晶球</v>
          </cell>
          <cell r="C99">
            <v>0</v>
          </cell>
        </row>
        <row r="100">
          <cell r="A100">
            <v>106008</v>
          </cell>
          <cell r="B100" t="str">
            <v>训练场</v>
          </cell>
          <cell r="C100">
            <v>0</v>
          </cell>
        </row>
        <row r="101">
          <cell r="A101">
            <v>107001</v>
          </cell>
          <cell r="B101" t="str">
            <v>废弃矿井</v>
          </cell>
          <cell r="C101">
            <v>0</v>
          </cell>
        </row>
        <row r="102">
          <cell r="A102">
            <v>107003</v>
          </cell>
          <cell r="B102" t="str">
            <v>墓碑</v>
          </cell>
          <cell r="C102">
            <v>0</v>
          </cell>
        </row>
        <row r="103">
          <cell r="A103">
            <v>107004</v>
          </cell>
          <cell r="B103" t="str">
            <v>强盗营地</v>
          </cell>
          <cell r="C103">
            <v>0</v>
          </cell>
        </row>
        <row r="104">
          <cell r="A104">
            <v>107005</v>
          </cell>
          <cell r="B104" t="str">
            <v>军营</v>
          </cell>
          <cell r="C104">
            <v>0</v>
          </cell>
        </row>
        <row r="105">
          <cell r="A105">
            <v>108001</v>
          </cell>
          <cell r="B105" t="str">
            <v>古墓</v>
          </cell>
          <cell r="C105">
            <v>0</v>
          </cell>
        </row>
        <row r="106">
          <cell r="A106">
            <v>108002</v>
          </cell>
          <cell r="B106" t="str">
            <v>巨型蜂巢</v>
          </cell>
          <cell r="C106">
            <v>0</v>
          </cell>
        </row>
        <row r="107">
          <cell r="A107">
            <v>108003</v>
          </cell>
          <cell r="B107" t="str">
            <v>金字塔</v>
          </cell>
          <cell r="C107">
            <v>0</v>
          </cell>
        </row>
        <row r="108">
          <cell r="A108">
            <v>108004</v>
          </cell>
          <cell r="B108" t="str">
            <v>巨型蘑菇</v>
          </cell>
          <cell r="C108">
            <v>0</v>
          </cell>
        </row>
        <row r="109">
          <cell r="A109">
            <v>108005</v>
          </cell>
          <cell r="B109" t="str">
            <v>巨树</v>
          </cell>
          <cell r="C109">
            <v>0</v>
          </cell>
        </row>
        <row r="110">
          <cell r="A110">
            <v>108006</v>
          </cell>
          <cell r="B110" t="str">
            <v>巨型蛋</v>
          </cell>
          <cell r="C110">
            <v>0</v>
          </cell>
        </row>
        <row r="111">
          <cell r="A111">
            <v>108007</v>
          </cell>
          <cell r="B111" t="str">
            <v>沉船遗迹</v>
          </cell>
          <cell r="C111">
            <v>0</v>
          </cell>
        </row>
        <row r="112">
          <cell r="A112">
            <v>108008</v>
          </cell>
          <cell r="B112" t="str">
            <v>蚁穴</v>
          </cell>
          <cell r="C112">
            <v>0</v>
          </cell>
        </row>
        <row r="113">
          <cell r="A113">
            <v>108009</v>
          </cell>
          <cell r="B113" t="str">
            <v>图腾之柱</v>
          </cell>
          <cell r="C113">
            <v>0</v>
          </cell>
        </row>
        <row r="114">
          <cell r="A114">
            <v>108010</v>
          </cell>
          <cell r="B114" t="str">
            <v>布道台</v>
          </cell>
          <cell r="C114">
            <v>0</v>
          </cell>
        </row>
        <row r="115">
          <cell r="A115">
            <v>108011</v>
          </cell>
          <cell r="B115" t="str">
            <v>红蚁穴</v>
          </cell>
          <cell r="C115">
            <v>0</v>
          </cell>
        </row>
        <row r="116">
          <cell r="A116">
            <v>108012</v>
          </cell>
          <cell r="B116" t="str">
            <v>国王的永恒圣殿</v>
          </cell>
          <cell r="C116">
            <v>0</v>
          </cell>
        </row>
        <row r="117">
          <cell r="A117">
            <v>109005</v>
          </cell>
          <cell r="B117" t="str">
            <v>国库</v>
          </cell>
          <cell r="C117">
            <v>0</v>
          </cell>
        </row>
        <row r="118">
          <cell r="A118">
            <v>110001</v>
          </cell>
          <cell r="B118" t="str">
            <v>小城堡</v>
          </cell>
          <cell r="C118">
            <v>0</v>
          </cell>
        </row>
        <row r="119">
          <cell r="A119">
            <v>110002</v>
          </cell>
          <cell r="B119" t="str">
            <v>大城堡</v>
          </cell>
          <cell r="C119">
            <v>0</v>
          </cell>
        </row>
        <row r="120">
          <cell r="A120">
            <v>110003</v>
          </cell>
          <cell r="B120" t="str">
            <v>小村庄</v>
          </cell>
          <cell r="C120">
            <v>0</v>
          </cell>
        </row>
        <row r="121">
          <cell r="A121">
            <v>110004</v>
          </cell>
          <cell r="B121" t="str">
            <v>大村庄</v>
          </cell>
          <cell r="C121">
            <v>0</v>
          </cell>
        </row>
        <row r="122">
          <cell r="A122">
            <v>110005</v>
          </cell>
          <cell r="B122" t="str">
            <v>渔村</v>
          </cell>
          <cell r="C122">
            <v>0</v>
          </cell>
        </row>
        <row r="123">
          <cell r="A123">
            <v>110006</v>
          </cell>
          <cell r="B123" t="str">
            <v>小部落</v>
          </cell>
          <cell r="C123">
            <v>0</v>
          </cell>
        </row>
        <row r="124">
          <cell r="A124">
            <v>110007</v>
          </cell>
          <cell r="B124" t="str">
            <v>大部落</v>
          </cell>
          <cell r="C124">
            <v>0</v>
          </cell>
        </row>
        <row r="125">
          <cell r="A125">
            <v>110008</v>
          </cell>
          <cell r="B125" t="str">
            <v>龙之试炼柱</v>
          </cell>
          <cell r="C125">
            <v>0</v>
          </cell>
        </row>
        <row r="126">
          <cell r="A126">
            <v>110009</v>
          </cell>
          <cell r="B126" t="str">
            <v>要塞</v>
          </cell>
          <cell r="C126">
            <v>0</v>
          </cell>
        </row>
        <row r="127">
          <cell r="A127">
            <v>110010</v>
          </cell>
          <cell r="B127" t="str">
            <v>战场据点</v>
          </cell>
          <cell r="C127">
            <v>0</v>
          </cell>
        </row>
        <row r="128">
          <cell r="A128">
            <v>110011</v>
          </cell>
          <cell r="B128" t="str">
            <v>远征营地</v>
          </cell>
          <cell r="C128">
            <v>0</v>
          </cell>
        </row>
        <row r="129">
          <cell r="A129">
            <v>110012</v>
          </cell>
          <cell r="B129" t="str">
            <v>被敌人占领的战场据点</v>
          </cell>
          <cell r="C129">
            <v>0</v>
          </cell>
        </row>
        <row r="130">
          <cell r="A130">
            <v>111001</v>
          </cell>
          <cell r="B130" t="str">
            <v>方尖碑</v>
          </cell>
          <cell r="C130">
            <v>0</v>
          </cell>
        </row>
        <row r="131">
          <cell r="A131">
            <v>111002</v>
          </cell>
          <cell r="B131" t="str">
            <v>泰坦祭坛</v>
          </cell>
          <cell r="C131">
            <v>0</v>
          </cell>
        </row>
        <row r="132">
          <cell r="A132">
            <v>111003</v>
          </cell>
          <cell r="B132" t="str">
            <v>光明祭坛</v>
          </cell>
          <cell r="C132">
            <v>0</v>
          </cell>
        </row>
        <row r="133">
          <cell r="A133">
            <v>111004</v>
          </cell>
          <cell r="B133" t="str">
            <v>黑暗祭坛</v>
          </cell>
          <cell r="C133">
            <v>0</v>
          </cell>
        </row>
        <row r="134">
          <cell r="A134">
            <v>111005</v>
          </cell>
          <cell r="B134" t="str">
            <v>永恒圣殿</v>
          </cell>
          <cell r="C134">
            <v>0</v>
          </cell>
        </row>
        <row r="135">
          <cell r="A135">
            <v>112001</v>
          </cell>
          <cell r="B135" t="str">
            <v>旗帜</v>
          </cell>
          <cell r="C135">
            <v>0</v>
          </cell>
        </row>
        <row r="136">
          <cell r="A136">
            <v>113001</v>
          </cell>
          <cell r="B136" t="str">
            <v>地板</v>
          </cell>
          <cell r="C136">
            <v>0</v>
          </cell>
        </row>
        <row r="137">
          <cell r="A137">
            <v>113002</v>
          </cell>
          <cell r="B137" t="str">
            <v>石质地板</v>
          </cell>
          <cell r="C137">
            <v>0</v>
          </cell>
        </row>
        <row r="138">
          <cell r="A138">
            <v>113003</v>
          </cell>
          <cell r="B138" t="str">
            <v>铁质地板</v>
          </cell>
          <cell r="C138">
            <v>0</v>
          </cell>
        </row>
        <row r="139">
          <cell r="A139">
            <v>113004</v>
          </cell>
          <cell r="B139" t="str">
            <v>银质地板</v>
          </cell>
          <cell r="C139">
            <v>0</v>
          </cell>
        </row>
        <row r="140">
          <cell r="A140">
            <v>113005</v>
          </cell>
          <cell r="B140" t="str">
            <v>金质地板</v>
          </cell>
          <cell r="C140">
            <v>0</v>
          </cell>
        </row>
        <row r="141">
          <cell r="A141">
            <v>301001</v>
          </cell>
          <cell r="B141" t="str">
            <v>菜豆</v>
          </cell>
          <cell r="C141">
            <v>1</v>
          </cell>
        </row>
        <row r="142">
          <cell r="A142">
            <v>301002</v>
          </cell>
          <cell r="B142" t="str">
            <v>卷心菜</v>
          </cell>
          <cell r="C142">
            <v>1</v>
          </cell>
        </row>
        <row r="143">
          <cell r="A143">
            <v>301003</v>
          </cell>
          <cell r="B143" t="str">
            <v>辣椒</v>
          </cell>
          <cell r="C143">
            <v>1</v>
          </cell>
        </row>
        <row r="144">
          <cell r="A144">
            <v>301004</v>
          </cell>
          <cell r="B144" t="str">
            <v>南瓜</v>
          </cell>
          <cell r="C144">
            <v>1</v>
          </cell>
        </row>
        <row r="145">
          <cell r="A145">
            <v>301005</v>
          </cell>
          <cell r="B145" t="str">
            <v>笋瓜</v>
          </cell>
          <cell r="C145">
            <v>1</v>
          </cell>
        </row>
        <row r="146">
          <cell r="A146">
            <v>301006</v>
          </cell>
          <cell r="B146" t="str">
            <v>蘑菇</v>
          </cell>
          <cell r="C146">
            <v>1</v>
          </cell>
        </row>
        <row r="147">
          <cell r="A147">
            <v>301007</v>
          </cell>
          <cell r="B147" t="str">
            <v>洋葱</v>
          </cell>
          <cell r="C147">
            <v>1</v>
          </cell>
        </row>
        <row r="148">
          <cell r="A148">
            <v>302001</v>
          </cell>
          <cell r="B148" t="str">
            <v>玉米</v>
          </cell>
          <cell r="C148">
            <v>1</v>
          </cell>
        </row>
        <row r="149">
          <cell r="A149">
            <v>302002</v>
          </cell>
          <cell r="B149" t="str">
            <v>土豆</v>
          </cell>
          <cell r="C149">
            <v>1</v>
          </cell>
        </row>
        <row r="150">
          <cell r="A150">
            <v>302003</v>
          </cell>
          <cell r="B150" t="str">
            <v>小麦</v>
          </cell>
          <cell r="C150">
            <v>1</v>
          </cell>
        </row>
        <row r="151">
          <cell r="A151">
            <v>302004</v>
          </cell>
          <cell r="B151" t="str">
            <v>木薯</v>
          </cell>
          <cell r="C151">
            <v>1</v>
          </cell>
        </row>
        <row r="152">
          <cell r="A152">
            <v>303001</v>
          </cell>
          <cell r="B152" t="str">
            <v>苹果</v>
          </cell>
          <cell r="C152">
            <v>1</v>
          </cell>
        </row>
        <row r="153">
          <cell r="A153">
            <v>303002</v>
          </cell>
          <cell r="B153" t="str">
            <v>樱桃</v>
          </cell>
          <cell r="C153">
            <v>1</v>
          </cell>
        </row>
        <row r="154">
          <cell r="A154">
            <v>303004</v>
          </cell>
          <cell r="B154" t="str">
            <v>梨</v>
          </cell>
          <cell r="C154">
            <v>1</v>
          </cell>
        </row>
        <row r="155">
          <cell r="A155">
            <v>303006</v>
          </cell>
          <cell r="B155" t="str">
            <v>梅子</v>
          </cell>
          <cell r="C155">
            <v>1</v>
          </cell>
        </row>
        <row r="156">
          <cell r="A156">
            <v>303007</v>
          </cell>
          <cell r="B156" t="str">
            <v>核桃</v>
          </cell>
          <cell r="C156">
            <v>1</v>
          </cell>
        </row>
        <row r="157">
          <cell r="A157">
            <v>303009</v>
          </cell>
          <cell r="B157" t="str">
            <v>浆果</v>
          </cell>
          <cell r="C157">
            <v>1</v>
          </cell>
        </row>
        <row r="158">
          <cell r="A158">
            <v>304001</v>
          </cell>
          <cell r="B158" t="str">
            <v>鱼</v>
          </cell>
          <cell r="C158">
            <v>2</v>
          </cell>
        </row>
        <row r="159">
          <cell r="A159">
            <v>304002</v>
          </cell>
          <cell r="B159" t="str">
            <v>肉</v>
          </cell>
          <cell r="C159">
            <v>2</v>
          </cell>
        </row>
        <row r="160">
          <cell r="A160">
            <v>304005</v>
          </cell>
          <cell r="B160" t="str">
            <v>鸡蛋</v>
          </cell>
          <cell r="C160">
            <v>2</v>
          </cell>
        </row>
        <row r="161">
          <cell r="A161">
            <v>304007</v>
          </cell>
          <cell r="B161" t="str">
            <v>螃蟹</v>
          </cell>
          <cell r="C161">
            <v>2</v>
          </cell>
        </row>
        <row r="162">
          <cell r="A162">
            <v>304008</v>
          </cell>
          <cell r="B162" t="str">
            <v>龙虾</v>
          </cell>
          <cell r="C162">
            <v>2</v>
          </cell>
        </row>
        <row r="163">
          <cell r="A163">
            <v>304009</v>
          </cell>
          <cell r="B163" t="str">
            <v>熏鱼</v>
          </cell>
          <cell r="C163">
            <v>2</v>
          </cell>
        </row>
        <row r="164">
          <cell r="A164">
            <v>304010</v>
          </cell>
          <cell r="B164" t="str">
            <v>熏肉</v>
          </cell>
          <cell r="C164">
            <v>2</v>
          </cell>
        </row>
        <row r="165">
          <cell r="A165">
            <v>305001</v>
          </cell>
          <cell r="B165" t="str">
            <v>简单食物</v>
          </cell>
          <cell r="C165">
            <v>2</v>
          </cell>
        </row>
        <row r="166">
          <cell r="A166">
            <v>305002</v>
          </cell>
          <cell r="B166" t="str">
            <v>精致食物</v>
          </cell>
          <cell r="C166">
            <v>4</v>
          </cell>
        </row>
        <row r="167">
          <cell r="A167">
            <v>305003</v>
          </cell>
          <cell r="B167" t="str">
            <v>黑暗料理</v>
          </cell>
          <cell r="C167">
            <v>2</v>
          </cell>
        </row>
        <row r="168">
          <cell r="A168">
            <v>305004</v>
          </cell>
          <cell r="B168" t="str">
            <v>粗糙食物</v>
          </cell>
          <cell r="C168">
            <v>1</v>
          </cell>
        </row>
        <row r="169">
          <cell r="A169">
            <v>305005</v>
          </cell>
          <cell r="B169" t="str">
            <v>饼干</v>
          </cell>
          <cell r="C169">
            <v>5</v>
          </cell>
        </row>
        <row r="170">
          <cell r="A170">
            <v>305006</v>
          </cell>
          <cell r="B170" t="str">
            <v>蛋糕</v>
          </cell>
          <cell r="C170">
            <v>10</v>
          </cell>
        </row>
        <row r="171">
          <cell r="A171">
            <v>306001</v>
          </cell>
          <cell r="B171" t="str">
            <v>蜂蜜</v>
          </cell>
          <cell r="C171">
            <v>3</v>
          </cell>
        </row>
        <row r="172">
          <cell r="A172">
            <v>401001</v>
          </cell>
          <cell r="B172" t="str">
            <v>烈酒</v>
          </cell>
          <cell r="C172">
            <v>5</v>
          </cell>
        </row>
        <row r="173">
          <cell r="A173">
            <v>401002</v>
          </cell>
          <cell r="B173" t="str">
            <v>果酒</v>
          </cell>
          <cell r="C173">
            <v>5</v>
          </cell>
        </row>
        <row r="174">
          <cell r="A174">
            <v>401003</v>
          </cell>
          <cell r="B174" t="str">
            <v>蜂蜜酒</v>
          </cell>
          <cell r="C174">
            <v>6</v>
          </cell>
        </row>
        <row r="175">
          <cell r="A175">
            <v>402001</v>
          </cell>
          <cell r="B175" t="str">
            <v>柴火</v>
          </cell>
          <cell r="C175">
            <v>1</v>
          </cell>
        </row>
        <row r="176">
          <cell r="A176">
            <v>403001</v>
          </cell>
          <cell r="B176" t="str">
            <v>普通工具</v>
          </cell>
          <cell r="C176">
            <v>12</v>
          </cell>
        </row>
        <row r="177">
          <cell r="A177">
            <v>403002</v>
          </cell>
          <cell r="B177" t="str">
            <v>优质工具</v>
          </cell>
          <cell r="C177">
            <v>25</v>
          </cell>
        </row>
        <row r="178">
          <cell r="A178">
            <v>403003</v>
          </cell>
          <cell r="B178" t="str">
            <v>简单工具</v>
          </cell>
          <cell r="C178">
            <v>6</v>
          </cell>
        </row>
        <row r="179">
          <cell r="A179">
            <v>404001</v>
          </cell>
          <cell r="B179" t="str">
            <v>皮夹克</v>
          </cell>
          <cell r="C179">
            <v>5</v>
          </cell>
        </row>
        <row r="180">
          <cell r="A180">
            <v>404002</v>
          </cell>
          <cell r="B180" t="str">
            <v>羊毛衫</v>
          </cell>
          <cell r="C180">
            <v>5</v>
          </cell>
        </row>
        <row r="181">
          <cell r="A181">
            <v>404003</v>
          </cell>
          <cell r="B181" t="str">
            <v>保暖衣</v>
          </cell>
          <cell r="C181">
            <v>10</v>
          </cell>
        </row>
        <row r="182">
          <cell r="A182">
            <v>409003</v>
          </cell>
          <cell r="B182" t="str">
            <v>战车</v>
          </cell>
          <cell r="C182">
            <v>180</v>
          </cell>
        </row>
        <row r="183">
          <cell r="A183">
            <v>410001</v>
          </cell>
          <cell r="B183" t="str">
            <v>钢铁之心</v>
          </cell>
          <cell r="C183">
            <v>99999999</v>
          </cell>
        </row>
        <row r="184">
          <cell r="A184">
            <v>410002</v>
          </cell>
          <cell r="B184" t="str">
            <v>熔岩之心</v>
          </cell>
          <cell r="C184">
            <v>99999999</v>
          </cell>
        </row>
        <row r="185">
          <cell r="A185">
            <v>410003</v>
          </cell>
          <cell r="B185" t="str">
            <v>寒冰之心</v>
          </cell>
          <cell r="C185">
            <v>99999999</v>
          </cell>
        </row>
        <row r="186">
          <cell r="A186">
            <v>410004</v>
          </cell>
          <cell r="B186" t="str">
            <v>森林之心</v>
          </cell>
          <cell r="C186">
            <v>99999999</v>
          </cell>
        </row>
        <row r="187">
          <cell r="A187">
            <v>412001</v>
          </cell>
          <cell r="B187" t="str">
            <v>咖啡</v>
          </cell>
          <cell r="C187">
            <v>10</v>
          </cell>
        </row>
        <row r="188">
          <cell r="A188">
            <v>412002</v>
          </cell>
          <cell r="B188" t="str">
            <v>巧克力</v>
          </cell>
          <cell r="C188">
            <v>10</v>
          </cell>
        </row>
        <row r="189">
          <cell r="A189">
            <v>412003</v>
          </cell>
          <cell r="B189" t="str">
            <v>糖</v>
          </cell>
          <cell r="C189">
            <v>10</v>
          </cell>
        </row>
        <row r="190">
          <cell r="A190">
            <v>413001</v>
          </cell>
          <cell r="B190" t="str">
            <v>简单武器</v>
          </cell>
          <cell r="C190">
            <v>10</v>
          </cell>
        </row>
        <row r="191">
          <cell r="A191">
            <v>413002</v>
          </cell>
          <cell r="B191" t="str">
            <v>普通武器</v>
          </cell>
          <cell r="C191">
            <v>50</v>
          </cell>
        </row>
        <row r="192">
          <cell r="A192">
            <v>413003</v>
          </cell>
          <cell r="B192" t="str">
            <v>优良武器</v>
          </cell>
          <cell r="C192">
            <v>150</v>
          </cell>
        </row>
        <row r="193">
          <cell r="A193">
            <v>413004</v>
          </cell>
          <cell r="B193" t="str">
            <v>高级武器</v>
          </cell>
          <cell r="C193">
            <v>400</v>
          </cell>
        </row>
        <row r="194">
          <cell r="A194">
            <v>413005</v>
          </cell>
          <cell r="B194" t="str">
            <v>稀有武器</v>
          </cell>
          <cell r="C194">
            <v>2000</v>
          </cell>
        </row>
        <row r="195">
          <cell r="A195">
            <v>413006</v>
          </cell>
          <cell r="B195" t="str">
            <v>特殊武器</v>
          </cell>
          <cell r="C195">
            <v>4500</v>
          </cell>
        </row>
        <row r="196">
          <cell r="A196">
            <v>413007</v>
          </cell>
          <cell r="B196" t="str">
            <v>极品武器</v>
          </cell>
          <cell r="C196">
            <v>15000</v>
          </cell>
        </row>
        <row r="197">
          <cell r="A197">
            <v>413008</v>
          </cell>
          <cell r="B197" t="str">
            <v>传说武器</v>
          </cell>
          <cell r="C197">
            <v>40000</v>
          </cell>
        </row>
        <row r="198">
          <cell r="A198">
            <v>413009</v>
          </cell>
          <cell r="B198" t="str">
            <v>史诗武器</v>
          </cell>
          <cell r="C198">
            <v>88888</v>
          </cell>
        </row>
        <row r="199">
          <cell r="A199">
            <v>414001</v>
          </cell>
          <cell r="B199" t="str">
            <v>简单盾牌</v>
          </cell>
          <cell r="C199">
            <v>10</v>
          </cell>
        </row>
        <row r="200">
          <cell r="A200">
            <v>414002</v>
          </cell>
          <cell r="B200" t="str">
            <v>普通盾牌</v>
          </cell>
          <cell r="C200">
            <v>50</v>
          </cell>
        </row>
        <row r="201">
          <cell r="A201">
            <v>414003</v>
          </cell>
          <cell r="B201" t="str">
            <v>优良盾牌</v>
          </cell>
          <cell r="C201">
            <v>150</v>
          </cell>
        </row>
        <row r="202">
          <cell r="A202">
            <v>414004</v>
          </cell>
          <cell r="B202" t="str">
            <v>高级盾牌</v>
          </cell>
          <cell r="C202">
            <v>400</v>
          </cell>
        </row>
        <row r="203">
          <cell r="A203">
            <v>414005</v>
          </cell>
          <cell r="B203" t="str">
            <v>稀有盾牌</v>
          </cell>
          <cell r="C203">
            <v>2000</v>
          </cell>
        </row>
        <row r="204">
          <cell r="A204">
            <v>414006</v>
          </cell>
          <cell r="B204" t="str">
            <v>特殊盾牌</v>
          </cell>
          <cell r="C204">
            <v>4500</v>
          </cell>
        </row>
        <row r="205">
          <cell r="A205">
            <v>414007</v>
          </cell>
          <cell r="B205" t="str">
            <v>极品盾牌</v>
          </cell>
          <cell r="C205">
            <v>15000</v>
          </cell>
        </row>
        <row r="206">
          <cell r="A206">
            <v>414008</v>
          </cell>
          <cell r="B206" t="str">
            <v>传说盾牌</v>
          </cell>
          <cell r="C206">
            <v>40000</v>
          </cell>
        </row>
        <row r="207">
          <cell r="A207">
            <v>414009</v>
          </cell>
          <cell r="B207" t="str">
            <v>史诗盾牌</v>
          </cell>
          <cell r="C207">
            <v>88888</v>
          </cell>
        </row>
        <row r="208">
          <cell r="A208">
            <v>415001</v>
          </cell>
          <cell r="B208" t="str">
            <v>简单盔甲</v>
          </cell>
          <cell r="C208">
            <v>10</v>
          </cell>
        </row>
        <row r="209">
          <cell r="A209">
            <v>415002</v>
          </cell>
          <cell r="B209" t="str">
            <v>普通盔甲</v>
          </cell>
          <cell r="C209">
            <v>50</v>
          </cell>
        </row>
        <row r="210">
          <cell r="A210">
            <v>415003</v>
          </cell>
          <cell r="B210" t="str">
            <v>优良盔甲</v>
          </cell>
          <cell r="C210">
            <v>150</v>
          </cell>
        </row>
        <row r="211">
          <cell r="A211">
            <v>415004</v>
          </cell>
          <cell r="B211" t="str">
            <v>高级盔甲</v>
          </cell>
          <cell r="C211">
            <v>400</v>
          </cell>
        </row>
        <row r="212">
          <cell r="A212">
            <v>415005</v>
          </cell>
          <cell r="B212" t="str">
            <v>稀有盔甲</v>
          </cell>
          <cell r="C212">
            <v>2000</v>
          </cell>
        </row>
        <row r="213">
          <cell r="A213">
            <v>415006</v>
          </cell>
          <cell r="B213" t="str">
            <v>特殊盔甲</v>
          </cell>
          <cell r="C213">
            <v>4500</v>
          </cell>
        </row>
        <row r="214">
          <cell r="A214">
            <v>415007</v>
          </cell>
          <cell r="B214" t="str">
            <v>极品盔甲</v>
          </cell>
          <cell r="C214">
            <v>15000</v>
          </cell>
        </row>
        <row r="215">
          <cell r="A215">
            <v>415008</v>
          </cell>
          <cell r="B215" t="str">
            <v>传说盔甲</v>
          </cell>
          <cell r="C215">
            <v>40000</v>
          </cell>
        </row>
        <row r="216">
          <cell r="A216">
            <v>415009</v>
          </cell>
          <cell r="B216" t="str">
            <v>史诗盔甲</v>
          </cell>
          <cell r="C216">
            <v>88888</v>
          </cell>
        </row>
        <row r="217">
          <cell r="A217">
            <v>416001</v>
          </cell>
          <cell r="B217" t="str">
            <v>两轮马车</v>
          </cell>
          <cell r="C217">
            <v>1000</v>
          </cell>
        </row>
        <row r="218">
          <cell r="A218">
            <v>416002</v>
          </cell>
          <cell r="B218" t="str">
            <v>四轮马车</v>
          </cell>
          <cell r="C218">
            <v>2000</v>
          </cell>
        </row>
        <row r="219">
          <cell r="A219">
            <v>417001</v>
          </cell>
          <cell r="B219" t="str">
            <v>损坏的简单武器</v>
          </cell>
          <cell r="C219">
            <v>5</v>
          </cell>
        </row>
        <row r="220">
          <cell r="A220">
            <v>417002</v>
          </cell>
          <cell r="B220" t="str">
            <v>损坏的普通武器</v>
          </cell>
          <cell r="C220">
            <v>10</v>
          </cell>
        </row>
        <row r="221">
          <cell r="A221">
            <v>417003</v>
          </cell>
          <cell r="B221" t="str">
            <v>损坏的优良武器</v>
          </cell>
          <cell r="C221">
            <v>15</v>
          </cell>
        </row>
        <row r="222">
          <cell r="A222">
            <v>417004</v>
          </cell>
          <cell r="B222" t="str">
            <v>损坏的高级武器</v>
          </cell>
          <cell r="C222">
            <v>20</v>
          </cell>
        </row>
        <row r="223">
          <cell r="A223">
            <v>417005</v>
          </cell>
          <cell r="B223" t="str">
            <v>损坏的稀有武器</v>
          </cell>
          <cell r="C223">
            <v>600</v>
          </cell>
        </row>
        <row r="224">
          <cell r="A224">
            <v>417006</v>
          </cell>
          <cell r="B224" t="str">
            <v>损坏的特殊武器</v>
          </cell>
          <cell r="C224">
            <v>1800</v>
          </cell>
        </row>
        <row r="225">
          <cell r="A225">
            <v>417007</v>
          </cell>
          <cell r="B225" t="str">
            <v>损坏的极品武器</v>
          </cell>
          <cell r="C225">
            <v>6000</v>
          </cell>
        </row>
        <row r="226">
          <cell r="A226">
            <v>417008</v>
          </cell>
          <cell r="B226" t="str">
            <v>损坏的传说武器</v>
          </cell>
          <cell r="C226">
            <v>15000</v>
          </cell>
        </row>
        <row r="227">
          <cell r="A227">
            <v>417009</v>
          </cell>
          <cell r="B227" t="str">
            <v>损坏的史诗武器</v>
          </cell>
          <cell r="C227">
            <v>30000</v>
          </cell>
        </row>
        <row r="228">
          <cell r="A228">
            <v>417010</v>
          </cell>
          <cell r="B228" t="str">
            <v>损坏的简单盾牌</v>
          </cell>
          <cell r="C228">
            <v>5</v>
          </cell>
        </row>
        <row r="229">
          <cell r="A229">
            <v>417011</v>
          </cell>
          <cell r="B229" t="str">
            <v>损坏的普通盾牌</v>
          </cell>
          <cell r="C229">
            <v>10</v>
          </cell>
        </row>
        <row r="230">
          <cell r="A230">
            <v>417012</v>
          </cell>
          <cell r="B230" t="str">
            <v>损坏的优良盾牌</v>
          </cell>
          <cell r="C230">
            <v>15</v>
          </cell>
        </row>
        <row r="231">
          <cell r="A231">
            <v>417013</v>
          </cell>
          <cell r="B231" t="str">
            <v>损坏的高级盾牌</v>
          </cell>
          <cell r="C231">
            <v>20</v>
          </cell>
        </row>
        <row r="232">
          <cell r="A232">
            <v>417014</v>
          </cell>
          <cell r="B232" t="str">
            <v>损坏的稀有盾牌</v>
          </cell>
          <cell r="C232">
            <v>600</v>
          </cell>
        </row>
        <row r="233">
          <cell r="A233">
            <v>417015</v>
          </cell>
          <cell r="B233" t="str">
            <v>损坏的特殊盾牌</v>
          </cell>
          <cell r="C233">
            <v>1800</v>
          </cell>
        </row>
        <row r="234">
          <cell r="A234">
            <v>417016</v>
          </cell>
          <cell r="B234" t="str">
            <v>损坏的极品盾牌</v>
          </cell>
          <cell r="C234">
            <v>6000</v>
          </cell>
        </row>
        <row r="235">
          <cell r="A235">
            <v>417017</v>
          </cell>
          <cell r="B235" t="str">
            <v>损坏的传说盾牌</v>
          </cell>
          <cell r="C235">
            <v>15000</v>
          </cell>
        </row>
        <row r="236">
          <cell r="A236">
            <v>417018</v>
          </cell>
          <cell r="B236" t="str">
            <v>损坏的史诗盾牌</v>
          </cell>
          <cell r="C236">
            <v>30000</v>
          </cell>
        </row>
        <row r="237">
          <cell r="A237">
            <v>417019</v>
          </cell>
          <cell r="B237" t="str">
            <v>损坏的简单盔甲</v>
          </cell>
          <cell r="C237">
            <v>5</v>
          </cell>
        </row>
        <row r="238">
          <cell r="A238">
            <v>417020</v>
          </cell>
          <cell r="B238" t="str">
            <v>损坏的普通盔甲</v>
          </cell>
          <cell r="C238">
            <v>10</v>
          </cell>
        </row>
        <row r="239">
          <cell r="A239">
            <v>417021</v>
          </cell>
          <cell r="B239" t="str">
            <v>损坏的优良盔甲</v>
          </cell>
          <cell r="C239">
            <v>15</v>
          </cell>
        </row>
        <row r="240">
          <cell r="A240">
            <v>417022</v>
          </cell>
          <cell r="B240" t="str">
            <v>损坏的高级盔甲</v>
          </cell>
          <cell r="C240">
            <v>20</v>
          </cell>
        </row>
        <row r="241">
          <cell r="A241">
            <v>417023</v>
          </cell>
          <cell r="B241" t="str">
            <v>损坏的稀有盔甲</v>
          </cell>
          <cell r="C241">
            <v>600</v>
          </cell>
        </row>
        <row r="242">
          <cell r="A242">
            <v>417024</v>
          </cell>
          <cell r="B242" t="str">
            <v>损坏的特殊盔甲</v>
          </cell>
          <cell r="C242">
            <v>1800</v>
          </cell>
        </row>
        <row r="243">
          <cell r="A243">
            <v>417025</v>
          </cell>
          <cell r="B243" t="str">
            <v>损坏的极品盔甲</v>
          </cell>
          <cell r="C243">
            <v>6000</v>
          </cell>
        </row>
        <row r="244">
          <cell r="A244">
            <v>417026</v>
          </cell>
          <cell r="B244" t="str">
            <v>损坏的传说盔甲</v>
          </cell>
          <cell r="C244">
            <v>15000</v>
          </cell>
        </row>
        <row r="245">
          <cell r="A245">
            <v>417027</v>
          </cell>
          <cell r="B245" t="str">
            <v>损坏的史诗盔甲</v>
          </cell>
          <cell r="C245">
            <v>30000</v>
          </cell>
        </row>
        <row r="246">
          <cell r="A246">
            <v>418001</v>
          </cell>
          <cell r="B246" t="str">
            <v>蘑菇精华</v>
          </cell>
          <cell r="C246">
            <v>500</v>
          </cell>
        </row>
        <row r="247">
          <cell r="A247">
            <v>418002</v>
          </cell>
          <cell r="B247" t="str">
            <v>养颜丹</v>
          </cell>
          <cell r="C247">
            <v>1000</v>
          </cell>
        </row>
        <row r="248">
          <cell r="A248">
            <v>419001</v>
          </cell>
          <cell r="B248" t="str">
            <v>雨伞</v>
          </cell>
          <cell r="C248">
            <v>5</v>
          </cell>
        </row>
        <row r="249">
          <cell r="A249">
            <v>420001</v>
          </cell>
          <cell r="B249" t="str">
            <v>皮包</v>
          </cell>
          <cell r="C249">
            <v>5</v>
          </cell>
        </row>
        <row r="250">
          <cell r="A250">
            <v>421001</v>
          </cell>
          <cell r="B250" t="str">
            <v>药茶</v>
          </cell>
          <cell r="C250">
            <v>10</v>
          </cell>
        </row>
        <row r="251">
          <cell r="A251">
            <v>422001</v>
          </cell>
          <cell r="B251" t="str">
            <v>火药</v>
          </cell>
          <cell r="C251">
            <v>100</v>
          </cell>
        </row>
        <row r="252">
          <cell r="A252">
            <v>423001</v>
          </cell>
          <cell r="B252" t="str">
            <v>榴弹</v>
          </cell>
          <cell r="C252">
            <v>500</v>
          </cell>
        </row>
        <row r="253">
          <cell r="A253">
            <v>423002</v>
          </cell>
          <cell r="B253" t="str">
            <v>铁弹</v>
          </cell>
          <cell r="C253">
            <v>500</v>
          </cell>
        </row>
        <row r="254">
          <cell r="A254">
            <v>423003</v>
          </cell>
          <cell r="B254" t="str">
            <v>巨型炸弹</v>
          </cell>
          <cell r="C254">
            <v>5000</v>
          </cell>
        </row>
        <row r="255">
          <cell r="A255">
            <v>424001</v>
          </cell>
          <cell r="B255" t="str">
            <v>人伦书</v>
          </cell>
          <cell r="C255">
            <v>1000</v>
          </cell>
        </row>
        <row r="256">
          <cell r="A256">
            <v>424002</v>
          </cell>
          <cell r="B256" t="str">
            <v>轮回书</v>
          </cell>
          <cell r="C256">
            <v>1000</v>
          </cell>
        </row>
        <row r="257">
          <cell r="A257">
            <v>424003</v>
          </cell>
          <cell r="B257" t="str">
            <v>天职书</v>
          </cell>
          <cell r="C257">
            <v>1000</v>
          </cell>
        </row>
        <row r="258">
          <cell r="A258">
            <v>424004</v>
          </cell>
          <cell r="B258" t="str">
            <v>兵法书</v>
          </cell>
          <cell r="C258">
            <v>1000</v>
          </cell>
        </row>
        <row r="259">
          <cell r="A259">
            <v>424005</v>
          </cell>
          <cell r="B259" t="str">
            <v>管理书</v>
          </cell>
          <cell r="C259">
            <v>1000</v>
          </cell>
        </row>
        <row r="260">
          <cell r="A260">
            <v>424006</v>
          </cell>
          <cell r="B260" t="str">
            <v>忠义书</v>
          </cell>
          <cell r="C260">
            <v>1000</v>
          </cell>
        </row>
        <row r="261">
          <cell r="A261">
            <v>424007</v>
          </cell>
          <cell r="B261" t="str">
            <v>启蒙书</v>
          </cell>
          <cell r="C261">
            <v>150</v>
          </cell>
        </row>
        <row r="262">
          <cell r="A262">
            <v>424008</v>
          </cell>
          <cell r="B262" t="str">
            <v>心灵书</v>
          </cell>
          <cell r="C262">
            <v>50</v>
          </cell>
        </row>
        <row r="263">
          <cell r="A263">
            <v>425001</v>
          </cell>
          <cell r="B263" t="str">
            <v>炸弹果</v>
          </cell>
          <cell r="C263">
            <v>0</v>
          </cell>
        </row>
        <row r="264">
          <cell r="A264">
            <v>425002</v>
          </cell>
          <cell r="B264" t="str">
            <v>精英炸弹果</v>
          </cell>
          <cell r="C264">
            <v>0</v>
          </cell>
        </row>
        <row r="265">
          <cell r="A265">
            <v>426001</v>
          </cell>
          <cell r="B265" t="str">
            <v>魔法戒指</v>
          </cell>
          <cell r="C265">
            <v>2000</v>
          </cell>
        </row>
        <row r="266">
          <cell r="A266">
            <v>427001</v>
          </cell>
          <cell r="B266" t="str">
            <v>魔法项链</v>
          </cell>
          <cell r="C266">
            <v>2500</v>
          </cell>
        </row>
        <row r="267">
          <cell r="A267">
            <v>428001</v>
          </cell>
          <cell r="B267" t="str">
            <v>子弹</v>
          </cell>
          <cell r="C267">
            <v>70</v>
          </cell>
        </row>
        <row r="268">
          <cell r="A268">
            <v>429001</v>
          </cell>
          <cell r="B268" t="str">
            <v>动物生长素</v>
          </cell>
          <cell r="C268">
            <v>10</v>
          </cell>
        </row>
        <row r="269">
          <cell r="A269">
            <v>429002</v>
          </cell>
          <cell r="B269" t="str">
            <v xml:space="preserve">动物促产素 </v>
          </cell>
          <cell r="C269">
            <v>10</v>
          </cell>
        </row>
        <row r="270">
          <cell r="A270">
            <v>429003</v>
          </cell>
          <cell r="B270" t="str">
            <v>动物催肥素</v>
          </cell>
          <cell r="C270">
            <v>10</v>
          </cell>
        </row>
        <row r="271">
          <cell r="A271">
            <v>430001</v>
          </cell>
          <cell r="B271" t="str">
            <v>国王之冠</v>
          </cell>
          <cell r="C271">
            <v>999999</v>
          </cell>
        </row>
        <row r="272">
          <cell r="A272">
            <v>430002</v>
          </cell>
          <cell r="B272" t="str">
            <v>驭龙瓶</v>
          </cell>
          <cell r="C272">
            <v>999999</v>
          </cell>
        </row>
        <row r="273">
          <cell r="A273">
            <v>501001</v>
          </cell>
          <cell r="B273" t="str">
            <v>鸡</v>
          </cell>
          <cell r="C273">
            <v>500</v>
          </cell>
        </row>
        <row r="274">
          <cell r="A274">
            <v>501002</v>
          </cell>
          <cell r="B274" t="str">
            <v>羊</v>
          </cell>
          <cell r="C274">
            <v>1000</v>
          </cell>
        </row>
        <row r="275">
          <cell r="A275">
            <v>501003</v>
          </cell>
          <cell r="B275" t="str">
            <v>牛</v>
          </cell>
          <cell r="C275">
            <v>800</v>
          </cell>
        </row>
        <row r="276">
          <cell r="A276">
            <v>501004</v>
          </cell>
          <cell r="B276" t="str">
            <v>马</v>
          </cell>
          <cell r="C276">
            <v>1000</v>
          </cell>
        </row>
        <row r="277">
          <cell r="A277">
            <v>501005</v>
          </cell>
          <cell r="B277" t="str">
            <v>猪</v>
          </cell>
          <cell r="C277">
            <v>800</v>
          </cell>
        </row>
        <row r="278">
          <cell r="A278">
            <v>501006</v>
          </cell>
          <cell r="B278" t="str">
            <v>驯狼</v>
          </cell>
          <cell r="C278">
            <v>800</v>
          </cell>
        </row>
        <row r="279">
          <cell r="A279">
            <v>502001</v>
          </cell>
          <cell r="B279" t="str">
            <v>鹿</v>
          </cell>
          <cell r="C279">
            <v>1000</v>
          </cell>
        </row>
        <row r="280">
          <cell r="A280">
            <v>502002</v>
          </cell>
          <cell r="B280" t="str">
            <v>野马</v>
          </cell>
          <cell r="C280">
            <v>1000</v>
          </cell>
        </row>
        <row r="281">
          <cell r="A281">
            <v>502003</v>
          </cell>
          <cell r="B281" t="str">
            <v>野猪</v>
          </cell>
          <cell r="C281">
            <v>1000</v>
          </cell>
        </row>
        <row r="282">
          <cell r="A282">
            <v>502004</v>
          </cell>
          <cell r="B282" t="str">
            <v>野狼</v>
          </cell>
          <cell r="C282">
            <v>1000</v>
          </cell>
        </row>
        <row r="283">
          <cell r="A283">
            <v>502005</v>
          </cell>
          <cell r="B283" t="str">
            <v>白鹿</v>
          </cell>
          <cell r="C283">
            <v>1000</v>
          </cell>
        </row>
        <row r="284">
          <cell r="A284">
            <v>502006</v>
          </cell>
          <cell r="B284" t="str">
            <v>梅花鹿</v>
          </cell>
          <cell r="C284">
            <v>1000</v>
          </cell>
        </row>
        <row r="285">
          <cell r="A285">
            <v>503001</v>
          </cell>
          <cell r="B285" t="str">
            <v>猫</v>
          </cell>
          <cell r="C285">
            <v>1000</v>
          </cell>
        </row>
        <row r="286">
          <cell r="A286">
            <v>504001</v>
          </cell>
          <cell r="B286" t="str">
            <v>战马</v>
          </cell>
          <cell r="C286">
            <v>1000</v>
          </cell>
        </row>
        <row r="287">
          <cell r="A287">
            <v>504002</v>
          </cell>
          <cell r="B287" t="str">
            <v>战猪</v>
          </cell>
          <cell r="C287">
            <v>1000</v>
          </cell>
        </row>
        <row r="288">
          <cell r="A288">
            <v>504003</v>
          </cell>
          <cell r="B288" t="str">
            <v>战狼</v>
          </cell>
          <cell r="C288">
            <v>1000</v>
          </cell>
        </row>
        <row r="289">
          <cell r="A289">
            <v>504004</v>
          </cell>
          <cell r="B289" t="str">
            <v>马坐骑</v>
          </cell>
          <cell r="C289">
            <v>1000</v>
          </cell>
        </row>
        <row r="290">
          <cell r="A290">
            <v>504005</v>
          </cell>
          <cell r="B290" t="str">
            <v>猪坐骑</v>
          </cell>
          <cell r="C290">
            <v>1000</v>
          </cell>
        </row>
        <row r="291">
          <cell r="A291">
            <v>504006</v>
          </cell>
          <cell r="B291" t="str">
            <v>狼坐骑</v>
          </cell>
          <cell r="C291">
            <v>1000</v>
          </cell>
        </row>
        <row r="292">
          <cell r="A292">
            <v>504007</v>
          </cell>
          <cell r="B292" t="str">
            <v>骑士马坐骑</v>
          </cell>
          <cell r="C292">
            <v>1000</v>
          </cell>
        </row>
        <row r="293">
          <cell r="A293">
            <v>504008</v>
          </cell>
          <cell r="B293" t="str">
            <v>领主马坐骑</v>
          </cell>
          <cell r="C293">
            <v>1000</v>
          </cell>
        </row>
        <row r="294">
          <cell r="A294">
            <v>504009</v>
          </cell>
          <cell r="B294" t="str">
            <v>皇家骑士坐骑</v>
          </cell>
          <cell r="C294">
            <v>1000</v>
          </cell>
        </row>
        <row r="295">
          <cell r="A295">
            <v>601001</v>
          </cell>
          <cell r="B295" t="str">
            <v>煤</v>
          </cell>
          <cell r="C295">
            <v>5</v>
          </cell>
        </row>
        <row r="296">
          <cell r="A296">
            <v>602001</v>
          </cell>
          <cell r="B296" t="str">
            <v>草药</v>
          </cell>
          <cell r="C296">
            <v>5</v>
          </cell>
        </row>
        <row r="297">
          <cell r="A297">
            <v>602002</v>
          </cell>
          <cell r="B297" t="str">
            <v>生命药水</v>
          </cell>
          <cell r="C297">
            <v>15</v>
          </cell>
        </row>
        <row r="298">
          <cell r="A298">
            <v>602003</v>
          </cell>
          <cell r="B298" t="str">
            <v>生命果实</v>
          </cell>
          <cell r="C298">
            <v>50</v>
          </cell>
        </row>
        <row r="299">
          <cell r="A299">
            <v>602004</v>
          </cell>
          <cell r="B299" t="str">
            <v>忘忧果</v>
          </cell>
          <cell r="C299">
            <v>50</v>
          </cell>
        </row>
        <row r="300">
          <cell r="A300">
            <v>603001</v>
          </cell>
          <cell r="B300" t="str">
            <v>铁锭</v>
          </cell>
          <cell r="C300">
            <v>5</v>
          </cell>
        </row>
        <row r="301">
          <cell r="A301">
            <v>603002</v>
          </cell>
          <cell r="B301" t="str">
            <v>秘银锭</v>
          </cell>
          <cell r="C301">
            <v>100</v>
          </cell>
        </row>
        <row r="302">
          <cell r="A302">
            <v>603003</v>
          </cell>
          <cell r="B302" t="str">
            <v>精金锭</v>
          </cell>
          <cell r="C302">
            <v>100</v>
          </cell>
        </row>
        <row r="303">
          <cell r="A303">
            <v>603004</v>
          </cell>
          <cell r="B303" t="str">
            <v>山铜锭</v>
          </cell>
          <cell r="C303">
            <v>100</v>
          </cell>
        </row>
        <row r="304">
          <cell r="A304">
            <v>604001</v>
          </cell>
          <cell r="B304" t="str">
            <v>原木</v>
          </cell>
          <cell r="C304">
            <v>2</v>
          </cell>
        </row>
        <row r="305">
          <cell r="A305">
            <v>605001</v>
          </cell>
          <cell r="B305" t="str">
            <v>石料</v>
          </cell>
          <cell r="C305">
            <v>4</v>
          </cell>
        </row>
        <row r="306">
          <cell r="A306">
            <v>606001</v>
          </cell>
          <cell r="B306" t="str">
            <v>皮革</v>
          </cell>
          <cell r="C306">
            <v>3</v>
          </cell>
        </row>
        <row r="307">
          <cell r="A307">
            <v>606002</v>
          </cell>
          <cell r="B307" t="str">
            <v>羊毛</v>
          </cell>
          <cell r="C307">
            <v>3</v>
          </cell>
        </row>
        <row r="308">
          <cell r="A308">
            <v>607001</v>
          </cell>
          <cell r="B308" t="str">
            <v>白银</v>
          </cell>
          <cell r="C308">
            <v>100</v>
          </cell>
        </row>
        <row r="309">
          <cell r="A309">
            <v>608001</v>
          </cell>
          <cell r="B309" t="str">
            <v>黄金</v>
          </cell>
          <cell r="C309">
            <v>1000</v>
          </cell>
        </row>
        <row r="310">
          <cell r="A310">
            <v>609001</v>
          </cell>
          <cell r="B310" t="str">
            <v>肥料</v>
          </cell>
          <cell r="C310">
            <v>1</v>
          </cell>
        </row>
        <row r="311">
          <cell r="A311">
            <v>610001</v>
          </cell>
          <cell r="B311" t="str">
            <v>粪便</v>
          </cell>
          <cell r="C311">
            <v>0</v>
          </cell>
        </row>
        <row r="312">
          <cell r="A312">
            <v>610002</v>
          </cell>
          <cell r="B312" t="str">
            <v>腐败食物</v>
          </cell>
          <cell r="C312">
            <v>0</v>
          </cell>
        </row>
        <row r="313">
          <cell r="A313">
            <v>610003</v>
          </cell>
          <cell r="B313" t="str">
            <v>灰烬</v>
          </cell>
          <cell r="C313">
            <v>0</v>
          </cell>
        </row>
        <row r="314">
          <cell r="A314">
            <v>611001</v>
          </cell>
          <cell r="B314" t="str">
            <v>咖啡豆</v>
          </cell>
          <cell r="C314">
            <v>5</v>
          </cell>
        </row>
        <row r="315">
          <cell r="A315">
            <v>611002</v>
          </cell>
          <cell r="B315" t="str">
            <v>可可豆</v>
          </cell>
          <cell r="C315">
            <v>5</v>
          </cell>
        </row>
        <row r="316">
          <cell r="A316">
            <v>611003</v>
          </cell>
          <cell r="B316" t="str">
            <v>甘蔗</v>
          </cell>
          <cell r="C316">
            <v>1</v>
          </cell>
        </row>
        <row r="317">
          <cell r="A317">
            <v>611004</v>
          </cell>
          <cell r="B317" t="str">
            <v>牛奶</v>
          </cell>
          <cell r="C317">
            <v>2</v>
          </cell>
        </row>
        <row r="318">
          <cell r="A318">
            <v>611005</v>
          </cell>
          <cell r="B318" t="str">
            <v>面粉</v>
          </cell>
          <cell r="C318">
            <v>2</v>
          </cell>
        </row>
        <row r="319">
          <cell r="A319">
            <v>612001</v>
          </cell>
          <cell r="B319" t="str">
            <v>红宝石</v>
          </cell>
          <cell r="C319">
            <v>500</v>
          </cell>
        </row>
        <row r="320">
          <cell r="A320">
            <v>612002</v>
          </cell>
          <cell r="B320" t="str">
            <v>蓝宝石</v>
          </cell>
          <cell r="C320">
            <v>500</v>
          </cell>
        </row>
        <row r="321">
          <cell r="A321">
            <v>612003</v>
          </cell>
          <cell r="B321" t="str">
            <v>绿宝石</v>
          </cell>
          <cell r="C321">
            <v>500</v>
          </cell>
        </row>
        <row r="322">
          <cell r="A322">
            <v>613001</v>
          </cell>
          <cell r="B322" t="str">
            <v>金蛋</v>
          </cell>
          <cell r="C322">
            <v>1000</v>
          </cell>
        </row>
        <row r="323">
          <cell r="A323">
            <v>614001</v>
          </cell>
          <cell r="B323" t="str">
            <v>龙涎香</v>
          </cell>
          <cell r="C323">
            <v>800</v>
          </cell>
        </row>
        <row r="324">
          <cell r="A324">
            <v>615001</v>
          </cell>
          <cell r="B324" t="str">
            <v>红宝石碎片</v>
          </cell>
          <cell r="C324">
            <v>50</v>
          </cell>
        </row>
        <row r="325">
          <cell r="A325">
            <v>615002</v>
          </cell>
          <cell r="B325" t="str">
            <v>蓝宝石碎片</v>
          </cell>
          <cell r="C325">
            <v>50</v>
          </cell>
        </row>
        <row r="326">
          <cell r="A326">
            <v>615003</v>
          </cell>
          <cell r="B326" t="str">
            <v>绿宝石碎片</v>
          </cell>
          <cell r="C326">
            <v>50</v>
          </cell>
        </row>
        <row r="327">
          <cell r="A327">
            <v>616001</v>
          </cell>
          <cell r="B327" t="str">
            <v>铁矿</v>
          </cell>
          <cell r="C327">
            <v>2</v>
          </cell>
        </row>
        <row r="328">
          <cell r="A328">
            <v>616002</v>
          </cell>
          <cell r="B328" t="str">
            <v>秘银矿</v>
          </cell>
          <cell r="C328">
            <v>2</v>
          </cell>
        </row>
        <row r="329">
          <cell r="A329">
            <v>616003</v>
          </cell>
          <cell r="B329" t="str">
            <v>精金矿</v>
          </cell>
          <cell r="C329">
            <v>2</v>
          </cell>
        </row>
        <row r="330">
          <cell r="A330">
            <v>616004</v>
          </cell>
          <cell r="B330" t="str">
            <v>山铜矿</v>
          </cell>
          <cell r="C330">
            <v>2</v>
          </cell>
        </row>
        <row r="331">
          <cell r="A331">
            <v>616005</v>
          </cell>
          <cell r="B331" t="str">
            <v>金矿</v>
          </cell>
          <cell r="C331">
            <v>2</v>
          </cell>
        </row>
        <row r="332">
          <cell r="A332">
            <v>616006</v>
          </cell>
          <cell r="B332" t="str">
            <v>银矿</v>
          </cell>
          <cell r="C332">
            <v>2</v>
          </cell>
        </row>
        <row r="333">
          <cell r="A333">
            <v>617001</v>
          </cell>
          <cell r="B333" t="str">
            <v>牧草</v>
          </cell>
          <cell r="C333">
            <v>1</v>
          </cell>
        </row>
        <row r="334">
          <cell r="A334">
            <v>618001</v>
          </cell>
          <cell r="B334" t="str">
            <v>银币</v>
          </cell>
          <cell r="C334">
            <v>1</v>
          </cell>
        </row>
        <row r="335">
          <cell r="A335">
            <v>619001</v>
          </cell>
          <cell r="B335" t="str">
            <v>智慧宝石</v>
          </cell>
          <cell r="C335">
            <v>1000000</v>
          </cell>
        </row>
        <row r="336">
          <cell r="A336">
            <v>620001</v>
          </cell>
          <cell r="B336" t="str">
            <v>史莱姆凝液</v>
          </cell>
          <cell r="C336">
            <v>50</v>
          </cell>
        </row>
        <row r="337">
          <cell r="A337">
            <v>620002</v>
          </cell>
          <cell r="B337" t="str">
            <v>蚁胶</v>
          </cell>
          <cell r="C337">
            <v>25</v>
          </cell>
        </row>
        <row r="338">
          <cell r="A338">
            <v>701001</v>
          </cell>
          <cell r="B338" t="str">
            <v>菜豆种子</v>
          </cell>
          <cell r="C338">
            <v>2000</v>
          </cell>
        </row>
        <row r="339">
          <cell r="A339">
            <v>701002</v>
          </cell>
          <cell r="B339" t="str">
            <v>卷心菜种子</v>
          </cell>
          <cell r="C339">
            <v>10000</v>
          </cell>
        </row>
        <row r="340">
          <cell r="A340">
            <v>701003</v>
          </cell>
          <cell r="B340" t="str">
            <v>辣椒种子</v>
          </cell>
          <cell r="C340">
            <v>6000</v>
          </cell>
        </row>
        <row r="341">
          <cell r="A341">
            <v>701004</v>
          </cell>
          <cell r="B341" t="str">
            <v>南瓜种子</v>
          </cell>
          <cell r="C341">
            <v>20000</v>
          </cell>
        </row>
        <row r="342">
          <cell r="A342">
            <v>701005</v>
          </cell>
          <cell r="B342" t="str">
            <v>笋瓜种子</v>
          </cell>
          <cell r="C342">
            <v>4000</v>
          </cell>
        </row>
        <row r="343">
          <cell r="A343">
            <v>702001</v>
          </cell>
          <cell r="B343" t="str">
            <v>玉米种子</v>
          </cell>
          <cell r="C343">
            <v>10000</v>
          </cell>
        </row>
        <row r="344">
          <cell r="A344">
            <v>702002</v>
          </cell>
          <cell r="B344" t="str">
            <v>土豆种子</v>
          </cell>
          <cell r="C344">
            <v>4000</v>
          </cell>
        </row>
        <row r="345">
          <cell r="A345">
            <v>702003</v>
          </cell>
          <cell r="B345" t="str">
            <v>小麦种子</v>
          </cell>
          <cell r="C345">
            <v>2000</v>
          </cell>
        </row>
        <row r="346">
          <cell r="A346">
            <v>702004</v>
          </cell>
          <cell r="B346" t="str">
            <v>牧草种子</v>
          </cell>
          <cell r="C346">
            <v>2000</v>
          </cell>
        </row>
        <row r="347">
          <cell r="A347">
            <v>703001</v>
          </cell>
          <cell r="B347" t="str">
            <v>苹果树种子</v>
          </cell>
          <cell r="C347">
            <v>2500</v>
          </cell>
        </row>
        <row r="348">
          <cell r="A348">
            <v>703002</v>
          </cell>
          <cell r="B348" t="str">
            <v>樱桃树种子</v>
          </cell>
          <cell r="C348">
            <v>2500</v>
          </cell>
        </row>
        <row r="349">
          <cell r="A349">
            <v>703004</v>
          </cell>
          <cell r="B349" t="str">
            <v>梨树种子</v>
          </cell>
          <cell r="C349">
            <v>2500</v>
          </cell>
        </row>
        <row r="350">
          <cell r="A350">
            <v>703006</v>
          </cell>
          <cell r="B350" t="str">
            <v>梅子树种子</v>
          </cell>
          <cell r="C350">
            <v>2500</v>
          </cell>
        </row>
        <row r="351">
          <cell r="A351">
            <v>703007</v>
          </cell>
          <cell r="B351" t="str">
            <v>核桃树种子</v>
          </cell>
          <cell r="C351">
            <v>2500</v>
          </cell>
        </row>
        <row r="352">
          <cell r="A352">
            <v>704001</v>
          </cell>
          <cell r="B352" t="str">
            <v>蓝星花</v>
          </cell>
          <cell r="C352">
            <v>2500</v>
          </cell>
        </row>
        <row r="353">
          <cell r="A353">
            <v>704002</v>
          </cell>
          <cell r="B353" t="str">
            <v>紫绒花</v>
          </cell>
          <cell r="C353">
            <v>2500</v>
          </cell>
        </row>
        <row r="354">
          <cell r="A354">
            <v>704003</v>
          </cell>
          <cell r="B354" t="str">
            <v>红芯菊</v>
          </cell>
          <cell r="C354">
            <v>2500</v>
          </cell>
        </row>
        <row r="355">
          <cell r="A355">
            <v>704004</v>
          </cell>
          <cell r="B355" t="str">
            <v>青铃花</v>
          </cell>
          <cell r="C355">
            <v>2500</v>
          </cell>
        </row>
        <row r="356">
          <cell r="A356">
            <v>704005</v>
          </cell>
          <cell r="B356" t="str">
            <v>幻彩花</v>
          </cell>
          <cell r="C356">
            <v>2500</v>
          </cell>
        </row>
        <row r="357">
          <cell r="A357">
            <v>704006</v>
          </cell>
          <cell r="B357" t="str">
            <v>晴雨花</v>
          </cell>
          <cell r="C357">
            <v>2500</v>
          </cell>
        </row>
        <row r="358">
          <cell r="A358">
            <v>704007</v>
          </cell>
          <cell r="B358" t="str">
            <v>金盏花</v>
          </cell>
          <cell r="C358">
            <v>2500</v>
          </cell>
        </row>
        <row r="359">
          <cell r="A359">
            <v>704008</v>
          </cell>
          <cell r="B359" t="str">
            <v>玫瑰姫</v>
          </cell>
          <cell r="C359">
            <v>2500</v>
          </cell>
        </row>
        <row r="360">
          <cell r="A360">
            <v>704009</v>
          </cell>
          <cell r="B360" t="str">
            <v>四季玫瑰</v>
          </cell>
          <cell r="C360">
            <v>5000</v>
          </cell>
        </row>
        <row r="361">
          <cell r="A361">
            <v>704010</v>
          </cell>
          <cell r="B361" t="str">
            <v>生命之花</v>
          </cell>
          <cell r="C361">
            <v>5000</v>
          </cell>
        </row>
        <row r="362">
          <cell r="A362">
            <v>704011</v>
          </cell>
          <cell r="B362" t="str">
            <v>忘忧草</v>
          </cell>
          <cell r="C362">
            <v>5000</v>
          </cell>
        </row>
        <row r="363">
          <cell r="A363">
            <v>704012</v>
          </cell>
          <cell r="B363" t="str">
            <v>夏日浆果</v>
          </cell>
          <cell r="C363">
            <v>2500</v>
          </cell>
        </row>
        <row r="364">
          <cell r="A364">
            <v>704013</v>
          </cell>
          <cell r="B364" t="str">
            <v>秋日浆果</v>
          </cell>
          <cell r="C364">
            <v>2500</v>
          </cell>
        </row>
        <row r="365">
          <cell r="A365">
            <v>704014</v>
          </cell>
          <cell r="B365" t="str">
            <v>冬日浆果</v>
          </cell>
          <cell r="C365">
            <v>2500</v>
          </cell>
        </row>
        <row r="366">
          <cell r="A366">
            <v>704015</v>
          </cell>
          <cell r="B366" t="str">
            <v>樟树</v>
          </cell>
          <cell r="C366">
            <v>2500</v>
          </cell>
        </row>
        <row r="367">
          <cell r="A367">
            <v>704016</v>
          </cell>
          <cell r="B367" t="str">
            <v>榕树</v>
          </cell>
          <cell r="C367">
            <v>2500</v>
          </cell>
        </row>
        <row r="368">
          <cell r="A368">
            <v>704017</v>
          </cell>
          <cell r="B368" t="str">
            <v>梧桐</v>
          </cell>
          <cell r="C368">
            <v>2500</v>
          </cell>
        </row>
        <row r="369">
          <cell r="A369">
            <v>704018</v>
          </cell>
          <cell r="B369" t="str">
            <v>松树</v>
          </cell>
          <cell r="C369">
            <v>2500</v>
          </cell>
        </row>
        <row r="370">
          <cell r="A370">
            <v>704019</v>
          </cell>
          <cell r="B370" t="str">
            <v>枫树</v>
          </cell>
          <cell r="C370">
            <v>2500</v>
          </cell>
        </row>
        <row r="371">
          <cell r="A371">
            <v>704020</v>
          </cell>
          <cell r="B371" t="str">
            <v>桦树</v>
          </cell>
          <cell r="C371">
            <v>2500</v>
          </cell>
        </row>
        <row r="372">
          <cell r="A372">
            <v>704021</v>
          </cell>
          <cell r="B372" t="str">
            <v>荧光红蘑菇</v>
          </cell>
          <cell r="C372">
            <v>2500</v>
          </cell>
        </row>
        <row r="373">
          <cell r="A373">
            <v>704022</v>
          </cell>
          <cell r="B373" t="str">
            <v>荧光蓝蘑菇</v>
          </cell>
          <cell r="C373">
            <v>2500</v>
          </cell>
        </row>
        <row r="374">
          <cell r="A374">
            <v>704023</v>
          </cell>
          <cell r="B374" t="str">
            <v>荧光绿蘑菇</v>
          </cell>
          <cell r="C374">
            <v>2500</v>
          </cell>
        </row>
        <row r="375">
          <cell r="A375">
            <v>704024</v>
          </cell>
          <cell r="B375" t="str">
            <v>光亮蘑菇</v>
          </cell>
          <cell r="C375">
            <v>2500</v>
          </cell>
        </row>
        <row r="376">
          <cell r="A376">
            <v>705001</v>
          </cell>
          <cell r="B376" t="str">
            <v>农夫雕像</v>
          </cell>
          <cell r="C376">
            <v>10000</v>
          </cell>
        </row>
        <row r="377">
          <cell r="A377">
            <v>705002</v>
          </cell>
          <cell r="B377" t="str">
            <v>精灵雕像</v>
          </cell>
          <cell r="C377">
            <v>10000</v>
          </cell>
        </row>
        <row r="378">
          <cell r="A378">
            <v>705003</v>
          </cell>
          <cell r="B378" t="str">
            <v>士兵雕像</v>
          </cell>
          <cell r="C378">
            <v>10000</v>
          </cell>
        </row>
        <row r="379">
          <cell r="A379">
            <v>705004</v>
          </cell>
          <cell r="B379" t="str">
            <v>渔夫雕像</v>
          </cell>
          <cell r="C379">
            <v>10000</v>
          </cell>
        </row>
        <row r="380">
          <cell r="A380">
            <v>705005</v>
          </cell>
          <cell r="B380" t="str">
            <v>牧民雕像</v>
          </cell>
          <cell r="C380">
            <v>10000</v>
          </cell>
        </row>
        <row r="381">
          <cell r="A381">
            <v>705006</v>
          </cell>
          <cell r="B381" t="str">
            <v>BUG雕像</v>
          </cell>
          <cell r="C381">
            <v>10000</v>
          </cell>
        </row>
        <row r="382">
          <cell r="A382">
            <v>706001</v>
          </cell>
          <cell r="B382" t="str">
            <v>货船</v>
          </cell>
          <cell r="C382">
            <v>10000</v>
          </cell>
        </row>
        <row r="383">
          <cell r="A383">
            <v>706002</v>
          </cell>
          <cell r="B383" t="str">
            <v>战舰</v>
          </cell>
          <cell r="C383">
            <v>10000</v>
          </cell>
        </row>
        <row r="384">
          <cell r="A384">
            <v>706003</v>
          </cell>
          <cell r="B384" t="str">
            <v>巨型战舰</v>
          </cell>
          <cell r="C384">
            <v>10000</v>
          </cell>
        </row>
        <row r="385">
          <cell r="A385">
            <v>707001</v>
          </cell>
          <cell r="B385" t="str">
            <v>甘蔗种子</v>
          </cell>
          <cell r="C385">
            <v>10000</v>
          </cell>
        </row>
        <row r="386">
          <cell r="A386">
            <v>801001</v>
          </cell>
          <cell r="B386" t="str">
            <v>死亡的鸡</v>
          </cell>
          <cell r="C386">
            <v>0</v>
          </cell>
        </row>
        <row r="387">
          <cell r="A387">
            <v>801002</v>
          </cell>
          <cell r="B387" t="str">
            <v>死亡的羊</v>
          </cell>
          <cell r="C387">
            <v>0</v>
          </cell>
        </row>
        <row r="388">
          <cell r="A388">
            <v>801003</v>
          </cell>
          <cell r="B388" t="str">
            <v>死亡的牛</v>
          </cell>
          <cell r="C388">
            <v>0</v>
          </cell>
        </row>
        <row r="389">
          <cell r="A389">
            <v>801004</v>
          </cell>
          <cell r="B389" t="str">
            <v>死亡的马</v>
          </cell>
          <cell r="C389">
            <v>0</v>
          </cell>
        </row>
        <row r="390">
          <cell r="A390">
            <v>801005</v>
          </cell>
          <cell r="B390" t="str">
            <v>死亡的猪</v>
          </cell>
          <cell r="C390">
            <v>0</v>
          </cell>
        </row>
        <row r="391">
          <cell r="A391">
            <v>801006</v>
          </cell>
          <cell r="B391" t="str">
            <v>死亡的狼</v>
          </cell>
          <cell r="C391">
            <v>0</v>
          </cell>
        </row>
        <row r="392">
          <cell r="A392">
            <v>801007</v>
          </cell>
          <cell r="B392" t="str">
            <v>死亡的鹿</v>
          </cell>
          <cell r="C392">
            <v>0</v>
          </cell>
        </row>
        <row r="393">
          <cell r="A393">
            <v>801008</v>
          </cell>
          <cell r="B393" t="str">
            <v>死亡的白鹿</v>
          </cell>
          <cell r="C393">
            <v>0</v>
          </cell>
        </row>
        <row r="394">
          <cell r="A394">
            <v>801009</v>
          </cell>
          <cell r="B394" t="str">
            <v>死亡的梅花鹿</v>
          </cell>
          <cell r="C394">
            <v>0</v>
          </cell>
        </row>
        <row r="395">
          <cell r="A395">
            <v>802001</v>
          </cell>
          <cell r="B395" t="str">
            <v>种子商人贸易船</v>
          </cell>
          <cell r="C395">
            <v>0</v>
          </cell>
        </row>
        <row r="396">
          <cell r="A396">
            <v>802002</v>
          </cell>
          <cell r="B396" t="str">
            <v>食品商人贸易船</v>
          </cell>
          <cell r="C396">
            <v>0</v>
          </cell>
        </row>
        <row r="397">
          <cell r="A397">
            <v>802003</v>
          </cell>
          <cell r="B397" t="str">
            <v>杂货商人贸易船</v>
          </cell>
          <cell r="C397">
            <v>0</v>
          </cell>
        </row>
        <row r="398">
          <cell r="A398">
            <v>802004</v>
          </cell>
          <cell r="B398" t="str">
            <v>牲畜商人贸易船</v>
          </cell>
          <cell r="C398">
            <v>0</v>
          </cell>
        </row>
        <row r="399">
          <cell r="A399">
            <v>802005</v>
          </cell>
          <cell r="B399" t="str">
            <v>代购商人贸易船</v>
          </cell>
          <cell r="C399">
            <v>0</v>
          </cell>
        </row>
        <row r="400">
          <cell r="A400">
            <v>803001</v>
          </cell>
          <cell r="B400" t="str">
            <v>水</v>
          </cell>
          <cell r="C400">
            <v>0</v>
          </cell>
        </row>
        <row r="401">
          <cell r="A401">
            <v>804001</v>
          </cell>
          <cell r="B401" t="str">
            <v>尸体</v>
          </cell>
          <cell r="C401">
            <v>0</v>
          </cell>
        </row>
        <row r="402">
          <cell r="A402">
            <v>805001</v>
          </cell>
          <cell r="B402" t="str">
            <v>大鱼</v>
          </cell>
          <cell r="C402">
            <v>0</v>
          </cell>
        </row>
        <row r="403">
          <cell r="A403">
            <v>806001</v>
          </cell>
          <cell r="B403" t="str">
            <v>种子商人</v>
          </cell>
          <cell r="C403">
            <v>0</v>
          </cell>
        </row>
        <row r="404">
          <cell r="A404">
            <v>806002</v>
          </cell>
          <cell r="B404" t="str">
            <v>食品商人</v>
          </cell>
          <cell r="C404">
            <v>0</v>
          </cell>
        </row>
        <row r="405">
          <cell r="A405">
            <v>806003</v>
          </cell>
          <cell r="B405" t="str">
            <v>杂货商人</v>
          </cell>
          <cell r="C405">
            <v>0</v>
          </cell>
        </row>
        <row r="406">
          <cell r="A406">
            <v>806004</v>
          </cell>
          <cell r="B406" t="str">
            <v>牲畜商人</v>
          </cell>
          <cell r="C406">
            <v>0</v>
          </cell>
        </row>
        <row r="407">
          <cell r="A407">
            <v>806005</v>
          </cell>
          <cell r="B407" t="str">
            <v>两轮马车</v>
          </cell>
          <cell r="C407">
            <v>0</v>
          </cell>
        </row>
        <row r="408">
          <cell r="A408">
            <v>806006</v>
          </cell>
          <cell r="B408" t="str">
            <v>四轮马车</v>
          </cell>
          <cell r="C408">
            <v>0</v>
          </cell>
        </row>
        <row r="409">
          <cell r="A409">
            <v>807001</v>
          </cell>
          <cell r="B409" t="str">
            <v>马战车</v>
          </cell>
          <cell r="C409">
            <v>5000</v>
          </cell>
        </row>
        <row r="410">
          <cell r="A410">
            <v>807002</v>
          </cell>
          <cell r="B410" t="str">
            <v>狼战车</v>
          </cell>
          <cell r="C410">
            <v>5000</v>
          </cell>
        </row>
        <row r="411">
          <cell r="A411">
            <v>807003</v>
          </cell>
          <cell r="B411" t="str">
            <v>猪战车</v>
          </cell>
          <cell r="C411">
            <v>5000</v>
          </cell>
        </row>
        <row r="412">
          <cell r="A412">
            <v>808001</v>
          </cell>
          <cell r="B412" t="str">
            <v>???</v>
          </cell>
          <cell r="C412">
            <v>0</v>
          </cell>
        </row>
        <row r="413">
          <cell r="A413">
            <v>809001</v>
          </cell>
          <cell r="B413" t="str">
            <v>鼻涕</v>
          </cell>
          <cell r="C413">
            <v>0</v>
          </cell>
        </row>
        <row r="414">
          <cell r="A414">
            <v>810001</v>
          </cell>
          <cell r="B414" t="str">
            <v>宝藏标记</v>
          </cell>
          <cell r="C414">
            <v>0</v>
          </cell>
        </row>
        <row r="415">
          <cell r="A415">
            <v>810002</v>
          </cell>
          <cell r="B415" t="str">
            <v>宝箱</v>
          </cell>
          <cell r="C415">
            <v>0</v>
          </cell>
        </row>
        <row r="416">
          <cell r="A416">
            <v>811001</v>
          </cell>
          <cell r="B416" t="str">
            <v>生命之力</v>
          </cell>
          <cell r="C416">
            <v>0</v>
          </cell>
        </row>
        <row r="417">
          <cell r="A417">
            <v>812000</v>
          </cell>
          <cell r="B417" t="str">
            <v>矮人</v>
          </cell>
          <cell r="C417">
            <v>0</v>
          </cell>
        </row>
        <row r="418">
          <cell r="A418">
            <v>812001</v>
          </cell>
          <cell r="B418" t="str">
            <v>蚁人</v>
          </cell>
          <cell r="C418">
            <v>0</v>
          </cell>
        </row>
        <row r="419">
          <cell r="A419">
            <v>812002</v>
          </cell>
          <cell r="B419" t="str">
            <v>鼠人</v>
          </cell>
          <cell r="C419">
            <v>0</v>
          </cell>
        </row>
        <row r="420">
          <cell r="A420">
            <v>812003</v>
          </cell>
          <cell r="B420" t="str">
            <v>猫人</v>
          </cell>
          <cell r="C420">
            <v>0</v>
          </cell>
        </row>
        <row r="421">
          <cell r="A421">
            <v>812004</v>
          </cell>
          <cell r="B421" t="str">
            <v>羊人</v>
          </cell>
          <cell r="C421">
            <v>0</v>
          </cell>
        </row>
        <row r="422">
          <cell r="A422">
            <v>812005</v>
          </cell>
          <cell r="B422" t="str">
            <v>狼人</v>
          </cell>
          <cell r="C422">
            <v>0</v>
          </cell>
        </row>
        <row r="423">
          <cell r="A423">
            <v>812006</v>
          </cell>
          <cell r="B423" t="str">
            <v>猪人</v>
          </cell>
          <cell r="C423">
            <v>0</v>
          </cell>
        </row>
        <row r="424">
          <cell r="A424">
            <v>812007</v>
          </cell>
          <cell r="B424" t="str">
            <v>精灵族</v>
          </cell>
          <cell r="C424">
            <v>0</v>
          </cell>
        </row>
        <row r="425">
          <cell r="A425">
            <v>812008</v>
          </cell>
          <cell r="B425" t="str">
            <v>三眼人</v>
          </cell>
          <cell r="C425">
            <v>0</v>
          </cell>
        </row>
        <row r="426">
          <cell r="A426">
            <v>812009</v>
          </cell>
          <cell r="B426" t="str">
            <v>蜥蜴人</v>
          </cell>
          <cell r="C426">
            <v>0</v>
          </cell>
        </row>
        <row r="427">
          <cell r="A427">
            <v>813001</v>
          </cell>
          <cell r="B427" t="str">
            <v>蜜糖派对</v>
          </cell>
          <cell r="C427">
            <v>0</v>
          </cell>
        </row>
        <row r="428">
          <cell r="A428">
            <v>813002</v>
          </cell>
          <cell r="B428" t="str">
            <v>药茶品鉴会</v>
          </cell>
          <cell r="C428">
            <v>0</v>
          </cell>
        </row>
        <row r="429">
          <cell r="A429">
            <v>813003</v>
          </cell>
          <cell r="B429" t="str">
            <v>水果蔬菜沙龙</v>
          </cell>
          <cell r="C429">
            <v>0</v>
          </cell>
        </row>
        <row r="430">
          <cell r="A430">
            <v>813004</v>
          </cell>
          <cell r="B430" t="str">
            <v>酒神狂欢节</v>
          </cell>
          <cell r="C430">
            <v>0</v>
          </cell>
        </row>
        <row r="431">
          <cell r="A431">
            <v>813005</v>
          </cell>
          <cell r="B431" t="str">
            <v>黑暗料理派对</v>
          </cell>
          <cell r="C431">
            <v>0</v>
          </cell>
        </row>
        <row r="432">
          <cell r="A432">
            <v>813006</v>
          </cell>
          <cell r="B432" t="str">
            <v>鱼肉生鲜派对</v>
          </cell>
          <cell r="C432">
            <v>0</v>
          </cell>
        </row>
        <row r="433">
          <cell r="A433">
            <v>813007</v>
          </cell>
          <cell r="B433" t="str">
            <v>宝石品鉴会</v>
          </cell>
          <cell r="C433">
            <v>0</v>
          </cell>
        </row>
        <row r="434">
          <cell r="A434">
            <v>813008</v>
          </cell>
          <cell r="B434" t="str">
            <v>文化研讨会</v>
          </cell>
          <cell r="C434">
            <v>0</v>
          </cell>
        </row>
        <row r="435">
          <cell r="A435">
            <v>813009</v>
          </cell>
          <cell r="B435" t="str">
            <v>贵族派对</v>
          </cell>
          <cell r="C435">
            <v>0</v>
          </cell>
        </row>
        <row r="436">
          <cell r="A436">
            <v>814001</v>
          </cell>
          <cell r="B436" t="str">
            <v>青青草原</v>
          </cell>
          <cell r="C436">
            <v>0</v>
          </cell>
        </row>
        <row r="437">
          <cell r="A437">
            <v>814002</v>
          </cell>
          <cell r="B437" t="str">
            <v>北部森林</v>
          </cell>
          <cell r="C437">
            <v>0</v>
          </cell>
        </row>
        <row r="438">
          <cell r="A438">
            <v>814003</v>
          </cell>
          <cell r="B438" t="str">
            <v>无人荒野</v>
          </cell>
          <cell r="C438">
            <v>0</v>
          </cell>
        </row>
        <row r="439">
          <cell r="A439">
            <v>814004</v>
          </cell>
          <cell r="B439" t="str">
            <v>黄昏森林</v>
          </cell>
          <cell r="C439">
            <v>0</v>
          </cell>
        </row>
        <row r="440">
          <cell r="A440">
            <v>814005</v>
          </cell>
          <cell r="B440" t="str">
            <v>野蛮荒野</v>
          </cell>
          <cell r="C440">
            <v>0</v>
          </cell>
        </row>
        <row r="441">
          <cell r="A441">
            <v>814006</v>
          </cell>
          <cell r="B441" t="str">
            <v>迷雾山峰</v>
          </cell>
          <cell r="C441">
            <v>0</v>
          </cell>
        </row>
        <row r="442">
          <cell r="A442">
            <v>814007</v>
          </cell>
          <cell r="B442" t="str">
            <v>滨海平原</v>
          </cell>
          <cell r="C442">
            <v>0</v>
          </cell>
        </row>
        <row r="443">
          <cell r="A443">
            <v>814008</v>
          </cell>
          <cell r="B443" t="str">
            <v>恶魔海角</v>
          </cell>
          <cell r="C443">
            <v>0</v>
          </cell>
        </row>
        <row r="444">
          <cell r="A444">
            <v>814009</v>
          </cell>
          <cell r="B444" t="str">
            <v>龙之平原</v>
          </cell>
          <cell r="C444">
            <v>0</v>
          </cell>
        </row>
        <row r="445">
          <cell r="A445">
            <v>814010</v>
          </cell>
          <cell r="B445" t="str">
            <v>龙之峡谷</v>
          </cell>
          <cell r="C445">
            <v>0</v>
          </cell>
        </row>
        <row r="446">
          <cell r="A446">
            <v>815001</v>
          </cell>
          <cell r="B446" t="str">
            <v>龙魂石</v>
          </cell>
          <cell r="C446">
            <v>20000</v>
          </cell>
        </row>
        <row r="447">
          <cell r="A447">
            <v>815002</v>
          </cell>
          <cell r="B447" t="str">
            <v>龙鳞</v>
          </cell>
          <cell r="C447">
            <v>20000</v>
          </cell>
        </row>
        <row r="448">
          <cell r="A448">
            <v>815003</v>
          </cell>
          <cell r="B448" t="str">
            <v>龙晶</v>
          </cell>
          <cell r="C448">
            <v>20000</v>
          </cell>
        </row>
        <row r="449">
          <cell r="A449">
            <v>815004</v>
          </cell>
          <cell r="B449" t="str">
            <v>龙髓</v>
          </cell>
          <cell r="C449">
            <v>20000</v>
          </cell>
        </row>
        <row r="450">
          <cell r="A450">
            <v>815005</v>
          </cell>
          <cell r="B450" t="str">
            <v>龙蕊</v>
          </cell>
          <cell r="C450">
            <v>20000</v>
          </cell>
        </row>
        <row r="451">
          <cell r="A451">
            <v>901001</v>
          </cell>
          <cell r="B451" t="str">
            <v>一神教</v>
          </cell>
          <cell r="C451">
            <v>0</v>
          </cell>
        </row>
        <row r="452">
          <cell r="A452">
            <v>901002</v>
          </cell>
          <cell r="B452" t="str">
            <v>仁义道</v>
          </cell>
          <cell r="C452">
            <v>0</v>
          </cell>
        </row>
        <row r="453">
          <cell r="A453">
            <v>901004</v>
          </cell>
          <cell r="B453" t="str">
            <v>萨满教</v>
          </cell>
          <cell r="C453">
            <v>0</v>
          </cell>
        </row>
        <row r="454">
          <cell r="A454">
            <v>902002</v>
          </cell>
          <cell r="B454" t="str">
            <v>登山技术</v>
          </cell>
          <cell r="C454">
            <v>2000</v>
          </cell>
        </row>
        <row r="455">
          <cell r="A455">
            <v>902003</v>
          </cell>
          <cell r="B455" t="str">
            <v>石匠技术</v>
          </cell>
          <cell r="C455">
            <v>500</v>
          </cell>
        </row>
        <row r="456">
          <cell r="A456">
            <v>902004</v>
          </cell>
          <cell r="B456" t="str">
            <v>周转箱</v>
          </cell>
          <cell r="C456">
            <v>1000</v>
          </cell>
        </row>
        <row r="457">
          <cell r="A457">
            <v>902005</v>
          </cell>
          <cell r="B457" t="str">
            <v>贸易</v>
          </cell>
          <cell r="C457">
            <v>1000</v>
          </cell>
        </row>
        <row r="458">
          <cell r="A458">
            <v>902007</v>
          </cell>
          <cell r="B458" t="str">
            <v>酿酒</v>
          </cell>
          <cell r="C458">
            <v>500</v>
          </cell>
        </row>
        <row r="459">
          <cell r="A459">
            <v>902008</v>
          </cell>
          <cell r="B459" t="str">
            <v>教育</v>
          </cell>
          <cell r="C459">
            <v>1000</v>
          </cell>
        </row>
        <row r="460">
          <cell r="A460">
            <v>902009</v>
          </cell>
          <cell r="B460" t="str">
            <v>文化信仰</v>
          </cell>
          <cell r="C460">
            <v>2000</v>
          </cell>
        </row>
        <row r="461">
          <cell r="A461">
            <v>902010</v>
          </cell>
          <cell r="B461" t="str">
            <v>医疗</v>
          </cell>
          <cell r="C461">
            <v>1500</v>
          </cell>
        </row>
        <row r="462">
          <cell r="A462">
            <v>902011</v>
          </cell>
          <cell r="B462" t="str">
            <v>制药</v>
          </cell>
          <cell r="C462">
            <v>1500</v>
          </cell>
        </row>
        <row r="463">
          <cell r="A463">
            <v>902012</v>
          </cell>
          <cell r="B463" t="str">
            <v>轮伐护林</v>
          </cell>
          <cell r="C463">
            <v>500</v>
          </cell>
        </row>
        <row r="464">
          <cell r="A464">
            <v>902013</v>
          </cell>
          <cell r="B464" t="str">
            <v>手工制造</v>
          </cell>
          <cell r="C464">
            <v>500</v>
          </cell>
        </row>
        <row r="465">
          <cell r="A465">
            <v>902014</v>
          </cell>
          <cell r="B465" t="str">
            <v>地下采矿</v>
          </cell>
          <cell r="C465">
            <v>2000</v>
          </cell>
        </row>
        <row r="466">
          <cell r="A466">
            <v>902015</v>
          </cell>
          <cell r="B466" t="str">
            <v>地下采石</v>
          </cell>
          <cell r="C466">
            <v>2000</v>
          </cell>
        </row>
        <row r="467">
          <cell r="A467">
            <v>902016</v>
          </cell>
          <cell r="B467" t="str">
            <v>福利事业</v>
          </cell>
          <cell r="C467">
            <v>2000</v>
          </cell>
        </row>
        <row r="468">
          <cell r="A468">
            <v>902017</v>
          </cell>
          <cell r="B468" t="str">
            <v>水井</v>
          </cell>
          <cell r="C468">
            <v>2000</v>
          </cell>
        </row>
        <row r="469">
          <cell r="A469">
            <v>902018</v>
          </cell>
          <cell r="B469" t="str">
            <v>施肥增产</v>
          </cell>
          <cell r="C469">
            <v>2000</v>
          </cell>
        </row>
        <row r="470">
          <cell r="A470">
            <v>902019</v>
          </cell>
          <cell r="B470" t="str">
            <v>成片播种</v>
          </cell>
          <cell r="C470">
            <v>2000</v>
          </cell>
        </row>
        <row r="471">
          <cell r="A471">
            <v>902020</v>
          </cell>
          <cell r="B471" t="str">
            <v>成片浇水</v>
          </cell>
          <cell r="C471">
            <v>2000</v>
          </cell>
        </row>
        <row r="472">
          <cell r="A472">
            <v>902021</v>
          </cell>
          <cell r="B472" t="str">
            <v>成片收割</v>
          </cell>
          <cell r="C472">
            <v>2000</v>
          </cell>
        </row>
        <row r="473">
          <cell r="A473">
            <v>902022</v>
          </cell>
          <cell r="B473" t="str">
            <v>采集</v>
          </cell>
          <cell r="C473">
            <v>2000</v>
          </cell>
        </row>
        <row r="474">
          <cell r="A474">
            <v>902023</v>
          </cell>
          <cell r="B474" t="str">
            <v>捕兽夹</v>
          </cell>
          <cell r="C474">
            <v>2000</v>
          </cell>
        </row>
        <row r="475">
          <cell r="A475">
            <v>902024</v>
          </cell>
          <cell r="B475" t="str">
            <v>蟹笼</v>
          </cell>
          <cell r="C475">
            <v>2000</v>
          </cell>
        </row>
        <row r="476">
          <cell r="A476">
            <v>902025</v>
          </cell>
          <cell r="B476" t="str">
            <v>军事</v>
          </cell>
          <cell r="C476">
            <v>2000</v>
          </cell>
        </row>
        <row r="477">
          <cell r="A477">
            <v>902032</v>
          </cell>
          <cell r="B477" t="str">
            <v>一神教思想</v>
          </cell>
          <cell r="C477">
            <v>2000</v>
          </cell>
        </row>
        <row r="478">
          <cell r="A478">
            <v>902033</v>
          </cell>
          <cell r="B478" t="str">
            <v>仁义道思想</v>
          </cell>
          <cell r="C478">
            <v>2000</v>
          </cell>
        </row>
        <row r="479">
          <cell r="A479">
            <v>902034</v>
          </cell>
          <cell r="B479" t="str">
            <v>狩猎</v>
          </cell>
          <cell r="C479">
            <v>2000</v>
          </cell>
        </row>
        <row r="480">
          <cell r="A480">
            <v>902035</v>
          </cell>
          <cell r="B480" t="str">
            <v>捕鱼</v>
          </cell>
          <cell r="C480">
            <v>2000</v>
          </cell>
        </row>
        <row r="481">
          <cell r="A481">
            <v>902036</v>
          </cell>
          <cell r="B481" t="str">
            <v>农田</v>
          </cell>
          <cell r="C481">
            <v>2000</v>
          </cell>
        </row>
        <row r="482">
          <cell r="A482">
            <v>902037</v>
          </cell>
          <cell r="B482" t="str">
            <v>养殖</v>
          </cell>
          <cell r="C482">
            <v>2000</v>
          </cell>
        </row>
        <row r="483">
          <cell r="A483">
            <v>902038</v>
          </cell>
          <cell r="B483" t="str">
            <v>养蜂</v>
          </cell>
          <cell r="C483">
            <v>2000</v>
          </cell>
        </row>
        <row r="484">
          <cell r="A484">
            <v>902039</v>
          </cell>
          <cell r="B484" t="str">
            <v>盆栽</v>
          </cell>
          <cell r="C484">
            <v>2000</v>
          </cell>
        </row>
        <row r="485">
          <cell r="A485">
            <v>902049</v>
          </cell>
          <cell r="B485" t="str">
            <v>普通武器</v>
          </cell>
          <cell r="C485">
            <v>2000</v>
          </cell>
        </row>
        <row r="486">
          <cell r="A486">
            <v>902026</v>
          </cell>
          <cell r="B486" t="str">
            <v>优良武器</v>
          </cell>
          <cell r="C486">
            <v>2000</v>
          </cell>
        </row>
        <row r="487">
          <cell r="A487">
            <v>902029</v>
          </cell>
          <cell r="B487" t="str">
            <v>高级武器</v>
          </cell>
          <cell r="C487">
            <v>2000</v>
          </cell>
        </row>
        <row r="488">
          <cell r="A488">
            <v>902040</v>
          </cell>
          <cell r="B488" t="str">
            <v>稀有武器</v>
          </cell>
          <cell r="C488">
            <v>2000</v>
          </cell>
        </row>
        <row r="489">
          <cell r="A489">
            <v>902043</v>
          </cell>
          <cell r="B489" t="str">
            <v>特殊武器</v>
          </cell>
          <cell r="C489">
            <v>2000</v>
          </cell>
        </row>
        <row r="490">
          <cell r="A490">
            <v>902046</v>
          </cell>
          <cell r="B490" t="str">
            <v>极品武器</v>
          </cell>
          <cell r="C490">
            <v>2000</v>
          </cell>
        </row>
        <row r="491">
          <cell r="A491">
            <v>902068</v>
          </cell>
          <cell r="B491" t="str">
            <v>传说武器</v>
          </cell>
          <cell r="C491">
            <v>2000</v>
          </cell>
        </row>
        <row r="492">
          <cell r="A492">
            <v>902071</v>
          </cell>
          <cell r="B492" t="str">
            <v>史诗武器</v>
          </cell>
          <cell r="C492">
            <v>2000</v>
          </cell>
        </row>
        <row r="493">
          <cell r="A493">
            <v>902050</v>
          </cell>
          <cell r="B493" t="str">
            <v>普通盔甲</v>
          </cell>
          <cell r="C493">
            <v>2000</v>
          </cell>
        </row>
        <row r="494">
          <cell r="A494">
            <v>902027</v>
          </cell>
          <cell r="B494" t="str">
            <v>优良盔甲</v>
          </cell>
          <cell r="C494">
            <v>2000</v>
          </cell>
        </row>
        <row r="495">
          <cell r="A495">
            <v>902030</v>
          </cell>
          <cell r="B495" t="str">
            <v>高级盔甲</v>
          </cell>
          <cell r="C495">
            <v>2000</v>
          </cell>
        </row>
        <row r="496">
          <cell r="A496">
            <v>902041</v>
          </cell>
          <cell r="B496" t="str">
            <v>稀有盔甲</v>
          </cell>
          <cell r="C496">
            <v>2000</v>
          </cell>
        </row>
        <row r="497">
          <cell r="A497">
            <v>902044</v>
          </cell>
          <cell r="B497" t="str">
            <v>特殊盔甲</v>
          </cell>
          <cell r="C497">
            <v>2000</v>
          </cell>
        </row>
        <row r="498">
          <cell r="A498">
            <v>902047</v>
          </cell>
          <cell r="B498" t="str">
            <v>极品盔甲</v>
          </cell>
          <cell r="C498">
            <v>2000</v>
          </cell>
        </row>
        <row r="499">
          <cell r="A499">
            <v>902069</v>
          </cell>
          <cell r="B499" t="str">
            <v>传说盔甲</v>
          </cell>
          <cell r="C499">
            <v>2000</v>
          </cell>
        </row>
        <row r="500">
          <cell r="A500">
            <v>902072</v>
          </cell>
          <cell r="B500" t="str">
            <v>史诗盔甲</v>
          </cell>
          <cell r="C500">
            <v>2000</v>
          </cell>
        </row>
        <row r="501">
          <cell r="A501">
            <v>902051</v>
          </cell>
          <cell r="B501" t="str">
            <v>普通盾牌</v>
          </cell>
          <cell r="C501">
            <v>2000</v>
          </cell>
        </row>
        <row r="502">
          <cell r="A502">
            <v>902028</v>
          </cell>
          <cell r="B502" t="str">
            <v>优良盾牌</v>
          </cell>
          <cell r="C502">
            <v>2000</v>
          </cell>
        </row>
        <row r="503">
          <cell r="A503">
            <v>902031</v>
          </cell>
          <cell r="B503" t="str">
            <v>高级盾牌</v>
          </cell>
          <cell r="C503">
            <v>2000</v>
          </cell>
        </row>
        <row r="504">
          <cell r="A504">
            <v>902042</v>
          </cell>
          <cell r="B504" t="str">
            <v>稀有盾牌</v>
          </cell>
          <cell r="C504">
            <v>2000</v>
          </cell>
        </row>
        <row r="505">
          <cell r="A505">
            <v>902045</v>
          </cell>
          <cell r="B505" t="str">
            <v>特殊盾牌</v>
          </cell>
          <cell r="C505">
            <v>2000</v>
          </cell>
        </row>
        <row r="506">
          <cell r="A506">
            <v>902048</v>
          </cell>
          <cell r="B506" t="str">
            <v>极品盾牌</v>
          </cell>
          <cell r="C506">
            <v>2000</v>
          </cell>
        </row>
        <row r="507">
          <cell r="A507">
            <v>902070</v>
          </cell>
          <cell r="B507" t="str">
            <v>传说盾牌</v>
          </cell>
          <cell r="C507">
            <v>2000</v>
          </cell>
        </row>
        <row r="508">
          <cell r="A508">
            <v>902073</v>
          </cell>
          <cell r="B508" t="str">
            <v>史诗盾牌</v>
          </cell>
          <cell r="C508">
            <v>2000</v>
          </cell>
        </row>
        <row r="509">
          <cell r="A509">
            <v>902052</v>
          </cell>
          <cell r="B509" t="str">
            <v>锻造</v>
          </cell>
          <cell r="C509">
            <v>2000</v>
          </cell>
        </row>
        <row r="510">
          <cell r="A510">
            <v>902053</v>
          </cell>
          <cell r="B510" t="str">
            <v>弓矢</v>
          </cell>
          <cell r="C510">
            <v>2000</v>
          </cell>
        </row>
        <row r="511">
          <cell r="A511">
            <v>902054</v>
          </cell>
          <cell r="B511" t="str">
            <v>弩机</v>
          </cell>
          <cell r="C511">
            <v>2000</v>
          </cell>
        </row>
        <row r="512">
          <cell r="A512">
            <v>902055</v>
          </cell>
          <cell r="B512" t="str">
            <v>盾牌</v>
          </cell>
          <cell r="C512">
            <v>2000</v>
          </cell>
        </row>
        <row r="513">
          <cell r="A513">
            <v>902056</v>
          </cell>
          <cell r="B513" t="str">
            <v>巨盾</v>
          </cell>
          <cell r="C513">
            <v>2000</v>
          </cell>
        </row>
        <row r="514">
          <cell r="A514">
            <v>902057</v>
          </cell>
          <cell r="B514" t="str">
            <v>骑射</v>
          </cell>
          <cell r="C514">
            <v>2000</v>
          </cell>
        </row>
        <row r="515">
          <cell r="A515">
            <v>902059</v>
          </cell>
          <cell r="B515" t="str">
            <v>人伦书</v>
          </cell>
          <cell r="C515">
            <v>2000</v>
          </cell>
        </row>
        <row r="516">
          <cell r="A516">
            <v>902060</v>
          </cell>
          <cell r="B516" t="str">
            <v>轮回书</v>
          </cell>
          <cell r="C516">
            <v>2000</v>
          </cell>
        </row>
        <row r="517">
          <cell r="A517">
            <v>902061</v>
          </cell>
          <cell r="B517" t="str">
            <v>货架</v>
          </cell>
          <cell r="C517">
            <v>1000</v>
          </cell>
        </row>
        <row r="518">
          <cell r="A518">
            <v>902063</v>
          </cell>
          <cell r="B518" t="str">
            <v>填水造陆</v>
          </cell>
          <cell r="C518">
            <v>1000</v>
          </cell>
        </row>
        <row r="519">
          <cell r="A519">
            <v>902064</v>
          </cell>
          <cell r="B519" t="str">
            <v>开挖河道</v>
          </cell>
          <cell r="C519">
            <v>1000</v>
          </cell>
        </row>
        <row r="520">
          <cell r="A520">
            <v>902065</v>
          </cell>
          <cell r="B520" t="str">
            <v>边境贸易</v>
          </cell>
          <cell r="C520">
            <v>1000</v>
          </cell>
        </row>
        <row r="521">
          <cell r="A521">
            <v>902066</v>
          </cell>
          <cell r="B521" t="str">
            <v>马车运输</v>
          </cell>
          <cell r="C521">
            <v>1000</v>
          </cell>
        </row>
        <row r="522">
          <cell r="A522">
            <v>902074</v>
          </cell>
          <cell r="B522" t="str">
            <v>牢房</v>
          </cell>
          <cell r="C522">
            <v>2000</v>
          </cell>
        </row>
        <row r="523">
          <cell r="A523">
            <v>902075</v>
          </cell>
          <cell r="B523" t="str">
            <v>壁炉</v>
          </cell>
          <cell r="C523">
            <v>500</v>
          </cell>
        </row>
        <row r="524">
          <cell r="A524">
            <v>902077</v>
          </cell>
          <cell r="B524" t="str">
            <v>个人意识</v>
          </cell>
          <cell r="C524">
            <v>500</v>
          </cell>
        </row>
        <row r="525">
          <cell r="A525">
            <v>902078</v>
          </cell>
          <cell r="B525" t="str">
            <v>灵感</v>
          </cell>
          <cell r="C525">
            <v>500</v>
          </cell>
        </row>
        <row r="526">
          <cell r="A526">
            <v>902080</v>
          </cell>
          <cell r="B526" t="str">
            <v>勇气</v>
          </cell>
          <cell r="C526">
            <v>500</v>
          </cell>
        </row>
        <row r="527">
          <cell r="A527">
            <v>902081</v>
          </cell>
          <cell r="B527" t="str">
            <v>自由恋爱</v>
          </cell>
          <cell r="C527">
            <v>500</v>
          </cell>
        </row>
        <row r="528">
          <cell r="A528">
            <v>902082</v>
          </cell>
          <cell r="B528" t="str">
            <v>惩罚制度</v>
          </cell>
          <cell r="C528">
            <v>500</v>
          </cell>
        </row>
        <row r="529">
          <cell r="A529">
            <v>902083</v>
          </cell>
          <cell r="B529" t="str">
            <v>奖励制度</v>
          </cell>
          <cell r="C529">
            <v>500</v>
          </cell>
        </row>
        <row r="530">
          <cell r="A530">
            <v>902084</v>
          </cell>
          <cell r="B530" t="str">
            <v>怪物驯化</v>
          </cell>
          <cell r="C530">
            <v>500</v>
          </cell>
        </row>
        <row r="531">
          <cell r="A531">
            <v>902085</v>
          </cell>
          <cell r="B531" t="str">
            <v>农夫雕像</v>
          </cell>
          <cell r="C531">
            <v>500</v>
          </cell>
        </row>
        <row r="532">
          <cell r="A532">
            <v>902086</v>
          </cell>
          <cell r="B532" t="str">
            <v>精灵雕像</v>
          </cell>
          <cell r="C532">
            <v>500</v>
          </cell>
        </row>
        <row r="533">
          <cell r="A533">
            <v>902087</v>
          </cell>
          <cell r="B533" t="str">
            <v>士兵雕像</v>
          </cell>
          <cell r="C533">
            <v>500</v>
          </cell>
        </row>
        <row r="534">
          <cell r="A534">
            <v>902088</v>
          </cell>
          <cell r="B534" t="str">
            <v>渔夫雕像</v>
          </cell>
          <cell r="C534">
            <v>500</v>
          </cell>
        </row>
        <row r="535">
          <cell r="A535">
            <v>902089</v>
          </cell>
          <cell r="B535" t="str">
            <v>牧民雕像</v>
          </cell>
          <cell r="C535">
            <v>500</v>
          </cell>
        </row>
        <row r="536">
          <cell r="A536">
            <v>902090</v>
          </cell>
          <cell r="B536" t="str">
            <v>城墙</v>
          </cell>
          <cell r="C536">
            <v>500</v>
          </cell>
        </row>
        <row r="537">
          <cell r="A537">
            <v>902091</v>
          </cell>
          <cell r="B537" t="str">
            <v>开山采石</v>
          </cell>
          <cell r="C537">
            <v>500</v>
          </cell>
        </row>
        <row r="538">
          <cell r="A538">
            <v>902092</v>
          </cell>
          <cell r="B538" t="str">
            <v>大炮</v>
          </cell>
          <cell r="C538">
            <v>500</v>
          </cell>
        </row>
        <row r="539">
          <cell r="A539">
            <v>902093</v>
          </cell>
          <cell r="B539" t="str">
            <v>战舰</v>
          </cell>
          <cell r="C539">
            <v>500</v>
          </cell>
        </row>
        <row r="540">
          <cell r="A540">
            <v>902094</v>
          </cell>
          <cell r="B540" t="str">
            <v>航海术</v>
          </cell>
          <cell r="C540">
            <v>500</v>
          </cell>
        </row>
        <row r="541">
          <cell r="A541">
            <v>902095</v>
          </cell>
          <cell r="B541" t="str">
            <v>巨型战舰</v>
          </cell>
          <cell r="C541">
            <v>500</v>
          </cell>
        </row>
        <row r="542">
          <cell r="A542">
            <v>902096</v>
          </cell>
          <cell r="B542" t="str">
            <v>方尖碑</v>
          </cell>
          <cell r="C542">
            <v>500</v>
          </cell>
        </row>
        <row r="543">
          <cell r="A543">
            <v>902097</v>
          </cell>
          <cell r="B543" t="str">
            <v>铁弹</v>
          </cell>
          <cell r="C543">
            <v>500</v>
          </cell>
        </row>
        <row r="544">
          <cell r="A544">
            <v>902098</v>
          </cell>
          <cell r="B544" t="str">
            <v>弹道</v>
          </cell>
          <cell r="C544">
            <v>500</v>
          </cell>
        </row>
        <row r="545">
          <cell r="A545">
            <v>902099</v>
          </cell>
          <cell r="B545" t="str">
            <v>旅店</v>
          </cell>
          <cell r="C545">
            <v>500</v>
          </cell>
        </row>
        <row r="546">
          <cell r="A546">
            <v>902100</v>
          </cell>
          <cell r="B546" t="str">
            <v>巨型炸弹</v>
          </cell>
          <cell r="C546">
            <v>500</v>
          </cell>
        </row>
        <row r="547">
          <cell r="A547">
            <v>902101</v>
          </cell>
          <cell r="B547" t="str">
            <v>泰坦祭坛</v>
          </cell>
          <cell r="C547">
            <v>500</v>
          </cell>
        </row>
        <row r="548">
          <cell r="A548">
            <v>902102</v>
          </cell>
          <cell r="B548" t="str">
            <v>深井开采</v>
          </cell>
          <cell r="C548">
            <v>500</v>
          </cell>
        </row>
        <row r="549">
          <cell r="A549">
            <v>902103</v>
          </cell>
          <cell r="B549" t="str">
            <v>法杖</v>
          </cell>
          <cell r="C549">
            <v>500</v>
          </cell>
        </row>
        <row r="550">
          <cell r="A550">
            <v>902104</v>
          </cell>
          <cell r="B550" t="str">
            <v>地下穴居</v>
          </cell>
          <cell r="C550">
            <v>500</v>
          </cell>
        </row>
        <row r="551">
          <cell r="A551">
            <v>902105</v>
          </cell>
          <cell r="B551" t="str">
            <v>传送门</v>
          </cell>
          <cell r="C551">
            <v>500</v>
          </cell>
        </row>
        <row r="552">
          <cell r="A552">
            <v>902106</v>
          </cell>
          <cell r="B552" t="str">
            <v>节日庆典</v>
          </cell>
          <cell r="C552">
            <v>500</v>
          </cell>
        </row>
        <row r="553">
          <cell r="A553">
            <v>902108</v>
          </cell>
          <cell r="B553" t="str">
            <v>钩爪</v>
          </cell>
          <cell r="C553">
            <v>500</v>
          </cell>
        </row>
        <row r="554">
          <cell r="A554">
            <v>902109</v>
          </cell>
          <cell r="B554" t="str">
            <v>成片施肥</v>
          </cell>
          <cell r="C554">
            <v>500</v>
          </cell>
        </row>
        <row r="555">
          <cell r="A555">
            <v>902110</v>
          </cell>
          <cell r="B555" t="str">
            <v>尚武精神</v>
          </cell>
          <cell r="C555">
            <v>500</v>
          </cell>
        </row>
        <row r="556">
          <cell r="A556">
            <v>902111</v>
          </cell>
          <cell r="B556" t="str">
            <v>人口政策</v>
          </cell>
          <cell r="C556">
            <v>500</v>
          </cell>
        </row>
        <row r="557">
          <cell r="A557">
            <v>902112</v>
          </cell>
          <cell r="B557" t="str">
            <v>启蒙书</v>
          </cell>
          <cell r="C557">
            <v>500</v>
          </cell>
        </row>
        <row r="558">
          <cell r="A558">
            <v>902113</v>
          </cell>
          <cell r="B558" t="str">
            <v>磨坊</v>
          </cell>
          <cell r="C558">
            <v>500</v>
          </cell>
        </row>
        <row r="559">
          <cell r="A559">
            <v>902114</v>
          </cell>
          <cell r="B559" t="str">
            <v>心灵书</v>
          </cell>
          <cell r="C559">
            <v>500</v>
          </cell>
        </row>
        <row r="560">
          <cell r="A560">
            <v>902115</v>
          </cell>
          <cell r="B560" t="str">
            <v>野营</v>
          </cell>
          <cell r="C560">
            <v>500</v>
          </cell>
        </row>
        <row r="561">
          <cell r="A561">
            <v>902116</v>
          </cell>
          <cell r="B561" t="str">
            <v>蘑菇培育</v>
          </cell>
          <cell r="C561">
            <v>500</v>
          </cell>
        </row>
        <row r="562">
          <cell r="A562">
            <v>902117</v>
          </cell>
          <cell r="B562" t="str">
            <v>倾诉</v>
          </cell>
          <cell r="C562">
            <v>500</v>
          </cell>
        </row>
        <row r="563">
          <cell r="A563">
            <v>902118</v>
          </cell>
          <cell r="B563" t="str">
            <v>光明祭坛</v>
          </cell>
          <cell r="C563">
            <v>500</v>
          </cell>
        </row>
        <row r="564">
          <cell r="A564">
            <v>902119</v>
          </cell>
          <cell r="B564" t="str">
            <v>黑暗祭坛</v>
          </cell>
          <cell r="C564">
            <v>500</v>
          </cell>
        </row>
        <row r="565">
          <cell r="A565">
            <v>902120</v>
          </cell>
          <cell r="B565" t="str">
            <v>天职书</v>
          </cell>
          <cell r="C565">
            <v>2000</v>
          </cell>
        </row>
        <row r="566">
          <cell r="A566">
            <v>902122</v>
          </cell>
          <cell r="B566" t="str">
            <v>冰窖</v>
          </cell>
          <cell r="C566">
            <v>2000</v>
          </cell>
        </row>
        <row r="567">
          <cell r="A567">
            <v>902123</v>
          </cell>
          <cell r="B567" t="str">
            <v>地雷</v>
          </cell>
          <cell r="C567">
            <v>2000</v>
          </cell>
        </row>
        <row r="568">
          <cell r="A568">
            <v>902124</v>
          </cell>
          <cell r="B568" t="str">
            <v>强制劳动</v>
          </cell>
          <cell r="C568">
            <v>2000</v>
          </cell>
        </row>
        <row r="569">
          <cell r="A569">
            <v>902125</v>
          </cell>
          <cell r="B569" t="str">
            <v>官员选拔</v>
          </cell>
          <cell r="C569">
            <v>2000</v>
          </cell>
        </row>
        <row r="570">
          <cell r="A570">
            <v>902126</v>
          </cell>
          <cell r="B570" t="str">
            <v>政治联姻</v>
          </cell>
          <cell r="C570">
            <v>2000</v>
          </cell>
        </row>
        <row r="571">
          <cell r="A571">
            <v>902127</v>
          </cell>
          <cell r="B571" t="str">
            <v>火枪</v>
          </cell>
          <cell r="C571">
            <v>2000</v>
          </cell>
        </row>
        <row r="572">
          <cell r="A572">
            <v>902128</v>
          </cell>
          <cell r="B572" t="str">
            <v>驯狼</v>
          </cell>
          <cell r="C572">
            <v>2000</v>
          </cell>
        </row>
        <row r="573">
          <cell r="A573">
            <v>902129</v>
          </cell>
          <cell r="B573" t="str">
            <v>水晶球</v>
          </cell>
          <cell r="C573">
            <v>2000</v>
          </cell>
        </row>
        <row r="574">
          <cell r="A574">
            <v>902130</v>
          </cell>
          <cell r="B574" t="str">
            <v>冶炼</v>
          </cell>
          <cell r="C574">
            <v>2000</v>
          </cell>
        </row>
        <row r="575">
          <cell r="A575">
            <v>902131</v>
          </cell>
          <cell r="B575" t="str">
            <v>高级冶炼</v>
          </cell>
          <cell r="C575">
            <v>2000</v>
          </cell>
        </row>
        <row r="576">
          <cell r="A576">
            <v>902132</v>
          </cell>
          <cell r="B576" t="str">
            <v>奇观</v>
          </cell>
          <cell r="C576">
            <v>2000</v>
          </cell>
        </row>
        <row r="577">
          <cell r="A577">
            <v>902133</v>
          </cell>
          <cell r="B577" t="str">
            <v>王座</v>
          </cell>
          <cell r="C577">
            <v>2000</v>
          </cell>
        </row>
        <row r="578">
          <cell r="A578">
            <v>902134</v>
          </cell>
          <cell r="B578" t="str">
            <v>社会抚养</v>
          </cell>
          <cell r="C578">
            <v>2000</v>
          </cell>
        </row>
        <row r="579">
          <cell r="A579">
            <v>902135</v>
          </cell>
          <cell r="B579" t="str">
            <v>地板</v>
          </cell>
          <cell r="C579">
            <v>2000</v>
          </cell>
        </row>
        <row r="580">
          <cell r="A580">
            <v>902136</v>
          </cell>
          <cell r="B580" t="str">
            <v>石质地板</v>
          </cell>
          <cell r="C580">
            <v>2000</v>
          </cell>
        </row>
        <row r="581">
          <cell r="A581">
            <v>902137</v>
          </cell>
          <cell r="B581" t="str">
            <v>铁质地板</v>
          </cell>
          <cell r="C581">
            <v>2000</v>
          </cell>
        </row>
        <row r="582">
          <cell r="A582">
            <v>902138</v>
          </cell>
          <cell r="B582" t="str">
            <v>银质地板</v>
          </cell>
          <cell r="C582">
            <v>2000</v>
          </cell>
        </row>
        <row r="583">
          <cell r="A583">
            <v>902139</v>
          </cell>
          <cell r="B583" t="str">
            <v>金质地板</v>
          </cell>
          <cell r="C583">
            <v>2000</v>
          </cell>
        </row>
        <row r="584">
          <cell r="A584">
            <v>902140</v>
          </cell>
          <cell r="B584" t="str">
            <v>博彩</v>
          </cell>
          <cell r="C584">
            <v>2000</v>
          </cell>
        </row>
        <row r="585">
          <cell r="A585">
            <v>902141</v>
          </cell>
          <cell r="B585" t="str">
            <v>公共浴场</v>
          </cell>
          <cell r="C585">
            <v>2000</v>
          </cell>
        </row>
        <row r="586">
          <cell r="A586">
            <v>902142</v>
          </cell>
          <cell r="B586" t="str">
            <v>军事训练</v>
          </cell>
          <cell r="C586">
            <v>2000</v>
          </cell>
        </row>
        <row r="587">
          <cell r="A587">
            <v>902143</v>
          </cell>
          <cell r="B587" t="str">
            <v>铁墙</v>
          </cell>
          <cell r="C587">
            <v>2000</v>
          </cell>
        </row>
        <row r="588">
          <cell r="A588">
            <v>902144</v>
          </cell>
          <cell r="B588" t="str">
            <v>国库</v>
          </cell>
          <cell r="C588">
            <v>2000</v>
          </cell>
        </row>
        <row r="589">
          <cell r="A589">
            <v>902145</v>
          </cell>
          <cell r="B589" t="str">
            <v>BUG雕像</v>
          </cell>
          <cell r="C589">
            <v>10000</v>
          </cell>
        </row>
        <row r="590">
          <cell r="A590">
            <v>902146</v>
          </cell>
          <cell r="B590" t="str">
            <v>继承人选拔</v>
          </cell>
          <cell r="C590">
            <v>2000</v>
          </cell>
        </row>
        <row r="591">
          <cell r="A591">
            <v>902147</v>
          </cell>
          <cell r="B591" t="str">
            <v>兽药</v>
          </cell>
          <cell r="C591">
            <v>2000</v>
          </cell>
        </row>
        <row r="592">
          <cell r="A592">
            <v>902148</v>
          </cell>
          <cell r="B592" t="str">
            <v>永恒圣殿</v>
          </cell>
          <cell r="C592">
            <v>2000</v>
          </cell>
        </row>
        <row r="593">
          <cell r="A593">
            <v>902149</v>
          </cell>
          <cell r="B593" t="str">
            <v>兵法书</v>
          </cell>
          <cell r="C593">
            <v>2000</v>
          </cell>
        </row>
        <row r="594">
          <cell r="A594">
            <v>902150</v>
          </cell>
          <cell r="B594" t="str">
            <v>管理书</v>
          </cell>
          <cell r="C594">
            <v>2000</v>
          </cell>
        </row>
        <row r="595">
          <cell r="A595">
            <v>902151</v>
          </cell>
          <cell r="B595" t="str">
            <v>忠义书</v>
          </cell>
          <cell r="C595">
            <v>2000</v>
          </cell>
        </row>
        <row r="596">
          <cell r="A596">
            <v>902152</v>
          </cell>
          <cell r="B596" t="str">
            <v>高效收纳</v>
          </cell>
          <cell r="C596">
            <v>2000</v>
          </cell>
        </row>
        <row r="597">
          <cell r="A597">
            <v>902153</v>
          </cell>
          <cell r="B597" t="str">
            <v>熏肉</v>
          </cell>
          <cell r="C597">
            <v>2000</v>
          </cell>
        </row>
        <row r="598">
          <cell r="A598">
            <v>902154</v>
          </cell>
          <cell r="B598" t="str">
            <v>糕点</v>
          </cell>
          <cell r="C598">
            <v>2000</v>
          </cell>
        </row>
        <row r="599">
          <cell r="A599">
            <v>902155</v>
          </cell>
          <cell r="B599" t="str">
            <v>零食</v>
          </cell>
          <cell r="C599">
            <v>2000</v>
          </cell>
        </row>
        <row r="600">
          <cell r="A600">
            <v>902156</v>
          </cell>
          <cell r="B600" t="str">
            <v>药茶</v>
          </cell>
          <cell r="C600">
            <v>2000</v>
          </cell>
        </row>
        <row r="601">
          <cell r="A601">
            <v>902157</v>
          </cell>
          <cell r="B601" t="str">
            <v>糖</v>
          </cell>
          <cell r="C601">
            <v>2000</v>
          </cell>
        </row>
        <row r="602">
          <cell r="A602">
            <v>902158</v>
          </cell>
          <cell r="B602" t="str">
            <v>蘑菇精华</v>
          </cell>
          <cell r="C602">
            <v>2000</v>
          </cell>
        </row>
        <row r="603">
          <cell r="A603">
            <v>902159</v>
          </cell>
          <cell r="B603" t="str">
            <v>养颜丹</v>
          </cell>
          <cell r="C603">
            <v>2000</v>
          </cell>
        </row>
        <row r="604">
          <cell r="A604">
            <v>902160</v>
          </cell>
          <cell r="B604" t="str">
            <v>果园</v>
          </cell>
          <cell r="C604">
            <v>2000</v>
          </cell>
        </row>
        <row r="605">
          <cell r="A605">
            <v>902161</v>
          </cell>
          <cell r="B605" t="str">
            <v>百科全书</v>
          </cell>
          <cell r="C605">
            <v>2000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9"/>
  <sheetViews>
    <sheetView tabSelected="1" topLeftCell="AV1" workbookViewId="0">
      <selection activeCell="BL6" sqref="BL6"/>
    </sheetView>
  </sheetViews>
  <sheetFormatPr defaultRowHeight="13.5" x14ac:dyDescent="0.15"/>
  <cols>
    <col min="2" max="2" width="8.75" customWidth="1"/>
    <col min="3" max="9" width="9.625" customWidth="1"/>
    <col min="10" max="10" width="9.625" style="34" customWidth="1"/>
    <col min="11" max="13" width="9.625" customWidth="1"/>
    <col min="14" max="14" width="9.625" style="34" customWidth="1"/>
    <col min="15" max="15" width="9.625" customWidth="1"/>
    <col min="16" max="16" width="9.625" style="30" customWidth="1"/>
    <col min="17" max="17" width="9.625" style="24" customWidth="1"/>
    <col min="18" max="19" width="9.625" style="28" customWidth="1"/>
    <col min="20" max="20" width="9.625" customWidth="1"/>
    <col min="21" max="21" width="10.625" customWidth="1"/>
    <col min="22" max="22" width="11.875" customWidth="1"/>
    <col min="23" max="23" width="9.625" style="34" customWidth="1"/>
    <col min="24" max="24" width="11.75" customWidth="1"/>
    <col min="25" max="25" width="10.625" customWidth="1"/>
    <col min="26" max="26" width="8.875" customWidth="1"/>
    <col min="27" max="27" width="9.625" style="24" customWidth="1"/>
    <col min="28" max="28" width="11.5" customWidth="1"/>
    <col min="29" max="29" width="9.125" customWidth="1"/>
    <col min="30" max="30" width="4.375" customWidth="1"/>
    <col min="31" max="32" width="9.125" customWidth="1"/>
    <col min="33" max="33" width="5" customWidth="1"/>
    <col min="34" max="34" width="9.125" customWidth="1"/>
    <col min="35" max="35" width="6.625" customWidth="1"/>
    <col min="36" max="36" width="5.125" customWidth="1"/>
    <col min="37" max="37" width="9.125" customWidth="1"/>
    <col min="38" max="38" width="6.625" customWidth="1"/>
    <col min="39" max="39" width="5.125" customWidth="1"/>
    <col min="40" max="41" width="9.125" customWidth="1"/>
    <col min="42" max="42" width="5" customWidth="1"/>
    <col min="43" max="43" width="9.125" customWidth="1"/>
    <col min="44" max="44" width="6.625" customWidth="1"/>
    <col min="45" max="45" width="5.125" customWidth="1"/>
    <col min="46" max="46" width="9.125" customWidth="1"/>
    <col min="47" max="47" width="6.625" customWidth="1"/>
    <col min="48" max="48" width="5.125" customWidth="1"/>
    <col min="49" max="49" width="37.125" customWidth="1"/>
    <col min="50" max="53" width="10.75" customWidth="1"/>
    <col min="54" max="54" width="9.625" customWidth="1"/>
  </cols>
  <sheetData>
    <row r="1" spans="1:56" ht="40.5" x14ac:dyDescent="0.15">
      <c r="A1" s="6" t="s">
        <v>291</v>
      </c>
      <c r="B1" s="13" t="s">
        <v>0</v>
      </c>
      <c r="C1" s="1" t="s">
        <v>1</v>
      </c>
      <c r="D1" s="1"/>
      <c r="E1" s="6" t="s">
        <v>45</v>
      </c>
      <c r="F1" s="6"/>
      <c r="G1" s="6" t="s">
        <v>43</v>
      </c>
      <c r="H1" s="12" t="s">
        <v>104</v>
      </c>
      <c r="I1" s="12" t="s">
        <v>49</v>
      </c>
      <c r="J1" s="31" t="s">
        <v>121</v>
      </c>
      <c r="K1" s="12" t="s">
        <v>50</v>
      </c>
      <c r="L1" s="12" t="s">
        <v>105</v>
      </c>
      <c r="M1" s="12" t="s">
        <v>54</v>
      </c>
      <c r="N1" s="31" t="s">
        <v>121</v>
      </c>
      <c r="O1" s="12" t="s">
        <v>53</v>
      </c>
      <c r="P1" s="29" t="s">
        <v>134</v>
      </c>
      <c r="Q1" s="22" t="s">
        <v>135</v>
      </c>
      <c r="R1" s="14" t="s">
        <v>139</v>
      </c>
      <c r="S1" s="14" t="s">
        <v>140</v>
      </c>
      <c r="T1" s="6"/>
      <c r="U1" s="14" t="s">
        <v>62</v>
      </c>
      <c r="V1" s="14" t="s">
        <v>55</v>
      </c>
      <c r="W1" s="31" t="s">
        <v>121</v>
      </c>
      <c r="X1" s="14" t="s">
        <v>56</v>
      </c>
      <c r="Y1" s="14" t="s">
        <v>63</v>
      </c>
      <c r="Z1" s="14" t="s">
        <v>55</v>
      </c>
      <c r="AA1" s="22" t="s">
        <v>121</v>
      </c>
      <c r="AB1" s="14" t="s">
        <v>56</v>
      </c>
      <c r="AC1" s="6" t="s">
        <v>22</v>
      </c>
      <c r="AD1" s="6" t="s">
        <v>296</v>
      </c>
      <c r="AE1" s="12" t="s">
        <v>225</v>
      </c>
      <c r="AF1" s="12"/>
      <c r="AG1" s="12" t="s">
        <v>215</v>
      </c>
      <c r="AH1" s="12" t="s">
        <v>226</v>
      </c>
      <c r="AI1" s="12"/>
      <c r="AJ1" s="12" t="s">
        <v>215</v>
      </c>
      <c r="AK1" s="12" t="s">
        <v>227</v>
      </c>
      <c r="AL1" s="12"/>
      <c r="AM1" s="12" t="s">
        <v>215</v>
      </c>
      <c r="AN1" s="44" t="s">
        <v>228</v>
      </c>
      <c r="AO1" s="12"/>
      <c r="AP1" s="12" t="s">
        <v>215</v>
      </c>
      <c r="AQ1" s="44" t="s">
        <v>229</v>
      </c>
      <c r="AR1" s="12"/>
      <c r="AS1" s="12" t="s">
        <v>215</v>
      </c>
      <c r="AT1" s="44" t="s">
        <v>230</v>
      </c>
      <c r="AU1" s="12"/>
      <c r="AV1" s="12" t="s">
        <v>215</v>
      </c>
      <c r="AW1" s="1"/>
      <c r="AX1" s="6" t="s">
        <v>7</v>
      </c>
      <c r="AY1" s="6" t="s">
        <v>9</v>
      </c>
      <c r="AZ1" s="6" t="s">
        <v>11</v>
      </c>
      <c r="BA1" s="6" t="s">
        <v>13</v>
      </c>
      <c r="BB1" s="6"/>
      <c r="BC1" s="35" t="s">
        <v>150</v>
      </c>
      <c r="BD1" s="35" t="s">
        <v>150</v>
      </c>
    </row>
    <row r="2" spans="1:56" x14ac:dyDescent="0.15">
      <c r="A2" s="1" t="s">
        <v>290</v>
      </c>
      <c r="B2" s="11" t="s">
        <v>42</v>
      </c>
      <c r="C2" s="6" t="s">
        <v>5</v>
      </c>
      <c r="D2" s="6" t="s">
        <v>203</v>
      </c>
      <c r="E2" s="6" t="s">
        <v>46</v>
      </c>
      <c r="F2" s="6" t="s">
        <v>106</v>
      </c>
      <c r="G2" s="6" t="s">
        <v>44</v>
      </c>
      <c r="H2" s="6" t="s">
        <v>47</v>
      </c>
      <c r="I2" s="6" t="s">
        <v>57</v>
      </c>
      <c r="J2" s="32" t="s">
        <v>106</v>
      </c>
      <c r="K2" s="6" t="s">
        <v>48</v>
      </c>
      <c r="L2" s="6" t="s">
        <v>51</v>
      </c>
      <c r="M2" s="6" t="s">
        <v>57</v>
      </c>
      <c r="N2" s="32" t="s">
        <v>106</v>
      </c>
      <c r="O2" s="6" t="s">
        <v>52</v>
      </c>
      <c r="P2" s="21" t="s">
        <v>106</v>
      </c>
      <c r="Q2" s="23" t="s">
        <v>6</v>
      </c>
      <c r="R2" s="27" t="s">
        <v>127</v>
      </c>
      <c r="S2" s="27" t="s">
        <v>127</v>
      </c>
      <c r="T2" s="6" t="s">
        <v>6</v>
      </c>
      <c r="U2" s="6" t="s">
        <v>58</v>
      </c>
      <c r="V2" s="6" t="s">
        <v>57</v>
      </c>
      <c r="W2" s="32" t="s">
        <v>6</v>
      </c>
      <c r="X2" s="6" t="s">
        <v>59</v>
      </c>
      <c r="Y2" s="6" t="s">
        <v>60</v>
      </c>
      <c r="Z2" s="6" t="s">
        <v>57</v>
      </c>
      <c r="AA2" s="23" t="s">
        <v>6</v>
      </c>
      <c r="AB2" s="6" t="s">
        <v>61</v>
      </c>
      <c r="AC2" s="6" t="s">
        <v>21</v>
      </c>
      <c r="AD2" s="6" t="s">
        <v>297</v>
      </c>
      <c r="AE2" s="6" t="s">
        <v>219</v>
      </c>
      <c r="AF2" s="6" t="s">
        <v>174</v>
      </c>
      <c r="AG2" s="6" t="s">
        <v>221</v>
      </c>
      <c r="AH2" s="6" t="s">
        <v>220</v>
      </c>
      <c r="AI2" s="6" t="s">
        <v>6</v>
      </c>
      <c r="AJ2" s="6" t="s">
        <v>224</v>
      </c>
      <c r="AK2" s="6" t="s">
        <v>222</v>
      </c>
      <c r="AL2" s="6" t="s">
        <v>6</v>
      </c>
      <c r="AM2" s="6" t="s">
        <v>223</v>
      </c>
      <c r="AN2" s="6" t="s">
        <v>231</v>
      </c>
      <c r="AO2" s="6" t="s">
        <v>6</v>
      </c>
      <c r="AP2" s="6" t="s">
        <v>232</v>
      </c>
      <c r="AQ2" s="6" t="s">
        <v>233</v>
      </c>
      <c r="AR2" s="6" t="s">
        <v>6</v>
      </c>
      <c r="AS2" s="6" t="s">
        <v>234</v>
      </c>
      <c r="AT2" s="6" t="s">
        <v>235</v>
      </c>
      <c r="AU2" s="6" t="s">
        <v>6</v>
      </c>
      <c r="AV2" s="6" t="s">
        <v>236</v>
      </c>
      <c r="AW2" s="6" t="s">
        <v>6</v>
      </c>
      <c r="AX2" s="6" t="s">
        <v>6</v>
      </c>
      <c r="AY2" s="6" t="s">
        <v>6</v>
      </c>
      <c r="AZ2" s="6" t="s">
        <v>6</v>
      </c>
      <c r="BA2" s="6" t="s">
        <v>6</v>
      </c>
      <c r="BB2" s="6" t="s">
        <v>6</v>
      </c>
      <c r="BC2" s="2" t="str">
        <f>CONCATENATE("tribute_desc_",BC1,"#str")</f>
        <v>tribute_desc_zh-CN#str</v>
      </c>
      <c r="BD2" s="2" t="str">
        <f>CONCATENATE("reward_desc_",BD1,"#str")</f>
        <v>reward_desc_zh-CN#str</v>
      </c>
    </row>
    <row r="3" spans="1:56" ht="67.5" x14ac:dyDescent="0.15">
      <c r="A3" s="1">
        <f>B3*1000+E3</f>
        <v>101000</v>
      </c>
      <c r="B3" s="3">
        <v>101</v>
      </c>
      <c r="C3" s="5" t="s">
        <v>41</v>
      </c>
      <c r="D3" s="5" t="s">
        <v>205</v>
      </c>
      <c r="E3" s="6">
        <v>0</v>
      </c>
      <c r="F3" s="20" t="s">
        <v>107</v>
      </c>
      <c r="G3" s="6">
        <v>0</v>
      </c>
      <c r="H3" s="2">
        <v>607001</v>
      </c>
      <c r="I3" s="2" t="s">
        <v>89</v>
      </c>
      <c r="J3" s="33">
        <f>VLOOKUP(H3,[1]stuff!$A:$C,3,FALSE)</f>
        <v>100</v>
      </c>
      <c r="K3" s="2">
        <v>500000</v>
      </c>
      <c r="L3" s="2">
        <v>812000</v>
      </c>
      <c r="M3" s="19" t="s">
        <v>96</v>
      </c>
      <c r="N3" s="33">
        <v>100</v>
      </c>
      <c r="O3" s="2">
        <v>500</v>
      </c>
      <c r="P3" s="42">
        <f t="shared" ref="P3:P12" si="0">J3*K3</f>
        <v>50000000</v>
      </c>
      <c r="Q3" s="43">
        <f t="shared" ref="Q3:Q12" si="1">N3*O3</f>
        <v>50000</v>
      </c>
      <c r="R3" s="16">
        <f>W3*X3</f>
        <v>5</v>
      </c>
      <c r="S3" s="16">
        <f>AA3*AB3</f>
        <v>2</v>
      </c>
      <c r="T3" s="20" t="str">
        <f t="shared" ref="T3:T12" si="2">F3</f>
        <v>敌对</v>
      </c>
      <c r="U3" s="2">
        <v>401001</v>
      </c>
      <c r="V3" s="2" t="s">
        <v>237</v>
      </c>
      <c r="W3" s="33">
        <f>VLOOKUP(U3,[1]stuff!$A:$C,3,FALSE)</f>
        <v>5</v>
      </c>
      <c r="X3" s="6">
        <v>1</v>
      </c>
      <c r="Y3" s="2">
        <v>305001</v>
      </c>
      <c r="Z3" s="17" t="s">
        <v>138</v>
      </c>
      <c r="AA3" s="25">
        <f>VLOOKUP(Y3,[1]stuff!$A:$C,3,FALSE)</f>
        <v>2</v>
      </c>
      <c r="AB3" s="6">
        <v>1</v>
      </c>
      <c r="AC3" s="9" t="s">
        <v>292</v>
      </c>
      <c r="AD3" s="7">
        <v>0</v>
      </c>
      <c r="AE3" s="15">
        <v>422001</v>
      </c>
      <c r="AF3" s="15" t="s">
        <v>88</v>
      </c>
      <c r="AG3" s="49">
        <v>150</v>
      </c>
      <c r="AH3" s="49">
        <v>413</v>
      </c>
      <c r="AI3" s="27" t="s">
        <v>214</v>
      </c>
      <c r="AJ3" s="49">
        <v>1000</v>
      </c>
      <c r="AK3" s="1"/>
      <c r="AL3" s="6"/>
      <c r="AM3" s="1"/>
      <c r="AN3" s="2"/>
      <c r="AO3" s="2"/>
      <c r="AP3" s="1"/>
      <c r="AQ3" s="1"/>
      <c r="AR3" s="6"/>
      <c r="AS3" s="1"/>
      <c r="AT3" s="1"/>
      <c r="AU3" s="6"/>
      <c r="AV3" s="1"/>
      <c r="AW3" s="8" t="s">
        <v>185</v>
      </c>
      <c r="AX3" s="8" t="s">
        <v>8</v>
      </c>
      <c r="AY3" s="8" t="s">
        <v>10</v>
      </c>
      <c r="AZ3" s="8" t="s">
        <v>12</v>
      </c>
      <c r="BA3" s="8" t="s">
        <v>14</v>
      </c>
      <c r="BB3" s="20" t="str">
        <f>F3</f>
        <v>敌对</v>
      </c>
      <c r="BC3" s="7" t="s">
        <v>153</v>
      </c>
      <c r="BD3" s="5" t="s">
        <v>154</v>
      </c>
    </row>
    <row r="4" spans="1:56" x14ac:dyDescent="0.15">
      <c r="A4" s="1">
        <f t="shared" ref="A4:A67" si="3">B4*1000+E4</f>
        <v>101001</v>
      </c>
      <c r="B4" s="3">
        <v>101</v>
      </c>
      <c r="C4" s="5" t="s">
        <v>41</v>
      </c>
      <c r="D4" s="5" t="s">
        <v>205</v>
      </c>
      <c r="E4" s="6">
        <v>1</v>
      </c>
      <c r="F4" s="20" t="s">
        <v>108</v>
      </c>
      <c r="G4" s="6">
        <v>10</v>
      </c>
      <c r="H4" s="2">
        <v>401001</v>
      </c>
      <c r="I4" s="2" t="s">
        <v>116</v>
      </c>
      <c r="J4" s="33">
        <f>VLOOKUP(H4,[1]stuff!$A:$C,3,FALSE)</f>
        <v>5</v>
      </c>
      <c r="K4" s="6">
        <v>10000</v>
      </c>
      <c r="L4" s="2">
        <v>607001</v>
      </c>
      <c r="M4" s="5" t="s">
        <v>117</v>
      </c>
      <c r="N4" s="33">
        <f>VLOOKUP(L4,[1]stuff!$A:$C,3,FALSE)</f>
        <v>100</v>
      </c>
      <c r="O4" s="5">
        <v>20000</v>
      </c>
      <c r="P4" s="21">
        <f t="shared" si="0"/>
        <v>50000</v>
      </c>
      <c r="Q4" s="23">
        <f t="shared" si="1"/>
        <v>2000000</v>
      </c>
      <c r="R4" s="27">
        <f t="shared" ref="R4:R27" si="4">W4*X4</f>
        <v>4</v>
      </c>
      <c r="S4" s="27">
        <f t="shared" ref="S4:S27" si="5">AA4*AB4</f>
        <v>5</v>
      </c>
      <c r="T4" s="20" t="str">
        <f t="shared" si="2"/>
        <v>对立</v>
      </c>
      <c r="U4" s="2">
        <v>305002</v>
      </c>
      <c r="V4" s="2" t="s">
        <v>87</v>
      </c>
      <c r="W4" s="33">
        <f>VLOOKUP(U4,[1]stuff!$A:$C,3,FALSE)</f>
        <v>4</v>
      </c>
      <c r="X4" s="6">
        <v>1</v>
      </c>
      <c r="Y4" s="2">
        <v>401001</v>
      </c>
      <c r="Z4" s="2" t="s">
        <v>116</v>
      </c>
      <c r="AA4" s="25">
        <f>VLOOKUP(Y4,[1]stuff!$A:$C,3,FALSE)</f>
        <v>5</v>
      </c>
      <c r="AB4" s="6">
        <v>1</v>
      </c>
      <c r="AC4" s="21"/>
      <c r="AD4" s="6">
        <v>1</v>
      </c>
      <c r="AE4" s="2">
        <v>422001</v>
      </c>
      <c r="AF4" s="2" t="s">
        <v>88</v>
      </c>
      <c r="AG4" s="1">
        <v>140</v>
      </c>
      <c r="AH4" s="1">
        <v>413</v>
      </c>
      <c r="AI4" s="6" t="s">
        <v>214</v>
      </c>
      <c r="AJ4" s="1">
        <v>900</v>
      </c>
      <c r="AK4" s="1"/>
      <c r="AL4" s="6"/>
      <c r="AM4" s="1"/>
      <c r="AN4" s="2"/>
      <c r="AO4" s="2"/>
      <c r="AP4" s="1"/>
      <c r="AQ4" s="1"/>
      <c r="AR4" s="6"/>
      <c r="AS4" s="1"/>
      <c r="AT4" s="1"/>
      <c r="AU4" s="6"/>
      <c r="AV4" s="1"/>
      <c r="AW4" s="6"/>
      <c r="AX4" s="6"/>
      <c r="AY4" s="6"/>
      <c r="AZ4" s="6"/>
      <c r="BA4" s="6"/>
      <c r="BB4" s="20" t="str">
        <f t="shared" ref="BB4:BB67" si="6">F4</f>
        <v>对立</v>
      </c>
      <c r="BC4" s="6" t="s">
        <v>152</v>
      </c>
      <c r="BD4" s="6" t="s">
        <v>176</v>
      </c>
    </row>
    <row r="5" spans="1:56" x14ac:dyDescent="0.15">
      <c r="A5" s="1">
        <f t="shared" si="3"/>
        <v>101002</v>
      </c>
      <c r="B5" s="3">
        <v>101</v>
      </c>
      <c r="C5" s="5" t="s">
        <v>41</v>
      </c>
      <c r="D5" s="5" t="s">
        <v>205</v>
      </c>
      <c r="E5" s="6">
        <v>2</v>
      </c>
      <c r="F5" s="20" t="s">
        <v>114</v>
      </c>
      <c r="G5" s="5">
        <v>20</v>
      </c>
      <c r="H5" s="2">
        <v>305002</v>
      </c>
      <c r="I5" s="5" t="s">
        <v>118</v>
      </c>
      <c r="J5" s="33">
        <f>VLOOKUP(H5,[1]stuff!$A:$C,3,FALSE)</f>
        <v>4</v>
      </c>
      <c r="K5" s="6">
        <v>10000</v>
      </c>
      <c r="L5" s="2">
        <v>607001</v>
      </c>
      <c r="M5" s="5" t="s">
        <v>117</v>
      </c>
      <c r="N5" s="33">
        <f>VLOOKUP(L5,[1]stuff!$A:$C,3,FALSE)</f>
        <v>100</v>
      </c>
      <c r="O5" s="5">
        <v>30000</v>
      </c>
      <c r="P5" s="21">
        <f t="shared" si="0"/>
        <v>40000</v>
      </c>
      <c r="Q5" s="23">
        <f t="shared" si="1"/>
        <v>3000000</v>
      </c>
      <c r="R5" s="27">
        <f t="shared" si="4"/>
        <v>1000</v>
      </c>
      <c r="S5" s="27">
        <f t="shared" si="5"/>
        <v>5000</v>
      </c>
      <c r="T5" s="20" t="str">
        <f t="shared" si="2"/>
        <v>厌恶</v>
      </c>
      <c r="U5" s="37">
        <v>412003</v>
      </c>
      <c r="V5" s="37" t="s">
        <v>161</v>
      </c>
      <c r="W5" s="33">
        <f>VLOOKUP(U5,[1]stuff!$A:$C,3,FALSE)</f>
        <v>10</v>
      </c>
      <c r="X5" s="6">
        <v>100</v>
      </c>
      <c r="Y5" s="2">
        <v>608001</v>
      </c>
      <c r="Z5" s="2" t="s">
        <v>90</v>
      </c>
      <c r="AA5" s="25">
        <f>VLOOKUP(Y5,[1]stuff!$A:$C,3,FALSE)</f>
        <v>1000</v>
      </c>
      <c r="AB5" s="6">
        <v>5</v>
      </c>
      <c r="AC5" s="21"/>
      <c r="AD5" s="7">
        <v>2</v>
      </c>
      <c r="AE5" s="2">
        <v>422001</v>
      </c>
      <c r="AF5" s="2" t="s">
        <v>88</v>
      </c>
      <c r="AG5" s="1">
        <v>135</v>
      </c>
      <c r="AH5" s="1">
        <v>413</v>
      </c>
      <c r="AI5" s="6" t="s">
        <v>214</v>
      </c>
      <c r="AJ5" s="1">
        <v>800</v>
      </c>
      <c r="AK5" s="1"/>
      <c r="AL5" s="6"/>
      <c r="AM5" s="1"/>
      <c r="AN5" s="2"/>
      <c r="AO5" s="2"/>
      <c r="AP5" s="1"/>
      <c r="AQ5" s="1"/>
      <c r="AR5" s="6"/>
      <c r="AS5" s="1"/>
      <c r="AT5" s="1"/>
      <c r="AU5" s="6"/>
      <c r="AV5" s="1"/>
      <c r="AW5" s="6"/>
      <c r="AX5" s="6"/>
      <c r="AY5" s="6"/>
      <c r="AZ5" s="6"/>
      <c r="BA5" s="6"/>
      <c r="BB5" s="20" t="str">
        <f t="shared" si="6"/>
        <v>厌恶</v>
      </c>
      <c r="BC5" s="6" t="s">
        <v>155</v>
      </c>
      <c r="BD5" s="6" t="s">
        <v>177</v>
      </c>
    </row>
    <row r="6" spans="1:56" x14ac:dyDescent="0.15">
      <c r="A6" s="1">
        <f t="shared" si="3"/>
        <v>101003</v>
      </c>
      <c r="B6" s="3">
        <v>101</v>
      </c>
      <c r="C6" s="5" t="s">
        <v>41</v>
      </c>
      <c r="D6" s="5" t="s">
        <v>205</v>
      </c>
      <c r="E6" s="6">
        <v>3</v>
      </c>
      <c r="F6" s="20" t="s">
        <v>115</v>
      </c>
      <c r="G6" s="6">
        <v>30</v>
      </c>
      <c r="H6" s="2">
        <v>416002</v>
      </c>
      <c r="I6" s="2" t="s">
        <v>119</v>
      </c>
      <c r="J6" s="33">
        <f>VLOOKUP(H6,[1]stuff!$A:$C,3,FALSE)</f>
        <v>2000</v>
      </c>
      <c r="K6" s="6">
        <v>100</v>
      </c>
      <c r="L6" s="2">
        <v>607001</v>
      </c>
      <c r="M6" s="5" t="s">
        <v>117</v>
      </c>
      <c r="N6" s="33">
        <f>VLOOKUP(L6,[1]stuff!$A:$C,3,FALSE)</f>
        <v>100</v>
      </c>
      <c r="O6" s="5">
        <v>40000</v>
      </c>
      <c r="P6" s="21">
        <f t="shared" si="0"/>
        <v>200000</v>
      </c>
      <c r="Q6" s="23">
        <f t="shared" si="1"/>
        <v>4000000</v>
      </c>
      <c r="R6" s="27">
        <f t="shared" ref="R6:R12" si="7">W6*X6</f>
        <v>1000</v>
      </c>
      <c r="S6" s="27">
        <f t="shared" ref="S6:S12" si="8">AA6*AB6</f>
        <v>1000</v>
      </c>
      <c r="T6" s="20" t="str">
        <f t="shared" si="2"/>
        <v>讨厌</v>
      </c>
      <c r="U6" s="2">
        <v>608001</v>
      </c>
      <c r="V6" s="2" t="s">
        <v>90</v>
      </c>
      <c r="W6" s="33">
        <f>VLOOKUP(U6,[1]stuff!$A:$C,3,FALSE)</f>
        <v>1000</v>
      </c>
      <c r="X6" s="6">
        <v>1</v>
      </c>
      <c r="Y6" s="2">
        <v>418002</v>
      </c>
      <c r="Z6" s="2" t="s">
        <v>92</v>
      </c>
      <c r="AA6" s="25">
        <f>VLOOKUP(Y6,[1]stuff!$A:$C,3,FALSE)</f>
        <v>1000</v>
      </c>
      <c r="AB6" s="6">
        <v>1</v>
      </c>
      <c r="AC6" s="21"/>
      <c r="AD6" s="6">
        <v>3</v>
      </c>
      <c r="AE6" s="2">
        <v>422001</v>
      </c>
      <c r="AF6" s="2" t="s">
        <v>88</v>
      </c>
      <c r="AG6" s="1">
        <v>130</v>
      </c>
      <c r="AH6" s="1">
        <v>413</v>
      </c>
      <c r="AI6" s="6" t="s">
        <v>214</v>
      </c>
      <c r="AJ6" s="1">
        <v>700</v>
      </c>
      <c r="AK6" s="1"/>
      <c r="AL6" s="6"/>
      <c r="AM6" s="1"/>
      <c r="AN6" s="2"/>
      <c r="AO6" s="2"/>
      <c r="AP6" s="1"/>
      <c r="AQ6" s="1"/>
      <c r="AR6" s="6"/>
      <c r="AS6" s="1"/>
      <c r="AT6" s="1"/>
      <c r="AU6" s="6"/>
      <c r="AV6" s="1"/>
      <c r="AW6" s="6"/>
      <c r="AX6" s="6"/>
      <c r="AY6" s="6"/>
      <c r="AZ6" s="6"/>
      <c r="BA6" s="6"/>
      <c r="BB6" s="20" t="str">
        <f t="shared" si="6"/>
        <v>讨厌</v>
      </c>
      <c r="BC6" s="6" t="s">
        <v>156</v>
      </c>
      <c r="BD6" s="6" t="s">
        <v>157</v>
      </c>
    </row>
    <row r="7" spans="1:56" x14ac:dyDescent="0.15">
      <c r="A7" s="1">
        <f t="shared" si="3"/>
        <v>101004</v>
      </c>
      <c r="B7" s="3">
        <v>101</v>
      </c>
      <c r="C7" s="5" t="s">
        <v>41</v>
      </c>
      <c r="D7" s="5" t="s">
        <v>205</v>
      </c>
      <c r="E7" s="6">
        <v>4</v>
      </c>
      <c r="F7" s="20" t="s">
        <v>164</v>
      </c>
      <c r="G7" s="5">
        <v>40</v>
      </c>
      <c r="H7" s="2">
        <v>404003</v>
      </c>
      <c r="I7" s="2" t="s">
        <v>120</v>
      </c>
      <c r="J7" s="33">
        <f>VLOOKUP(H7,[1]stuff!$A:$C,3,FALSE)</f>
        <v>10</v>
      </c>
      <c r="K7" s="6">
        <v>10000</v>
      </c>
      <c r="L7" s="2">
        <v>607001</v>
      </c>
      <c r="M7" s="5" t="s">
        <v>117</v>
      </c>
      <c r="N7" s="33">
        <f>VLOOKUP(L7,[1]stuff!$A:$C,3,FALSE)</f>
        <v>100</v>
      </c>
      <c r="O7" s="5">
        <v>50000</v>
      </c>
      <c r="P7" s="21">
        <f t="shared" si="0"/>
        <v>100000</v>
      </c>
      <c r="Q7" s="23">
        <f t="shared" si="1"/>
        <v>5000000</v>
      </c>
      <c r="R7" s="27">
        <f t="shared" si="7"/>
        <v>150000</v>
      </c>
      <c r="S7" s="27">
        <f t="shared" si="8"/>
        <v>0</v>
      </c>
      <c r="T7" s="20" t="str">
        <f t="shared" si="2"/>
        <v>中立</v>
      </c>
      <c r="U7" s="2">
        <v>608001</v>
      </c>
      <c r="V7" s="5" t="s">
        <v>122</v>
      </c>
      <c r="W7" s="33">
        <f>VLOOKUP(U7,[1]stuff!$A:$C,3,FALSE)</f>
        <v>1000</v>
      </c>
      <c r="X7" s="6">
        <v>150</v>
      </c>
      <c r="Y7" s="2">
        <v>812005</v>
      </c>
      <c r="Z7" s="18" t="s">
        <v>95</v>
      </c>
      <c r="AA7" s="25">
        <f>VLOOKUP(Y7,[1]stuff!$A:$C,3,FALSE)</f>
        <v>0</v>
      </c>
      <c r="AB7" s="5">
        <v>100</v>
      </c>
      <c r="AC7" s="21"/>
      <c r="AD7" s="7">
        <v>4</v>
      </c>
      <c r="AE7" s="2">
        <v>422001</v>
      </c>
      <c r="AF7" s="2" t="s">
        <v>88</v>
      </c>
      <c r="AG7" s="1">
        <v>125</v>
      </c>
      <c r="AH7" s="1">
        <v>413</v>
      </c>
      <c r="AI7" s="6" t="s">
        <v>214</v>
      </c>
      <c r="AJ7" s="1">
        <v>600</v>
      </c>
      <c r="AK7" s="1"/>
      <c r="AL7" s="6"/>
      <c r="AM7" s="1"/>
      <c r="AN7" s="2"/>
      <c r="AO7" s="2"/>
      <c r="AP7" s="1"/>
      <c r="AQ7" s="1"/>
      <c r="AR7" s="6"/>
      <c r="AS7" s="1"/>
      <c r="AT7" s="1"/>
      <c r="AU7" s="6"/>
      <c r="AV7" s="1"/>
      <c r="AW7" s="6"/>
      <c r="AX7" s="6"/>
      <c r="AY7" s="6"/>
      <c r="AZ7" s="6"/>
      <c r="BA7" s="6"/>
      <c r="BB7" s="20" t="str">
        <f t="shared" si="6"/>
        <v>中立</v>
      </c>
      <c r="BC7" s="6" t="s">
        <v>178</v>
      </c>
      <c r="BD7" s="6" t="s">
        <v>179</v>
      </c>
    </row>
    <row r="8" spans="1:56" x14ac:dyDescent="0.15">
      <c r="A8" s="1">
        <f t="shared" si="3"/>
        <v>101005</v>
      </c>
      <c r="B8" s="3">
        <v>101</v>
      </c>
      <c r="C8" s="5" t="s">
        <v>41</v>
      </c>
      <c r="D8" s="5" t="s">
        <v>205</v>
      </c>
      <c r="E8" s="6">
        <v>5</v>
      </c>
      <c r="F8" s="20" t="s">
        <v>109</v>
      </c>
      <c r="G8" s="6">
        <v>50</v>
      </c>
      <c r="H8" s="2">
        <v>403002</v>
      </c>
      <c r="I8" s="5" t="s">
        <v>133</v>
      </c>
      <c r="J8" s="33">
        <f>VLOOKUP(H8,[1]stuff!$A:$C,3,FALSE)</f>
        <v>25</v>
      </c>
      <c r="K8" s="5">
        <v>5000</v>
      </c>
      <c r="L8" s="2">
        <v>607001</v>
      </c>
      <c r="M8" s="5" t="s">
        <v>117</v>
      </c>
      <c r="N8" s="33">
        <f>VLOOKUP(L8,[1]stuff!$A:$C,3,FALSE)</f>
        <v>100</v>
      </c>
      <c r="O8" s="5">
        <v>60000</v>
      </c>
      <c r="P8" s="21">
        <f t="shared" si="0"/>
        <v>125000</v>
      </c>
      <c r="Q8" s="23">
        <f t="shared" si="1"/>
        <v>6000000</v>
      </c>
      <c r="R8" s="27">
        <f t="shared" si="7"/>
        <v>150000</v>
      </c>
      <c r="S8" s="27">
        <f t="shared" si="8"/>
        <v>0</v>
      </c>
      <c r="T8" s="20" t="str">
        <f t="shared" si="2"/>
        <v>往来</v>
      </c>
      <c r="U8" s="2">
        <v>422001</v>
      </c>
      <c r="V8" s="2" t="s">
        <v>88</v>
      </c>
      <c r="W8" s="33">
        <f>VLOOKUP(U8,[1]stuff!$A:$C,3,FALSE)</f>
        <v>100</v>
      </c>
      <c r="X8" s="6">
        <v>1500</v>
      </c>
      <c r="Y8" s="2">
        <v>812005</v>
      </c>
      <c r="Z8" s="18" t="s">
        <v>95</v>
      </c>
      <c r="AA8" s="25">
        <f>VLOOKUP(Y8,[1]stuff!$A:$C,3,FALSE)</f>
        <v>0</v>
      </c>
      <c r="AB8" s="5">
        <v>100</v>
      </c>
      <c r="AC8" s="21"/>
      <c r="AD8" s="6">
        <v>5</v>
      </c>
      <c r="AE8" s="2">
        <v>422001</v>
      </c>
      <c r="AF8" s="2" t="s">
        <v>88</v>
      </c>
      <c r="AG8" s="1">
        <v>120</v>
      </c>
      <c r="AH8" s="1">
        <v>413</v>
      </c>
      <c r="AI8" s="6" t="s">
        <v>214</v>
      </c>
      <c r="AJ8" s="1">
        <v>500</v>
      </c>
      <c r="AK8" s="1"/>
      <c r="AL8" s="6"/>
      <c r="AM8" s="1"/>
      <c r="AN8" s="2"/>
      <c r="AO8" s="2"/>
      <c r="AP8" s="1"/>
      <c r="AQ8" s="1"/>
      <c r="AR8" s="6"/>
      <c r="AS8" s="1"/>
      <c r="AT8" s="1"/>
      <c r="AU8" s="6"/>
      <c r="AV8" s="1"/>
      <c r="AW8" s="6"/>
      <c r="AX8" s="6"/>
      <c r="AY8" s="6"/>
      <c r="AZ8" s="6"/>
      <c r="BA8" s="6"/>
      <c r="BB8" s="20" t="str">
        <f t="shared" si="6"/>
        <v>往来</v>
      </c>
      <c r="BC8" s="6" t="s">
        <v>180</v>
      </c>
      <c r="BD8" s="6" t="s">
        <v>158</v>
      </c>
    </row>
    <row r="9" spans="1:56" x14ac:dyDescent="0.15">
      <c r="A9" s="1">
        <f t="shared" si="3"/>
        <v>101006</v>
      </c>
      <c r="B9" s="3">
        <v>101</v>
      </c>
      <c r="C9" s="5" t="s">
        <v>41</v>
      </c>
      <c r="D9" s="5" t="s">
        <v>205</v>
      </c>
      <c r="E9" s="5">
        <v>6</v>
      </c>
      <c r="F9" s="20" t="s">
        <v>110</v>
      </c>
      <c r="G9" s="5">
        <v>60</v>
      </c>
      <c r="H9" s="2">
        <v>603003</v>
      </c>
      <c r="I9" s="2" t="s">
        <v>124</v>
      </c>
      <c r="J9" s="33">
        <f>VLOOKUP(H9,[1]stuff!$A:$C,3,FALSE)</f>
        <v>100</v>
      </c>
      <c r="K9" s="5">
        <v>2500</v>
      </c>
      <c r="L9" s="2">
        <v>607001</v>
      </c>
      <c r="M9" s="5" t="s">
        <v>117</v>
      </c>
      <c r="N9" s="33">
        <f>VLOOKUP(L9,[1]stuff!$A:$C,3,FALSE)</f>
        <v>100</v>
      </c>
      <c r="O9" s="5">
        <v>70000</v>
      </c>
      <c r="P9" s="21">
        <f t="shared" si="0"/>
        <v>250000</v>
      </c>
      <c r="Q9" s="23">
        <f t="shared" si="1"/>
        <v>7000000</v>
      </c>
      <c r="R9" s="27">
        <f t="shared" si="7"/>
        <v>300000</v>
      </c>
      <c r="S9" s="27">
        <f t="shared" si="8"/>
        <v>300000</v>
      </c>
      <c r="T9" s="20" t="str">
        <f t="shared" si="2"/>
        <v>合作</v>
      </c>
      <c r="U9" s="2">
        <v>413007</v>
      </c>
      <c r="V9" s="5" t="s">
        <v>123</v>
      </c>
      <c r="W9" s="33">
        <f>VLOOKUP(U9,[1]stuff!$A:$C,3,FALSE)</f>
        <v>15000</v>
      </c>
      <c r="X9" s="5">
        <v>20</v>
      </c>
      <c r="Y9" s="2">
        <v>415007</v>
      </c>
      <c r="Z9" s="15" t="s">
        <v>126</v>
      </c>
      <c r="AA9" s="25">
        <f>VLOOKUP(Y9,[1]stuff!$A:$C,3,FALSE)</f>
        <v>15000</v>
      </c>
      <c r="AB9" s="5">
        <v>20</v>
      </c>
      <c r="AC9" s="26"/>
      <c r="AD9" s="7">
        <v>6</v>
      </c>
      <c r="AE9" s="2">
        <v>422001</v>
      </c>
      <c r="AF9" s="2" t="s">
        <v>88</v>
      </c>
      <c r="AG9" s="1">
        <v>115</v>
      </c>
      <c r="AH9" s="1">
        <v>413</v>
      </c>
      <c r="AI9" s="6" t="s">
        <v>214</v>
      </c>
      <c r="AJ9" s="1">
        <v>400</v>
      </c>
      <c r="AK9" s="1"/>
      <c r="AL9" s="6"/>
      <c r="AM9" s="1"/>
      <c r="AN9" s="2"/>
      <c r="AO9" s="2"/>
      <c r="AP9" s="1"/>
      <c r="AQ9" s="1"/>
      <c r="AR9" s="6"/>
      <c r="AS9" s="1"/>
      <c r="AT9" s="1"/>
      <c r="AU9" s="6"/>
      <c r="AV9" s="1"/>
      <c r="AW9" s="1"/>
      <c r="AX9" s="1"/>
      <c r="AY9" s="1"/>
      <c r="AZ9" s="1"/>
      <c r="BA9" s="1"/>
      <c r="BB9" s="20" t="str">
        <f t="shared" si="6"/>
        <v>合作</v>
      </c>
      <c r="BC9" s="6" t="s">
        <v>181</v>
      </c>
      <c r="BD9" s="6" t="s">
        <v>160</v>
      </c>
    </row>
    <row r="10" spans="1:56" x14ac:dyDescent="0.15">
      <c r="A10" s="1">
        <f t="shared" si="3"/>
        <v>101007</v>
      </c>
      <c r="B10" s="3">
        <v>101</v>
      </c>
      <c r="C10" s="5" t="s">
        <v>41</v>
      </c>
      <c r="D10" s="5" t="s">
        <v>205</v>
      </c>
      <c r="E10" s="5">
        <v>7</v>
      </c>
      <c r="F10" s="20" t="s">
        <v>111</v>
      </c>
      <c r="G10" s="5">
        <v>70</v>
      </c>
      <c r="H10" s="2">
        <v>603004</v>
      </c>
      <c r="I10" s="2" t="s">
        <v>125</v>
      </c>
      <c r="J10" s="33">
        <f>VLOOKUP(H10,[1]stuff!$A:$C,3,FALSE)</f>
        <v>100</v>
      </c>
      <c r="K10" s="5">
        <v>3500</v>
      </c>
      <c r="L10" s="2">
        <v>607001</v>
      </c>
      <c r="M10" s="5" t="s">
        <v>117</v>
      </c>
      <c r="N10" s="33">
        <f>VLOOKUP(L10,[1]stuff!$A:$C,3,FALSE)</f>
        <v>100</v>
      </c>
      <c r="O10" s="5">
        <v>80000</v>
      </c>
      <c r="P10" s="21">
        <f t="shared" si="0"/>
        <v>350000</v>
      </c>
      <c r="Q10" s="23">
        <f t="shared" si="1"/>
        <v>8000000</v>
      </c>
      <c r="R10" s="27">
        <f t="shared" si="7"/>
        <v>400000</v>
      </c>
      <c r="S10" s="27">
        <f t="shared" si="8"/>
        <v>500</v>
      </c>
      <c r="T10" s="20" t="str">
        <f t="shared" si="2"/>
        <v>友好</v>
      </c>
      <c r="U10" s="2">
        <v>413008</v>
      </c>
      <c r="V10" s="2" t="s">
        <v>68</v>
      </c>
      <c r="W10" s="33">
        <f>VLOOKUP(U10,[1]stuff!$A:$C,3,FALSE)</f>
        <v>40000</v>
      </c>
      <c r="X10" s="5">
        <v>10</v>
      </c>
      <c r="Y10" s="48">
        <v>902096</v>
      </c>
      <c r="Z10" s="48" t="s">
        <v>287</v>
      </c>
      <c r="AA10" s="25">
        <f>VLOOKUP(Y10,[1]stuff!$A:$C,3,FALSE)</f>
        <v>500</v>
      </c>
      <c r="AB10" s="5">
        <v>1</v>
      </c>
      <c r="AC10" s="9"/>
      <c r="AD10" s="6">
        <v>7</v>
      </c>
      <c r="AE10" s="2">
        <v>422001</v>
      </c>
      <c r="AF10" s="2" t="s">
        <v>88</v>
      </c>
      <c r="AG10" s="1">
        <v>110</v>
      </c>
      <c r="AH10" s="1">
        <v>413</v>
      </c>
      <c r="AI10" s="6" t="s">
        <v>214</v>
      </c>
      <c r="AJ10" s="1">
        <v>300</v>
      </c>
      <c r="AK10" s="1"/>
      <c r="AL10" s="6"/>
      <c r="AM10" s="1"/>
      <c r="AN10" s="2"/>
      <c r="AO10" s="2"/>
      <c r="AP10" s="1"/>
      <c r="AQ10" s="1"/>
      <c r="AR10" s="6"/>
      <c r="AS10" s="1"/>
      <c r="AT10" s="1"/>
      <c r="AU10" s="6"/>
      <c r="AV10" s="1"/>
      <c r="AW10" s="8"/>
      <c r="AX10" s="8"/>
      <c r="AY10" s="8"/>
      <c r="AZ10" s="8"/>
      <c r="BA10" s="8"/>
      <c r="BB10" s="20" t="str">
        <f t="shared" si="6"/>
        <v>友好</v>
      </c>
      <c r="BC10" s="6" t="s">
        <v>182</v>
      </c>
      <c r="BD10" s="6" t="s">
        <v>159</v>
      </c>
    </row>
    <row r="11" spans="1:56" x14ac:dyDescent="0.15">
      <c r="A11" s="1">
        <f t="shared" si="3"/>
        <v>101008</v>
      </c>
      <c r="B11" s="3">
        <v>101</v>
      </c>
      <c r="C11" s="5" t="s">
        <v>41</v>
      </c>
      <c r="D11" s="5" t="s">
        <v>205</v>
      </c>
      <c r="E11" s="5">
        <v>8</v>
      </c>
      <c r="F11" s="3" t="s">
        <v>112</v>
      </c>
      <c r="G11" s="5">
        <v>80</v>
      </c>
      <c r="H11" s="2">
        <v>414008</v>
      </c>
      <c r="I11" s="2" t="s">
        <v>72</v>
      </c>
      <c r="J11" s="33">
        <f>VLOOKUP(H11,[1]stuff!$A:$C,3,FALSE)</f>
        <v>40000</v>
      </c>
      <c r="K11" s="5">
        <v>10</v>
      </c>
      <c r="L11" s="2">
        <v>602002</v>
      </c>
      <c r="M11" s="2" t="s">
        <v>80</v>
      </c>
      <c r="N11" s="33">
        <f>VLOOKUP(L11,[1]stuff!$A:$C,3,FALSE)</f>
        <v>15</v>
      </c>
      <c r="O11" s="6">
        <v>20000</v>
      </c>
      <c r="P11" s="21">
        <f t="shared" si="0"/>
        <v>400000</v>
      </c>
      <c r="Q11" s="23">
        <f t="shared" si="1"/>
        <v>300000</v>
      </c>
      <c r="R11" s="27">
        <f t="shared" si="7"/>
        <v>444440</v>
      </c>
      <c r="S11" s="27">
        <f t="shared" si="8"/>
        <v>444440</v>
      </c>
      <c r="T11" s="20" t="str">
        <f t="shared" si="2"/>
        <v>信任</v>
      </c>
      <c r="U11" s="2">
        <v>413009</v>
      </c>
      <c r="V11" s="2" t="s">
        <v>69</v>
      </c>
      <c r="W11" s="33">
        <f>VLOOKUP(U11,[1]stuff!$A:$C,3,FALSE)</f>
        <v>88888</v>
      </c>
      <c r="X11" s="5">
        <v>5</v>
      </c>
      <c r="Y11" s="2">
        <v>415009</v>
      </c>
      <c r="Z11" s="15" t="s">
        <v>71</v>
      </c>
      <c r="AA11" s="25">
        <f>VLOOKUP(Y11,[1]stuff!$A:$C,3,FALSE)</f>
        <v>88888</v>
      </c>
      <c r="AB11" s="5">
        <v>5</v>
      </c>
      <c r="AC11" s="9"/>
      <c r="AD11" s="7">
        <v>8</v>
      </c>
      <c r="AE11" s="2">
        <v>422001</v>
      </c>
      <c r="AF11" s="2" t="s">
        <v>88</v>
      </c>
      <c r="AG11" s="1">
        <v>105</v>
      </c>
      <c r="AH11" s="1">
        <v>413</v>
      </c>
      <c r="AI11" s="6" t="s">
        <v>214</v>
      </c>
      <c r="AJ11" s="1">
        <v>200</v>
      </c>
      <c r="AK11" s="1"/>
      <c r="AL11" s="6"/>
      <c r="AM11" s="1"/>
      <c r="AN11" s="2"/>
      <c r="AO11" s="2"/>
      <c r="AP11" s="1"/>
      <c r="AQ11" s="1"/>
      <c r="AR11" s="6"/>
      <c r="AS11" s="1"/>
      <c r="AT11" s="1"/>
      <c r="AU11" s="6"/>
      <c r="AV11" s="1"/>
      <c r="AW11" s="8"/>
      <c r="AX11" s="8"/>
      <c r="AY11" s="8"/>
      <c r="AZ11" s="8"/>
      <c r="BA11" s="8"/>
      <c r="BB11" s="20" t="str">
        <f t="shared" si="6"/>
        <v>信任</v>
      </c>
      <c r="BC11" s="6" t="s">
        <v>183</v>
      </c>
      <c r="BD11" s="6" t="s">
        <v>184</v>
      </c>
    </row>
    <row r="12" spans="1:56" x14ac:dyDescent="0.15">
      <c r="A12" s="1">
        <f t="shared" si="3"/>
        <v>101009</v>
      </c>
      <c r="B12" s="3">
        <v>101</v>
      </c>
      <c r="C12" s="5" t="s">
        <v>41</v>
      </c>
      <c r="D12" s="5" t="s">
        <v>205</v>
      </c>
      <c r="E12" s="5">
        <v>9</v>
      </c>
      <c r="F12" s="20" t="s">
        <v>113</v>
      </c>
      <c r="G12" s="5">
        <v>90</v>
      </c>
      <c r="H12" s="2">
        <v>410001</v>
      </c>
      <c r="I12" s="5" t="s">
        <v>64</v>
      </c>
      <c r="J12" s="33">
        <f>VLOOKUP(H12,[1]stuff!$A:$C,3,FALSE)</f>
        <v>99999999</v>
      </c>
      <c r="K12" s="5">
        <v>1</v>
      </c>
      <c r="L12" s="2">
        <v>423003</v>
      </c>
      <c r="M12" s="5" t="s">
        <v>136</v>
      </c>
      <c r="N12" s="33">
        <f>VLOOKUP(L12,[1]stuff!$A:$C,3,FALSE)</f>
        <v>5000</v>
      </c>
      <c r="O12" s="5">
        <v>3000</v>
      </c>
      <c r="P12" s="21">
        <f t="shared" si="0"/>
        <v>99999999</v>
      </c>
      <c r="Q12" s="23">
        <f t="shared" si="1"/>
        <v>15000000</v>
      </c>
      <c r="R12" s="27">
        <f t="shared" si="7"/>
        <v>2000</v>
      </c>
      <c r="S12" s="27">
        <f t="shared" si="8"/>
        <v>10000000</v>
      </c>
      <c r="T12" s="20" t="str">
        <f t="shared" si="2"/>
        <v>同盟</v>
      </c>
      <c r="U12" s="2">
        <v>902071</v>
      </c>
      <c r="V12" s="16" t="s">
        <v>74</v>
      </c>
      <c r="W12" s="33">
        <f>VLOOKUP(U12,[1]stuff!$A:$C,3,FALSE)</f>
        <v>2000</v>
      </c>
      <c r="X12" s="5">
        <v>1</v>
      </c>
      <c r="Y12" s="2">
        <v>608001</v>
      </c>
      <c r="Z12" s="2" t="s">
        <v>90</v>
      </c>
      <c r="AA12" s="25">
        <f>VLOOKUP(Y12,[1]stuff!$A:$C,3,FALSE)</f>
        <v>1000</v>
      </c>
      <c r="AB12" s="5">
        <v>10000</v>
      </c>
      <c r="AC12" s="9"/>
      <c r="AD12" s="6">
        <v>9</v>
      </c>
      <c r="AE12" s="2">
        <v>422001</v>
      </c>
      <c r="AF12" s="2" t="s">
        <v>88</v>
      </c>
      <c r="AG12" s="1">
        <v>100</v>
      </c>
      <c r="AH12" s="1">
        <v>413</v>
      </c>
      <c r="AI12" s="6" t="s">
        <v>214</v>
      </c>
      <c r="AJ12" s="1">
        <v>150</v>
      </c>
      <c r="AK12" s="1"/>
      <c r="AL12" s="6"/>
      <c r="AM12" s="1"/>
      <c r="AN12" s="2"/>
      <c r="AO12" s="2"/>
      <c r="AP12" s="1"/>
      <c r="AQ12" s="1"/>
      <c r="AR12" s="6"/>
      <c r="AS12" s="1"/>
      <c r="AT12" s="1"/>
      <c r="AU12" s="6"/>
      <c r="AV12" s="1"/>
      <c r="AW12" s="8"/>
      <c r="AX12" s="8"/>
      <c r="AY12" s="8"/>
      <c r="AZ12" s="8"/>
      <c r="BA12" s="8"/>
      <c r="BB12" s="20" t="str">
        <f t="shared" si="6"/>
        <v>同盟</v>
      </c>
      <c r="BC12" s="6" t="s">
        <v>162</v>
      </c>
      <c r="BD12" s="6" t="s">
        <v>285</v>
      </c>
    </row>
    <row r="13" spans="1:56" x14ac:dyDescent="0.15">
      <c r="A13" s="1">
        <f t="shared" si="3"/>
        <v>101010</v>
      </c>
      <c r="B13" s="3">
        <v>101</v>
      </c>
      <c r="C13" s="5" t="s">
        <v>41</v>
      </c>
      <c r="D13" s="5" t="s">
        <v>205</v>
      </c>
      <c r="E13" s="5">
        <v>10</v>
      </c>
      <c r="F13" s="20" t="s">
        <v>212</v>
      </c>
      <c r="G13" s="5">
        <v>100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20" t="str">
        <f>F13</f>
        <v>王位争夺者</v>
      </c>
      <c r="U13" s="41"/>
      <c r="V13" s="41"/>
      <c r="W13" s="41"/>
      <c r="X13" s="41"/>
      <c r="Y13" s="41"/>
      <c r="Z13" s="41"/>
      <c r="AA13" s="41"/>
      <c r="AB13" s="41"/>
      <c r="AC13" s="39"/>
      <c r="AD13" s="7">
        <v>10</v>
      </c>
      <c r="AE13" s="2">
        <v>422001</v>
      </c>
      <c r="AF13" s="2" t="s">
        <v>88</v>
      </c>
      <c r="AG13" s="1">
        <v>200</v>
      </c>
      <c r="AH13" s="1">
        <v>413</v>
      </c>
      <c r="AI13" s="6" t="s">
        <v>214</v>
      </c>
      <c r="AJ13" s="1">
        <v>1000</v>
      </c>
      <c r="AK13" s="1"/>
      <c r="AL13" s="6"/>
      <c r="AM13" s="1"/>
      <c r="AN13" s="2"/>
      <c r="AO13" s="2"/>
      <c r="AP13" s="1"/>
      <c r="AQ13" s="1"/>
      <c r="AR13" s="6"/>
      <c r="AS13" s="1"/>
      <c r="AT13" s="1"/>
      <c r="AU13" s="6"/>
      <c r="AV13" s="1"/>
      <c r="AW13" s="40"/>
      <c r="AX13" s="40"/>
      <c r="AY13" s="40"/>
      <c r="AZ13" s="40"/>
      <c r="BA13" s="40"/>
      <c r="BB13" s="20" t="str">
        <f t="shared" si="6"/>
        <v>王位争夺者</v>
      </c>
      <c r="BC13" s="6" t="s">
        <v>211</v>
      </c>
      <c r="BD13" s="1"/>
    </row>
    <row r="14" spans="1:56" ht="54" x14ac:dyDescent="0.15">
      <c r="A14" s="1">
        <f t="shared" si="3"/>
        <v>102000</v>
      </c>
      <c r="B14" s="3">
        <v>102</v>
      </c>
      <c r="C14" s="5" t="s">
        <v>295</v>
      </c>
      <c r="D14" s="5" t="s">
        <v>206</v>
      </c>
      <c r="E14" s="2">
        <f>E3</f>
        <v>0</v>
      </c>
      <c r="F14" s="2" t="str">
        <f>F3</f>
        <v>敌对</v>
      </c>
      <c r="G14" s="2">
        <f>G3</f>
        <v>0</v>
      </c>
      <c r="H14" s="2">
        <f>H3</f>
        <v>607001</v>
      </c>
      <c r="I14" s="2" t="str">
        <f>I3</f>
        <v>白银</v>
      </c>
      <c r="J14" s="33">
        <f>VLOOKUP(H14,[1]stuff!$A:$C,3,FALSE)</f>
        <v>100</v>
      </c>
      <c r="K14" s="2">
        <f>K3</f>
        <v>500000</v>
      </c>
      <c r="L14" s="2">
        <f>L3</f>
        <v>812000</v>
      </c>
      <c r="M14" s="2" t="str">
        <f>M3</f>
        <v>矮人</v>
      </c>
      <c r="N14" s="33">
        <f>VLOOKUP(L14,[1]stuff!$A:$C,3,FALSE)</f>
        <v>0</v>
      </c>
      <c r="O14" s="2">
        <v>500</v>
      </c>
      <c r="P14" s="42">
        <f t="shared" ref="P14:P23" si="9">J14*K14</f>
        <v>50000000</v>
      </c>
      <c r="Q14" s="43">
        <f t="shared" ref="Q14:Q23" si="10">N14*O14</f>
        <v>0</v>
      </c>
      <c r="R14" s="16">
        <f t="shared" si="4"/>
        <v>5</v>
      </c>
      <c r="S14" s="16">
        <f t="shared" si="5"/>
        <v>2</v>
      </c>
      <c r="T14" s="20" t="str">
        <f t="shared" ref="T14:T77" si="11">F14</f>
        <v>敌对</v>
      </c>
      <c r="U14" s="2">
        <f>U3</f>
        <v>401001</v>
      </c>
      <c r="V14" s="2" t="str">
        <f>V3</f>
        <v>烈酒</v>
      </c>
      <c r="W14" s="33">
        <f>VLOOKUP(U14,[1]stuff!$A:$C,3,FALSE)</f>
        <v>5</v>
      </c>
      <c r="X14" s="2">
        <f>X3</f>
        <v>1</v>
      </c>
      <c r="Y14" s="2">
        <f>Y3</f>
        <v>305001</v>
      </c>
      <c r="Z14" s="2" t="str">
        <f>Z3</f>
        <v>简单食物</v>
      </c>
      <c r="AA14" s="25">
        <f>VLOOKUP(Y14,[1]stuff!$A:$C,3,FALSE)</f>
        <v>2</v>
      </c>
      <c r="AB14" s="2">
        <f>AB3</f>
        <v>1</v>
      </c>
      <c r="AC14" s="10" t="str">
        <f>C14</f>
        <v>宣王</v>
      </c>
      <c r="AD14" s="7">
        <f>AD3</f>
        <v>0</v>
      </c>
      <c r="AE14" s="2">
        <v>602001</v>
      </c>
      <c r="AF14" s="2" t="s">
        <v>173</v>
      </c>
      <c r="AG14" s="1">
        <v>190</v>
      </c>
      <c r="AH14" s="2">
        <v>606001</v>
      </c>
      <c r="AI14" s="2" t="s">
        <v>81</v>
      </c>
      <c r="AJ14" s="1">
        <v>190</v>
      </c>
      <c r="AK14" s="2"/>
      <c r="AL14" s="2"/>
      <c r="AM14" s="1"/>
      <c r="AN14" s="2"/>
      <c r="AO14" s="2"/>
      <c r="AP14" s="1"/>
      <c r="AQ14" s="2"/>
      <c r="AR14" s="2"/>
      <c r="AS14" s="1"/>
      <c r="AT14" s="2"/>
      <c r="AU14" s="2"/>
      <c r="AV14" s="1"/>
      <c r="AW14" s="8" t="s">
        <v>186</v>
      </c>
      <c r="AX14" s="7" t="s">
        <v>16</v>
      </c>
      <c r="AY14" s="8" t="s">
        <v>19</v>
      </c>
      <c r="AZ14" s="8" t="s">
        <v>35</v>
      </c>
      <c r="BA14" s="8" t="s">
        <v>20</v>
      </c>
      <c r="BB14" s="20" t="str">
        <f t="shared" si="6"/>
        <v>敌对</v>
      </c>
      <c r="BC14" s="36" t="s">
        <v>163</v>
      </c>
      <c r="BD14" s="6" t="s">
        <v>239</v>
      </c>
    </row>
    <row r="15" spans="1:56" x14ac:dyDescent="0.15">
      <c r="A15" s="1">
        <f t="shared" si="3"/>
        <v>102001</v>
      </c>
      <c r="B15" s="3">
        <v>102</v>
      </c>
      <c r="C15" s="5" t="s">
        <v>295</v>
      </c>
      <c r="D15" s="5" t="s">
        <v>206</v>
      </c>
      <c r="E15" s="2">
        <f t="shared" ref="E15:F24" si="12">E4</f>
        <v>1</v>
      </c>
      <c r="F15" s="2" t="str">
        <f t="shared" si="12"/>
        <v>对立</v>
      </c>
      <c r="G15" s="2">
        <f t="shared" ref="G15:I78" si="13">G4</f>
        <v>10</v>
      </c>
      <c r="H15" s="2">
        <f t="shared" si="13"/>
        <v>401001</v>
      </c>
      <c r="I15" s="2" t="str">
        <f t="shared" si="13"/>
        <v>烈酒</v>
      </c>
      <c r="J15" s="33">
        <f>VLOOKUP(H15,[1]stuff!$A:$C,3,FALSE)</f>
        <v>5</v>
      </c>
      <c r="K15" s="2">
        <f t="shared" ref="K15" si="14">K4</f>
        <v>10000</v>
      </c>
      <c r="L15" s="2">
        <v>812000</v>
      </c>
      <c r="M15" s="2" t="s">
        <v>198</v>
      </c>
      <c r="N15" s="33">
        <f>VLOOKUP(L15,[1]stuff!$A:$C,3,FALSE)</f>
        <v>0</v>
      </c>
      <c r="O15" s="2">
        <v>200</v>
      </c>
      <c r="P15" s="21">
        <f t="shared" si="9"/>
        <v>50000</v>
      </c>
      <c r="Q15" s="23">
        <f t="shared" si="10"/>
        <v>0</v>
      </c>
      <c r="R15" s="27">
        <f t="shared" si="4"/>
        <v>4</v>
      </c>
      <c r="S15" s="27">
        <f t="shared" si="5"/>
        <v>50</v>
      </c>
      <c r="T15" s="20" t="str">
        <f t="shared" si="11"/>
        <v>对立</v>
      </c>
      <c r="U15" s="2">
        <f t="shared" ref="U15:V15" si="15">U4</f>
        <v>305002</v>
      </c>
      <c r="V15" s="2" t="str">
        <f t="shared" si="15"/>
        <v>精致食物</v>
      </c>
      <c r="W15" s="33">
        <f>VLOOKUP(U15,[1]stuff!$A:$C,3,FALSE)</f>
        <v>4</v>
      </c>
      <c r="X15" s="2">
        <f t="shared" ref="X15:Z15" si="16">X4</f>
        <v>1</v>
      </c>
      <c r="Y15" s="2">
        <f t="shared" si="16"/>
        <v>401001</v>
      </c>
      <c r="Z15" s="2" t="str">
        <f t="shared" si="16"/>
        <v>烈酒</v>
      </c>
      <c r="AA15" s="25">
        <v>50</v>
      </c>
      <c r="AB15" s="2">
        <f t="shared" ref="AB15:AB16" si="17">AB4</f>
        <v>1</v>
      </c>
      <c r="AC15" s="10" t="str">
        <f t="shared" ref="AC15:AC23" si="18">C15</f>
        <v>宣王</v>
      </c>
      <c r="AD15" s="7">
        <f t="shared" ref="AD15:AD78" si="19">AD4</f>
        <v>1</v>
      </c>
      <c r="AE15" s="2">
        <v>602001</v>
      </c>
      <c r="AF15" s="2" t="s">
        <v>173</v>
      </c>
      <c r="AG15" s="1">
        <v>180</v>
      </c>
      <c r="AH15" s="2">
        <v>606001</v>
      </c>
      <c r="AI15" s="2" t="s">
        <v>81</v>
      </c>
      <c r="AJ15" s="1">
        <v>180</v>
      </c>
      <c r="AK15" s="2"/>
      <c r="AL15" s="2"/>
      <c r="AM15" s="1"/>
      <c r="AN15" s="2"/>
      <c r="AO15" s="2"/>
      <c r="AP15" s="1"/>
      <c r="AQ15" s="2"/>
      <c r="AR15" s="2"/>
      <c r="AS15" s="1"/>
      <c r="AT15" s="2"/>
      <c r="AU15" s="2"/>
      <c r="AV15" s="1"/>
      <c r="AW15" s="1"/>
      <c r="AX15" s="1"/>
      <c r="AY15" s="1"/>
      <c r="AZ15" s="1"/>
      <c r="BA15" s="1"/>
      <c r="BB15" s="20" t="str">
        <f t="shared" si="6"/>
        <v>对立</v>
      </c>
      <c r="BC15" s="7" t="s">
        <v>151</v>
      </c>
      <c r="BD15" s="6" t="s">
        <v>240</v>
      </c>
    </row>
    <row r="16" spans="1:56" x14ac:dyDescent="0.15">
      <c r="A16" s="1">
        <f t="shared" si="3"/>
        <v>102002</v>
      </c>
      <c r="B16" s="3">
        <v>102</v>
      </c>
      <c r="C16" s="5" t="s">
        <v>295</v>
      </c>
      <c r="D16" s="5" t="s">
        <v>206</v>
      </c>
      <c r="E16" s="2">
        <f t="shared" si="12"/>
        <v>2</v>
      </c>
      <c r="F16" s="2" t="str">
        <f t="shared" si="12"/>
        <v>厌恶</v>
      </c>
      <c r="G16" s="2">
        <f t="shared" si="13"/>
        <v>20</v>
      </c>
      <c r="H16" s="2">
        <f t="shared" si="13"/>
        <v>305002</v>
      </c>
      <c r="I16" s="2" t="str">
        <f t="shared" si="13"/>
        <v>精致食物</v>
      </c>
      <c r="J16" s="33">
        <f>VLOOKUP(H16,[1]stuff!$A:$C,3,FALSE)</f>
        <v>4</v>
      </c>
      <c r="K16" s="2">
        <f t="shared" ref="K16" si="20">K5</f>
        <v>10000</v>
      </c>
      <c r="L16" s="2">
        <v>812000</v>
      </c>
      <c r="M16" s="2" t="s">
        <v>198</v>
      </c>
      <c r="N16" s="33">
        <f>VLOOKUP(L16,[1]stuff!$A:$C,3,FALSE)</f>
        <v>0</v>
      </c>
      <c r="O16" s="2">
        <v>300</v>
      </c>
      <c r="P16" s="21">
        <f t="shared" si="9"/>
        <v>40000</v>
      </c>
      <c r="Q16" s="23">
        <f t="shared" si="10"/>
        <v>0</v>
      </c>
      <c r="R16" s="27">
        <f t="shared" si="4"/>
        <v>10000</v>
      </c>
      <c r="S16" s="27">
        <f t="shared" si="5"/>
        <v>5000</v>
      </c>
      <c r="T16" s="20" t="str">
        <f t="shared" si="11"/>
        <v>厌恶</v>
      </c>
      <c r="U16" s="2">
        <f t="shared" ref="U16:V16" si="21">U5</f>
        <v>412003</v>
      </c>
      <c r="V16" s="2" t="str">
        <f t="shared" si="21"/>
        <v>糖</v>
      </c>
      <c r="W16" s="33">
        <f>VLOOKUP(U16,[1]stuff!$A:$C,3,FALSE)</f>
        <v>10</v>
      </c>
      <c r="X16" s="2">
        <v>1000</v>
      </c>
      <c r="Y16" s="2">
        <f t="shared" ref="Y16:Z16" si="22">Y5</f>
        <v>608001</v>
      </c>
      <c r="Z16" s="2" t="str">
        <f t="shared" si="22"/>
        <v>黄金</v>
      </c>
      <c r="AA16" s="25">
        <f>VLOOKUP(Y16,[1]stuff!$A:$C,3,FALSE)</f>
        <v>1000</v>
      </c>
      <c r="AB16" s="2">
        <f t="shared" si="17"/>
        <v>5</v>
      </c>
      <c r="AC16" s="10" t="str">
        <f t="shared" si="18"/>
        <v>宣王</v>
      </c>
      <c r="AD16" s="7">
        <f t="shared" si="19"/>
        <v>2</v>
      </c>
      <c r="AE16" s="2">
        <v>602001</v>
      </c>
      <c r="AF16" s="2" t="s">
        <v>173</v>
      </c>
      <c r="AG16" s="1">
        <v>170</v>
      </c>
      <c r="AH16" s="2">
        <v>606001</v>
      </c>
      <c r="AI16" s="2" t="s">
        <v>81</v>
      </c>
      <c r="AJ16" s="1">
        <v>170</v>
      </c>
      <c r="AK16" s="2"/>
      <c r="AL16" s="2"/>
      <c r="AM16" s="1"/>
      <c r="AN16" s="2"/>
      <c r="AO16" s="2"/>
      <c r="AP16" s="1"/>
      <c r="AQ16" s="2"/>
      <c r="AR16" s="2"/>
      <c r="AS16" s="1"/>
      <c r="AT16" s="2"/>
      <c r="AU16" s="2"/>
      <c r="AV16" s="1"/>
      <c r="AW16" s="1"/>
      <c r="AX16" s="1"/>
      <c r="AY16" s="1"/>
      <c r="AZ16" s="1"/>
      <c r="BA16" s="1"/>
      <c r="BB16" s="20" t="str">
        <f t="shared" si="6"/>
        <v>厌恶</v>
      </c>
      <c r="BC16" s="1" t="s">
        <v>165</v>
      </c>
      <c r="BD16" s="1" t="s">
        <v>167</v>
      </c>
    </row>
    <row r="17" spans="1:56" x14ac:dyDescent="0.15">
      <c r="A17" s="1">
        <f t="shared" si="3"/>
        <v>102003</v>
      </c>
      <c r="B17" s="3">
        <v>102</v>
      </c>
      <c r="C17" s="5" t="s">
        <v>295</v>
      </c>
      <c r="D17" s="5" t="s">
        <v>206</v>
      </c>
      <c r="E17" s="2">
        <f t="shared" si="12"/>
        <v>3</v>
      </c>
      <c r="F17" s="2" t="str">
        <f t="shared" si="12"/>
        <v>讨厌</v>
      </c>
      <c r="G17" s="2">
        <f t="shared" si="13"/>
        <v>30</v>
      </c>
      <c r="H17" s="2">
        <v>413003</v>
      </c>
      <c r="I17" s="2" t="s">
        <v>128</v>
      </c>
      <c r="J17" s="33">
        <f>VLOOKUP(H17,[1]stuff!$A:$C,3,FALSE)</f>
        <v>150</v>
      </c>
      <c r="K17" s="2">
        <v>1000</v>
      </c>
      <c r="L17" s="2">
        <v>812000</v>
      </c>
      <c r="M17" s="2" t="s">
        <v>198</v>
      </c>
      <c r="N17" s="33">
        <f>VLOOKUP(L17,[1]stuff!$A:$C,3,FALSE)</f>
        <v>0</v>
      </c>
      <c r="O17" s="2">
        <v>300</v>
      </c>
      <c r="P17" s="21">
        <f t="shared" si="9"/>
        <v>150000</v>
      </c>
      <c r="Q17" s="23">
        <f t="shared" si="10"/>
        <v>0</v>
      </c>
      <c r="R17" s="27">
        <f t="shared" ref="R17:R23" si="23">W17*X17</f>
        <v>150000</v>
      </c>
      <c r="S17" s="27">
        <f t="shared" ref="S17:S23" si="24">AA17*AB17</f>
        <v>150000</v>
      </c>
      <c r="T17" s="20" t="str">
        <f t="shared" si="11"/>
        <v>讨厌</v>
      </c>
      <c r="U17" s="2">
        <f t="shared" ref="U17:V18" si="25">U6</f>
        <v>608001</v>
      </c>
      <c r="V17" s="2" t="str">
        <f t="shared" si="25"/>
        <v>黄金</v>
      </c>
      <c r="W17" s="33">
        <f>VLOOKUP(U17,[1]stuff!$A:$C,3,FALSE)</f>
        <v>1000</v>
      </c>
      <c r="X17" s="2">
        <v>150</v>
      </c>
      <c r="Y17" s="2">
        <v>418001</v>
      </c>
      <c r="Z17" s="5" t="s">
        <v>91</v>
      </c>
      <c r="AA17" s="25">
        <f>VLOOKUP(Y17,[1]stuff!$A:$C,3,FALSE)</f>
        <v>500</v>
      </c>
      <c r="AB17" s="2">
        <v>300</v>
      </c>
      <c r="AC17" s="10" t="str">
        <f t="shared" si="18"/>
        <v>宣王</v>
      </c>
      <c r="AD17" s="7">
        <f t="shared" si="19"/>
        <v>3</v>
      </c>
      <c r="AE17" s="2">
        <v>602001</v>
      </c>
      <c r="AF17" s="2" t="s">
        <v>173</v>
      </c>
      <c r="AG17" s="1">
        <v>160</v>
      </c>
      <c r="AH17" s="2">
        <v>606001</v>
      </c>
      <c r="AI17" s="2" t="s">
        <v>81</v>
      </c>
      <c r="AJ17" s="1">
        <v>160</v>
      </c>
      <c r="AK17" s="2"/>
      <c r="AL17" s="2"/>
      <c r="AM17" s="1"/>
      <c r="AN17" s="2"/>
      <c r="AO17" s="2"/>
      <c r="AP17" s="1"/>
      <c r="AQ17" s="2"/>
      <c r="AR17" s="2"/>
      <c r="AS17" s="1"/>
      <c r="AT17" s="2"/>
      <c r="AU17" s="2"/>
      <c r="AV17" s="1"/>
      <c r="AW17" s="1"/>
      <c r="AX17" s="1"/>
      <c r="AY17" s="1"/>
      <c r="AZ17" s="1"/>
      <c r="BA17" s="1"/>
      <c r="BB17" s="20" t="str">
        <f t="shared" si="6"/>
        <v>讨厌</v>
      </c>
      <c r="BC17" s="1" t="s">
        <v>241</v>
      </c>
      <c r="BD17" s="6" t="s">
        <v>218</v>
      </c>
    </row>
    <row r="18" spans="1:56" x14ac:dyDescent="0.15">
      <c r="A18" s="1">
        <f t="shared" si="3"/>
        <v>102004</v>
      </c>
      <c r="B18" s="3">
        <v>102</v>
      </c>
      <c r="C18" s="5" t="s">
        <v>295</v>
      </c>
      <c r="D18" s="5" t="s">
        <v>206</v>
      </c>
      <c r="E18" s="2">
        <f t="shared" si="12"/>
        <v>4</v>
      </c>
      <c r="F18" s="2" t="str">
        <f t="shared" si="12"/>
        <v>中立</v>
      </c>
      <c r="G18" s="2">
        <f t="shared" si="13"/>
        <v>40</v>
      </c>
      <c r="H18" s="2">
        <v>413004</v>
      </c>
      <c r="I18" s="2" t="s">
        <v>129</v>
      </c>
      <c r="J18" s="33">
        <f>VLOOKUP(H18,[1]stuff!$A:$C,3,FALSE)</f>
        <v>400</v>
      </c>
      <c r="K18" s="2">
        <v>400</v>
      </c>
      <c r="L18" s="2">
        <v>812000</v>
      </c>
      <c r="M18" s="2" t="s">
        <v>198</v>
      </c>
      <c r="N18" s="33">
        <f>VLOOKUP(L18,[1]stuff!$A:$C,3,FALSE)</f>
        <v>0</v>
      </c>
      <c r="O18" s="2">
        <v>300</v>
      </c>
      <c r="P18" s="21">
        <f t="shared" si="9"/>
        <v>160000</v>
      </c>
      <c r="Q18" s="23">
        <f t="shared" si="10"/>
        <v>0</v>
      </c>
      <c r="R18" s="27">
        <f t="shared" si="23"/>
        <v>200000</v>
      </c>
      <c r="S18" s="27">
        <f t="shared" si="24"/>
        <v>0</v>
      </c>
      <c r="T18" s="20" t="str">
        <f t="shared" si="11"/>
        <v>中立</v>
      </c>
      <c r="U18" s="2">
        <f t="shared" si="25"/>
        <v>608001</v>
      </c>
      <c r="V18" s="2" t="str">
        <f t="shared" si="25"/>
        <v>黄金</v>
      </c>
      <c r="W18" s="33">
        <f>VLOOKUP(U18,[1]stuff!$A:$C,3,FALSE)</f>
        <v>1000</v>
      </c>
      <c r="X18" s="2">
        <v>200</v>
      </c>
      <c r="Y18" s="2">
        <v>812008</v>
      </c>
      <c r="Z18" s="8" t="s">
        <v>137</v>
      </c>
      <c r="AA18" s="25">
        <f>VLOOKUP(Y18,[1]stuff!$A:$C,3,FALSE)</f>
        <v>0</v>
      </c>
      <c r="AB18" s="2">
        <v>100</v>
      </c>
      <c r="AC18" s="10" t="str">
        <f t="shared" si="18"/>
        <v>宣王</v>
      </c>
      <c r="AD18" s="7">
        <f t="shared" si="19"/>
        <v>4</v>
      </c>
      <c r="AE18" s="15">
        <v>602001</v>
      </c>
      <c r="AF18" s="15" t="s">
        <v>173</v>
      </c>
      <c r="AG18" s="49">
        <v>150</v>
      </c>
      <c r="AH18" s="15">
        <v>606001</v>
      </c>
      <c r="AI18" s="15" t="s">
        <v>81</v>
      </c>
      <c r="AJ18" s="49">
        <v>150</v>
      </c>
      <c r="AK18" s="2"/>
      <c r="AL18" s="2"/>
      <c r="AM18" s="1"/>
      <c r="AN18" s="2"/>
      <c r="AO18" s="2"/>
      <c r="AP18" s="1"/>
      <c r="AQ18" s="2"/>
      <c r="AR18" s="2"/>
      <c r="AS18" s="1"/>
      <c r="AT18" s="2"/>
      <c r="AU18" s="2"/>
      <c r="AV18" s="1"/>
      <c r="AW18" s="1"/>
      <c r="AX18" s="1"/>
      <c r="AY18" s="1"/>
      <c r="AZ18" s="1"/>
      <c r="BA18" s="1"/>
      <c r="BB18" s="20" t="str">
        <f t="shared" si="6"/>
        <v>中立</v>
      </c>
      <c r="BC18" s="1" t="s">
        <v>242</v>
      </c>
      <c r="BD18" s="1" t="s">
        <v>243</v>
      </c>
    </row>
    <row r="19" spans="1:56" x14ac:dyDescent="0.15">
      <c r="A19" s="1">
        <f t="shared" si="3"/>
        <v>102005</v>
      </c>
      <c r="B19" s="3">
        <v>102</v>
      </c>
      <c r="C19" s="5" t="s">
        <v>295</v>
      </c>
      <c r="D19" s="5" t="s">
        <v>206</v>
      </c>
      <c r="E19" s="2">
        <f t="shared" si="12"/>
        <v>5</v>
      </c>
      <c r="F19" s="2" t="str">
        <f t="shared" si="12"/>
        <v>往来</v>
      </c>
      <c r="G19" s="2">
        <f t="shared" si="13"/>
        <v>50</v>
      </c>
      <c r="H19" s="2">
        <v>413005</v>
      </c>
      <c r="I19" s="2" t="s">
        <v>130</v>
      </c>
      <c r="J19" s="33">
        <f>VLOOKUP(H19,[1]stuff!$A:$C,3,FALSE)</f>
        <v>2000</v>
      </c>
      <c r="K19" s="2">
        <v>200</v>
      </c>
      <c r="L19" s="2">
        <v>812000</v>
      </c>
      <c r="M19" s="2" t="s">
        <v>198</v>
      </c>
      <c r="N19" s="33">
        <f>VLOOKUP(L19,[1]stuff!$A:$C,3,FALSE)</f>
        <v>0</v>
      </c>
      <c r="O19" s="2">
        <v>300</v>
      </c>
      <c r="P19" s="21">
        <f t="shared" si="9"/>
        <v>400000</v>
      </c>
      <c r="Q19" s="23">
        <f t="shared" si="10"/>
        <v>0</v>
      </c>
      <c r="R19" s="27">
        <f t="shared" si="23"/>
        <v>300000</v>
      </c>
      <c r="S19" s="27">
        <f t="shared" si="24"/>
        <v>0</v>
      </c>
      <c r="T19" s="20" t="str">
        <f t="shared" si="11"/>
        <v>往来</v>
      </c>
      <c r="U19" s="2">
        <v>608001</v>
      </c>
      <c r="V19" s="2" t="s">
        <v>90</v>
      </c>
      <c r="W19" s="33">
        <f>VLOOKUP(U19,[1]stuff!$A:$C,3,FALSE)</f>
        <v>1000</v>
      </c>
      <c r="X19" s="2">
        <v>300</v>
      </c>
      <c r="Y19" s="2">
        <v>812008</v>
      </c>
      <c r="Z19" s="8" t="s">
        <v>137</v>
      </c>
      <c r="AA19" s="25">
        <f>VLOOKUP(Y19,[1]stuff!$A:$C,3,FALSE)</f>
        <v>0</v>
      </c>
      <c r="AB19" s="2">
        <v>100</v>
      </c>
      <c r="AC19" s="10" t="str">
        <f t="shared" si="18"/>
        <v>宣王</v>
      </c>
      <c r="AD19" s="7">
        <f t="shared" si="19"/>
        <v>5</v>
      </c>
      <c r="AE19" s="2">
        <v>602001</v>
      </c>
      <c r="AF19" s="2" t="s">
        <v>173</v>
      </c>
      <c r="AG19" s="1">
        <v>140</v>
      </c>
      <c r="AH19" s="2">
        <v>606001</v>
      </c>
      <c r="AI19" s="2" t="s">
        <v>81</v>
      </c>
      <c r="AJ19" s="1">
        <v>140</v>
      </c>
      <c r="AK19" s="2"/>
      <c r="AL19" s="2"/>
      <c r="AM19" s="1"/>
      <c r="AN19" s="2"/>
      <c r="AO19" s="2"/>
      <c r="AP19" s="1"/>
      <c r="AQ19" s="2"/>
      <c r="AR19" s="2"/>
      <c r="AS19" s="1"/>
      <c r="AT19" s="2"/>
      <c r="AU19" s="2"/>
      <c r="AV19" s="1"/>
      <c r="AW19" s="1"/>
      <c r="AX19" s="1"/>
      <c r="AY19" s="1"/>
      <c r="AZ19" s="1"/>
      <c r="BA19" s="1"/>
      <c r="BB19" s="20" t="str">
        <f t="shared" si="6"/>
        <v>往来</v>
      </c>
      <c r="BC19" s="1" t="s">
        <v>244</v>
      </c>
      <c r="BD19" s="1" t="s">
        <v>168</v>
      </c>
    </row>
    <row r="20" spans="1:56" x14ac:dyDescent="0.15">
      <c r="A20" s="1">
        <f t="shared" si="3"/>
        <v>102006</v>
      </c>
      <c r="B20" s="3">
        <v>102</v>
      </c>
      <c r="C20" s="5" t="s">
        <v>295</v>
      </c>
      <c r="D20" s="5" t="s">
        <v>206</v>
      </c>
      <c r="E20" s="2">
        <f t="shared" si="12"/>
        <v>6</v>
      </c>
      <c r="F20" s="2" t="str">
        <f t="shared" si="12"/>
        <v>合作</v>
      </c>
      <c r="G20" s="2">
        <f t="shared" si="13"/>
        <v>60</v>
      </c>
      <c r="H20" s="2">
        <v>413006</v>
      </c>
      <c r="I20" s="2" t="s">
        <v>131</v>
      </c>
      <c r="J20" s="33">
        <f>VLOOKUP(H20,[1]stuff!$A:$C,3,FALSE)</f>
        <v>4500</v>
      </c>
      <c r="K20" s="2">
        <v>50</v>
      </c>
      <c r="L20" s="2">
        <v>812000</v>
      </c>
      <c r="M20" s="2" t="s">
        <v>198</v>
      </c>
      <c r="N20" s="33">
        <f>VLOOKUP(L20,[1]stuff!$A:$C,3,FALSE)</f>
        <v>0</v>
      </c>
      <c r="O20" s="2">
        <v>300</v>
      </c>
      <c r="P20" s="21">
        <f t="shared" si="9"/>
        <v>225000</v>
      </c>
      <c r="Q20" s="23">
        <f t="shared" si="10"/>
        <v>0</v>
      </c>
      <c r="R20" s="27">
        <f t="shared" si="23"/>
        <v>300000</v>
      </c>
      <c r="S20" s="27">
        <f t="shared" si="24"/>
        <v>300000</v>
      </c>
      <c r="T20" s="20" t="str">
        <f t="shared" si="11"/>
        <v>合作</v>
      </c>
      <c r="U20" s="2">
        <v>414007</v>
      </c>
      <c r="V20" s="5" t="s">
        <v>143</v>
      </c>
      <c r="W20" s="33">
        <f>VLOOKUP(U20,[1]stuff!$A:$C,3,FALSE)</f>
        <v>15000</v>
      </c>
      <c r="X20" s="2">
        <v>20</v>
      </c>
      <c r="Y20" s="2">
        <v>415007</v>
      </c>
      <c r="Z20" s="15" t="s">
        <v>126</v>
      </c>
      <c r="AA20" s="25">
        <f>VLOOKUP(Y20,[1]stuff!$A:$C,3,FALSE)</f>
        <v>15000</v>
      </c>
      <c r="AB20" s="5">
        <v>20</v>
      </c>
      <c r="AC20" s="10" t="str">
        <f t="shared" si="18"/>
        <v>宣王</v>
      </c>
      <c r="AD20" s="7">
        <f t="shared" si="19"/>
        <v>6</v>
      </c>
      <c r="AE20" s="2">
        <v>602001</v>
      </c>
      <c r="AF20" s="2" t="s">
        <v>173</v>
      </c>
      <c r="AG20" s="1">
        <v>130</v>
      </c>
      <c r="AH20" s="2">
        <v>606001</v>
      </c>
      <c r="AI20" s="2" t="s">
        <v>81</v>
      </c>
      <c r="AJ20" s="1">
        <v>130</v>
      </c>
      <c r="AK20" s="2"/>
      <c r="AL20" s="2"/>
      <c r="AM20" s="1"/>
      <c r="AN20" s="2"/>
      <c r="AO20" s="2"/>
      <c r="AP20" s="1"/>
      <c r="AQ20" s="2"/>
      <c r="AR20" s="2"/>
      <c r="AS20" s="1"/>
      <c r="AT20" s="2"/>
      <c r="AU20" s="2"/>
      <c r="AV20" s="1"/>
      <c r="AW20" s="1"/>
      <c r="AX20" s="1"/>
      <c r="AY20" s="1"/>
      <c r="AZ20" s="1"/>
      <c r="BA20" s="1"/>
      <c r="BB20" s="20" t="str">
        <f t="shared" si="6"/>
        <v>合作</v>
      </c>
      <c r="BC20" s="1" t="s">
        <v>247</v>
      </c>
      <c r="BD20" s="1" t="s">
        <v>169</v>
      </c>
    </row>
    <row r="21" spans="1:56" x14ac:dyDescent="0.15">
      <c r="A21" s="1">
        <f t="shared" si="3"/>
        <v>102007</v>
      </c>
      <c r="B21" s="3">
        <v>102</v>
      </c>
      <c r="C21" s="5" t="s">
        <v>295</v>
      </c>
      <c r="D21" s="5" t="s">
        <v>206</v>
      </c>
      <c r="E21" s="2">
        <f t="shared" si="12"/>
        <v>7</v>
      </c>
      <c r="F21" s="2" t="str">
        <f t="shared" si="12"/>
        <v>友好</v>
      </c>
      <c r="G21" s="2">
        <f t="shared" si="13"/>
        <v>70</v>
      </c>
      <c r="H21" s="2">
        <v>413007</v>
      </c>
      <c r="I21" s="2" t="s">
        <v>132</v>
      </c>
      <c r="J21" s="33">
        <f>VLOOKUP(H21,[1]stuff!$A:$C,3,FALSE)</f>
        <v>15000</v>
      </c>
      <c r="K21" s="2">
        <v>25</v>
      </c>
      <c r="L21" s="2">
        <v>812000</v>
      </c>
      <c r="M21" s="2" t="s">
        <v>198</v>
      </c>
      <c r="N21" s="33">
        <f>VLOOKUP(L21,[1]stuff!$A:$C,3,FALSE)</f>
        <v>0</v>
      </c>
      <c r="O21" s="2">
        <v>500</v>
      </c>
      <c r="P21" s="21">
        <f t="shared" si="9"/>
        <v>375000</v>
      </c>
      <c r="Q21" s="23">
        <f t="shared" si="10"/>
        <v>0</v>
      </c>
      <c r="R21" s="27">
        <f t="shared" si="23"/>
        <v>400000</v>
      </c>
      <c r="S21" s="27">
        <f t="shared" si="24"/>
        <v>400000</v>
      </c>
      <c r="T21" s="20" t="str">
        <f t="shared" si="11"/>
        <v>友好</v>
      </c>
      <c r="U21" s="2">
        <v>414008</v>
      </c>
      <c r="V21" s="2" t="s">
        <v>72</v>
      </c>
      <c r="W21" s="33">
        <f>VLOOKUP(U21,[1]stuff!$A:$C,3,FALSE)</f>
        <v>40000</v>
      </c>
      <c r="X21" s="2">
        <v>10</v>
      </c>
      <c r="Y21" s="2">
        <v>415008</v>
      </c>
      <c r="Z21" s="15" t="s">
        <v>70</v>
      </c>
      <c r="AA21" s="25">
        <f>VLOOKUP(Y21,[1]stuff!$A:$C,3,FALSE)</f>
        <v>40000</v>
      </c>
      <c r="AB21" s="5">
        <v>10</v>
      </c>
      <c r="AC21" s="10" t="str">
        <f t="shared" si="18"/>
        <v>宣王</v>
      </c>
      <c r="AD21" s="7">
        <f t="shared" si="19"/>
        <v>7</v>
      </c>
      <c r="AE21" s="2">
        <v>602001</v>
      </c>
      <c r="AF21" s="2" t="s">
        <v>173</v>
      </c>
      <c r="AG21" s="1">
        <v>120</v>
      </c>
      <c r="AH21" s="2">
        <v>606001</v>
      </c>
      <c r="AI21" s="2" t="s">
        <v>81</v>
      </c>
      <c r="AJ21" s="1">
        <v>120</v>
      </c>
      <c r="AK21" s="2"/>
      <c r="AL21" s="2"/>
      <c r="AM21" s="1"/>
      <c r="AN21" s="2"/>
      <c r="AO21" s="2"/>
      <c r="AP21" s="1"/>
      <c r="AQ21" s="2"/>
      <c r="AR21" s="2"/>
      <c r="AS21" s="1"/>
      <c r="AT21" s="2"/>
      <c r="AU21" s="2"/>
      <c r="AV21" s="1"/>
      <c r="AW21" s="1"/>
      <c r="AX21" s="1"/>
      <c r="AY21" s="1"/>
      <c r="AZ21" s="1"/>
      <c r="BA21" s="1"/>
      <c r="BB21" s="20" t="str">
        <f t="shared" si="6"/>
        <v>友好</v>
      </c>
      <c r="BC21" s="1" t="s">
        <v>248</v>
      </c>
      <c r="BD21" s="1" t="s">
        <v>246</v>
      </c>
    </row>
    <row r="22" spans="1:56" x14ac:dyDescent="0.15">
      <c r="A22" s="1">
        <f t="shared" si="3"/>
        <v>102008</v>
      </c>
      <c r="B22" s="3">
        <v>102</v>
      </c>
      <c r="C22" s="5" t="s">
        <v>295</v>
      </c>
      <c r="D22" s="5" t="s">
        <v>206</v>
      </c>
      <c r="E22" s="2">
        <f t="shared" si="12"/>
        <v>8</v>
      </c>
      <c r="F22" s="2" t="str">
        <f t="shared" si="12"/>
        <v>信任</v>
      </c>
      <c r="G22" s="2">
        <f t="shared" si="13"/>
        <v>80</v>
      </c>
      <c r="H22" s="2">
        <v>413008</v>
      </c>
      <c r="I22" s="2" t="s">
        <v>68</v>
      </c>
      <c r="J22" s="33">
        <f>VLOOKUP(H22,[1]stuff!$A:$C,3,FALSE)</f>
        <v>40000</v>
      </c>
      <c r="K22" s="2">
        <v>10</v>
      </c>
      <c r="L22" s="2">
        <v>812000</v>
      </c>
      <c r="M22" s="2" t="s">
        <v>198</v>
      </c>
      <c r="N22" s="33">
        <f>VLOOKUP(L22,[1]stuff!$A:$C,3,FALSE)</f>
        <v>0</v>
      </c>
      <c r="O22" s="2">
        <v>500</v>
      </c>
      <c r="P22" s="21">
        <f t="shared" si="9"/>
        <v>400000</v>
      </c>
      <c r="Q22" s="23">
        <f t="shared" si="10"/>
        <v>0</v>
      </c>
      <c r="R22" s="27">
        <f t="shared" si="23"/>
        <v>444440</v>
      </c>
      <c r="S22" s="27">
        <f t="shared" si="24"/>
        <v>444440</v>
      </c>
      <c r="T22" s="20" t="str">
        <f t="shared" si="11"/>
        <v>信任</v>
      </c>
      <c r="U22" s="2">
        <v>414009</v>
      </c>
      <c r="V22" s="2" t="s">
        <v>73</v>
      </c>
      <c r="W22" s="33">
        <f>VLOOKUP(U22,[1]stuff!$A:$C,3,FALSE)</f>
        <v>88888</v>
      </c>
      <c r="X22" s="2">
        <v>5</v>
      </c>
      <c r="Y22" s="2">
        <v>415009</v>
      </c>
      <c r="Z22" s="15" t="s">
        <v>71</v>
      </c>
      <c r="AA22" s="25">
        <f>VLOOKUP(Y22,[1]stuff!$A:$C,3,FALSE)</f>
        <v>88888</v>
      </c>
      <c r="AB22" s="5">
        <v>5</v>
      </c>
      <c r="AC22" s="10" t="str">
        <f t="shared" si="18"/>
        <v>宣王</v>
      </c>
      <c r="AD22" s="7">
        <f t="shared" si="19"/>
        <v>8</v>
      </c>
      <c r="AE22" s="2">
        <v>602001</v>
      </c>
      <c r="AF22" s="2" t="s">
        <v>173</v>
      </c>
      <c r="AG22" s="1">
        <v>110</v>
      </c>
      <c r="AH22" s="2">
        <v>606001</v>
      </c>
      <c r="AI22" s="2" t="s">
        <v>81</v>
      </c>
      <c r="AJ22" s="1">
        <v>110</v>
      </c>
      <c r="AK22" s="2"/>
      <c r="AL22" s="2"/>
      <c r="AM22" s="1"/>
      <c r="AN22" s="2"/>
      <c r="AO22" s="2"/>
      <c r="AP22" s="1"/>
      <c r="AQ22" s="2"/>
      <c r="AR22" s="2"/>
      <c r="AS22" s="1"/>
      <c r="AT22" s="2"/>
      <c r="AU22" s="2"/>
      <c r="AV22" s="1"/>
      <c r="AW22" s="1"/>
      <c r="AX22" s="1"/>
      <c r="AY22" s="1"/>
      <c r="AZ22" s="1"/>
      <c r="BA22" s="1"/>
      <c r="BB22" s="20" t="str">
        <f t="shared" si="6"/>
        <v>信任</v>
      </c>
      <c r="BC22" s="46" t="s">
        <v>166</v>
      </c>
      <c r="BD22" s="1" t="s">
        <v>245</v>
      </c>
    </row>
    <row r="23" spans="1:56" x14ac:dyDescent="0.15">
      <c r="A23" s="1">
        <f t="shared" si="3"/>
        <v>102009</v>
      </c>
      <c r="B23" s="3">
        <v>102</v>
      </c>
      <c r="C23" s="5" t="s">
        <v>295</v>
      </c>
      <c r="D23" s="5" t="s">
        <v>206</v>
      </c>
      <c r="E23" s="2">
        <f t="shared" si="12"/>
        <v>9</v>
      </c>
      <c r="F23" s="2" t="str">
        <f t="shared" si="12"/>
        <v>同盟</v>
      </c>
      <c r="G23" s="2">
        <f t="shared" si="13"/>
        <v>90</v>
      </c>
      <c r="H23" s="2">
        <v>413009</v>
      </c>
      <c r="I23" s="2" t="s">
        <v>69</v>
      </c>
      <c r="J23" s="33">
        <f>VLOOKUP(H23,[1]stuff!$A:$C,3,FALSE)</f>
        <v>88888</v>
      </c>
      <c r="K23" s="2">
        <v>5</v>
      </c>
      <c r="L23" s="2">
        <v>812000</v>
      </c>
      <c r="M23" s="2" t="s">
        <v>198</v>
      </c>
      <c r="N23" s="33">
        <f>VLOOKUP(L23,[1]stuff!$A:$C,3,FALSE)</f>
        <v>0</v>
      </c>
      <c r="O23" s="2">
        <v>500</v>
      </c>
      <c r="P23" s="21">
        <f t="shared" si="9"/>
        <v>444440</v>
      </c>
      <c r="Q23" s="23">
        <f t="shared" si="10"/>
        <v>0</v>
      </c>
      <c r="R23" s="27">
        <f t="shared" si="23"/>
        <v>99999999</v>
      </c>
      <c r="S23" s="27">
        <f t="shared" si="24"/>
        <v>10000000</v>
      </c>
      <c r="T23" s="20" t="str">
        <f t="shared" si="11"/>
        <v>同盟</v>
      </c>
      <c r="U23" s="2">
        <v>410003</v>
      </c>
      <c r="V23" s="2" t="s">
        <v>66</v>
      </c>
      <c r="W23" s="33">
        <f>VLOOKUP(U23,[1]stuff!$A:$C,3,FALSE)</f>
        <v>99999999</v>
      </c>
      <c r="X23" s="2">
        <f t="shared" ref="X23" si="26">X12</f>
        <v>1</v>
      </c>
      <c r="Y23" s="2">
        <v>608001</v>
      </c>
      <c r="Z23" s="2" t="s">
        <v>90</v>
      </c>
      <c r="AA23" s="25">
        <f>VLOOKUP(Y23,[1]stuff!$A:$C,3,FALSE)</f>
        <v>1000</v>
      </c>
      <c r="AB23" s="5">
        <v>10000</v>
      </c>
      <c r="AC23" s="10" t="str">
        <f t="shared" si="18"/>
        <v>宣王</v>
      </c>
      <c r="AD23" s="7">
        <f t="shared" si="19"/>
        <v>9</v>
      </c>
      <c r="AE23" s="2">
        <v>602001</v>
      </c>
      <c r="AF23" s="2" t="s">
        <v>173</v>
      </c>
      <c r="AG23" s="1">
        <v>100</v>
      </c>
      <c r="AH23" s="2">
        <v>606001</v>
      </c>
      <c r="AI23" s="2" t="s">
        <v>81</v>
      </c>
      <c r="AJ23" s="1">
        <v>100</v>
      </c>
      <c r="AK23" s="2"/>
      <c r="AL23" s="2"/>
      <c r="AM23" s="1"/>
      <c r="AN23" s="2"/>
      <c r="AO23" s="2"/>
      <c r="AP23" s="1"/>
      <c r="AQ23" s="2"/>
      <c r="AR23" s="2"/>
      <c r="AS23" s="1"/>
      <c r="AT23" s="2"/>
      <c r="AU23" s="2"/>
      <c r="AV23" s="1"/>
      <c r="AW23" s="1"/>
      <c r="AX23" s="1"/>
      <c r="AY23" s="1"/>
      <c r="AZ23" s="1"/>
      <c r="BA23" s="1"/>
      <c r="BB23" s="20" t="str">
        <f t="shared" si="6"/>
        <v>同盟</v>
      </c>
      <c r="BC23" s="1" t="s">
        <v>170</v>
      </c>
      <c r="BD23" s="6" t="s">
        <v>213</v>
      </c>
    </row>
    <row r="24" spans="1:56" x14ac:dyDescent="0.15">
      <c r="A24" s="1">
        <f t="shared" si="3"/>
        <v>102010</v>
      </c>
      <c r="B24" s="3">
        <v>102</v>
      </c>
      <c r="C24" s="5" t="s">
        <v>295</v>
      </c>
      <c r="D24" s="5" t="s">
        <v>206</v>
      </c>
      <c r="E24" s="2">
        <f t="shared" si="12"/>
        <v>10</v>
      </c>
      <c r="F24" s="20" t="s">
        <v>212</v>
      </c>
      <c r="G24" s="2">
        <f t="shared" si="13"/>
        <v>100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20" t="str">
        <f t="shared" si="11"/>
        <v>王位争夺者</v>
      </c>
      <c r="U24" s="41"/>
      <c r="V24" s="41"/>
      <c r="W24" s="41"/>
      <c r="X24" s="41"/>
      <c r="Y24" s="41"/>
      <c r="Z24" s="41"/>
      <c r="AA24" s="41"/>
      <c r="AB24" s="41"/>
      <c r="AC24" s="41"/>
      <c r="AD24" s="7">
        <f t="shared" si="19"/>
        <v>10</v>
      </c>
      <c r="AE24" s="2">
        <v>602001</v>
      </c>
      <c r="AF24" s="2" t="s">
        <v>173</v>
      </c>
      <c r="AG24" s="1">
        <v>200</v>
      </c>
      <c r="AH24" s="2">
        <v>606001</v>
      </c>
      <c r="AI24" s="2" t="s">
        <v>81</v>
      </c>
      <c r="AJ24" s="1">
        <v>200</v>
      </c>
      <c r="AK24" s="2"/>
      <c r="AL24" s="2"/>
      <c r="AM24" s="1"/>
      <c r="AN24" s="2"/>
      <c r="AO24" s="2"/>
      <c r="AP24" s="1"/>
      <c r="AQ24" s="2"/>
      <c r="AR24" s="2"/>
      <c r="AS24" s="1"/>
      <c r="AT24" s="2"/>
      <c r="AU24" s="2"/>
      <c r="AV24" s="1"/>
      <c r="AW24" s="41"/>
      <c r="AX24" s="41"/>
      <c r="AY24" s="41"/>
      <c r="AZ24" s="41"/>
      <c r="BA24" s="41"/>
      <c r="BB24" s="20" t="str">
        <f t="shared" si="6"/>
        <v>王位争夺者</v>
      </c>
      <c r="BC24" s="6" t="s">
        <v>262</v>
      </c>
      <c r="BD24" s="1"/>
    </row>
    <row r="25" spans="1:56" ht="40.5" x14ac:dyDescent="0.15">
      <c r="A25" s="1">
        <f t="shared" si="3"/>
        <v>103000</v>
      </c>
      <c r="B25" s="3">
        <v>103</v>
      </c>
      <c r="C25" s="2" t="s">
        <v>2</v>
      </c>
      <c r="D25" s="5" t="s">
        <v>209</v>
      </c>
      <c r="E25" s="2">
        <f t="shared" ref="E25:F25" si="27">E14</f>
        <v>0</v>
      </c>
      <c r="F25" s="2" t="str">
        <f t="shared" si="27"/>
        <v>敌对</v>
      </c>
      <c r="G25" s="2">
        <f t="shared" si="13"/>
        <v>0</v>
      </c>
      <c r="H25" s="2">
        <f t="shared" si="13"/>
        <v>607001</v>
      </c>
      <c r="I25" s="2" t="str">
        <f t="shared" si="13"/>
        <v>白银</v>
      </c>
      <c r="J25" s="33">
        <f>VLOOKUP(H25,[1]stuff!$A:$C,3,FALSE)</f>
        <v>100</v>
      </c>
      <c r="K25" s="2">
        <v>500000</v>
      </c>
      <c r="L25" s="2">
        <f t="shared" ref="L25:M25" si="28">L14</f>
        <v>812000</v>
      </c>
      <c r="M25" s="2" t="str">
        <f t="shared" si="28"/>
        <v>矮人</v>
      </c>
      <c r="N25" s="33">
        <f>VLOOKUP(L25,[1]stuff!$A:$C,3,FALSE)</f>
        <v>0</v>
      </c>
      <c r="O25" s="2">
        <v>500</v>
      </c>
      <c r="P25" s="42">
        <f t="shared" ref="P25:P34" si="29">J25*K25</f>
        <v>50000000</v>
      </c>
      <c r="Q25" s="43">
        <f t="shared" ref="Q25:Q34" si="30">N25*O25</f>
        <v>0</v>
      </c>
      <c r="R25" s="16">
        <f t="shared" si="4"/>
        <v>5</v>
      </c>
      <c r="S25" s="16">
        <f t="shared" si="5"/>
        <v>0</v>
      </c>
      <c r="T25" s="20" t="str">
        <f t="shared" si="11"/>
        <v>敌对</v>
      </c>
      <c r="U25" s="2">
        <f>U14</f>
        <v>401001</v>
      </c>
      <c r="V25" s="2" t="str">
        <f>V14</f>
        <v>烈酒</v>
      </c>
      <c r="W25" s="33">
        <f>VLOOKUP(U25,[1]stuff!$A:$C,3,FALSE)</f>
        <v>5</v>
      </c>
      <c r="X25" s="2">
        <f>X14</f>
        <v>1</v>
      </c>
      <c r="Y25" s="1">
        <f>Y14</f>
        <v>305001</v>
      </c>
      <c r="Z25" s="1" t="str">
        <f>Z14</f>
        <v>简单食物</v>
      </c>
      <c r="AA25" s="25">
        <f>VLOOKUP(Y29,[1]stuff!$A:$C,3,FALSE)</f>
        <v>0</v>
      </c>
      <c r="AB25" s="2">
        <f>AB14</f>
        <v>1</v>
      </c>
      <c r="AC25" s="2" t="s">
        <v>2</v>
      </c>
      <c r="AD25" s="7">
        <f t="shared" si="19"/>
        <v>0</v>
      </c>
      <c r="AE25" s="2">
        <v>301006</v>
      </c>
      <c r="AF25" s="2" t="s">
        <v>172</v>
      </c>
      <c r="AG25" s="1">
        <v>200</v>
      </c>
      <c r="AH25" s="2"/>
      <c r="AI25" s="2"/>
      <c r="AJ25" s="1"/>
      <c r="AK25" s="2"/>
      <c r="AL25" s="2"/>
      <c r="AM25" s="1"/>
      <c r="AN25" s="2"/>
      <c r="AO25" s="2"/>
      <c r="AP25" s="1"/>
      <c r="AQ25" s="2"/>
      <c r="AR25" s="2"/>
      <c r="AS25" s="1"/>
      <c r="AT25" s="2"/>
      <c r="AU25" s="2"/>
      <c r="AV25" s="1"/>
      <c r="AW25" s="8" t="s">
        <v>17</v>
      </c>
      <c r="AX25" s="7" t="s">
        <v>18</v>
      </c>
      <c r="AY25" s="7" t="s">
        <v>29</v>
      </c>
      <c r="AZ25" s="8" t="s">
        <v>33</v>
      </c>
      <c r="BA25" s="8" t="s">
        <v>36</v>
      </c>
      <c r="BB25" s="20" t="str">
        <f t="shared" si="6"/>
        <v>敌对</v>
      </c>
      <c r="BC25" s="36" t="s">
        <v>163</v>
      </c>
      <c r="BD25" s="6" t="s">
        <v>278</v>
      </c>
    </row>
    <row r="26" spans="1:56" x14ac:dyDescent="0.15">
      <c r="A26" s="1">
        <f t="shared" si="3"/>
        <v>103001</v>
      </c>
      <c r="B26" s="3">
        <v>103</v>
      </c>
      <c r="C26" s="2" t="s">
        <v>2</v>
      </c>
      <c r="D26" s="5" t="s">
        <v>209</v>
      </c>
      <c r="E26" s="2">
        <f t="shared" ref="E26:F26" si="31">E15</f>
        <v>1</v>
      </c>
      <c r="F26" s="2" t="str">
        <f t="shared" si="31"/>
        <v>对立</v>
      </c>
      <c r="G26" s="2">
        <f t="shared" si="13"/>
        <v>10</v>
      </c>
      <c r="H26" s="2">
        <f t="shared" si="13"/>
        <v>401001</v>
      </c>
      <c r="I26" s="2" t="str">
        <f t="shared" si="13"/>
        <v>烈酒</v>
      </c>
      <c r="J26" s="33">
        <f>VLOOKUP(H26,[1]stuff!$A:$C,3,FALSE)</f>
        <v>5</v>
      </c>
      <c r="K26" s="2">
        <f t="shared" ref="K26" si="32">K15</f>
        <v>10000</v>
      </c>
      <c r="L26" s="2">
        <v>607001</v>
      </c>
      <c r="M26" s="2" t="s">
        <v>89</v>
      </c>
      <c r="N26" s="33">
        <v>100</v>
      </c>
      <c r="O26" s="5">
        <v>20000</v>
      </c>
      <c r="P26" s="21">
        <f t="shared" si="29"/>
        <v>50000</v>
      </c>
      <c r="Q26" s="23">
        <f t="shared" si="30"/>
        <v>2000000</v>
      </c>
      <c r="R26" s="27">
        <f t="shared" si="4"/>
        <v>4</v>
      </c>
      <c r="S26" s="27">
        <f t="shared" si="5"/>
        <v>5</v>
      </c>
      <c r="T26" s="20" t="str">
        <f t="shared" si="11"/>
        <v>对立</v>
      </c>
      <c r="U26" s="1">
        <f t="shared" ref="U26:V26" si="33">U15</f>
        <v>305002</v>
      </c>
      <c r="V26" s="1" t="str">
        <f t="shared" si="33"/>
        <v>精致食物</v>
      </c>
      <c r="W26" s="33">
        <f>VLOOKUP(U26,[1]stuff!$A:$C,3,FALSE)</f>
        <v>4</v>
      </c>
      <c r="X26" s="2">
        <f t="shared" ref="X26:X27" si="34">X15</f>
        <v>1</v>
      </c>
      <c r="Y26" s="1">
        <f t="shared" ref="Y26:Z27" si="35">Y15</f>
        <v>401001</v>
      </c>
      <c r="Z26" s="1" t="str">
        <f t="shared" si="35"/>
        <v>烈酒</v>
      </c>
      <c r="AA26" s="25">
        <f>VLOOKUP(Y26,[1]stuff!$A:$C,3,FALSE)</f>
        <v>5</v>
      </c>
      <c r="AB26" s="2">
        <f t="shared" ref="AB26:AB27" si="36">AB15</f>
        <v>1</v>
      </c>
      <c r="AC26" s="1"/>
      <c r="AD26" s="7">
        <f t="shared" si="19"/>
        <v>1</v>
      </c>
      <c r="AE26" s="2">
        <v>301006</v>
      </c>
      <c r="AF26" s="2" t="s">
        <v>172</v>
      </c>
      <c r="AG26" s="1">
        <v>180</v>
      </c>
      <c r="AH26" s="2"/>
      <c r="AI26" s="2"/>
      <c r="AJ26" s="1"/>
      <c r="AK26" s="2"/>
      <c r="AL26" s="2"/>
      <c r="AM26" s="1"/>
      <c r="AN26" s="2"/>
      <c r="AO26" s="2"/>
      <c r="AP26" s="1"/>
      <c r="AQ26" s="2"/>
      <c r="AR26" s="2"/>
      <c r="AS26" s="1"/>
      <c r="AT26" s="2"/>
      <c r="AU26" s="2"/>
      <c r="AV26" s="1"/>
      <c r="AW26" s="1"/>
      <c r="AX26" s="1"/>
      <c r="AY26" s="1"/>
      <c r="AZ26" s="1"/>
      <c r="BA26" s="1"/>
      <c r="BB26" s="20" t="str">
        <f t="shared" si="6"/>
        <v>对立</v>
      </c>
      <c r="BC26" s="7" t="s">
        <v>151</v>
      </c>
      <c r="BD26" s="6" t="s">
        <v>279</v>
      </c>
    </row>
    <row r="27" spans="1:56" x14ac:dyDescent="0.15">
      <c r="A27" s="1">
        <f t="shared" si="3"/>
        <v>103002</v>
      </c>
      <c r="B27" s="3">
        <v>103</v>
      </c>
      <c r="C27" s="2" t="s">
        <v>2</v>
      </c>
      <c r="D27" s="5" t="s">
        <v>209</v>
      </c>
      <c r="E27" s="2">
        <f t="shared" ref="E27:F27" si="37">E16</f>
        <v>2</v>
      </c>
      <c r="F27" s="2" t="str">
        <f t="shared" si="37"/>
        <v>厌恶</v>
      </c>
      <c r="G27" s="2">
        <f t="shared" si="13"/>
        <v>20</v>
      </c>
      <c r="H27" s="2">
        <f t="shared" si="13"/>
        <v>305002</v>
      </c>
      <c r="I27" s="2" t="str">
        <f t="shared" si="13"/>
        <v>精致食物</v>
      </c>
      <c r="J27" s="33">
        <f>VLOOKUP(H27,[1]stuff!$A:$C,3,FALSE)</f>
        <v>4</v>
      </c>
      <c r="K27" s="2">
        <f t="shared" ref="K27" si="38">K16</f>
        <v>10000</v>
      </c>
      <c r="L27" s="2">
        <v>607001</v>
      </c>
      <c r="M27" s="2" t="s">
        <v>89</v>
      </c>
      <c r="N27" s="33">
        <v>100</v>
      </c>
      <c r="O27" s="5">
        <v>30000</v>
      </c>
      <c r="P27" s="21">
        <f t="shared" si="29"/>
        <v>40000</v>
      </c>
      <c r="Q27" s="23">
        <f t="shared" si="30"/>
        <v>3000000</v>
      </c>
      <c r="R27" s="27">
        <f t="shared" si="4"/>
        <v>10000</v>
      </c>
      <c r="S27" s="27">
        <f t="shared" si="5"/>
        <v>5000</v>
      </c>
      <c r="T27" s="20" t="str">
        <f t="shared" si="11"/>
        <v>厌恶</v>
      </c>
      <c r="U27" s="1">
        <f t="shared" ref="U27:V27" si="39">U16</f>
        <v>412003</v>
      </c>
      <c r="V27" s="1" t="str">
        <f t="shared" si="39"/>
        <v>糖</v>
      </c>
      <c r="W27" s="33">
        <f>VLOOKUP(U27,[1]stuff!$A:$C,3,FALSE)</f>
        <v>10</v>
      </c>
      <c r="X27" s="2">
        <f t="shared" si="34"/>
        <v>1000</v>
      </c>
      <c r="Y27" s="1">
        <f t="shared" si="35"/>
        <v>608001</v>
      </c>
      <c r="Z27" s="1" t="str">
        <f t="shared" si="35"/>
        <v>黄金</v>
      </c>
      <c r="AA27" s="25">
        <f>VLOOKUP(Y27,[1]stuff!$A:$C,3,FALSE)</f>
        <v>1000</v>
      </c>
      <c r="AB27" s="2">
        <f t="shared" si="36"/>
        <v>5</v>
      </c>
      <c r="AC27" s="1"/>
      <c r="AD27" s="7">
        <f t="shared" si="19"/>
        <v>2</v>
      </c>
      <c r="AE27" s="2">
        <v>301006</v>
      </c>
      <c r="AF27" s="2" t="s">
        <v>172</v>
      </c>
      <c r="AG27" s="1">
        <v>170</v>
      </c>
      <c r="AH27" s="2"/>
      <c r="AI27" s="2"/>
      <c r="AJ27" s="1"/>
      <c r="AK27" s="2"/>
      <c r="AL27" s="2"/>
      <c r="AM27" s="1"/>
      <c r="AN27" s="2"/>
      <c r="AO27" s="2"/>
      <c r="AP27" s="1"/>
      <c r="AQ27" s="2"/>
      <c r="AR27" s="2"/>
      <c r="AS27" s="1"/>
      <c r="AT27" s="2"/>
      <c r="AU27" s="2"/>
      <c r="AV27" s="1"/>
      <c r="AW27" s="1"/>
      <c r="AX27" s="1"/>
      <c r="AY27" s="1"/>
      <c r="AZ27" s="1"/>
      <c r="BA27" s="1"/>
      <c r="BB27" s="20" t="str">
        <f t="shared" si="6"/>
        <v>厌恶</v>
      </c>
      <c r="BC27" s="1" t="s">
        <v>269</v>
      </c>
      <c r="BD27" s="1" t="s">
        <v>280</v>
      </c>
    </row>
    <row r="28" spans="1:56" x14ac:dyDescent="0.15">
      <c r="A28" s="1">
        <f t="shared" si="3"/>
        <v>103003</v>
      </c>
      <c r="B28" s="3">
        <v>103</v>
      </c>
      <c r="C28" s="2" t="s">
        <v>2</v>
      </c>
      <c r="D28" s="5" t="s">
        <v>209</v>
      </c>
      <c r="E28" s="2">
        <f t="shared" ref="E28:F28" si="40">E17</f>
        <v>3</v>
      </c>
      <c r="F28" s="2" t="str">
        <f t="shared" si="40"/>
        <v>讨厌</v>
      </c>
      <c r="G28" s="2">
        <f t="shared" si="13"/>
        <v>30</v>
      </c>
      <c r="H28" s="2">
        <v>609001</v>
      </c>
      <c r="I28" s="2" t="s">
        <v>142</v>
      </c>
      <c r="J28" s="33">
        <f>VLOOKUP(H28,[1]stuff!$A:$C,3,FALSE)</f>
        <v>1</v>
      </c>
      <c r="K28" s="2">
        <v>50000</v>
      </c>
      <c r="L28" s="2">
        <v>607001</v>
      </c>
      <c r="M28" s="2" t="s">
        <v>89</v>
      </c>
      <c r="N28" s="33">
        <v>100</v>
      </c>
      <c r="O28" s="5">
        <v>40000</v>
      </c>
      <c r="P28" s="21">
        <f t="shared" si="29"/>
        <v>50000</v>
      </c>
      <c r="Q28" s="23">
        <f t="shared" si="30"/>
        <v>4000000</v>
      </c>
      <c r="R28" s="27">
        <f t="shared" ref="R28:R34" si="41">W28*X28</f>
        <v>10000</v>
      </c>
      <c r="S28" s="27">
        <f t="shared" ref="S28:S34" si="42">AA28*AB28</f>
        <v>40000</v>
      </c>
      <c r="T28" s="20" t="str">
        <f t="shared" si="11"/>
        <v>讨厌</v>
      </c>
      <c r="U28" s="2">
        <v>702001</v>
      </c>
      <c r="V28" s="2" t="s">
        <v>82</v>
      </c>
      <c r="W28" s="33">
        <f>VLOOKUP(U28,[1]stuff!$A:$C,3,FALSE)</f>
        <v>10000</v>
      </c>
      <c r="X28" s="2">
        <v>1</v>
      </c>
      <c r="Y28" s="1">
        <v>305002</v>
      </c>
      <c r="Z28" s="1" t="s">
        <v>87</v>
      </c>
      <c r="AA28" s="25">
        <f>VLOOKUP(Y28,[1]stuff!$A:$C,3,FALSE)</f>
        <v>4</v>
      </c>
      <c r="AB28" s="2">
        <v>10000</v>
      </c>
      <c r="AC28" s="1"/>
      <c r="AD28" s="7">
        <f t="shared" si="19"/>
        <v>3</v>
      </c>
      <c r="AE28" s="2">
        <v>301006</v>
      </c>
      <c r="AF28" s="2" t="s">
        <v>172</v>
      </c>
      <c r="AG28" s="1">
        <v>160</v>
      </c>
      <c r="AH28" s="2"/>
      <c r="AI28" s="2"/>
      <c r="AJ28" s="1"/>
      <c r="AK28" s="2"/>
      <c r="AL28" s="2"/>
      <c r="AM28" s="1"/>
      <c r="AN28" s="2"/>
      <c r="AO28" s="2"/>
      <c r="AP28" s="1"/>
      <c r="AQ28" s="2"/>
      <c r="AR28" s="2"/>
      <c r="AS28" s="1"/>
      <c r="AT28" s="2"/>
      <c r="AU28" s="2"/>
      <c r="AV28" s="1"/>
      <c r="AW28" s="1"/>
      <c r="AX28" s="1"/>
      <c r="AY28" s="1"/>
      <c r="AZ28" s="1"/>
      <c r="BA28" s="1"/>
      <c r="BB28" s="20" t="str">
        <f t="shared" si="6"/>
        <v>讨厌</v>
      </c>
      <c r="BC28" s="1" t="s">
        <v>271</v>
      </c>
      <c r="BD28" s="6" t="s">
        <v>281</v>
      </c>
    </row>
    <row r="29" spans="1:56" x14ac:dyDescent="0.15">
      <c r="A29" s="1">
        <f t="shared" si="3"/>
        <v>103004</v>
      </c>
      <c r="B29" s="3">
        <v>103</v>
      </c>
      <c r="C29" s="2" t="s">
        <v>2</v>
      </c>
      <c r="D29" s="5" t="s">
        <v>209</v>
      </c>
      <c r="E29" s="2">
        <f t="shared" ref="E29:F29" si="43">E18</f>
        <v>4</v>
      </c>
      <c r="F29" s="2" t="str">
        <f t="shared" si="43"/>
        <v>中立</v>
      </c>
      <c r="G29" s="2">
        <f t="shared" si="13"/>
        <v>40</v>
      </c>
      <c r="H29" s="2">
        <v>403002</v>
      </c>
      <c r="I29" s="5" t="s">
        <v>133</v>
      </c>
      <c r="J29" s="33">
        <f>VLOOKUP(H29,[1]stuff!$A:$C,3,FALSE)</f>
        <v>25</v>
      </c>
      <c r="K29" s="2">
        <v>5000</v>
      </c>
      <c r="L29" s="2">
        <v>607001</v>
      </c>
      <c r="M29" s="2" t="s">
        <v>89</v>
      </c>
      <c r="N29" s="33">
        <v>100</v>
      </c>
      <c r="O29" s="5">
        <v>50000</v>
      </c>
      <c r="P29" s="21">
        <f t="shared" si="29"/>
        <v>125000</v>
      </c>
      <c r="Q29" s="23">
        <f t="shared" si="30"/>
        <v>5000000</v>
      </c>
      <c r="R29" s="27">
        <f t="shared" si="41"/>
        <v>20000</v>
      </c>
      <c r="S29" s="27">
        <f t="shared" si="42"/>
        <v>0</v>
      </c>
      <c r="T29" s="20" t="str">
        <f t="shared" si="11"/>
        <v>中立</v>
      </c>
      <c r="U29" s="2">
        <v>701004</v>
      </c>
      <c r="V29" s="2" t="s">
        <v>83</v>
      </c>
      <c r="W29" s="33">
        <f>VLOOKUP(U29,[1]stuff!$A:$C,3,FALSE)</f>
        <v>20000</v>
      </c>
      <c r="X29" s="2">
        <v>1</v>
      </c>
      <c r="Y29" s="2">
        <v>812006</v>
      </c>
      <c r="Z29" s="18" t="s">
        <v>101</v>
      </c>
      <c r="AA29" s="25">
        <f>VLOOKUP(Y29,[1]stuff!$A:$C,3,FALSE)</f>
        <v>0</v>
      </c>
      <c r="AB29" s="2">
        <v>100</v>
      </c>
      <c r="AC29" s="1"/>
      <c r="AD29" s="7">
        <f t="shared" si="19"/>
        <v>4</v>
      </c>
      <c r="AE29" s="15">
        <v>301006</v>
      </c>
      <c r="AF29" s="15" t="s">
        <v>172</v>
      </c>
      <c r="AG29" s="49">
        <v>150</v>
      </c>
      <c r="AH29" s="15"/>
      <c r="AI29" s="15"/>
      <c r="AJ29" s="49"/>
      <c r="AK29" s="2"/>
      <c r="AL29" s="2"/>
      <c r="AM29" s="1"/>
      <c r="AN29" s="2"/>
      <c r="AO29" s="2"/>
      <c r="AP29" s="1"/>
      <c r="AQ29" s="2"/>
      <c r="AR29" s="2"/>
      <c r="AS29" s="1"/>
      <c r="AT29" s="2"/>
      <c r="AU29" s="2"/>
      <c r="AV29" s="1"/>
      <c r="AW29" s="1"/>
      <c r="AX29" s="1"/>
      <c r="AY29" s="1"/>
      <c r="AZ29" s="1"/>
      <c r="BA29" s="1"/>
      <c r="BB29" s="20" t="str">
        <f t="shared" si="6"/>
        <v>中立</v>
      </c>
      <c r="BC29" s="1" t="s">
        <v>270</v>
      </c>
      <c r="BD29" s="1" t="s">
        <v>282</v>
      </c>
    </row>
    <row r="30" spans="1:56" x14ac:dyDescent="0.15">
      <c r="A30" s="1">
        <f t="shared" si="3"/>
        <v>103005</v>
      </c>
      <c r="B30" s="3">
        <v>103</v>
      </c>
      <c r="C30" s="2" t="s">
        <v>2</v>
      </c>
      <c r="D30" s="5" t="s">
        <v>209</v>
      </c>
      <c r="E30" s="2">
        <f t="shared" ref="E30:F30" si="44">E19</f>
        <v>5</v>
      </c>
      <c r="F30" s="2" t="str">
        <f t="shared" si="44"/>
        <v>往来</v>
      </c>
      <c r="G30" s="2">
        <f t="shared" si="13"/>
        <v>50</v>
      </c>
      <c r="H30" s="2">
        <v>416002</v>
      </c>
      <c r="I30" s="2" t="s">
        <v>119</v>
      </c>
      <c r="J30" s="33">
        <f>VLOOKUP(H30,[1]stuff!$A:$C,3,FALSE)</f>
        <v>2000</v>
      </c>
      <c r="K30" s="2">
        <f>K19</f>
        <v>200</v>
      </c>
      <c r="L30" s="2">
        <v>607001</v>
      </c>
      <c r="M30" s="2" t="s">
        <v>89</v>
      </c>
      <c r="N30" s="33">
        <v>100</v>
      </c>
      <c r="O30" s="5">
        <v>60000</v>
      </c>
      <c r="P30" s="21">
        <f t="shared" si="29"/>
        <v>400000</v>
      </c>
      <c r="Q30" s="23">
        <f t="shared" si="30"/>
        <v>6000000</v>
      </c>
      <c r="R30" s="27">
        <f t="shared" si="41"/>
        <v>351000</v>
      </c>
      <c r="S30" s="27">
        <f t="shared" si="42"/>
        <v>0</v>
      </c>
      <c r="T30" s="20" t="str">
        <f t="shared" si="11"/>
        <v>往来</v>
      </c>
      <c r="U30" s="2">
        <v>608001</v>
      </c>
      <c r="V30" s="5" t="s">
        <v>145</v>
      </c>
      <c r="W30" s="33">
        <f>VLOOKUP(U30,[1]stuff!$A:$C,3,FALSE)</f>
        <v>1000</v>
      </c>
      <c r="X30" s="2">
        <v>351</v>
      </c>
      <c r="Y30" s="2">
        <v>812006</v>
      </c>
      <c r="Z30" s="8" t="s">
        <v>146</v>
      </c>
      <c r="AA30" s="25">
        <f>VLOOKUP(Y30,[1]stuff!$A:$C,3,FALSE)</f>
        <v>0</v>
      </c>
      <c r="AB30" s="2">
        <v>100</v>
      </c>
      <c r="AC30" s="1"/>
      <c r="AD30" s="7">
        <f t="shared" si="19"/>
        <v>5</v>
      </c>
      <c r="AE30" s="2">
        <v>301006</v>
      </c>
      <c r="AF30" s="2" t="s">
        <v>172</v>
      </c>
      <c r="AG30" s="1">
        <v>140</v>
      </c>
      <c r="AH30" s="2"/>
      <c r="AI30" s="2"/>
      <c r="AJ30" s="1"/>
      <c r="AK30" s="2"/>
      <c r="AL30" s="2"/>
      <c r="AM30" s="1"/>
      <c r="AN30" s="2"/>
      <c r="AO30" s="2"/>
      <c r="AP30" s="1"/>
      <c r="AQ30" s="2"/>
      <c r="AR30" s="2"/>
      <c r="AS30" s="1"/>
      <c r="AT30" s="2"/>
      <c r="AU30" s="2"/>
      <c r="AV30" s="1"/>
      <c r="AW30" s="1"/>
      <c r="AX30" s="1"/>
      <c r="AY30" s="1"/>
      <c r="AZ30" s="1"/>
      <c r="BA30" s="1"/>
      <c r="BB30" s="20" t="str">
        <f t="shared" si="6"/>
        <v>往来</v>
      </c>
      <c r="BC30" s="1" t="s">
        <v>272</v>
      </c>
      <c r="BD30" s="1" t="s">
        <v>283</v>
      </c>
    </row>
    <row r="31" spans="1:56" x14ac:dyDescent="0.15">
      <c r="A31" s="1">
        <f t="shared" si="3"/>
        <v>103006</v>
      </c>
      <c r="B31" s="3">
        <v>103</v>
      </c>
      <c r="C31" s="2" t="s">
        <v>2</v>
      </c>
      <c r="D31" s="5" t="s">
        <v>209</v>
      </c>
      <c r="E31" s="2">
        <f t="shared" ref="E31:F31" si="45">E20</f>
        <v>6</v>
      </c>
      <c r="F31" s="2" t="str">
        <f t="shared" si="45"/>
        <v>合作</v>
      </c>
      <c r="G31" s="2">
        <f t="shared" si="13"/>
        <v>60</v>
      </c>
      <c r="H31" s="2">
        <v>414006</v>
      </c>
      <c r="I31" s="2" t="s">
        <v>144</v>
      </c>
      <c r="J31" s="33">
        <f>VLOOKUP(H31,[1]stuff!$A:$C,3,FALSE)</f>
        <v>4500</v>
      </c>
      <c r="K31" s="2">
        <f>K20</f>
        <v>50</v>
      </c>
      <c r="L31" s="2">
        <v>607001</v>
      </c>
      <c r="M31" s="2" t="s">
        <v>89</v>
      </c>
      <c r="N31" s="33">
        <v>100</v>
      </c>
      <c r="O31" s="5">
        <v>70000</v>
      </c>
      <c r="P31" s="21">
        <f t="shared" si="29"/>
        <v>225000</v>
      </c>
      <c r="Q31" s="23">
        <f t="shared" si="30"/>
        <v>7000000</v>
      </c>
      <c r="R31" s="27">
        <f t="shared" si="41"/>
        <v>351000</v>
      </c>
      <c r="S31" s="27">
        <f t="shared" si="42"/>
        <v>300000</v>
      </c>
      <c r="T31" s="20" t="str">
        <f t="shared" si="11"/>
        <v>合作</v>
      </c>
      <c r="U31" s="2">
        <v>608001</v>
      </c>
      <c r="V31" s="5" t="s">
        <v>145</v>
      </c>
      <c r="W31" s="33">
        <f>VLOOKUP(U31,[1]stuff!$A:$C,3,FALSE)</f>
        <v>1000</v>
      </c>
      <c r="X31" s="2">
        <v>351</v>
      </c>
      <c r="Y31" s="2">
        <v>302003</v>
      </c>
      <c r="Z31" s="2" t="s">
        <v>147</v>
      </c>
      <c r="AA31" s="25">
        <f>VLOOKUP(Y31,[1]stuff!$A:$C,3,FALSE)</f>
        <v>1</v>
      </c>
      <c r="AB31" s="2">
        <v>300000</v>
      </c>
      <c r="AC31" s="1"/>
      <c r="AD31" s="7">
        <f t="shared" si="19"/>
        <v>6</v>
      </c>
      <c r="AE31" s="2">
        <v>301006</v>
      </c>
      <c r="AF31" s="2" t="s">
        <v>172</v>
      </c>
      <c r="AG31" s="1">
        <v>130</v>
      </c>
      <c r="AH31" s="2"/>
      <c r="AI31" s="2"/>
      <c r="AJ31" s="1"/>
      <c r="AK31" s="2"/>
      <c r="AL31" s="2"/>
      <c r="AM31" s="1"/>
      <c r="AN31" s="2"/>
      <c r="AO31" s="2"/>
      <c r="AP31" s="1"/>
      <c r="AQ31" s="2"/>
      <c r="AR31" s="2"/>
      <c r="AS31" s="1"/>
      <c r="AT31" s="2"/>
      <c r="AU31" s="2"/>
      <c r="AV31" s="1"/>
      <c r="AW31" s="1"/>
      <c r="AX31" s="1"/>
      <c r="AY31" s="1"/>
      <c r="AZ31" s="1"/>
      <c r="BA31" s="1"/>
      <c r="BB31" s="20" t="str">
        <f t="shared" si="6"/>
        <v>合作</v>
      </c>
      <c r="BC31" s="1" t="s">
        <v>273</v>
      </c>
      <c r="BD31" s="1" t="s">
        <v>283</v>
      </c>
    </row>
    <row r="32" spans="1:56" x14ac:dyDescent="0.15">
      <c r="A32" s="1">
        <f t="shared" si="3"/>
        <v>103007</v>
      </c>
      <c r="B32" s="3">
        <v>103</v>
      </c>
      <c r="C32" s="2" t="s">
        <v>2</v>
      </c>
      <c r="D32" s="5" t="s">
        <v>209</v>
      </c>
      <c r="E32" s="2">
        <f t="shared" ref="E32:F32" si="46">E21</f>
        <v>7</v>
      </c>
      <c r="F32" s="2" t="str">
        <f t="shared" si="46"/>
        <v>友好</v>
      </c>
      <c r="G32" s="2">
        <f t="shared" si="13"/>
        <v>70</v>
      </c>
      <c r="H32" s="2">
        <v>414007</v>
      </c>
      <c r="I32" s="2" t="s">
        <v>141</v>
      </c>
      <c r="J32" s="33">
        <f>VLOOKUP(H32,[1]stuff!$A:$C,3,FALSE)</f>
        <v>15000</v>
      </c>
      <c r="K32" s="2">
        <f>K21</f>
        <v>25</v>
      </c>
      <c r="L32" s="2">
        <v>607001</v>
      </c>
      <c r="M32" s="2" t="s">
        <v>89</v>
      </c>
      <c r="N32" s="33">
        <v>100</v>
      </c>
      <c r="O32" s="5">
        <v>80000</v>
      </c>
      <c r="P32" s="21">
        <f t="shared" si="29"/>
        <v>375000</v>
      </c>
      <c r="Q32" s="23">
        <f t="shared" si="30"/>
        <v>8000000</v>
      </c>
      <c r="R32" s="27">
        <f t="shared" si="41"/>
        <v>501000</v>
      </c>
      <c r="S32" s="27">
        <f t="shared" si="42"/>
        <v>500000</v>
      </c>
      <c r="T32" s="20" t="str">
        <f t="shared" si="11"/>
        <v>友好</v>
      </c>
      <c r="U32" s="2">
        <v>608001</v>
      </c>
      <c r="V32" s="5" t="s">
        <v>145</v>
      </c>
      <c r="W32" s="33">
        <f>VLOOKUP(U32,[1]stuff!$A:$C,3,FALSE)</f>
        <v>1000</v>
      </c>
      <c r="X32" s="2">
        <v>501</v>
      </c>
      <c r="Y32" s="2">
        <v>303001</v>
      </c>
      <c r="Z32" s="2" t="s">
        <v>148</v>
      </c>
      <c r="AA32" s="25">
        <f>VLOOKUP(Y32,[1]stuff!$A:$C,3,FALSE)</f>
        <v>1</v>
      </c>
      <c r="AB32" s="2">
        <v>500000</v>
      </c>
      <c r="AC32" s="1"/>
      <c r="AD32" s="7">
        <f t="shared" si="19"/>
        <v>7</v>
      </c>
      <c r="AE32" s="2">
        <v>301006</v>
      </c>
      <c r="AF32" s="2" t="s">
        <v>172</v>
      </c>
      <c r="AG32" s="1">
        <v>120</v>
      </c>
      <c r="AH32" s="2"/>
      <c r="AI32" s="2"/>
      <c r="AJ32" s="1"/>
      <c r="AK32" s="2"/>
      <c r="AL32" s="2"/>
      <c r="AM32" s="1"/>
      <c r="AN32" s="2"/>
      <c r="AO32" s="2"/>
      <c r="AP32" s="1"/>
      <c r="AQ32" s="2"/>
      <c r="AR32" s="2"/>
      <c r="AS32" s="1"/>
      <c r="AT32" s="2"/>
      <c r="AU32" s="2"/>
      <c r="AV32" s="1"/>
      <c r="AW32" s="1"/>
      <c r="AX32" s="1"/>
      <c r="AY32" s="1"/>
      <c r="AZ32" s="1"/>
      <c r="BA32" s="1"/>
      <c r="BB32" s="20" t="str">
        <f>F32</f>
        <v>友好</v>
      </c>
      <c r="BC32" s="1" t="s">
        <v>277</v>
      </c>
      <c r="BD32" s="1" t="s">
        <v>283</v>
      </c>
    </row>
    <row r="33" spans="1:56" x14ac:dyDescent="0.15">
      <c r="A33" s="1">
        <f t="shared" si="3"/>
        <v>103008</v>
      </c>
      <c r="B33" s="3">
        <v>103</v>
      </c>
      <c r="C33" s="2" t="s">
        <v>2</v>
      </c>
      <c r="D33" s="5" t="s">
        <v>209</v>
      </c>
      <c r="E33" s="2">
        <f t="shared" ref="E33:F33" si="47">E22</f>
        <v>8</v>
      </c>
      <c r="F33" s="2" t="str">
        <f t="shared" si="47"/>
        <v>信任</v>
      </c>
      <c r="G33" s="2">
        <f t="shared" si="13"/>
        <v>80</v>
      </c>
      <c r="H33" s="2">
        <v>414008</v>
      </c>
      <c r="I33" s="2" t="s">
        <v>72</v>
      </c>
      <c r="J33" s="33">
        <f>VLOOKUP(H33,[1]stuff!$A:$C,3,FALSE)</f>
        <v>40000</v>
      </c>
      <c r="K33" s="2">
        <f>K22</f>
        <v>10</v>
      </c>
      <c r="L33" s="2">
        <v>607001</v>
      </c>
      <c r="M33" s="2" t="s">
        <v>89</v>
      </c>
      <c r="N33" s="33">
        <v>100</v>
      </c>
      <c r="O33" s="5">
        <v>90000</v>
      </c>
      <c r="P33" s="21">
        <f t="shared" si="29"/>
        <v>400000</v>
      </c>
      <c r="Q33" s="23">
        <f t="shared" si="30"/>
        <v>9000000</v>
      </c>
      <c r="R33" s="27">
        <f t="shared" si="41"/>
        <v>601000</v>
      </c>
      <c r="S33" s="27">
        <f t="shared" si="42"/>
        <v>600000</v>
      </c>
      <c r="T33" s="20" t="str">
        <f t="shared" si="11"/>
        <v>信任</v>
      </c>
      <c r="U33" s="2">
        <v>608001</v>
      </c>
      <c r="V33" s="5" t="s">
        <v>145</v>
      </c>
      <c r="W33" s="33">
        <f>VLOOKUP(U33,[1]stuff!$A:$C,3,FALSE)</f>
        <v>1000</v>
      </c>
      <c r="X33" s="2">
        <v>601</v>
      </c>
      <c r="Y33" s="2">
        <v>303006</v>
      </c>
      <c r="Z33" s="2" t="s">
        <v>149</v>
      </c>
      <c r="AA33" s="25">
        <f>VLOOKUP(Y33,[1]stuff!$A:$C,3,FALSE)</f>
        <v>1</v>
      </c>
      <c r="AB33" s="2">
        <v>600000</v>
      </c>
      <c r="AC33" s="1"/>
      <c r="AD33" s="7">
        <f t="shared" si="19"/>
        <v>8</v>
      </c>
      <c r="AE33" s="2">
        <v>301006</v>
      </c>
      <c r="AF33" s="2" t="s">
        <v>172</v>
      </c>
      <c r="AG33" s="1">
        <v>110</v>
      </c>
      <c r="AH33" s="2"/>
      <c r="AI33" s="2"/>
      <c r="AJ33" s="1"/>
      <c r="AK33" s="2"/>
      <c r="AL33" s="2"/>
      <c r="AM33" s="1"/>
      <c r="AN33" s="2"/>
      <c r="AO33" s="2"/>
      <c r="AP33" s="1"/>
      <c r="AQ33" s="2"/>
      <c r="AR33" s="2"/>
      <c r="AS33" s="1"/>
      <c r="AT33" s="2"/>
      <c r="AU33" s="2"/>
      <c r="AV33" s="1"/>
      <c r="AW33" s="1"/>
      <c r="AX33" s="1"/>
      <c r="AY33" s="1"/>
      <c r="AZ33" s="1"/>
      <c r="BA33" s="1"/>
      <c r="BB33" s="20" t="str">
        <f t="shared" si="6"/>
        <v>信任</v>
      </c>
      <c r="BC33" s="1" t="s">
        <v>276</v>
      </c>
      <c r="BD33" s="1" t="s">
        <v>283</v>
      </c>
    </row>
    <row r="34" spans="1:56" x14ac:dyDescent="0.15">
      <c r="A34" s="1">
        <f t="shared" si="3"/>
        <v>103009</v>
      </c>
      <c r="B34" s="3">
        <v>103</v>
      </c>
      <c r="C34" s="2" t="s">
        <v>2</v>
      </c>
      <c r="D34" s="5" t="s">
        <v>209</v>
      </c>
      <c r="E34" s="2">
        <f t="shared" ref="E34:F34" si="48">E23</f>
        <v>9</v>
      </c>
      <c r="F34" s="2" t="str">
        <f t="shared" si="48"/>
        <v>同盟</v>
      </c>
      <c r="G34" s="2">
        <f t="shared" si="13"/>
        <v>90</v>
      </c>
      <c r="H34" s="2">
        <v>414009</v>
      </c>
      <c r="I34" s="2" t="s">
        <v>73</v>
      </c>
      <c r="J34" s="33">
        <f>VLOOKUP(H34,[1]stuff!$A:$C,3,FALSE)</f>
        <v>88888</v>
      </c>
      <c r="K34" s="2">
        <v>5</v>
      </c>
      <c r="L34" s="2">
        <v>607001</v>
      </c>
      <c r="M34" s="2" t="s">
        <v>89</v>
      </c>
      <c r="N34" s="33">
        <v>101</v>
      </c>
      <c r="O34" s="5">
        <v>100000</v>
      </c>
      <c r="P34" s="21">
        <f t="shared" si="29"/>
        <v>444440</v>
      </c>
      <c r="Q34" s="23">
        <f t="shared" si="30"/>
        <v>10100000</v>
      </c>
      <c r="R34" s="27">
        <f t="shared" si="41"/>
        <v>99999999</v>
      </c>
      <c r="S34" s="27">
        <f t="shared" si="42"/>
        <v>10000000</v>
      </c>
      <c r="T34" s="20" t="str">
        <f t="shared" si="11"/>
        <v>同盟</v>
      </c>
      <c r="U34" s="2">
        <v>410004</v>
      </c>
      <c r="V34" s="2" t="s">
        <v>67</v>
      </c>
      <c r="W34" s="33">
        <f>VLOOKUP(U34,[1]stuff!$A:$C,3,FALSE)</f>
        <v>99999999</v>
      </c>
      <c r="X34" s="2">
        <f>X23</f>
        <v>1</v>
      </c>
      <c r="Y34" s="2">
        <v>608001</v>
      </c>
      <c r="Z34" s="2" t="s">
        <v>90</v>
      </c>
      <c r="AA34" s="25">
        <f>VLOOKUP(Y34,[1]stuff!$A:$C,3,FALSE)</f>
        <v>1000</v>
      </c>
      <c r="AB34" s="5">
        <v>10000</v>
      </c>
      <c r="AC34" s="1"/>
      <c r="AD34" s="7">
        <f t="shared" si="19"/>
        <v>9</v>
      </c>
      <c r="AE34" s="2">
        <v>301006</v>
      </c>
      <c r="AF34" s="2" t="s">
        <v>172</v>
      </c>
      <c r="AG34" s="1">
        <v>100</v>
      </c>
      <c r="AH34" s="2"/>
      <c r="AI34" s="2"/>
      <c r="AJ34" s="1"/>
      <c r="AK34" s="2"/>
      <c r="AL34" s="2"/>
      <c r="AM34" s="1"/>
      <c r="AN34" s="2"/>
      <c r="AO34" s="2"/>
      <c r="AP34" s="1"/>
      <c r="AQ34" s="2"/>
      <c r="AR34" s="2"/>
      <c r="AS34" s="1"/>
      <c r="AT34" s="2"/>
      <c r="AU34" s="2"/>
      <c r="AV34" s="1"/>
      <c r="AW34" s="1"/>
      <c r="AX34" s="1"/>
      <c r="AY34" s="1"/>
      <c r="AZ34" s="1"/>
      <c r="BA34" s="1"/>
      <c r="BB34" s="20" t="str">
        <f t="shared" si="6"/>
        <v>同盟</v>
      </c>
      <c r="BC34" s="1" t="s">
        <v>274</v>
      </c>
      <c r="BD34" s="6" t="s">
        <v>284</v>
      </c>
    </row>
    <row r="35" spans="1:56" x14ac:dyDescent="0.15">
      <c r="A35" s="1">
        <f t="shared" si="3"/>
        <v>103010</v>
      </c>
      <c r="B35" s="3">
        <v>103</v>
      </c>
      <c r="C35" s="2" t="s">
        <v>2</v>
      </c>
      <c r="D35" s="5" t="s">
        <v>209</v>
      </c>
      <c r="E35" s="2">
        <f t="shared" ref="E35" si="49">E24</f>
        <v>10</v>
      </c>
      <c r="F35" s="2" t="s">
        <v>204</v>
      </c>
      <c r="G35" s="2">
        <f t="shared" si="13"/>
        <v>100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20" t="str">
        <f t="shared" si="11"/>
        <v>王位支持者</v>
      </c>
      <c r="U35" s="41"/>
      <c r="V35" s="41"/>
      <c r="W35" s="41"/>
      <c r="X35" s="41"/>
      <c r="Y35" s="41"/>
      <c r="Z35" s="41"/>
      <c r="AA35" s="41"/>
      <c r="AB35" s="41"/>
      <c r="AC35" s="41"/>
      <c r="AD35" s="7">
        <f t="shared" si="19"/>
        <v>10</v>
      </c>
      <c r="AE35" s="2">
        <v>301006</v>
      </c>
      <c r="AF35" s="2" t="s">
        <v>172</v>
      </c>
      <c r="AG35" s="1">
        <v>95</v>
      </c>
      <c r="AH35" s="2"/>
      <c r="AI35" s="2"/>
      <c r="AJ35" s="1"/>
      <c r="AK35" s="2"/>
      <c r="AL35" s="2"/>
      <c r="AM35" s="1"/>
      <c r="AN35" s="2"/>
      <c r="AO35" s="2"/>
      <c r="AP35" s="1"/>
      <c r="AQ35" s="2"/>
      <c r="AR35" s="2"/>
      <c r="AS35" s="1"/>
      <c r="AT35" s="2"/>
      <c r="AU35" s="2"/>
      <c r="AV35" s="1"/>
      <c r="AW35" s="41"/>
      <c r="AX35" s="41"/>
      <c r="AY35" s="41"/>
      <c r="AZ35" s="41"/>
      <c r="BA35" s="41"/>
      <c r="BB35" s="20" t="str">
        <f t="shared" si="6"/>
        <v>王位支持者</v>
      </c>
      <c r="BC35" s="6" t="s">
        <v>275</v>
      </c>
      <c r="BD35" s="1"/>
    </row>
    <row r="36" spans="1:56" ht="68.25" customHeight="1" x14ac:dyDescent="0.15">
      <c r="A36" s="1">
        <f t="shared" si="3"/>
        <v>104000</v>
      </c>
      <c r="B36" s="3">
        <v>104</v>
      </c>
      <c r="C36" s="2" t="s">
        <v>294</v>
      </c>
      <c r="D36" s="5" t="s">
        <v>210</v>
      </c>
      <c r="E36" s="2">
        <f t="shared" ref="E36:F36" si="50">E25</f>
        <v>0</v>
      </c>
      <c r="F36" s="2" t="str">
        <f t="shared" si="50"/>
        <v>敌对</v>
      </c>
      <c r="G36" s="2">
        <f t="shared" si="13"/>
        <v>0</v>
      </c>
      <c r="H36" s="2">
        <f t="shared" si="13"/>
        <v>607001</v>
      </c>
      <c r="I36" s="2" t="str">
        <f t="shared" si="13"/>
        <v>白银</v>
      </c>
      <c r="J36" s="33">
        <f>VLOOKUP(H36,[1]stuff!$A:$C,3,FALSE)</f>
        <v>100</v>
      </c>
      <c r="K36" s="2">
        <f t="shared" ref="K36:M36" si="51">K25</f>
        <v>500000</v>
      </c>
      <c r="L36" s="2">
        <f t="shared" si="51"/>
        <v>812000</v>
      </c>
      <c r="M36" s="2" t="str">
        <f t="shared" si="51"/>
        <v>矮人</v>
      </c>
      <c r="N36" s="33">
        <f>VLOOKUP(L36,[1]stuff!$A:$C,3,FALSE)</f>
        <v>0</v>
      </c>
      <c r="O36" s="2">
        <v>500</v>
      </c>
      <c r="P36" s="42">
        <f t="shared" ref="P36:P45" si="52">J36*K36</f>
        <v>50000000</v>
      </c>
      <c r="Q36" s="43">
        <f t="shared" ref="Q36:Q45" si="53">N36*O36</f>
        <v>0</v>
      </c>
      <c r="R36" s="16">
        <f t="shared" ref="R36" si="54">W36*X36</f>
        <v>5</v>
      </c>
      <c r="S36" s="16">
        <f t="shared" ref="S36" si="55">AA36*AB36</f>
        <v>2</v>
      </c>
      <c r="T36" s="20" t="str">
        <f t="shared" si="11"/>
        <v>敌对</v>
      </c>
      <c r="U36" s="2">
        <f>U25</f>
        <v>401001</v>
      </c>
      <c r="V36" s="2" t="str">
        <f>V25</f>
        <v>烈酒</v>
      </c>
      <c r="W36" s="33">
        <f>VLOOKUP(U36,[1]stuff!$A:$C,3,FALSE)</f>
        <v>5</v>
      </c>
      <c r="X36" s="2">
        <f>X25</f>
        <v>1</v>
      </c>
      <c r="Y36" s="2">
        <f>Y25</f>
        <v>305001</v>
      </c>
      <c r="Z36" s="2" t="str">
        <f>Z25</f>
        <v>简单食物</v>
      </c>
      <c r="AA36" s="25">
        <f>VLOOKUP(Y36,[1]stuff!$A:$C,3,FALSE)</f>
        <v>2</v>
      </c>
      <c r="AB36" s="2">
        <f>AB25</f>
        <v>1</v>
      </c>
      <c r="AC36" s="2" t="str">
        <f>C36</f>
        <v>逍遥王</v>
      </c>
      <c r="AD36" s="7">
        <f t="shared" si="19"/>
        <v>0</v>
      </c>
      <c r="AE36" s="45">
        <v>611003</v>
      </c>
      <c r="AF36" s="45" t="s">
        <v>238</v>
      </c>
      <c r="AG36" s="1">
        <v>200</v>
      </c>
      <c r="AH36" s="2"/>
      <c r="AI36" s="2"/>
      <c r="AJ36" s="7"/>
      <c r="AK36" s="2"/>
      <c r="AL36" s="2"/>
      <c r="AM36" s="7"/>
      <c r="AN36" s="2"/>
      <c r="AO36" s="2"/>
      <c r="AP36" s="7"/>
      <c r="AQ36" s="2"/>
      <c r="AR36" s="2"/>
      <c r="AS36" s="7"/>
      <c r="AT36" s="2"/>
      <c r="AU36" s="2"/>
      <c r="AV36" s="7"/>
      <c r="AW36" s="8" t="s">
        <v>28</v>
      </c>
      <c r="AX36" s="7" t="s">
        <v>25</v>
      </c>
      <c r="AY36" s="7" t="s">
        <v>29</v>
      </c>
      <c r="AZ36" s="8" t="s">
        <v>30</v>
      </c>
      <c r="BA36" s="8" t="s">
        <v>38</v>
      </c>
      <c r="BB36" s="20" t="str">
        <f t="shared" si="6"/>
        <v>敌对</v>
      </c>
      <c r="BC36" s="36" t="s">
        <v>289</v>
      </c>
      <c r="BD36" s="6" t="s">
        <v>250</v>
      </c>
    </row>
    <row r="37" spans="1:56" x14ac:dyDescent="0.15">
      <c r="A37" s="1">
        <f t="shared" si="3"/>
        <v>104001</v>
      </c>
      <c r="B37" s="3">
        <v>104</v>
      </c>
      <c r="C37" s="2" t="s">
        <v>294</v>
      </c>
      <c r="D37" s="5" t="s">
        <v>210</v>
      </c>
      <c r="E37" s="2">
        <f t="shared" ref="E37:F37" si="56">E26</f>
        <v>1</v>
      </c>
      <c r="F37" s="2" t="str">
        <f t="shared" si="56"/>
        <v>对立</v>
      </c>
      <c r="G37" s="2">
        <f t="shared" si="13"/>
        <v>10</v>
      </c>
      <c r="H37" s="2">
        <f t="shared" si="13"/>
        <v>401001</v>
      </c>
      <c r="I37" s="2" t="str">
        <f t="shared" si="13"/>
        <v>烈酒</v>
      </c>
      <c r="J37" s="33">
        <f>VLOOKUP(H37,[1]stuff!$A:$C,3,FALSE)</f>
        <v>5</v>
      </c>
      <c r="K37" s="2">
        <f t="shared" ref="K37:M37" si="57">K26</f>
        <v>10000</v>
      </c>
      <c r="L37" s="2">
        <f t="shared" si="57"/>
        <v>607001</v>
      </c>
      <c r="M37" s="2" t="str">
        <f t="shared" si="57"/>
        <v>白银</v>
      </c>
      <c r="N37" s="33">
        <f>VLOOKUP(L37,[1]stuff!$A:$C,3,FALSE)</f>
        <v>100</v>
      </c>
      <c r="O37" s="5">
        <v>20000</v>
      </c>
      <c r="P37" s="21">
        <f t="shared" si="52"/>
        <v>50000</v>
      </c>
      <c r="Q37" s="23">
        <f t="shared" si="53"/>
        <v>2000000</v>
      </c>
      <c r="R37" s="27">
        <f t="shared" ref="R37:R45" si="58">W37*X37</f>
        <v>4</v>
      </c>
      <c r="S37" s="27">
        <f t="shared" ref="S37:S45" si="59">AA37*AB37</f>
        <v>50</v>
      </c>
      <c r="T37" s="20" t="str">
        <f t="shared" si="11"/>
        <v>对立</v>
      </c>
      <c r="U37" s="2">
        <f t="shared" ref="U37:V37" si="60">U26</f>
        <v>305002</v>
      </c>
      <c r="V37" s="2" t="str">
        <f t="shared" si="60"/>
        <v>精致食物</v>
      </c>
      <c r="W37" s="33">
        <f>VLOOKUP(U37,[1]stuff!$A:$C,3,FALSE)</f>
        <v>4</v>
      </c>
      <c r="X37" s="2">
        <f t="shared" ref="X37:Z37" si="61">X26</f>
        <v>1</v>
      </c>
      <c r="Y37" s="2">
        <f t="shared" si="61"/>
        <v>401001</v>
      </c>
      <c r="Z37" s="2" t="str">
        <f t="shared" si="61"/>
        <v>烈酒</v>
      </c>
      <c r="AA37" s="25">
        <v>50</v>
      </c>
      <c r="AB37" s="2">
        <f t="shared" ref="AB37" si="62">AB26</f>
        <v>1</v>
      </c>
      <c r="AC37" s="2" t="str">
        <f t="shared" ref="AC37:AC45" si="63">C37</f>
        <v>逍遥王</v>
      </c>
      <c r="AD37" s="7">
        <f t="shared" si="19"/>
        <v>1</v>
      </c>
      <c r="AE37" s="45">
        <v>611003</v>
      </c>
      <c r="AF37" s="45" t="s">
        <v>238</v>
      </c>
      <c r="AG37" s="1">
        <v>180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20" t="str">
        <f t="shared" si="6"/>
        <v>对立</v>
      </c>
      <c r="BC37" s="7" t="s">
        <v>251</v>
      </c>
      <c r="BD37" s="6" t="s">
        <v>265</v>
      </c>
    </row>
    <row r="38" spans="1:56" x14ac:dyDescent="0.15">
      <c r="A38" s="1">
        <f t="shared" si="3"/>
        <v>104002</v>
      </c>
      <c r="B38" s="3">
        <v>104</v>
      </c>
      <c r="C38" s="2" t="s">
        <v>294</v>
      </c>
      <c r="D38" s="5" t="s">
        <v>210</v>
      </c>
      <c r="E38" s="2">
        <f t="shared" ref="E38:F38" si="64">E27</f>
        <v>2</v>
      </c>
      <c r="F38" s="2" t="str">
        <f t="shared" si="64"/>
        <v>厌恶</v>
      </c>
      <c r="G38" s="2">
        <f t="shared" si="13"/>
        <v>20</v>
      </c>
      <c r="H38" s="2">
        <f t="shared" si="13"/>
        <v>305002</v>
      </c>
      <c r="I38" s="2" t="str">
        <f t="shared" si="13"/>
        <v>精致食物</v>
      </c>
      <c r="J38" s="33">
        <f>VLOOKUP(H38,[1]stuff!$A:$C,3,FALSE)</f>
        <v>4</v>
      </c>
      <c r="K38" s="2">
        <f t="shared" ref="K38:M38" si="65">K27</f>
        <v>10000</v>
      </c>
      <c r="L38" s="2">
        <f t="shared" si="65"/>
        <v>607001</v>
      </c>
      <c r="M38" s="2" t="str">
        <f t="shared" si="65"/>
        <v>白银</v>
      </c>
      <c r="N38" s="33">
        <f>VLOOKUP(L38,[1]stuff!$A:$C,3,FALSE)</f>
        <v>100</v>
      </c>
      <c r="O38" s="5">
        <v>30000</v>
      </c>
      <c r="P38" s="21">
        <f t="shared" si="52"/>
        <v>40000</v>
      </c>
      <c r="Q38" s="23">
        <f t="shared" si="53"/>
        <v>3000000</v>
      </c>
      <c r="R38" s="27">
        <f t="shared" si="58"/>
        <v>1000</v>
      </c>
      <c r="S38" s="27">
        <f t="shared" si="59"/>
        <v>1000</v>
      </c>
      <c r="T38" s="20" t="str">
        <f t="shared" si="11"/>
        <v>厌恶</v>
      </c>
      <c r="U38" s="2">
        <f t="shared" ref="U38:V38" si="66">U27</f>
        <v>412003</v>
      </c>
      <c r="V38" s="2" t="str">
        <f t="shared" si="66"/>
        <v>糖</v>
      </c>
      <c r="W38" s="33">
        <v>10</v>
      </c>
      <c r="X38" s="2">
        <v>100</v>
      </c>
      <c r="Y38" s="2">
        <v>608001</v>
      </c>
      <c r="Z38" s="2" t="s">
        <v>90</v>
      </c>
      <c r="AA38" s="25">
        <f>VLOOKUP(Y38,[1]stuff!$A:$C,3,FALSE)</f>
        <v>1000</v>
      </c>
      <c r="AB38" s="2">
        <v>1</v>
      </c>
      <c r="AC38" s="2" t="str">
        <f t="shared" si="63"/>
        <v>逍遥王</v>
      </c>
      <c r="AD38" s="7">
        <f t="shared" si="19"/>
        <v>2</v>
      </c>
      <c r="AE38" s="45">
        <v>611003</v>
      </c>
      <c r="AF38" s="45" t="s">
        <v>238</v>
      </c>
      <c r="AG38" s="1">
        <v>170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20" t="str">
        <f t="shared" si="6"/>
        <v>厌恶</v>
      </c>
      <c r="BC38" s="1" t="s">
        <v>252</v>
      </c>
      <c r="BD38" s="1" t="s">
        <v>266</v>
      </c>
    </row>
    <row r="39" spans="1:56" x14ac:dyDescent="0.15">
      <c r="A39" s="1">
        <f t="shared" si="3"/>
        <v>104003</v>
      </c>
      <c r="B39" s="3">
        <v>104</v>
      </c>
      <c r="C39" s="2" t="s">
        <v>294</v>
      </c>
      <c r="D39" s="5" t="s">
        <v>210</v>
      </c>
      <c r="E39" s="2">
        <f t="shared" ref="E39:F39" si="67">E28</f>
        <v>3</v>
      </c>
      <c r="F39" s="2" t="str">
        <f t="shared" si="67"/>
        <v>讨厌</v>
      </c>
      <c r="G39" s="2">
        <f t="shared" si="13"/>
        <v>30</v>
      </c>
      <c r="H39" s="2">
        <v>412003</v>
      </c>
      <c r="I39" s="2" t="s">
        <v>86</v>
      </c>
      <c r="J39" s="33">
        <f>VLOOKUP(H39,[1]stuff!$A:$C,3,FALSE)</f>
        <v>10</v>
      </c>
      <c r="K39" s="2">
        <v>10000</v>
      </c>
      <c r="L39" s="2">
        <f t="shared" ref="L39:M45" si="68">L28</f>
        <v>607001</v>
      </c>
      <c r="M39" s="2" t="str">
        <f t="shared" si="68"/>
        <v>白银</v>
      </c>
      <c r="N39" s="33">
        <f>VLOOKUP(L39,[1]stuff!$A:$C,3,FALSE)</f>
        <v>100</v>
      </c>
      <c r="O39" s="5">
        <v>40000</v>
      </c>
      <c r="P39" s="21">
        <f t="shared" si="52"/>
        <v>100000</v>
      </c>
      <c r="Q39" s="23">
        <f t="shared" si="53"/>
        <v>4000000</v>
      </c>
      <c r="R39" s="27">
        <f t="shared" si="58"/>
        <v>1000</v>
      </c>
      <c r="S39" s="27">
        <f t="shared" si="59"/>
        <v>1000</v>
      </c>
      <c r="T39" s="20" t="str">
        <f t="shared" si="11"/>
        <v>讨厌</v>
      </c>
      <c r="U39" s="2">
        <v>421001</v>
      </c>
      <c r="V39" s="2" t="s">
        <v>195</v>
      </c>
      <c r="W39" s="33">
        <f>VLOOKUP(U39,[1]stuff!$A:$C,3,FALSE)</f>
        <v>10</v>
      </c>
      <c r="X39" s="2">
        <v>100</v>
      </c>
      <c r="Y39" s="2">
        <v>608001</v>
      </c>
      <c r="Z39" s="2" t="s">
        <v>90</v>
      </c>
      <c r="AA39" s="25">
        <f>VLOOKUP(Y39,[1]stuff!$A:$C,3,FALSE)</f>
        <v>1000</v>
      </c>
      <c r="AB39" s="2">
        <v>1</v>
      </c>
      <c r="AC39" s="2" t="str">
        <f t="shared" si="63"/>
        <v>逍遥王</v>
      </c>
      <c r="AD39" s="7">
        <f t="shared" si="19"/>
        <v>3</v>
      </c>
      <c r="AE39" s="45">
        <v>611003</v>
      </c>
      <c r="AF39" s="45" t="s">
        <v>238</v>
      </c>
      <c r="AG39" s="1">
        <v>160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20" t="str">
        <f t="shared" si="6"/>
        <v>讨厌</v>
      </c>
      <c r="BC39" s="1" t="s">
        <v>253</v>
      </c>
      <c r="BD39" s="6" t="s">
        <v>267</v>
      </c>
    </row>
    <row r="40" spans="1:56" x14ac:dyDescent="0.15">
      <c r="A40" s="1">
        <f t="shared" si="3"/>
        <v>104004</v>
      </c>
      <c r="B40" s="3">
        <v>104</v>
      </c>
      <c r="C40" s="2" t="s">
        <v>294</v>
      </c>
      <c r="D40" s="5" t="s">
        <v>210</v>
      </c>
      <c r="E40" s="2">
        <f t="shared" ref="E40:F40" si="69">E29</f>
        <v>4</v>
      </c>
      <c r="F40" s="2" t="str">
        <f t="shared" si="69"/>
        <v>中立</v>
      </c>
      <c r="G40" s="2">
        <f t="shared" si="13"/>
        <v>40</v>
      </c>
      <c r="H40" s="2">
        <v>412001</v>
      </c>
      <c r="I40" s="2" t="s">
        <v>84</v>
      </c>
      <c r="J40" s="33">
        <f>VLOOKUP(H40,[1]stuff!$A:$C,3,FALSE)</f>
        <v>10</v>
      </c>
      <c r="K40" s="2">
        <v>10000</v>
      </c>
      <c r="L40" s="2">
        <f t="shared" si="68"/>
        <v>607001</v>
      </c>
      <c r="M40" s="2" t="str">
        <f t="shared" si="68"/>
        <v>白银</v>
      </c>
      <c r="N40" s="33">
        <f>VLOOKUP(L40,[1]stuff!$A:$C,3,FALSE)</f>
        <v>100</v>
      </c>
      <c r="O40" s="5">
        <v>50000</v>
      </c>
      <c r="P40" s="21">
        <f t="shared" si="52"/>
        <v>100000</v>
      </c>
      <c r="Q40" s="23">
        <f t="shared" si="53"/>
        <v>5000000</v>
      </c>
      <c r="R40" s="27">
        <f t="shared" si="58"/>
        <v>400000</v>
      </c>
      <c r="S40" s="27">
        <f t="shared" si="59"/>
        <v>0</v>
      </c>
      <c r="T40" s="20" t="str">
        <f t="shared" si="11"/>
        <v>中立</v>
      </c>
      <c r="U40" s="1">
        <v>414005</v>
      </c>
      <c r="V40" s="1" t="s">
        <v>199</v>
      </c>
      <c r="W40" s="33">
        <f>VLOOKUP(U40,[1]stuff!$A:$C,3,FALSE)</f>
        <v>2000</v>
      </c>
      <c r="X40" s="2">
        <v>200</v>
      </c>
      <c r="Y40" s="2">
        <v>812001</v>
      </c>
      <c r="Z40" s="38" t="s">
        <v>97</v>
      </c>
      <c r="AA40" s="25">
        <f>VLOOKUP(Y40,[1]stuff!$A:$C,3,FALSE)</f>
        <v>0</v>
      </c>
      <c r="AB40" s="2">
        <v>100</v>
      </c>
      <c r="AC40" s="2" t="str">
        <f t="shared" si="63"/>
        <v>逍遥王</v>
      </c>
      <c r="AD40" s="7">
        <f t="shared" si="19"/>
        <v>4</v>
      </c>
      <c r="AE40" s="45">
        <v>611003</v>
      </c>
      <c r="AF40" s="45" t="s">
        <v>238</v>
      </c>
      <c r="AG40" s="1">
        <v>150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20" t="str">
        <f t="shared" si="6"/>
        <v>中立</v>
      </c>
      <c r="BC40" s="1" t="s">
        <v>254</v>
      </c>
      <c r="BD40" s="1" t="s">
        <v>255</v>
      </c>
    </row>
    <row r="41" spans="1:56" x14ac:dyDescent="0.15">
      <c r="A41" s="1">
        <f t="shared" si="3"/>
        <v>104005</v>
      </c>
      <c r="B41" s="3">
        <v>104</v>
      </c>
      <c r="C41" s="2" t="s">
        <v>294</v>
      </c>
      <c r="D41" s="5" t="s">
        <v>210</v>
      </c>
      <c r="E41" s="2">
        <f t="shared" ref="E41:F41" si="70">E30</f>
        <v>5</v>
      </c>
      <c r="F41" s="2" t="str">
        <f t="shared" si="70"/>
        <v>往来</v>
      </c>
      <c r="G41" s="2">
        <f t="shared" si="13"/>
        <v>50</v>
      </c>
      <c r="H41" s="2">
        <v>412002</v>
      </c>
      <c r="I41" s="2" t="s">
        <v>85</v>
      </c>
      <c r="J41" s="33">
        <f>VLOOKUP(H41,[1]stuff!$A:$C,3,FALSE)</f>
        <v>10</v>
      </c>
      <c r="K41" s="2">
        <v>10000</v>
      </c>
      <c r="L41" s="2">
        <f t="shared" si="68"/>
        <v>607001</v>
      </c>
      <c r="M41" s="2" t="str">
        <f t="shared" si="68"/>
        <v>白银</v>
      </c>
      <c r="N41" s="33">
        <f>VLOOKUP(L41,[1]stuff!$A:$C,3,FALSE)</f>
        <v>100</v>
      </c>
      <c r="O41" s="5">
        <v>60000</v>
      </c>
      <c r="P41" s="21">
        <f t="shared" si="52"/>
        <v>100000</v>
      </c>
      <c r="Q41" s="23">
        <f t="shared" si="53"/>
        <v>6000000</v>
      </c>
      <c r="R41" s="27">
        <f t="shared" si="58"/>
        <v>450000</v>
      </c>
      <c r="S41" s="27">
        <f t="shared" si="59"/>
        <v>0</v>
      </c>
      <c r="T41" s="20" t="str">
        <f t="shared" si="11"/>
        <v>往来</v>
      </c>
      <c r="U41" s="1">
        <v>414006</v>
      </c>
      <c r="V41" s="1" t="s">
        <v>144</v>
      </c>
      <c r="W41" s="33">
        <f>VLOOKUP(U41,[1]stuff!$A:$C,3,FALSE)</f>
        <v>4500</v>
      </c>
      <c r="X41" s="2">
        <v>100</v>
      </c>
      <c r="Y41" s="2">
        <v>812001</v>
      </c>
      <c r="Z41" s="38" t="s">
        <v>97</v>
      </c>
      <c r="AA41" s="25">
        <f>VLOOKUP(Y41,[1]stuff!$A:$C,3,FALSE)</f>
        <v>0</v>
      </c>
      <c r="AB41" s="2">
        <v>200</v>
      </c>
      <c r="AC41" s="2" t="str">
        <f t="shared" si="63"/>
        <v>逍遥王</v>
      </c>
      <c r="AD41" s="7">
        <f t="shared" si="19"/>
        <v>5</v>
      </c>
      <c r="AE41" s="50">
        <v>611003</v>
      </c>
      <c r="AF41" s="50" t="s">
        <v>238</v>
      </c>
      <c r="AG41" s="49">
        <v>140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20" t="str">
        <f t="shared" si="6"/>
        <v>往来</v>
      </c>
      <c r="BC41" s="1" t="s">
        <v>256</v>
      </c>
      <c r="BD41" t="s">
        <v>257</v>
      </c>
    </row>
    <row r="42" spans="1:56" x14ac:dyDescent="0.15">
      <c r="A42" s="1">
        <f t="shared" si="3"/>
        <v>104006</v>
      </c>
      <c r="B42" s="3">
        <v>104</v>
      </c>
      <c r="C42" s="2" t="s">
        <v>294</v>
      </c>
      <c r="D42" s="5" t="s">
        <v>210</v>
      </c>
      <c r="E42" s="2">
        <f t="shared" ref="E42:F42" si="71">E31</f>
        <v>6</v>
      </c>
      <c r="F42" s="2" t="str">
        <f t="shared" si="71"/>
        <v>合作</v>
      </c>
      <c r="G42" s="2">
        <f t="shared" si="13"/>
        <v>60</v>
      </c>
      <c r="H42" s="2">
        <v>421001</v>
      </c>
      <c r="I42" s="2" t="s">
        <v>195</v>
      </c>
      <c r="J42" s="33">
        <f>VLOOKUP(H42,[1]stuff!$A:$C,3,FALSE)</f>
        <v>10</v>
      </c>
      <c r="K42" s="2">
        <v>10000</v>
      </c>
      <c r="L42" s="2">
        <f t="shared" si="68"/>
        <v>607001</v>
      </c>
      <c r="M42" s="2" t="str">
        <f t="shared" si="68"/>
        <v>白银</v>
      </c>
      <c r="N42" s="33">
        <f>VLOOKUP(L42,[1]stuff!$A:$C,3,FALSE)</f>
        <v>100</v>
      </c>
      <c r="O42" s="5">
        <v>70000</v>
      </c>
      <c r="P42" s="21">
        <f t="shared" si="52"/>
        <v>100000</v>
      </c>
      <c r="Q42" s="23">
        <f t="shared" si="53"/>
        <v>7000000</v>
      </c>
      <c r="R42" s="27">
        <f t="shared" si="58"/>
        <v>750000</v>
      </c>
      <c r="S42" s="27">
        <f t="shared" si="59"/>
        <v>0</v>
      </c>
      <c r="T42" s="20" t="str">
        <f t="shared" si="11"/>
        <v>合作</v>
      </c>
      <c r="U42" s="1">
        <v>414007</v>
      </c>
      <c r="V42" s="1" t="s">
        <v>141</v>
      </c>
      <c r="W42" s="33">
        <f>VLOOKUP(U42,[1]stuff!$A:$C,3,FALSE)</f>
        <v>15000</v>
      </c>
      <c r="X42" s="2">
        <v>50</v>
      </c>
      <c r="Y42" s="2">
        <v>812001</v>
      </c>
      <c r="Z42" s="38" t="s">
        <v>97</v>
      </c>
      <c r="AA42" s="25">
        <f>VLOOKUP(Y42,[1]stuff!$A:$C,3,FALSE)</f>
        <v>0</v>
      </c>
      <c r="AB42" s="2">
        <v>201</v>
      </c>
      <c r="AC42" s="2" t="str">
        <f t="shared" si="63"/>
        <v>逍遥王</v>
      </c>
      <c r="AD42" s="7">
        <f t="shared" si="19"/>
        <v>6</v>
      </c>
      <c r="AE42" s="45">
        <v>611003</v>
      </c>
      <c r="AF42" s="45" t="s">
        <v>238</v>
      </c>
      <c r="AG42" s="1">
        <v>130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20" t="str">
        <f t="shared" si="6"/>
        <v>合作</v>
      </c>
      <c r="BC42" s="1" t="s">
        <v>272</v>
      </c>
      <c r="BD42" s="1" t="s">
        <v>259</v>
      </c>
    </row>
    <row r="43" spans="1:56" x14ac:dyDescent="0.15">
      <c r="A43" s="1">
        <f t="shared" si="3"/>
        <v>104007</v>
      </c>
      <c r="B43" s="3">
        <v>104</v>
      </c>
      <c r="C43" s="2" t="s">
        <v>294</v>
      </c>
      <c r="D43" s="5" t="s">
        <v>210</v>
      </c>
      <c r="E43" s="2">
        <f t="shared" ref="E43:F43" si="72">E32</f>
        <v>7</v>
      </c>
      <c r="F43" s="2" t="str">
        <f t="shared" si="72"/>
        <v>友好</v>
      </c>
      <c r="G43" s="2">
        <f t="shared" si="13"/>
        <v>70</v>
      </c>
      <c r="H43" s="2">
        <v>612001</v>
      </c>
      <c r="I43" s="2" t="s">
        <v>93</v>
      </c>
      <c r="J43" s="33">
        <f>VLOOKUP(H43,[1]stuff!$A:$C,3,FALSE)</f>
        <v>500</v>
      </c>
      <c r="K43" s="2">
        <v>1000</v>
      </c>
      <c r="L43" s="2">
        <f t="shared" si="68"/>
        <v>607001</v>
      </c>
      <c r="M43" s="2" t="str">
        <f t="shared" si="68"/>
        <v>白银</v>
      </c>
      <c r="N43" s="33">
        <f>VLOOKUP(L43,[1]stuff!$A:$C,3,FALSE)</f>
        <v>100</v>
      </c>
      <c r="O43" s="5">
        <v>80000</v>
      </c>
      <c r="P43" s="21">
        <f t="shared" si="52"/>
        <v>500000</v>
      </c>
      <c r="Q43" s="23">
        <f t="shared" si="53"/>
        <v>8000000</v>
      </c>
      <c r="R43" s="27">
        <f t="shared" si="58"/>
        <v>1000000</v>
      </c>
      <c r="S43" s="27">
        <f t="shared" si="59"/>
        <v>500</v>
      </c>
      <c r="T43" s="20" t="str">
        <f t="shared" si="11"/>
        <v>友好</v>
      </c>
      <c r="U43" s="2">
        <v>414008</v>
      </c>
      <c r="V43" s="2" t="s">
        <v>72</v>
      </c>
      <c r="W43" s="33">
        <f>VLOOKUP(U43,[1]stuff!$A:$C,3,FALSE)</f>
        <v>40000</v>
      </c>
      <c r="X43" s="2">
        <v>25</v>
      </c>
      <c r="Y43" s="48">
        <v>902101</v>
      </c>
      <c r="Z43" s="48" t="s">
        <v>288</v>
      </c>
      <c r="AA43" s="25">
        <f>VLOOKUP(Y43,[1]stuff!$A:$C,3,FALSE)</f>
        <v>500</v>
      </c>
      <c r="AB43" s="2">
        <v>1</v>
      </c>
      <c r="AC43" s="2" t="str">
        <f t="shared" si="63"/>
        <v>逍遥王</v>
      </c>
      <c r="AD43" s="7">
        <f t="shared" si="19"/>
        <v>7</v>
      </c>
      <c r="AE43" s="45">
        <v>611003</v>
      </c>
      <c r="AF43" s="45" t="s">
        <v>238</v>
      </c>
      <c r="AG43" s="1">
        <v>120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20" t="str">
        <f t="shared" si="6"/>
        <v>友好</v>
      </c>
      <c r="BC43" s="1" t="s">
        <v>277</v>
      </c>
      <c r="BD43" s="1" t="s">
        <v>283</v>
      </c>
    </row>
    <row r="44" spans="1:56" x14ac:dyDescent="0.15">
      <c r="A44" s="1">
        <f t="shared" si="3"/>
        <v>104008</v>
      </c>
      <c r="B44" s="3">
        <v>104</v>
      </c>
      <c r="C44" s="2" t="s">
        <v>294</v>
      </c>
      <c r="D44" s="5" t="s">
        <v>210</v>
      </c>
      <c r="E44" s="2">
        <f t="shared" ref="E44:F44" si="73">E33</f>
        <v>8</v>
      </c>
      <c r="F44" s="2" t="str">
        <f t="shared" si="73"/>
        <v>信任</v>
      </c>
      <c r="G44" s="2">
        <f t="shared" si="13"/>
        <v>80</v>
      </c>
      <c r="H44" s="2">
        <v>612002</v>
      </c>
      <c r="I44" s="2" t="s">
        <v>189</v>
      </c>
      <c r="J44" s="33">
        <f>VLOOKUP(H44,[1]stuff!$A:$C,3,FALSE)</f>
        <v>500</v>
      </c>
      <c r="K44" s="2">
        <v>1000</v>
      </c>
      <c r="L44" s="2">
        <f t="shared" si="68"/>
        <v>607001</v>
      </c>
      <c r="M44" s="2" t="str">
        <f t="shared" si="68"/>
        <v>白银</v>
      </c>
      <c r="N44" s="33">
        <f>VLOOKUP(L44,[1]stuff!$A:$C,3,FALSE)</f>
        <v>100</v>
      </c>
      <c r="O44" s="5">
        <v>90000</v>
      </c>
      <c r="P44" s="21">
        <f t="shared" si="52"/>
        <v>500000</v>
      </c>
      <c r="Q44" s="23">
        <f t="shared" si="53"/>
        <v>9000000</v>
      </c>
      <c r="R44" s="27">
        <f t="shared" si="58"/>
        <v>888880</v>
      </c>
      <c r="S44" s="27">
        <f t="shared" si="59"/>
        <v>1000000</v>
      </c>
      <c r="T44" s="20" t="str">
        <f t="shared" si="11"/>
        <v>信任</v>
      </c>
      <c r="U44" s="2">
        <v>414009</v>
      </c>
      <c r="V44" s="2" t="s">
        <v>73</v>
      </c>
      <c r="W44" s="33">
        <f>VLOOKUP(U44,[1]stuff!$A:$C,3,FALSE)</f>
        <v>88888</v>
      </c>
      <c r="X44" s="2">
        <v>10</v>
      </c>
      <c r="Y44" s="2">
        <v>608001</v>
      </c>
      <c r="Z44" s="2" t="s">
        <v>90</v>
      </c>
      <c r="AA44" s="25">
        <f>VLOOKUP(Y44,[1]stuff!$A:$C,3,FALSE)</f>
        <v>1000</v>
      </c>
      <c r="AB44" s="2">
        <v>1000</v>
      </c>
      <c r="AC44" s="2" t="str">
        <f t="shared" si="63"/>
        <v>逍遥王</v>
      </c>
      <c r="AD44" s="7">
        <f t="shared" si="19"/>
        <v>8</v>
      </c>
      <c r="AE44" s="45">
        <v>611003</v>
      </c>
      <c r="AF44" s="45" t="s">
        <v>238</v>
      </c>
      <c r="AG44" s="1">
        <v>110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20" t="str">
        <f t="shared" si="6"/>
        <v>信任</v>
      </c>
      <c r="BC44" s="1" t="s">
        <v>276</v>
      </c>
      <c r="BD44" s="1" t="s">
        <v>283</v>
      </c>
    </row>
    <row r="45" spans="1:56" x14ac:dyDescent="0.15">
      <c r="A45" s="1">
        <f t="shared" si="3"/>
        <v>104009</v>
      </c>
      <c r="B45" s="3">
        <v>104</v>
      </c>
      <c r="C45" s="2" t="s">
        <v>294</v>
      </c>
      <c r="D45" s="5" t="s">
        <v>210</v>
      </c>
      <c r="E45" s="2">
        <f t="shared" ref="E45:F45" si="74">E34</f>
        <v>9</v>
      </c>
      <c r="F45" s="2" t="str">
        <f t="shared" si="74"/>
        <v>同盟</v>
      </c>
      <c r="G45" s="2">
        <f t="shared" si="13"/>
        <v>90</v>
      </c>
      <c r="H45" s="2">
        <v>612003</v>
      </c>
      <c r="I45" s="2" t="s">
        <v>94</v>
      </c>
      <c r="J45" s="33">
        <f>VLOOKUP(H45,[1]stuff!$A:$C,3,FALSE)</f>
        <v>500</v>
      </c>
      <c r="K45" s="2">
        <v>1000</v>
      </c>
      <c r="L45" s="2">
        <f t="shared" si="68"/>
        <v>607001</v>
      </c>
      <c r="M45" s="2" t="str">
        <f t="shared" si="68"/>
        <v>白银</v>
      </c>
      <c r="N45" s="33">
        <f>VLOOKUP(L45,[1]stuff!$A:$C,3,FALSE)</f>
        <v>100</v>
      </c>
      <c r="O45" s="5">
        <v>100000</v>
      </c>
      <c r="P45" s="21">
        <f t="shared" si="52"/>
        <v>500000</v>
      </c>
      <c r="Q45" s="23">
        <f t="shared" si="53"/>
        <v>10000000</v>
      </c>
      <c r="R45" s="27">
        <f t="shared" si="58"/>
        <v>2000</v>
      </c>
      <c r="S45" s="27">
        <f t="shared" si="59"/>
        <v>10000000</v>
      </c>
      <c r="T45" s="20" t="str">
        <f t="shared" si="11"/>
        <v>同盟</v>
      </c>
      <c r="U45" s="2">
        <v>902073</v>
      </c>
      <c r="V45" s="16" t="s">
        <v>187</v>
      </c>
      <c r="W45" s="33">
        <f>VLOOKUP(U45,[1]stuff!$A:$C,3,FALSE)</f>
        <v>2000</v>
      </c>
      <c r="X45" s="2">
        <v>1</v>
      </c>
      <c r="Y45" s="2">
        <v>608001</v>
      </c>
      <c r="Z45" s="2" t="s">
        <v>90</v>
      </c>
      <c r="AA45" s="25">
        <f>VLOOKUP(Y45,[1]stuff!$A:$C,3,FALSE)</f>
        <v>1000</v>
      </c>
      <c r="AB45" s="2">
        <v>10000</v>
      </c>
      <c r="AC45" s="2" t="str">
        <f t="shared" si="63"/>
        <v>逍遥王</v>
      </c>
      <c r="AD45" s="7">
        <f t="shared" si="19"/>
        <v>9</v>
      </c>
      <c r="AE45" s="45">
        <v>611003</v>
      </c>
      <c r="AF45" s="45" t="s">
        <v>238</v>
      </c>
      <c r="AG45" s="1">
        <v>100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20" t="str">
        <f t="shared" si="6"/>
        <v>同盟</v>
      </c>
      <c r="BC45" s="1" t="s">
        <v>274</v>
      </c>
      <c r="BD45" s="6" t="s">
        <v>284</v>
      </c>
    </row>
    <row r="46" spans="1:56" x14ac:dyDescent="0.15">
      <c r="A46" s="1">
        <f t="shared" si="3"/>
        <v>104010</v>
      </c>
      <c r="B46" s="3">
        <v>104</v>
      </c>
      <c r="C46" s="2" t="s">
        <v>294</v>
      </c>
      <c r="D46" s="5" t="s">
        <v>210</v>
      </c>
      <c r="E46" s="2">
        <f t="shared" ref="E46" si="75">E35</f>
        <v>10</v>
      </c>
      <c r="F46" s="2" t="s">
        <v>204</v>
      </c>
      <c r="G46" s="2">
        <f t="shared" si="13"/>
        <v>100</v>
      </c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20" t="str">
        <f t="shared" si="11"/>
        <v>王位支持者</v>
      </c>
      <c r="U46" s="41"/>
      <c r="V46" s="41"/>
      <c r="W46" s="41"/>
      <c r="X46" s="41"/>
      <c r="Y46" s="41"/>
      <c r="Z46" s="41"/>
      <c r="AA46" s="41"/>
      <c r="AB46" s="41"/>
      <c r="AC46" s="41"/>
      <c r="AD46" s="7">
        <f t="shared" si="19"/>
        <v>10</v>
      </c>
      <c r="AE46" s="45">
        <v>611003</v>
      </c>
      <c r="AF46" s="45" t="s">
        <v>238</v>
      </c>
      <c r="AG46" s="1">
        <v>95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41"/>
      <c r="AX46" s="41"/>
      <c r="AY46" s="41"/>
      <c r="AZ46" s="41"/>
      <c r="BA46" s="41"/>
      <c r="BB46" s="20" t="str">
        <f t="shared" si="6"/>
        <v>王位支持者</v>
      </c>
      <c r="BC46" s="6" t="s">
        <v>275</v>
      </c>
      <c r="BD46" s="1"/>
    </row>
    <row r="47" spans="1:56" ht="40.5" x14ac:dyDescent="0.15">
      <c r="A47" s="1">
        <f t="shared" si="3"/>
        <v>105000</v>
      </c>
      <c r="B47" s="3">
        <v>105</v>
      </c>
      <c r="C47" s="4" t="s">
        <v>3</v>
      </c>
      <c r="D47" s="4" t="s">
        <v>208</v>
      </c>
      <c r="E47" s="2">
        <f t="shared" ref="E47:F47" si="76">E36</f>
        <v>0</v>
      </c>
      <c r="F47" s="2" t="str">
        <f t="shared" si="76"/>
        <v>敌对</v>
      </c>
      <c r="G47" s="2">
        <f t="shared" si="13"/>
        <v>0</v>
      </c>
      <c r="H47" s="2">
        <f t="shared" si="13"/>
        <v>607001</v>
      </c>
      <c r="I47" s="2" t="str">
        <f t="shared" si="13"/>
        <v>白银</v>
      </c>
      <c r="J47" s="33">
        <f>VLOOKUP(H47,[1]stuff!$A:$C,3,FALSE)</f>
        <v>100</v>
      </c>
      <c r="K47" s="2">
        <f t="shared" ref="K47:M47" si="77">K36</f>
        <v>500000</v>
      </c>
      <c r="L47" s="2">
        <f t="shared" si="77"/>
        <v>812000</v>
      </c>
      <c r="M47" s="2" t="str">
        <f t="shared" si="77"/>
        <v>矮人</v>
      </c>
      <c r="N47" s="33">
        <f>VLOOKUP(L47,[1]stuff!$A:$C,3,FALSE)</f>
        <v>0</v>
      </c>
      <c r="O47" s="2">
        <v>500</v>
      </c>
      <c r="P47" s="21">
        <f t="shared" ref="P47:P56" si="78">J47*K47</f>
        <v>50000000</v>
      </c>
      <c r="Q47" s="23">
        <f t="shared" ref="Q47:Q56" si="79">N47*O47</f>
        <v>0</v>
      </c>
      <c r="R47" s="27">
        <f t="shared" ref="R47" si="80">W47*X47</f>
        <v>5</v>
      </c>
      <c r="S47" s="27">
        <f t="shared" ref="S47:S56" si="81">AA47*AB47</f>
        <v>2</v>
      </c>
      <c r="T47" s="20" t="str">
        <f t="shared" si="11"/>
        <v>敌对</v>
      </c>
      <c r="U47" s="2">
        <f>U36</f>
        <v>401001</v>
      </c>
      <c r="V47" s="2" t="str">
        <f>V36</f>
        <v>烈酒</v>
      </c>
      <c r="W47" s="33">
        <f>VLOOKUP(U47,[1]stuff!$A:$C,3,FALSE)</f>
        <v>5</v>
      </c>
      <c r="X47" s="2">
        <f>X36</f>
        <v>1</v>
      </c>
      <c r="Y47" s="2">
        <f>Y36</f>
        <v>305001</v>
      </c>
      <c r="Z47" s="2" t="str">
        <f>Z36</f>
        <v>简单食物</v>
      </c>
      <c r="AA47" s="25">
        <f>VLOOKUP(Y47,[1]stuff!$A:$C,3,FALSE)</f>
        <v>2</v>
      </c>
      <c r="AB47" s="2">
        <f>AB36</f>
        <v>1</v>
      </c>
      <c r="AC47" s="4" t="s">
        <v>3</v>
      </c>
      <c r="AD47" s="7">
        <f t="shared" si="19"/>
        <v>0</v>
      </c>
      <c r="AE47" s="7">
        <v>414</v>
      </c>
      <c r="AF47" s="7" t="s">
        <v>216</v>
      </c>
      <c r="AG47" s="1">
        <v>1000</v>
      </c>
      <c r="AH47" s="7">
        <v>415</v>
      </c>
      <c r="AI47" s="7" t="s">
        <v>217</v>
      </c>
      <c r="AJ47" s="1">
        <v>1000</v>
      </c>
      <c r="AK47" s="7"/>
      <c r="AL47" s="7"/>
      <c r="AM47" s="1"/>
      <c r="AN47" s="7"/>
      <c r="AO47" s="7"/>
      <c r="AP47" s="1"/>
      <c r="AQ47" s="7"/>
      <c r="AR47" s="7"/>
      <c r="AS47" s="1"/>
      <c r="AT47" s="7"/>
      <c r="AU47" s="7"/>
      <c r="AV47" s="1"/>
      <c r="AW47" s="8" t="s">
        <v>192</v>
      </c>
      <c r="AX47" s="7" t="s">
        <v>15</v>
      </c>
      <c r="AY47" s="7" t="s">
        <v>29</v>
      </c>
      <c r="AZ47" s="8" t="s">
        <v>40</v>
      </c>
      <c r="BA47" s="8" t="s">
        <v>37</v>
      </c>
      <c r="BB47" s="20" t="str">
        <f t="shared" si="6"/>
        <v>敌对</v>
      </c>
      <c r="BC47" s="36" t="s">
        <v>163</v>
      </c>
      <c r="BD47" s="6" t="s">
        <v>278</v>
      </c>
    </row>
    <row r="48" spans="1:56" x14ac:dyDescent="0.15">
      <c r="A48" s="1">
        <f t="shared" si="3"/>
        <v>105001</v>
      </c>
      <c r="B48" s="3">
        <v>105</v>
      </c>
      <c r="C48" s="4" t="s">
        <v>3</v>
      </c>
      <c r="D48" s="4" t="s">
        <v>208</v>
      </c>
      <c r="E48" s="2">
        <f t="shared" ref="E48:F48" si="82">E37</f>
        <v>1</v>
      </c>
      <c r="F48" s="2" t="str">
        <f t="shared" si="82"/>
        <v>对立</v>
      </c>
      <c r="G48" s="2">
        <f t="shared" si="13"/>
        <v>10</v>
      </c>
      <c r="H48" s="2">
        <f t="shared" si="13"/>
        <v>401001</v>
      </c>
      <c r="I48" s="2" t="str">
        <f t="shared" si="13"/>
        <v>烈酒</v>
      </c>
      <c r="J48" s="33">
        <f>VLOOKUP(H48,[1]stuff!$A:$C,3,FALSE)</f>
        <v>5</v>
      </c>
      <c r="K48" s="2">
        <f t="shared" ref="K48:M48" si="83">K37</f>
        <v>10000</v>
      </c>
      <c r="L48" s="2">
        <f t="shared" si="83"/>
        <v>607001</v>
      </c>
      <c r="M48" s="2" t="str">
        <f t="shared" si="83"/>
        <v>白银</v>
      </c>
      <c r="N48" s="33">
        <f>VLOOKUP(L48,[1]stuff!$A:$C,3,FALSE)</f>
        <v>100</v>
      </c>
      <c r="O48" s="5">
        <v>20000</v>
      </c>
      <c r="P48" s="21">
        <f t="shared" si="78"/>
        <v>50000</v>
      </c>
      <c r="Q48" s="23">
        <f t="shared" si="79"/>
        <v>2000000</v>
      </c>
      <c r="R48" s="27">
        <f t="shared" ref="R48:R56" si="84">W48*X48</f>
        <v>4</v>
      </c>
      <c r="S48" s="27">
        <f t="shared" si="81"/>
        <v>50</v>
      </c>
      <c r="T48" s="20" t="str">
        <f t="shared" si="11"/>
        <v>对立</v>
      </c>
      <c r="U48" s="2">
        <f t="shared" ref="U48:V48" si="85">U37</f>
        <v>305002</v>
      </c>
      <c r="V48" s="2" t="str">
        <f t="shared" si="85"/>
        <v>精致食物</v>
      </c>
      <c r="W48" s="33">
        <f>VLOOKUP(U48,[1]stuff!$A:$C,3,FALSE)</f>
        <v>4</v>
      </c>
      <c r="X48" s="2">
        <f t="shared" ref="X48:Z48" si="86">X37</f>
        <v>1</v>
      </c>
      <c r="Y48" s="2">
        <f t="shared" si="86"/>
        <v>401001</v>
      </c>
      <c r="Z48" s="2" t="str">
        <f t="shared" si="86"/>
        <v>烈酒</v>
      </c>
      <c r="AA48" s="25">
        <v>50</v>
      </c>
      <c r="AB48" s="2">
        <f t="shared" ref="AB48:AB49" si="87">AB37</f>
        <v>1</v>
      </c>
      <c r="AC48" s="4" t="s">
        <v>3</v>
      </c>
      <c r="AD48" s="7">
        <f t="shared" si="19"/>
        <v>1</v>
      </c>
      <c r="AE48" s="7">
        <v>414</v>
      </c>
      <c r="AF48" s="7" t="s">
        <v>216</v>
      </c>
      <c r="AG48" s="1">
        <v>900</v>
      </c>
      <c r="AH48" s="7">
        <v>415</v>
      </c>
      <c r="AI48" s="7" t="s">
        <v>217</v>
      </c>
      <c r="AJ48" s="1">
        <v>900</v>
      </c>
      <c r="AK48" s="7"/>
      <c r="AL48" s="7"/>
      <c r="AM48" s="1"/>
      <c r="AN48" s="7"/>
      <c r="AO48" s="7"/>
      <c r="AP48" s="1"/>
      <c r="AQ48" s="7"/>
      <c r="AR48" s="7"/>
      <c r="AS48" s="1"/>
      <c r="AT48" s="7"/>
      <c r="AU48" s="7"/>
      <c r="AV48" s="1"/>
      <c r="AW48" s="1"/>
      <c r="AX48" s="1"/>
      <c r="AY48" s="1"/>
      <c r="AZ48" s="1"/>
      <c r="BA48" s="1"/>
      <c r="BB48" s="20" t="str">
        <f t="shared" si="6"/>
        <v>对立</v>
      </c>
      <c r="BC48" s="7" t="s">
        <v>151</v>
      </c>
      <c r="BD48" s="6" t="s">
        <v>279</v>
      </c>
    </row>
    <row r="49" spans="1:56" x14ac:dyDescent="0.15">
      <c r="A49" s="1">
        <f t="shared" si="3"/>
        <v>105002</v>
      </c>
      <c r="B49" s="3">
        <v>105</v>
      </c>
      <c r="C49" s="4" t="s">
        <v>3</v>
      </c>
      <c r="D49" s="4" t="s">
        <v>208</v>
      </c>
      <c r="E49" s="2">
        <f t="shared" ref="E49:F49" si="88">E38</f>
        <v>2</v>
      </c>
      <c r="F49" s="2" t="str">
        <f t="shared" si="88"/>
        <v>厌恶</v>
      </c>
      <c r="G49" s="2">
        <f t="shared" si="13"/>
        <v>20</v>
      </c>
      <c r="H49" s="2">
        <v>305002</v>
      </c>
      <c r="I49" s="2" t="s">
        <v>87</v>
      </c>
      <c r="J49" s="33">
        <f>VLOOKUP(H49,[1]stuff!$A:$C,3,FALSE)</f>
        <v>4</v>
      </c>
      <c r="K49" s="2">
        <f t="shared" ref="K49:M49" si="89">K38</f>
        <v>10000</v>
      </c>
      <c r="L49" s="2">
        <f t="shared" si="89"/>
        <v>607001</v>
      </c>
      <c r="M49" s="2" t="str">
        <f t="shared" si="89"/>
        <v>白银</v>
      </c>
      <c r="N49" s="33">
        <f>VLOOKUP(L49,[1]stuff!$A:$C,3,FALSE)</f>
        <v>100</v>
      </c>
      <c r="O49" s="5">
        <v>30000</v>
      </c>
      <c r="P49" s="21">
        <f t="shared" si="78"/>
        <v>40000</v>
      </c>
      <c r="Q49" s="23">
        <f t="shared" si="79"/>
        <v>3000000</v>
      </c>
      <c r="R49" s="27">
        <f t="shared" si="84"/>
        <v>10000</v>
      </c>
      <c r="S49" s="27">
        <f t="shared" si="81"/>
        <v>1000</v>
      </c>
      <c r="T49" s="20" t="str">
        <f t="shared" si="11"/>
        <v>厌恶</v>
      </c>
      <c r="U49" s="2">
        <f t="shared" ref="U49:V49" si="90">U38</f>
        <v>412003</v>
      </c>
      <c r="V49" s="2" t="str">
        <f t="shared" si="90"/>
        <v>糖</v>
      </c>
      <c r="W49" s="33">
        <f>VLOOKUP(U49,[1]stuff!$A:$C,3,FALSE)</f>
        <v>10</v>
      </c>
      <c r="X49" s="2">
        <v>1000</v>
      </c>
      <c r="Y49" s="2">
        <f t="shared" ref="Y49:Z49" si="91">Y38</f>
        <v>608001</v>
      </c>
      <c r="Z49" s="2" t="str">
        <f t="shared" si="91"/>
        <v>黄金</v>
      </c>
      <c r="AA49" s="25">
        <f>VLOOKUP(Y49,[1]stuff!$A:$C,3,FALSE)</f>
        <v>1000</v>
      </c>
      <c r="AB49" s="2">
        <f t="shared" si="87"/>
        <v>1</v>
      </c>
      <c r="AC49" s="4" t="s">
        <v>3</v>
      </c>
      <c r="AD49" s="7">
        <f t="shared" si="19"/>
        <v>2</v>
      </c>
      <c r="AE49" s="7">
        <v>414</v>
      </c>
      <c r="AF49" s="7" t="s">
        <v>216</v>
      </c>
      <c r="AG49" s="1">
        <v>800</v>
      </c>
      <c r="AH49" s="7">
        <v>415</v>
      </c>
      <c r="AI49" s="7" t="s">
        <v>217</v>
      </c>
      <c r="AJ49" s="1">
        <v>800</v>
      </c>
      <c r="AK49" s="7"/>
      <c r="AL49" s="7"/>
      <c r="AM49" s="1"/>
      <c r="AN49" s="7"/>
      <c r="AO49" s="7"/>
      <c r="AP49" s="1"/>
      <c r="AQ49" s="7"/>
      <c r="AR49" s="7"/>
      <c r="AS49" s="1"/>
      <c r="AT49" s="7"/>
      <c r="AU49" s="7"/>
      <c r="AV49" s="1"/>
      <c r="AW49" s="1"/>
      <c r="AX49" s="1"/>
      <c r="AY49" s="1"/>
      <c r="AZ49" s="1"/>
      <c r="BA49" s="1"/>
      <c r="BB49" s="20" t="str">
        <f t="shared" si="6"/>
        <v>厌恶</v>
      </c>
      <c r="BC49" s="1" t="s">
        <v>269</v>
      </c>
      <c r="BD49" s="1" t="s">
        <v>280</v>
      </c>
    </row>
    <row r="50" spans="1:56" x14ac:dyDescent="0.15">
      <c r="A50" s="1">
        <f t="shared" si="3"/>
        <v>105003</v>
      </c>
      <c r="B50" s="3">
        <v>105</v>
      </c>
      <c r="C50" s="4" t="s">
        <v>3</v>
      </c>
      <c r="D50" s="4" t="s">
        <v>208</v>
      </c>
      <c r="E50" s="2">
        <f t="shared" ref="E50:F50" si="92">E39</f>
        <v>3</v>
      </c>
      <c r="F50" s="2" t="str">
        <f t="shared" si="92"/>
        <v>讨厌</v>
      </c>
      <c r="G50" s="2">
        <f t="shared" si="13"/>
        <v>30</v>
      </c>
      <c r="H50" s="2">
        <v>609001</v>
      </c>
      <c r="I50" s="2" t="s">
        <v>142</v>
      </c>
      <c r="J50" s="33">
        <f>VLOOKUP(H50,[1]stuff!$A:$C,3,FALSE)</f>
        <v>1</v>
      </c>
      <c r="K50" s="2">
        <v>10000</v>
      </c>
      <c r="L50" s="2">
        <f t="shared" ref="K50:M56" si="93">L39</f>
        <v>607001</v>
      </c>
      <c r="M50" s="2" t="str">
        <f t="shared" si="93"/>
        <v>白银</v>
      </c>
      <c r="N50" s="33">
        <f>VLOOKUP(L50,[1]stuff!$A:$C,3,FALSE)</f>
        <v>100</v>
      </c>
      <c r="O50" s="5">
        <v>40000</v>
      </c>
      <c r="P50" s="21">
        <f t="shared" si="78"/>
        <v>10000</v>
      </c>
      <c r="Q50" s="23">
        <f t="shared" si="79"/>
        <v>4000000</v>
      </c>
      <c r="R50" s="27">
        <f t="shared" si="84"/>
        <v>50000</v>
      </c>
      <c r="S50" s="27">
        <f t="shared" si="81"/>
        <v>300000</v>
      </c>
      <c r="T50" s="20" t="str">
        <f t="shared" si="11"/>
        <v>讨厌</v>
      </c>
      <c r="U50" s="2">
        <v>603002</v>
      </c>
      <c r="V50" s="2" t="s">
        <v>193</v>
      </c>
      <c r="W50" s="33">
        <f>VLOOKUP(U50,[1]stuff!$A:$C,3,FALSE)</f>
        <v>100</v>
      </c>
      <c r="X50" s="2">
        <v>500</v>
      </c>
      <c r="Y50" s="2">
        <v>608001</v>
      </c>
      <c r="Z50" s="2" t="s">
        <v>90</v>
      </c>
      <c r="AA50" s="25">
        <f>VLOOKUP(Y50,[1]stuff!$A:$C,3,FALSE)</f>
        <v>1000</v>
      </c>
      <c r="AB50" s="2">
        <v>300</v>
      </c>
      <c r="AC50" s="4" t="s">
        <v>3</v>
      </c>
      <c r="AD50" s="7">
        <f t="shared" si="19"/>
        <v>3</v>
      </c>
      <c r="AE50" s="7">
        <v>414</v>
      </c>
      <c r="AF50" s="7" t="s">
        <v>216</v>
      </c>
      <c r="AG50" s="1">
        <v>700</v>
      </c>
      <c r="AH50" s="7">
        <v>415</v>
      </c>
      <c r="AI50" s="7" t="s">
        <v>217</v>
      </c>
      <c r="AJ50" s="1">
        <v>700</v>
      </c>
      <c r="AK50" s="7"/>
      <c r="AL50" s="7"/>
      <c r="AM50" s="1"/>
      <c r="AN50" s="7"/>
      <c r="AO50" s="7"/>
      <c r="AP50" s="1"/>
      <c r="AQ50" s="7"/>
      <c r="AR50" s="7"/>
      <c r="AS50" s="1"/>
      <c r="AT50" s="7"/>
      <c r="AU50" s="7"/>
      <c r="AV50" s="1"/>
      <c r="AW50" s="1"/>
      <c r="AX50" s="1"/>
      <c r="AY50" s="1"/>
      <c r="AZ50" s="1"/>
      <c r="BA50" s="1"/>
      <c r="BB50" s="20" t="str">
        <f t="shared" si="6"/>
        <v>讨厌</v>
      </c>
      <c r="BC50" s="1" t="s">
        <v>271</v>
      </c>
      <c r="BD50" s="6" t="s">
        <v>281</v>
      </c>
    </row>
    <row r="51" spans="1:56" x14ac:dyDescent="0.15">
      <c r="A51" s="1">
        <f t="shared" si="3"/>
        <v>105004</v>
      </c>
      <c r="B51" s="3">
        <v>105</v>
      </c>
      <c r="C51" s="4" t="s">
        <v>3</v>
      </c>
      <c r="D51" s="4" t="s">
        <v>208</v>
      </c>
      <c r="E51" s="2">
        <f t="shared" ref="E51:F51" si="94">E40</f>
        <v>4</v>
      </c>
      <c r="F51" s="2" t="str">
        <f t="shared" si="94"/>
        <v>中立</v>
      </c>
      <c r="G51" s="2">
        <f t="shared" si="13"/>
        <v>40</v>
      </c>
      <c r="H51" s="2">
        <v>403002</v>
      </c>
      <c r="I51" s="2" t="s">
        <v>194</v>
      </c>
      <c r="J51" s="33">
        <f>VLOOKUP(H51,[1]stuff!$A:$C,3,FALSE)</f>
        <v>25</v>
      </c>
      <c r="K51" s="2">
        <f t="shared" si="93"/>
        <v>10000</v>
      </c>
      <c r="L51" s="2">
        <f t="shared" si="93"/>
        <v>607001</v>
      </c>
      <c r="M51" s="2" t="str">
        <f t="shared" si="93"/>
        <v>白银</v>
      </c>
      <c r="N51" s="33">
        <f>VLOOKUP(L51,[1]stuff!$A:$C,3,FALSE)</f>
        <v>100</v>
      </c>
      <c r="O51" s="5">
        <v>50000</v>
      </c>
      <c r="P51" s="21">
        <f t="shared" si="78"/>
        <v>250000</v>
      </c>
      <c r="Q51" s="23">
        <f t="shared" si="79"/>
        <v>5000000</v>
      </c>
      <c r="R51" s="27">
        <f t="shared" si="84"/>
        <v>50000</v>
      </c>
      <c r="S51" s="27">
        <f t="shared" si="81"/>
        <v>0</v>
      </c>
      <c r="T51" s="20" t="str">
        <f t="shared" si="11"/>
        <v>中立</v>
      </c>
      <c r="U51" s="2">
        <v>603003</v>
      </c>
      <c r="V51" s="2" t="s">
        <v>124</v>
      </c>
      <c r="W51" s="33">
        <f>VLOOKUP(U51,[1]stuff!$A:$C,3,FALSE)</f>
        <v>100</v>
      </c>
      <c r="X51" s="2">
        <v>500</v>
      </c>
      <c r="Y51" s="2">
        <v>812002</v>
      </c>
      <c r="Z51" s="18" t="s">
        <v>98</v>
      </c>
      <c r="AA51" s="25">
        <f>VLOOKUP(Y51,[1]stuff!$A:$C,3,FALSE)</f>
        <v>0</v>
      </c>
      <c r="AB51" s="2">
        <v>100</v>
      </c>
      <c r="AC51" s="4" t="s">
        <v>3</v>
      </c>
      <c r="AD51" s="7">
        <f t="shared" si="19"/>
        <v>4</v>
      </c>
      <c r="AE51" s="10">
        <v>414</v>
      </c>
      <c r="AF51" s="10" t="s">
        <v>216</v>
      </c>
      <c r="AG51" s="49">
        <v>600</v>
      </c>
      <c r="AH51" s="10">
        <v>415</v>
      </c>
      <c r="AI51" s="10" t="s">
        <v>217</v>
      </c>
      <c r="AJ51" s="49">
        <v>600</v>
      </c>
      <c r="AK51" s="7"/>
      <c r="AL51" s="7"/>
      <c r="AM51" s="1"/>
      <c r="AN51" s="7"/>
      <c r="AO51" s="7"/>
      <c r="AP51" s="1"/>
      <c r="AQ51" s="7"/>
      <c r="AR51" s="7"/>
      <c r="AS51" s="1"/>
      <c r="AT51" s="7"/>
      <c r="AU51" s="7"/>
      <c r="AV51" s="1"/>
      <c r="AW51" s="1"/>
      <c r="AX51" s="1"/>
      <c r="AY51" s="1"/>
      <c r="AZ51" s="1"/>
      <c r="BA51" s="1"/>
      <c r="BB51" s="20" t="str">
        <f t="shared" si="6"/>
        <v>中立</v>
      </c>
      <c r="BC51" s="1" t="s">
        <v>270</v>
      </c>
      <c r="BD51" s="1" t="s">
        <v>282</v>
      </c>
    </row>
    <row r="52" spans="1:56" x14ac:dyDescent="0.15">
      <c r="A52" s="1">
        <f t="shared" si="3"/>
        <v>105005</v>
      </c>
      <c r="B52" s="3">
        <v>105</v>
      </c>
      <c r="C52" s="4" t="s">
        <v>3</v>
      </c>
      <c r="D52" s="4" t="s">
        <v>208</v>
      </c>
      <c r="E52" s="2">
        <f t="shared" ref="E52:F52" si="95">E41</f>
        <v>5</v>
      </c>
      <c r="F52" s="2" t="str">
        <f t="shared" si="95"/>
        <v>往来</v>
      </c>
      <c r="G52" s="2">
        <f t="shared" si="13"/>
        <v>50</v>
      </c>
      <c r="H52" s="2">
        <v>416002</v>
      </c>
      <c r="I52" s="2" t="s">
        <v>119</v>
      </c>
      <c r="J52" s="33">
        <f>VLOOKUP(H52,[1]stuff!$A:$C,3,FALSE)</f>
        <v>2000</v>
      </c>
      <c r="K52" s="2">
        <v>200</v>
      </c>
      <c r="L52" s="2">
        <f t="shared" si="93"/>
        <v>607001</v>
      </c>
      <c r="M52" s="2" t="str">
        <f t="shared" si="93"/>
        <v>白银</v>
      </c>
      <c r="N52" s="33">
        <f>VLOOKUP(L52,[1]stuff!$A:$C,3,FALSE)</f>
        <v>100</v>
      </c>
      <c r="O52" s="5">
        <v>60000</v>
      </c>
      <c r="P52" s="21">
        <f t="shared" si="78"/>
        <v>400000</v>
      </c>
      <c r="Q52" s="23">
        <f t="shared" si="79"/>
        <v>6000000</v>
      </c>
      <c r="R52" s="27">
        <f t="shared" si="84"/>
        <v>50000</v>
      </c>
      <c r="S52" s="27">
        <f t="shared" si="81"/>
        <v>0</v>
      </c>
      <c r="T52" s="20" t="str">
        <f t="shared" si="11"/>
        <v>往来</v>
      </c>
      <c r="U52" s="2">
        <v>603004</v>
      </c>
      <c r="V52" s="2" t="s">
        <v>125</v>
      </c>
      <c r="W52" s="33">
        <f>VLOOKUP(U52,[1]stuff!$A:$C,3,FALSE)</f>
        <v>100</v>
      </c>
      <c r="X52" s="2">
        <v>500</v>
      </c>
      <c r="Y52" s="2">
        <v>812002</v>
      </c>
      <c r="Z52" s="18" t="s">
        <v>98</v>
      </c>
      <c r="AA52" s="25">
        <f>VLOOKUP(Y52,[1]stuff!$A:$C,3,FALSE)</f>
        <v>0</v>
      </c>
      <c r="AB52" s="2">
        <v>100</v>
      </c>
      <c r="AC52" s="4" t="s">
        <v>3</v>
      </c>
      <c r="AD52" s="7">
        <f t="shared" si="19"/>
        <v>5</v>
      </c>
      <c r="AE52" s="7">
        <v>414</v>
      </c>
      <c r="AF52" s="7" t="s">
        <v>216</v>
      </c>
      <c r="AG52" s="1">
        <v>500</v>
      </c>
      <c r="AH52" s="7">
        <v>415</v>
      </c>
      <c r="AI52" s="7" t="s">
        <v>217</v>
      </c>
      <c r="AJ52" s="1">
        <v>500</v>
      </c>
      <c r="AK52" s="7"/>
      <c r="AL52" s="7"/>
      <c r="AM52" s="1"/>
      <c r="AN52" s="7"/>
      <c r="AO52" s="7"/>
      <c r="AP52" s="1"/>
      <c r="AQ52" s="7"/>
      <c r="AR52" s="7"/>
      <c r="AS52" s="1"/>
      <c r="AT52" s="7"/>
      <c r="AU52" s="7"/>
      <c r="AV52" s="1"/>
      <c r="AW52" s="1"/>
      <c r="AX52" s="1"/>
      <c r="AY52" s="1"/>
      <c r="AZ52" s="1"/>
      <c r="BA52" s="1"/>
      <c r="BB52" s="20" t="str">
        <f t="shared" si="6"/>
        <v>往来</v>
      </c>
      <c r="BC52" s="1" t="s">
        <v>272</v>
      </c>
      <c r="BD52" s="1" t="s">
        <v>283</v>
      </c>
    </row>
    <row r="53" spans="1:56" x14ac:dyDescent="0.15">
      <c r="A53" s="1">
        <f t="shared" si="3"/>
        <v>105006</v>
      </c>
      <c r="B53" s="3">
        <v>105</v>
      </c>
      <c r="C53" s="4" t="s">
        <v>3</v>
      </c>
      <c r="D53" s="4" t="s">
        <v>208</v>
      </c>
      <c r="E53" s="2">
        <f t="shared" ref="E53:F53" si="96">E42</f>
        <v>6</v>
      </c>
      <c r="F53" s="2" t="str">
        <f t="shared" si="96"/>
        <v>合作</v>
      </c>
      <c r="G53" s="2">
        <f t="shared" si="13"/>
        <v>60</v>
      </c>
      <c r="H53" s="2">
        <v>414006</v>
      </c>
      <c r="I53" s="2" t="s">
        <v>144</v>
      </c>
      <c r="J53" s="33">
        <f>VLOOKUP(H53,[1]stuff!$A:$C,3,FALSE)</f>
        <v>4500</v>
      </c>
      <c r="K53" s="2">
        <v>100</v>
      </c>
      <c r="L53" s="2">
        <f t="shared" si="93"/>
        <v>607001</v>
      </c>
      <c r="M53" s="2" t="str">
        <f t="shared" si="93"/>
        <v>白银</v>
      </c>
      <c r="N53" s="33">
        <f>VLOOKUP(L53,[1]stuff!$A:$C,3,FALSE)</f>
        <v>100</v>
      </c>
      <c r="O53" s="5">
        <v>70000</v>
      </c>
      <c r="P53" s="21">
        <f t="shared" si="78"/>
        <v>450000</v>
      </c>
      <c r="Q53" s="23">
        <f t="shared" si="79"/>
        <v>7000000</v>
      </c>
      <c r="R53" s="27">
        <f t="shared" si="84"/>
        <v>375000</v>
      </c>
      <c r="S53" s="27">
        <f t="shared" si="81"/>
        <v>300000</v>
      </c>
      <c r="T53" s="20" t="str">
        <f t="shared" si="11"/>
        <v>合作</v>
      </c>
      <c r="U53" s="2">
        <v>415007</v>
      </c>
      <c r="V53" s="2" t="s">
        <v>126</v>
      </c>
      <c r="W53" s="33">
        <f>VLOOKUP(U53,[1]stuff!$A:$C,3,FALSE)</f>
        <v>15000</v>
      </c>
      <c r="X53" s="2">
        <v>25</v>
      </c>
      <c r="Y53" s="1">
        <v>422001</v>
      </c>
      <c r="Z53" s="1" t="s">
        <v>88</v>
      </c>
      <c r="AA53" s="25">
        <f>VLOOKUP(Y53,[1]stuff!$A:$C,3,FALSE)</f>
        <v>100</v>
      </c>
      <c r="AB53" s="2">
        <v>3000</v>
      </c>
      <c r="AC53" s="4" t="s">
        <v>3</v>
      </c>
      <c r="AD53" s="7">
        <f t="shared" si="19"/>
        <v>6</v>
      </c>
      <c r="AE53" s="7">
        <v>414</v>
      </c>
      <c r="AF53" s="7" t="s">
        <v>216</v>
      </c>
      <c r="AG53" s="1">
        <v>400</v>
      </c>
      <c r="AH53" s="7">
        <v>415</v>
      </c>
      <c r="AI53" s="7" t="s">
        <v>217</v>
      </c>
      <c r="AJ53" s="1">
        <v>400</v>
      </c>
      <c r="AK53" s="7"/>
      <c r="AL53" s="7"/>
      <c r="AM53" s="1"/>
      <c r="AN53" s="7"/>
      <c r="AO53" s="7"/>
      <c r="AP53" s="1"/>
      <c r="AQ53" s="7"/>
      <c r="AR53" s="7"/>
      <c r="AS53" s="1"/>
      <c r="AT53" s="7"/>
      <c r="AU53" s="7"/>
      <c r="AV53" s="1"/>
      <c r="AW53" s="1"/>
      <c r="AX53" s="1"/>
      <c r="AY53" s="1"/>
      <c r="AZ53" s="1"/>
      <c r="BA53" s="1"/>
      <c r="BB53" s="20" t="str">
        <f t="shared" si="6"/>
        <v>合作</v>
      </c>
      <c r="BC53" s="1" t="s">
        <v>273</v>
      </c>
      <c r="BD53" s="1" t="s">
        <v>283</v>
      </c>
    </row>
    <row r="54" spans="1:56" x14ac:dyDescent="0.15">
      <c r="A54" s="1">
        <f t="shared" si="3"/>
        <v>105007</v>
      </c>
      <c r="B54" s="3">
        <v>105</v>
      </c>
      <c r="C54" s="4" t="s">
        <v>3</v>
      </c>
      <c r="D54" s="4" t="s">
        <v>208</v>
      </c>
      <c r="E54" s="2">
        <f t="shared" ref="E54:F54" si="97">E43</f>
        <v>7</v>
      </c>
      <c r="F54" s="2" t="str">
        <f t="shared" si="97"/>
        <v>友好</v>
      </c>
      <c r="G54" s="2">
        <f t="shared" si="13"/>
        <v>70</v>
      </c>
      <c r="H54" s="2">
        <v>414007</v>
      </c>
      <c r="I54" s="2" t="s">
        <v>141</v>
      </c>
      <c r="J54" s="33">
        <f>VLOOKUP(H54,[1]stuff!$A:$C,3,FALSE)</f>
        <v>15000</v>
      </c>
      <c r="K54" s="2">
        <v>25</v>
      </c>
      <c r="L54" s="2">
        <f t="shared" si="93"/>
        <v>607001</v>
      </c>
      <c r="M54" s="2" t="str">
        <f t="shared" si="93"/>
        <v>白银</v>
      </c>
      <c r="N54" s="33">
        <f>VLOOKUP(L54,[1]stuff!$A:$C,3,FALSE)</f>
        <v>100</v>
      </c>
      <c r="O54" s="5">
        <v>80000</v>
      </c>
      <c r="P54" s="21">
        <f t="shared" si="78"/>
        <v>375000</v>
      </c>
      <c r="Q54" s="23">
        <f t="shared" si="79"/>
        <v>8000000</v>
      </c>
      <c r="R54" s="27">
        <f t="shared" si="84"/>
        <v>400000</v>
      </c>
      <c r="S54" s="27">
        <f t="shared" si="81"/>
        <v>300000</v>
      </c>
      <c r="T54" s="20" t="str">
        <f t="shared" si="11"/>
        <v>友好</v>
      </c>
      <c r="U54" s="2">
        <v>415008</v>
      </c>
      <c r="V54" s="2" t="s">
        <v>70</v>
      </c>
      <c r="W54" s="33">
        <f>VLOOKUP(U54,[1]stuff!$A:$C,3,FALSE)</f>
        <v>40000</v>
      </c>
      <c r="X54" s="2">
        <v>10</v>
      </c>
      <c r="Y54" s="1">
        <v>603002</v>
      </c>
      <c r="Z54" s="1" t="s">
        <v>193</v>
      </c>
      <c r="AA54" s="25">
        <f>VLOOKUP(Y54,[1]stuff!$A:$C,3,FALSE)</f>
        <v>100</v>
      </c>
      <c r="AB54" s="2">
        <v>3000</v>
      </c>
      <c r="AC54" s="4" t="s">
        <v>3</v>
      </c>
      <c r="AD54" s="7">
        <f t="shared" si="19"/>
        <v>7</v>
      </c>
      <c r="AE54" s="7">
        <v>414</v>
      </c>
      <c r="AF54" s="7" t="s">
        <v>216</v>
      </c>
      <c r="AG54" s="1">
        <v>300</v>
      </c>
      <c r="AH54" s="7">
        <v>415</v>
      </c>
      <c r="AI54" s="7" t="s">
        <v>217</v>
      </c>
      <c r="AJ54" s="1">
        <v>300</v>
      </c>
      <c r="AK54" s="7"/>
      <c r="AL54" s="7"/>
      <c r="AM54" s="1"/>
      <c r="AN54" s="7"/>
      <c r="AO54" s="7"/>
      <c r="AP54" s="1"/>
      <c r="AQ54" s="7"/>
      <c r="AR54" s="7"/>
      <c r="AS54" s="1"/>
      <c r="AT54" s="7"/>
      <c r="AU54" s="7"/>
      <c r="AV54" s="1"/>
      <c r="AW54" s="1"/>
      <c r="AX54" s="1"/>
      <c r="AY54" s="1"/>
      <c r="AZ54" s="1"/>
      <c r="BA54" s="1"/>
      <c r="BB54" s="20" t="str">
        <f t="shared" si="6"/>
        <v>友好</v>
      </c>
      <c r="BC54" s="1" t="s">
        <v>277</v>
      </c>
      <c r="BD54" s="1" t="s">
        <v>283</v>
      </c>
    </row>
    <row r="55" spans="1:56" x14ac:dyDescent="0.15">
      <c r="A55" s="1">
        <f t="shared" si="3"/>
        <v>105008</v>
      </c>
      <c r="B55" s="3">
        <v>105</v>
      </c>
      <c r="C55" s="4" t="s">
        <v>3</v>
      </c>
      <c r="D55" s="4" t="s">
        <v>208</v>
      </c>
      <c r="E55" s="2">
        <f t="shared" ref="E55:F55" si="98">E44</f>
        <v>8</v>
      </c>
      <c r="F55" s="2" t="str">
        <f t="shared" si="98"/>
        <v>信任</v>
      </c>
      <c r="G55" s="2">
        <f t="shared" si="13"/>
        <v>80</v>
      </c>
      <c r="H55" s="2">
        <v>414008</v>
      </c>
      <c r="I55" s="2" t="s">
        <v>72</v>
      </c>
      <c r="J55" s="33">
        <f>VLOOKUP(H55,[1]stuff!$A:$C,3,FALSE)</f>
        <v>40000</v>
      </c>
      <c r="K55" s="2">
        <v>10</v>
      </c>
      <c r="L55" s="2">
        <f t="shared" si="93"/>
        <v>607001</v>
      </c>
      <c r="M55" s="2" t="str">
        <f t="shared" si="93"/>
        <v>白银</v>
      </c>
      <c r="N55" s="33">
        <f>VLOOKUP(L55,[1]stuff!$A:$C,3,FALSE)</f>
        <v>100</v>
      </c>
      <c r="O55" s="5">
        <v>90000</v>
      </c>
      <c r="P55" s="21">
        <f t="shared" si="78"/>
        <v>400000</v>
      </c>
      <c r="Q55" s="23">
        <f t="shared" si="79"/>
        <v>9000000</v>
      </c>
      <c r="R55" s="27">
        <f t="shared" si="84"/>
        <v>444440</v>
      </c>
      <c r="S55" s="27">
        <f t="shared" si="81"/>
        <v>300000</v>
      </c>
      <c r="T55" s="20" t="str">
        <f t="shared" si="11"/>
        <v>信任</v>
      </c>
      <c r="U55" s="2">
        <v>415009</v>
      </c>
      <c r="V55" s="2" t="s">
        <v>71</v>
      </c>
      <c r="W55" s="33">
        <f>VLOOKUP(U55,[1]stuff!$A:$C,3,FALSE)</f>
        <v>88888</v>
      </c>
      <c r="X55" s="2">
        <v>5</v>
      </c>
      <c r="Y55" s="1">
        <v>603003</v>
      </c>
      <c r="Z55" s="1" t="s">
        <v>124</v>
      </c>
      <c r="AA55" s="25">
        <f>VLOOKUP(Y55,[1]stuff!$A:$C,3,FALSE)</f>
        <v>100</v>
      </c>
      <c r="AB55" s="2">
        <v>3000</v>
      </c>
      <c r="AC55" s="4" t="s">
        <v>3</v>
      </c>
      <c r="AD55" s="7">
        <f t="shared" si="19"/>
        <v>8</v>
      </c>
      <c r="AE55" s="7">
        <v>414</v>
      </c>
      <c r="AF55" s="7" t="s">
        <v>216</v>
      </c>
      <c r="AG55" s="1">
        <v>200</v>
      </c>
      <c r="AH55" s="7">
        <v>415</v>
      </c>
      <c r="AI55" s="7" t="s">
        <v>217</v>
      </c>
      <c r="AJ55" s="1">
        <v>200</v>
      </c>
      <c r="AK55" s="7"/>
      <c r="AL55" s="7"/>
      <c r="AM55" s="1"/>
      <c r="AN55" s="7"/>
      <c r="AO55" s="7"/>
      <c r="AP55" s="1"/>
      <c r="AQ55" s="7"/>
      <c r="AR55" s="7"/>
      <c r="AS55" s="1"/>
      <c r="AT55" s="7"/>
      <c r="AU55" s="7"/>
      <c r="AV55" s="1"/>
      <c r="AW55" s="1"/>
      <c r="AX55" s="1"/>
      <c r="AY55" s="1"/>
      <c r="AZ55" s="1"/>
      <c r="BA55" s="1"/>
      <c r="BB55" s="20" t="str">
        <f t="shared" si="6"/>
        <v>信任</v>
      </c>
      <c r="BC55" s="1" t="s">
        <v>276</v>
      </c>
      <c r="BD55" s="1" t="s">
        <v>283</v>
      </c>
    </row>
    <row r="56" spans="1:56" x14ac:dyDescent="0.15">
      <c r="A56" s="1">
        <f t="shared" si="3"/>
        <v>105009</v>
      </c>
      <c r="B56" s="3">
        <v>105</v>
      </c>
      <c r="C56" s="4" t="s">
        <v>3</v>
      </c>
      <c r="D56" s="4" t="s">
        <v>208</v>
      </c>
      <c r="E56" s="2">
        <f t="shared" ref="E56:F56" si="99">E45</f>
        <v>9</v>
      </c>
      <c r="F56" s="2" t="str">
        <f t="shared" si="99"/>
        <v>同盟</v>
      </c>
      <c r="G56" s="2">
        <f t="shared" si="13"/>
        <v>90</v>
      </c>
      <c r="H56" s="2">
        <v>414009</v>
      </c>
      <c r="I56" s="2" t="s">
        <v>73</v>
      </c>
      <c r="J56" s="33">
        <f>VLOOKUP(H56,[1]stuff!$A:$C,3,FALSE)</f>
        <v>88888</v>
      </c>
      <c r="K56" s="2">
        <v>5</v>
      </c>
      <c r="L56" s="2">
        <f t="shared" si="93"/>
        <v>607001</v>
      </c>
      <c r="M56" s="2" t="str">
        <f t="shared" si="93"/>
        <v>白银</v>
      </c>
      <c r="N56" s="33">
        <f>VLOOKUP(L56,[1]stuff!$A:$C,3,FALSE)</f>
        <v>100</v>
      </c>
      <c r="O56" s="5">
        <v>100000</v>
      </c>
      <c r="P56" s="21">
        <f t="shared" si="78"/>
        <v>444440</v>
      </c>
      <c r="Q56" s="23">
        <f t="shared" si="79"/>
        <v>10000000</v>
      </c>
      <c r="R56" s="27">
        <f t="shared" si="84"/>
        <v>2000</v>
      </c>
      <c r="S56" s="27">
        <f t="shared" si="81"/>
        <v>300000</v>
      </c>
      <c r="T56" s="20" t="str">
        <f t="shared" si="11"/>
        <v>同盟</v>
      </c>
      <c r="U56" s="2">
        <v>902072</v>
      </c>
      <c r="V56" s="16" t="s">
        <v>286</v>
      </c>
      <c r="W56" s="33">
        <f>VLOOKUP(U56,[1]stuff!$A:$C,3,FALSE)</f>
        <v>2000</v>
      </c>
      <c r="X56" s="2">
        <v>1</v>
      </c>
      <c r="Y56" s="1">
        <v>603004</v>
      </c>
      <c r="Z56" s="1" t="s">
        <v>125</v>
      </c>
      <c r="AA56" s="25">
        <f>VLOOKUP(Y56,[1]stuff!$A:$C,3,FALSE)</f>
        <v>100</v>
      </c>
      <c r="AB56" s="2">
        <v>3000</v>
      </c>
      <c r="AC56" s="4" t="s">
        <v>3</v>
      </c>
      <c r="AD56" s="7">
        <f t="shared" si="19"/>
        <v>9</v>
      </c>
      <c r="AE56" s="7">
        <v>414</v>
      </c>
      <c r="AF56" s="7" t="s">
        <v>216</v>
      </c>
      <c r="AG56" s="1">
        <v>150</v>
      </c>
      <c r="AH56" s="7">
        <v>415</v>
      </c>
      <c r="AI56" s="7" t="s">
        <v>217</v>
      </c>
      <c r="AJ56" s="1">
        <v>150</v>
      </c>
      <c r="AK56" s="7"/>
      <c r="AL56" s="7"/>
      <c r="AM56" s="1"/>
      <c r="AN56" s="7"/>
      <c r="AO56" s="7"/>
      <c r="AP56" s="1"/>
      <c r="AQ56" s="7"/>
      <c r="AR56" s="7"/>
      <c r="AS56" s="1"/>
      <c r="AT56" s="7"/>
      <c r="AU56" s="7"/>
      <c r="AV56" s="1"/>
      <c r="AW56" s="1"/>
      <c r="AX56" s="1"/>
      <c r="AY56" s="1"/>
      <c r="AZ56" s="1"/>
      <c r="BA56" s="1"/>
      <c r="BB56" s="20" t="str">
        <f t="shared" si="6"/>
        <v>同盟</v>
      </c>
      <c r="BC56" s="1" t="s">
        <v>274</v>
      </c>
      <c r="BD56" s="6" t="s">
        <v>284</v>
      </c>
    </row>
    <row r="57" spans="1:56" x14ac:dyDescent="0.15">
      <c r="A57" s="1">
        <f t="shared" si="3"/>
        <v>105010</v>
      </c>
      <c r="B57" s="3">
        <v>105</v>
      </c>
      <c r="C57" s="4" t="s">
        <v>3</v>
      </c>
      <c r="D57" s="4" t="s">
        <v>208</v>
      </c>
      <c r="E57" s="2">
        <f t="shared" ref="E57" si="100">E46</f>
        <v>10</v>
      </c>
      <c r="F57" s="2" t="s">
        <v>204</v>
      </c>
      <c r="G57" s="2">
        <f t="shared" si="13"/>
        <v>100</v>
      </c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20" t="str">
        <f t="shared" si="11"/>
        <v>王位支持者</v>
      </c>
      <c r="U57" s="41"/>
      <c r="V57" s="41"/>
      <c r="W57" s="41"/>
      <c r="X57" s="41"/>
      <c r="Y57" s="41"/>
      <c r="Z57" s="41"/>
      <c r="AA57" s="41"/>
      <c r="AB57" s="41"/>
      <c r="AC57" s="41"/>
      <c r="AD57" s="7">
        <f t="shared" si="19"/>
        <v>10</v>
      </c>
      <c r="AE57" s="7">
        <v>414</v>
      </c>
      <c r="AF57" s="7" t="s">
        <v>216</v>
      </c>
      <c r="AG57" s="1">
        <v>100</v>
      </c>
      <c r="AH57" s="7">
        <v>415</v>
      </c>
      <c r="AI57" s="7" t="s">
        <v>217</v>
      </c>
      <c r="AJ57" s="1">
        <v>100</v>
      </c>
      <c r="AK57" s="7"/>
      <c r="AL57" s="7"/>
      <c r="AM57" s="1"/>
      <c r="AN57" s="7"/>
      <c r="AO57" s="7"/>
      <c r="AP57" s="1"/>
      <c r="AQ57" s="7"/>
      <c r="AR57" s="7"/>
      <c r="AS57" s="1"/>
      <c r="AT57" s="7"/>
      <c r="AU57" s="7"/>
      <c r="AV57" s="1"/>
      <c r="AW57" s="41"/>
      <c r="AX57" s="41"/>
      <c r="AY57" s="41"/>
      <c r="AZ57" s="41"/>
      <c r="BA57" s="41"/>
      <c r="BB57" s="20" t="str">
        <f t="shared" si="6"/>
        <v>王位支持者</v>
      </c>
      <c r="BC57" s="6" t="s">
        <v>275</v>
      </c>
      <c r="BD57" s="1"/>
    </row>
    <row r="58" spans="1:56" ht="40.5" x14ac:dyDescent="0.15">
      <c r="A58" s="1">
        <f t="shared" si="3"/>
        <v>106000</v>
      </c>
      <c r="B58" s="3">
        <v>106</v>
      </c>
      <c r="C58" s="4" t="s">
        <v>4</v>
      </c>
      <c r="D58" s="5" t="s">
        <v>209</v>
      </c>
      <c r="E58" s="2">
        <f t="shared" ref="E58:F58" si="101">E47</f>
        <v>0</v>
      </c>
      <c r="F58" s="2" t="str">
        <f t="shared" si="101"/>
        <v>敌对</v>
      </c>
      <c r="G58" s="2">
        <f t="shared" si="13"/>
        <v>0</v>
      </c>
      <c r="H58" s="2">
        <f t="shared" si="13"/>
        <v>607001</v>
      </c>
      <c r="I58" s="2" t="str">
        <f t="shared" si="13"/>
        <v>白银</v>
      </c>
      <c r="J58" s="33">
        <f>VLOOKUP(H58,[1]stuff!$A:$C,3,FALSE)</f>
        <v>100</v>
      </c>
      <c r="K58" s="2">
        <f t="shared" ref="K58:M58" si="102">K47</f>
        <v>500000</v>
      </c>
      <c r="L58" s="2">
        <f t="shared" si="102"/>
        <v>812000</v>
      </c>
      <c r="M58" s="2" t="str">
        <f t="shared" si="102"/>
        <v>矮人</v>
      </c>
      <c r="N58" s="33">
        <f>VLOOKUP(L58,[1]stuff!$A:$C,3,FALSE)</f>
        <v>0</v>
      </c>
      <c r="O58" s="2">
        <v>500</v>
      </c>
      <c r="P58" s="21">
        <f t="shared" ref="P58:P67" si="103">J58*K58</f>
        <v>50000000</v>
      </c>
      <c r="Q58" s="23">
        <f t="shared" ref="Q58:Q67" si="104">N58*O58</f>
        <v>0</v>
      </c>
      <c r="R58" s="27">
        <f t="shared" ref="R58" si="105">W58*X58</f>
        <v>5</v>
      </c>
      <c r="S58" s="27">
        <f t="shared" ref="S58" si="106">AA58*AB58</f>
        <v>2</v>
      </c>
      <c r="T58" s="20" t="str">
        <f t="shared" si="11"/>
        <v>敌对</v>
      </c>
      <c r="U58" s="2">
        <f>U47</f>
        <v>401001</v>
      </c>
      <c r="V58" s="2" t="str">
        <f>V47</f>
        <v>烈酒</v>
      </c>
      <c r="W58" s="33">
        <f>VLOOKUP(U58,[1]stuff!$A:$C,3,FALSE)</f>
        <v>5</v>
      </c>
      <c r="X58" s="2">
        <f>X47</f>
        <v>1</v>
      </c>
      <c r="Y58" s="2">
        <f>Y47</f>
        <v>305001</v>
      </c>
      <c r="Z58" s="2" t="str">
        <f>Z47</f>
        <v>简单食物</v>
      </c>
      <c r="AA58" s="25">
        <f>VLOOKUP(Y58,[1]stuff!$A:$C,3,FALSE)</f>
        <v>2</v>
      </c>
      <c r="AB58" s="2">
        <f>AB47</f>
        <v>1</v>
      </c>
      <c r="AC58" s="4" t="s">
        <v>4</v>
      </c>
      <c r="AD58" s="7">
        <f t="shared" si="19"/>
        <v>0</v>
      </c>
      <c r="AE58" s="2">
        <v>304002</v>
      </c>
      <c r="AF58" s="2" t="s">
        <v>171</v>
      </c>
      <c r="AG58" s="1">
        <v>200</v>
      </c>
      <c r="AH58" s="2">
        <v>609001</v>
      </c>
      <c r="AI58" s="2" t="s">
        <v>142</v>
      </c>
      <c r="AJ58" s="1">
        <v>150</v>
      </c>
      <c r="AK58" s="2"/>
      <c r="AL58" s="2"/>
      <c r="AM58" s="1"/>
      <c r="AN58" s="2"/>
      <c r="AO58" s="2"/>
      <c r="AP58" s="1"/>
      <c r="AQ58" s="2"/>
      <c r="AR58" s="2"/>
      <c r="AS58" s="1"/>
      <c r="AT58" s="2"/>
      <c r="AU58" s="2"/>
      <c r="AV58" s="1"/>
      <c r="AW58" s="8" t="s">
        <v>31</v>
      </c>
      <c r="AX58" s="7" t="s">
        <v>32</v>
      </c>
      <c r="AY58" s="7" t="s">
        <v>29</v>
      </c>
      <c r="AZ58" s="8" t="s">
        <v>34</v>
      </c>
      <c r="BA58" s="8" t="s">
        <v>36</v>
      </c>
      <c r="BB58" s="20" t="str">
        <f t="shared" si="6"/>
        <v>敌对</v>
      </c>
      <c r="BC58" s="36" t="s">
        <v>163</v>
      </c>
      <c r="BD58" s="6" t="s">
        <v>278</v>
      </c>
    </row>
    <row r="59" spans="1:56" x14ac:dyDescent="0.15">
      <c r="A59" s="1">
        <f t="shared" si="3"/>
        <v>106001</v>
      </c>
      <c r="B59" s="3">
        <v>106</v>
      </c>
      <c r="C59" s="4" t="s">
        <v>4</v>
      </c>
      <c r="D59" s="5" t="s">
        <v>209</v>
      </c>
      <c r="E59" s="2">
        <f t="shared" ref="E59:F59" si="107">E48</f>
        <v>1</v>
      </c>
      <c r="F59" s="2" t="str">
        <f t="shared" si="107"/>
        <v>对立</v>
      </c>
      <c r="G59" s="2">
        <f t="shared" si="13"/>
        <v>10</v>
      </c>
      <c r="H59" s="2">
        <f t="shared" si="13"/>
        <v>401001</v>
      </c>
      <c r="I59" s="2" t="str">
        <f t="shared" si="13"/>
        <v>烈酒</v>
      </c>
      <c r="J59" s="33">
        <f>VLOOKUP(H59,[1]stuff!$A:$C,3,FALSE)</f>
        <v>5</v>
      </c>
      <c r="K59" s="2">
        <f t="shared" ref="K59:M59" si="108">K48</f>
        <v>10000</v>
      </c>
      <c r="L59" s="2">
        <f t="shared" si="108"/>
        <v>607001</v>
      </c>
      <c r="M59" s="2" t="str">
        <f t="shared" si="108"/>
        <v>白银</v>
      </c>
      <c r="N59" s="33">
        <f>VLOOKUP(L59,[1]stuff!$A:$C,3,FALSE)</f>
        <v>100</v>
      </c>
      <c r="O59" s="5">
        <v>20000</v>
      </c>
      <c r="P59" s="21">
        <f t="shared" si="103"/>
        <v>50000</v>
      </c>
      <c r="Q59" s="23">
        <f t="shared" si="104"/>
        <v>2000000</v>
      </c>
      <c r="R59" s="27">
        <f t="shared" ref="R59:R64" si="109">W59*X59</f>
        <v>4</v>
      </c>
      <c r="S59" s="27">
        <f t="shared" ref="S59:S64" si="110">AA59*AB59</f>
        <v>50</v>
      </c>
      <c r="T59" s="20" t="str">
        <f t="shared" si="11"/>
        <v>对立</v>
      </c>
      <c r="U59" s="2">
        <f t="shared" ref="U59:V59" si="111">U48</f>
        <v>305002</v>
      </c>
      <c r="V59" s="2" t="str">
        <f t="shared" si="111"/>
        <v>精致食物</v>
      </c>
      <c r="W59" s="33">
        <f>VLOOKUP(U59,[1]stuff!$A:$C,3,FALSE)</f>
        <v>4</v>
      </c>
      <c r="X59" s="2">
        <f t="shared" ref="X59:Z59" si="112">X48</f>
        <v>1</v>
      </c>
      <c r="Y59" s="2">
        <f t="shared" si="112"/>
        <v>401001</v>
      </c>
      <c r="Z59" s="2" t="str">
        <f t="shared" si="112"/>
        <v>烈酒</v>
      </c>
      <c r="AA59" s="25">
        <v>50</v>
      </c>
      <c r="AB59" s="2">
        <f t="shared" ref="AB59:AB60" si="113">AB48</f>
        <v>1</v>
      </c>
      <c r="AC59" s="4" t="s">
        <v>4</v>
      </c>
      <c r="AD59" s="7">
        <f t="shared" si="19"/>
        <v>1</v>
      </c>
      <c r="AE59" s="2">
        <v>304002</v>
      </c>
      <c r="AF59" s="2" t="s">
        <v>171</v>
      </c>
      <c r="AG59" s="1">
        <v>190</v>
      </c>
      <c r="AH59" s="2">
        <v>609001</v>
      </c>
      <c r="AI59" s="2" t="s">
        <v>142</v>
      </c>
      <c r="AJ59" s="1">
        <v>145</v>
      </c>
      <c r="AK59" s="2"/>
      <c r="AL59" s="2"/>
      <c r="AM59" s="1"/>
      <c r="AN59" s="2"/>
      <c r="AO59" s="2"/>
      <c r="AP59" s="1"/>
      <c r="AQ59" s="2"/>
      <c r="AR59" s="2"/>
      <c r="AS59" s="1"/>
      <c r="AT59" s="2"/>
      <c r="AU59" s="2"/>
      <c r="AV59" s="1"/>
      <c r="AW59" s="1"/>
      <c r="AX59" s="1"/>
      <c r="AY59" s="1"/>
      <c r="AZ59" s="1"/>
      <c r="BA59" s="1"/>
      <c r="BB59" s="20" t="str">
        <f t="shared" si="6"/>
        <v>对立</v>
      </c>
      <c r="BC59" s="7" t="s">
        <v>151</v>
      </c>
      <c r="BD59" s="6" t="s">
        <v>279</v>
      </c>
    </row>
    <row r="60" spans="1:56" x14ac:dyDescent="0.15">
      <c r="A60" s="1">
        <f t="shared" si="3"/>
        <v>106002</v>
      </c>
      <c r="B60" s="3">
        <v>106</v>
      </c>
      <c r="C60" s="4" t="s">
        <v>4</v>
      </c>
      <c r="D60" s="5" t="s">
        <v>209</v>
      </c>
      <c r="E60" s="2">
        <f t="shared" ref="E60:F60" si="114">E49</f>
        <v>2</v>
      </c>
      <c r="F60" s="2" t="str">
        <f t="shared" si="114"/>
        <v>厌恶</v>
      </c>
      <c r="G60" s="2">
        <f t="shared" si="13"/>
        <v>20</v>
      </c>
      <c r="H60" s="2">
        <f t="shared" si="13"/>
        <v>305002</v>
      </c>
      <c r="I60" s="2" t="str">
        <f t="shared" si="13"/>
        <v>精致食物</v>
      </c>
      <c r="J60" s="33">
        <f>VLOOKUP(H60,[1]stuff!$A:$C,3,FALSE)</f>
        <v>4</v>
      </c>
      <c r="K60" s="2">
        <f t="shared" ref="K60:M60" si="115">K49</f>
        <v>10000</v>
      </c>
      <c r="L60" s="2">
        <f t="shared" si="115"/>
        <v>607001</v>
      </c>
      <c r="M60" s="2" t="str">
        <f t="shared" si="115"/>
        <v>白银</v>
      </c>
      <c r="N60" s="33">
        <f>VLOOKUP(L60,[1]stuff!$A:$C,3,FALSE)</f>
        <v>100</v>
      </c>
      <c r="O60" s="5">
        <v>30000</v>
      </c>
      <c r="P60" s="21">
        <f t="shared" si="103"/>
        <v>40000</v>
      </c>
      <c r="Q60" s="23">
        <f t="shared" si="104"/>
        <v>3000000</v>
      </c>
      <c r="R60" s="27">
        <f t="shared" si="109"/>
        <v>10000</v>
      </c>
      <c r="S60" s="27">
        <f t="shared" si="110"/>
        <v>1000</v>
      </c>
      <c r="T60" s="20" t="str">
        <f t="shared" si="11"/>
        <v>厌恶</v>
      </c>
      <c r="U60" s="2">
        <f t="shared" ref="U60:V60" si="116">U49</f>
        <v>412003</v>
      </c>
      <c r="V60" s="2" t="str">
        <f t="shared" si="116"/>
        <v>糖</v>
      </c>
      <c r="W60" s="33">
        <f>VLOOKUP(U60,[1]stuff!$A:$C,3,FALSE)</f>
        <v>10</v>
      </c>
      <c r="X60" s="2">
        <v>1000</v>
      </c>
      <c r="Y60" s="2">
        <f t="shared" ref="Y60:Z60" si="117">Y49</f>
        <v>608001</v>
      </c>
      <c r="Z60" s="2" t="str">
        <f t="shared" si="117"/>
        <v>黄金</v>
      </c>
      <c r="AA60" s="25">
        <f>VLOOKUP(Y60,[1]stuff!$A:$C,3,FALSE)</f>
        <v>1000</v>
      </c>
      <c r="AB60" s="2">
        <f t="shared" si="113"/>
        <v>1</v>
      </c>
      <c r="AC60" s="4" t="s">
        <v>4</v>
      </c>
      <c r="AD60" s="7">
        <f t="shared" si="19"/>
        <v>2</v>
      </c>
      <c r="AE60" s="2">
        <v>304002</v>
      </c>
      <c r="AF60" s="2" t="s">
        <v>171</v>
      </c>
      <c r="AG60" s="1">
        <v>180</v>
      </c>
      <c r="AH60" s="2">
        <v>609001</v>
      </c>
      <c r="AI60" s="2" t="s">
        <v>142</v>
      </c>
      <c r="AJ60" s="1">
        <v>140</v>
      </c>
      <c r="AK60" s="2"/>
      <c r="AL60" s="2"/>
      <c r="AM60" s="1"/>
      <c r="AN60" s="2"/>
      <c r="AO60" s="2"/>
      <c r="AP60" s="1"/>
      <c r="AQ60" s="2"/>
      <c r="AR60" s="2"/>
      <c r="AS60" s="1"/>
      <c r="AT60" s="2"/>
      <c r="AU60" s="2"/>
      <c r="AV60" s="1"/>
      <c r="AW60" s="1"/>
      <c r="AX60" s="1"/>
      <c r="AY60" s="1"/>
      <c r="AZ60" s="1"/>
      <c r="BA60" s="1"/>
      <c r="BB60" s="20" t="str">
        <f t="shared" si="6"/>
        <v>厌恶</v>
      </c>
      <c r="BC60" s="1" t="s">
        <v>269</v>
      </c>
      <c r="BD60" s="1" t="s">
        <v>280</v>
      </c>
    </row>
    <row r="61" spans="1:56" x14ac:dyDescent="0.15">
      <c r="A61" s="1">
        <f t="shared" si="3"/>
        <v>106003</v>
      </c>
      <c r="B61" s="3">
        <v>106</v>
      </c>
      <c r="C61" s="4" t="s">
        <v>4</v>
      </c>
      <c r="D61" s="5" t="s">
        <v>209</v>
      </c>
      <c r="E61" s="2">
        <f t="shared" ref="E61:F61" si="118">E50</f>
        <v>3</v>
      </c>
      <c r="F61" s="2" t="str">
        <f t="shared" si="118"/>
        <v>讨厌</v>
      </c>
      <c r="G61" s="2">
        <f t="shared" si="13"/>
        <v>30</v>
      </c>
      <c r="H61" s="2">
        <v>617001</v>
      </c>
      <c r="I61" s="5" t="s">
        <v>188</v>
      </c>
      <c r="J61" s="33">
        <f>VLOOKUP(H61,[1]stuff!$A:$C,3,FALSE)</f>
        <v>1</v>
      </c>
      <c r="K61" s="2">
        <f t="shared" ref="K61:M67" si="119">K50</f>
        <v>10000</v>
      </c>
      <c r="L61" s="2">
        <f t="shared" si="119"/>
        <v>607001</v>
      </c>
      <c r="M61" s="2" t="str">
        <f t="shared" si="119"/>
        <v>白银</v>
      </c>
      <c r="N61" s="33">
        <f>VLOOKUP(L61,[1]stuff!$A:$C,3,FALSE)</f>
        <v>100</v>
      </c>
      <c r="O61" s="5">
        <v>40000</v>
      </c>
      <c r="P61" s="21">
        <f t="shared" si="103"/>
        <v>10000</v>
      </c>
      <c r="Q61" s="23">
        <f t="shared" si="104"/>
        <v>4000000</v>
      </c>
      <c r="R61" s="27">
        <f t="shared" si="109"/>
        <v>50000</v>
      </c>
      <c r="S61" s="27">
        <f t="shared" si="110"/>
        <v>48000</v>
      </c>
      <c r="T61" s="20" t="str">
        <f t="shared" si="11"/>
        <v>讨厌</v>
      </c>
      <c r="U61" s="2">
        <v>501001</v>
      </c>
      <c r="V61" s="2" t="s">
        <v>75</v>
      </c>
      <c r="W61" s="33">
        <f>VLOOKUP(U61,[1]stuff!$A:$C,3,FALSE)</f>
        <v>500</v>
      </c>
      <c r="X61" s="2">
        <v>100</v>
      </c>
      <c r="Y61" s="2">
        <v>614001</v>
      </c>
      <c r="Z61" s="2" t="s">
        <v>190</v>
      </c>
      <c r="AA61" s="25">
        <f>VLOOKUP(Y61,[1]stuff!$A:$C,3,FALSE)</f>
        <v>800</v>
      </c>
      <c r="AB61" s="2">
        <v>60</v>
      </c>
      <c r="AC61" s="4" t="s">
        <v>4</v>
      </c>
      <c r="AD61" s="7">
        <f t="shared" si="19"/>
        <v>3</v>
      </c>
      <c r="AE61" s="2">
        <v>304002</v>
      </c>
      <c r="AF61" s="2" t="s">
        <v>171</v>
      </c>
      <c r="AG61" s="1">
        <v>170</v>
      </c>
      <c r="AH61" s="2">
        <v>609001</v>
      </c>
      <c r="AI61" s="2" t="s">
        <v>142</v>
      </c>
      <c r="AJ61" s="1">
        <v>135</v>
      </c>
      <c r="AK61" s="2"/>
      <c r="AL61" s="2"/>
      <c r="AM61" s="1"/>
      <c r="AN61" s="2"/>
      <c r="AO61" s="2"/>
      <c r="AP61" s="1"/>
      <c r="AQ61" s="2"/>
      <c r="AR61" s="2"/>
      <c r="AS61" s="1"/>
      <c r="AT61" s="2"/>
      <c r="AU61" s="2"/>
      <c r="AV61" s="1"/>
      <c r="AW61" s="1"/>
      <c r="AX61" s="1"/>
      <c r="AY61" s="1"/>
      <c r="AZ61" s="1"/>
      <c r="BA61" s="1"/>
      <c r="BB61" s="20" t="str">
        <f t="shared" si="6"/>
        <v>讨厌</v>
      </c>
      <c r="BC61" s="1" t="s">
        <v>271</v>
      </c>
      <c r="BD61" s="6" t="s">
        <v>281</v>
      </c>
    </row>
    <row r="62" spans="1:56" x14ac:dyDescent="0.15">
      <c r="A62" s="1">
        <f t="shared" si="3"/>
        <v>106004</v>
      </c>
      <c r="B62" s="3">
        <v>106</v>
      </c>
      <c r="C62" s="4" t="s">
        <v>4</v>
      </c>
      <c r="D62" s="5" t="s">
        <v>209</v>
      </c>
      <c r="E62" s="2">
        <f t="shared" ref="E62:F62" si="120">E51</f>
        <v>4</v>
      </c>
      <c r="F62" s="2" t="str">
        <f t="shared" si="120"/>
        <v>中立</v>
      </c>
      <c r="G62" s="2">
        <f t="shared" si="13"/>
        <v>40</v>
      </c>
      <c r="H62" s="2">
        <f t="shared" ref="H62:I63" si="121">H51</f>
        <v>403002</v>
      </c>
      <c r="I62" s="2" t="str">
        <f t="shared" si="121"/>
        <v>优质工具</v>
      </c>
      <c r="J62" s="33">
        <f>VLOOKUP(H62,[1]stuff!$A:$C,3,FALSE)</f>
        <v>25</v>
      </c>
      <c r="K62" s="2">
        <f t="shared" si="119"/>
        <v>10000</v>
      </c>
      <c r="L62" s="2">
        <f t="shared" si="119"/>
        <v>607001</v>
      </c>
      <c r="M62" s="2" t="str">
        <f t="shared" si="119"/>
        <v>白银</v>
      </c>
      <c r="N62" s="33">
        <f>VLOOKUP(L62,[1]stuff!$A:$C,3,FALSE)</f>
        <v>100</v>
      </c>
      <c r="O62" s="5">
        <v>50000</v>
      </c>
      <c r="P62" s="21">
        <f t="shared" si="103"/>
        <v>250000</v>
      </c>
      <c r="Q62" s="23">
        <f t="shared" si="104"/>
        <v>5000000</v>
      </c>
      <c r="R62" s="27">
        <f t="shared" si="109"/>
        <v>200000</v>
      </c>
      <c r="S62" s="27">
        <f t="shared" si="110"/>
        <v>0</v>
      </c>
      <c r="T62" s="20" t="str">
        <f t="shared" si="11"/>
        <v>中立</v>
      </c>
      <c r="U62" s="2">
        <v>501002</v>
      </c>
      <c r="V62" s="2" t="s">
        <v>76</v>
      </c>
      <c r="W62" s="33">
        <f>VLOOKUP(U62,[1]stuff!$A:$C,3,FALSE)</f>
        <v>1000</v>
      </c>
      <c r="X62" s="2">
        <v>200</v>
      </c>
      <c r="Y62" s="2">
        <v>812004</v>
      </c>
      <c r="Z62" s="18" t="s">
        <v>100</v>
      </c>
      <c r="AA62" s="25">
        <f>VLOOKUP(Y62,[1]stuff!$A:$C,3,FALSE)</f>
        <v>0</v>
      </c>
      <c r="AB62" s="2">
        <v>100</v>
      </c>
      <c r="AC62" s="4" t="s">
        <v>4</v>
      </c>
      <c r="AD62" s="7">
        <f t="shared" si="19"/>
        <v>4</v>
      </c>
      <c r="AE62" s="15">
        <v>304002</v>
      </c>
      <c r="AF62" s="15" t="s">
        <v>171</v>
      </c>
      <c r="AG62" s="49">
        <v>150</v>
      </c>
      <c r="AH62" s="15">
        <v>609001</v>
      </c>
      <c r="AI62" s="15" t="s">
        <v>142</v>
      </c>
      <c r="AJ62" s="1">
        <v>130</v>
      </c>
      <c r="AK62" s="2"/>
      <c r="AL62" s="2"/>
      <c r="AM62" s="1"/>
      <c r="AN62" s="2"/>
      <c r="AO62" s="2"/>
      <c r="AP62" s="1"/>
      <c r="AQ62" s="2"/>
      <c r="AR62" s="2"/>
      <c r="AS62" s="1"/>
      <c r="AT62" s="2"/>
      <c r="AU62" s="2"/>
      <c r="AV62" s="1"/>
      <c r="AW62" s="1"/>
      <c r="AX62" s="1"/>
      <c r="AY62" s="1"/>
      <c r="AZ62" s="1"/>
      <c r="BA62" s="1"/>
      <c r="BB62" s="20" t="str">
        <f t="shared" si="6"/>
        <v>中立</v>
      </c>
      <c r="BC62" s="1" t="s">
        <v>270</v>
      </c>
      <c r="BD62" s="1" t="s">
        <v>282</v>
      </c>
    </row>
    <row r="63" spans="1:56" x14ac:dyDescent="0.15">
      <c r="A63" s="1">
        <f t="shared" si="3"/>
        <v>106005</v>
      </c>
      <c r="B63" s="3">
        <v>106</v>
      </c>
      <c r="C63" s="4" t="s">
        <v>4</v>
      </c>
      <c r="D63" s="5" t="s">
        <v>209</v>
      </c>
      <c r="E63" s="2">
        <f t="shared" ref="E63:F63" si="122">E52</f>
        <v>5</v>
      </c>
      <c r="F63" s="2" t="str">
        <f t="shared" si="122"/>
        <v>往来</v>
      </c>
      <c r="G63" s="2">
        <f t="shared" si="13"/>
        <v>50</v>
      </c>
      <c r="H63" s="2">
        <f t="shared" si="121"/>
        <v>416002</v>
      </c>
      <c r="I63" s="2" t="str">
        <f t="shared" si="121"/>
        <v>四轮马车</v>
      </c>
      <c r="J63" s="33">
        <f>VLOOKUP(H63,[1]stuff!$A:$C,3,FALSE)</f>
        <v>2000</v>
      </c>
      <c r="K63" s="2">
        <f t="shared" si="119"/>
        <v>200</v>
      </c>
      <c r="L63" s="2">
        <f t="shared" si="119"/>
        <v>607001</v>
      </c>
      <c r="M63" s="2" t="str">
        <f t="shared" si="119"/>
        <v>白银</v>
      </c>
      <c r="N63" s="33">
        <f>VLOOKUP(L63,[1]stuff!$A:$C,3,FALSE)</f>
        <v>100</v>
      </c>
      <c r="O63" s="5">
        <v>60000</v>
      </c>
      <c r="P63" s="21">
        <f t="shared" si="103"/>
        <v>400000</v>
      </c>
      <c r="Q63" s="23">
        <f t="shared" si="104"/>
        <v>6000000</v>
      </c>
      <c r="R63" s="27">
        <f t="shared" si="109"/>
        <v>240000</v>
      </c>
      <c r="S63" s="27">
        <f t="shared" si="110"/>
        <v>0</v>
      </c>
      <c r="T63" s="20" t="str">
        <f t="shared" si="11"/>
        <v>往来</v>
      </c>
      <c r="U63" s="2">
        <v>501003</v>
      </c>
      <c r="V63" s="2" t="s">
        <v>77</v>
      </c>
      <c r="W63" s="33">
        <f>VLOOKUP(U63,[1]stuff!$A:$C,3,FALSE)</f>
        <v>800</v>
      </c>
      <c r="X63" s="2">
        <v>300</v>
      </c>
      <c r="Y63" s="2">
        <v>812003</v>
      </c>
      <c r="Z63" s="18" t="s">
        <v>99</v>
      </c>
      <c r="AA63" s="25">
        <f>VLOOKUP(Y63,[1]stuff!$A:$C,3,FALSE)</f>
        <v>0</v>
      </c>
      <c r="AB63" s="2">
        <v>100</v>
      </c>
      <c r="AC63" s="4" t="s">
        <v>4</v>
      </c>
      <c r="AD63" s="7">
        <f t="shared" si="19"/>
        <v>5</v>
      </c>
      <c r="AE63" s="2">
        <v>304002</v>
      </c>
      <c r="AF63" s="2" t="s">
        <v>171</v>
      </c>
      <c r="AG63" s="1">
        <v>140</v>
      </c>
      <c r="AH63" s="2">
        <v>609001</v>
      </c>
      <c r="AI63" s="2" t="s">
        <v>142</v>
      </c>
      <c r="AJ63" s="1">
        <v>125</v>
      </c>
      <c r="AK63" s="2"/>
      <c r="AL63" s="2"/>
      <c r="AM63" s="1"/>
      <c r="AN63" s="2"/>
      <c r="AO63" s="2"/>
      <c r="AP63" s="1"/>
      <c r="AQ63" s="2"/>
      <c r="AR63" s="2"/>
      <c r="AS63" s="1"/>
      <c r="AT63" s="2"/>
      <c r="AU63" s="2"/>
      <c r="AV63" s="1"/>
      <c r="AW63" s="1"/>
      <c r="AX63" s="1"/>
      <c r="AY63" s="1"/>
      <c r="AZ63" s="1"/>
      <c r="BA63" s="1"/>
      <c r="BB63" s="20" t="str">
        <f t="shared" si="6"/>
        <v>往来</v>
      </c>
      <c r="BC63" s="1" t="s">
        <v>272</v>
      </c>
      <c r="BD63" s="1" t="s">
        <v>283</v>
      </c>
    </row>
    <row r="64" spans="1:56" x14ac:dyDescent="0.15">
      <c r="A64" s="1">
        <f t="shared" si="3"/>
        <v>106006</v>
      </c>
      <c r="B64" s="3">
        <v>106</v>
      </c>
      <c r="C64" s="4" t="s">
        <v>4</v>
      </c>
      <c r="D64" s="5" t="s">
        <v>209</v>
      </c>
      <c r="E64" s="2">
        <f t="shared" ref="E64:F64" si="123">E53</f>
        <v>6</v>
      </c>
      <c r="F64" s="2" t="str">
        <f t="shared" si="123"/>
        <v>合作</v>
      </c>
      <c r="G64" s="2">
        <f t="shared" si="13"/>
        <v>60</v>
      </c>
      <c r="H64" s="2">
        <v>612002</v>
      </c>
      <c r="I64" s="2" t="s">
        <v>189</v>
      </c>
      <c r="J64" s="33">
        <f>VLOOKUP(H64,[1]stuff!$A:$C,3,FALSE)</f>
        <v>500</v>
      </c>
      <c r="K64" s="2">
        <v>700</v>
      </c>
      <c r="L64" s="2">
        <f t="shared" si="119"/>
        <v>607001</v>
      </c>
      <c r="M64" s="2" t="str">
        <f t="shared" si="119"/>
        <v>白银</v>
      </c>
      <c r="N64" s="33">
        <f>VLOOKUP(L64,[1]stuff!$A:$C,3,FALSE)</f>
        <v>100</v>
      </c>
      <c r="O64" s="5">
        <v>70000</v>
      </c>
      <c r="P64" s="21">
        <f t="shared" si="103"/>
        <v>350000</v>
      </c>
      <c r="Q64" s="23">
        <f t="shared" si="104"/>
        <v>7000000</v>
      </c>
      <c r="R64" s="27">
        <f t="shared" si="109"/>
        <v>240000</v>
      </c>
      <c r="S64" s="27">
        <f t="shared" si="110"/>
        <v>30000</v>
      </c>
      <c r="T64" s="20" t="str">
        <f t="shared" si="11"/>
        <v>合作</v>
      </c>
      <c r="U64" s="2">
        <v>501005</v>
      </c>
      <c r="V64" s="2" t="s">
        <v>78</v>
      </c>
      <c r="W64" s="33">
        <f>VLOOKUP(U64,[1]stuff!$A:$C,3,FALSE)</f>
        <v>800</v>
      </c>
      <c r="X64" s="2">
        <v>300</v>
      </c>
      <c r="Y64" s="2">
        <v>606001</v>
      </c>
      <c r="Z64" s="2" t="s">
        <v>81</v>
      </c>
      <c r="AA64" s="25">
        <f>VLOOKUP(Y64,[1]stuff!$A:$C,3,FALSE)</f>
        <v>3</v>
      </c>
      <c r="AB64" s="2">
        <v>10000</v>
      </c>
      <c r="AC64" s="4" t="s">
        <v>4</v>
      </c>
      <c r="AD64" s="7">
        <f t="shared" si="19"/>
        <v>6</v>
      </c>
      <c r="AE64" s="2">
        <v>304002</v>
      </c>
      <c r="AF64" s="2" t="s">
        <v>171</v>
      </c>
      <c r="AG64" s="1">
        <v>130</v>
      </c>
      <c r="AH64" s="2">
        <v>609001</v>
      </c>
      <c r="AI64" s="2" t="s">
        <v>142</v>
      </c>
      <c r="AJ64" s="1">
        <v>120</v>
      </c>
      <c r="AK64" s="2"/>
      <c r="AL64" s="2"/>
      <c r="AM64" s="1"/>
      <c r="AN64" s="2"/>
      <c r="AO64" s="2"/>
      <c r="AP64" s="1"/>
      <c r="AQ64" s="2"/>
      <c r="AR64" s="2"/>
      <c r="AS64" s="1"/>
      <c r="AT64" s="2"/>
      <c r="AU64" s="2"/>
      <c r="AV64" s="1"/>
      <c r="AW64" s="1"/>
      <c r="AX64" s="1"/>
      <c r="AY64" s="1"/>
      <c r="AZ64" s="1"/>
      <c r="BA64" s="1"/>
      <c r="BB64" s="20" t="str">
        <f t="shared" si="6"/>
        <v>合作</v>
      </c>
      <c r="BC64" s="1" t="s">
        <v>273</v>
      </c>
      <c r="BD64" s="1" t="s">
        <v>283</v>
      </c>
    </row>
    <row r="65" spans="1:56" x14ac:dyDescent="0.15">
      <c r="A65" s="1">
        <f t="shared" si="3"/>
        <v>106007</v>
      </c>
      <c r="B65" s="3">
        <v>106</v>
      </c>
      <c r="C65" s="4" t="s">
        <v>4</v>
      </c>
      <c r="D65" s="5" t="s">
        <v>209</v>
      </c>
      <c r="E65" s="2">
        <f t="shared" ref="E65:F65" si="124">E54</f>
        <v>7</v>
      </c>
      <c r="F65" s="2" t="str">
        <f t="shared" si="124"/>
        <v>友好</v>
      </c>
      <c r="G65" s="2">
        <f t="shared" si="13"/>
        <v>70</v>
      </c>
      <c r="H65" s="2">
        <v>415007</v>
      </c>
      <c r="I65" s="2" t="s">
        <v>126</v>
      </c>
      <c r="J65" s="33">
        <f>VLOOKUP(H65,[1]stuff!$A:$C,3,FALSE)</f>
        <v>15000</v>
      </c>
      <c r="K65" s="2">
        <v>25</v>
      </c>
      <c r="L65" s="2">
        <f t="shared" si="119"/>
        <v>607001</v>
      </c>
      <c r="M65" s="2" t="str">
        <f t="shared" si="119"/>
        <v>白银</v>
      </c>
      <c r="N65" s="33">
        <f>VLOOKUP(L65,[1]stuff!$A:$C,3,FALSE)</f>
        <v>100</v>
      </c>
      <c r="O65" s="5">
        <v>80000</v>
      </c>
      <c r="P65" s="21">
        <f t="shared" si="103"/>
        <v>375000</v>
      </c>
      <c r="Q65" s="23">
        <f t="shared" si="104"/>
        <v>8000000</v>
      </c>
      <c r="R65" s="27">
        <f t="shared" ref="R65:R67" si="125">W65*X65</f>
        <v>240000</v>
      </c>
      <c r="S65" s="27">
        <f t="shared" ref="S65:S67" si="126">AA65*AB65</f>
        <v>30000</v>
      </c>
      <c r="T65" s="20" t="str">
        <f t="shared" si="11"/>
        <v>友好</v>
      </c>
      <c r="U65" s="2">
        <v>501006</v>
      </c>
      <c r="V65" s="2" t="s">
        <v>79</v>
      </c>
      <c r="W65" s="33">
        <f>VLOOKUP(U65,[1]stuff!$A:$C,3,FALSE)</f>
        <v>800</v>
      </c>
      <c r="X65" s="2">
        <v>300</v>
      </c>
      <c r="Y65" s="2">
        <v>606002</v>
      </c>
      <c r="Z65" s="2" t="s">
        <v>175</v>
      </c>
      <c r="AA65" s="25">
        <f>VLOOKUP(Y65,[1]stuff!$A:$C,3,FALSE)</f>
        <v>3</v>
      </c>
      <c r="AB65" s="2">
        <v>10000</v>
      </c>
      <c r="AC65" s="4" t="s">
        <v>4</v>
      </c>
      <c r="AD65" s="7">
        <f t="shared" si="19"/>
        <v>7</v>
      </c>
      <c r="AE65" s="2">
        <v>304002</v>
      </c>
      <c r="AF65" s="2" t="s">
        <v>171</v>
      </c>
      <c r="AG65" s="1">
        <v>120</v>
      </c>
      <c r="AH65" s="2">
        <v>609001</v>
      </c>
      <c r="AI65" s="2" t="s">
        <v>142</v>
      </c>
      <c r="AJ65" s="1">
        <v>115</v>
      </c>
      <c r="AK65" s="2"/>
      <c r="AL65" s="2"/>
      <c r="AM65" s="1"/>
      <c r="AN65" s="2"/>
      <c r="AO65" s="2"/>
      <c r="AP65" s="1"/>
      <c r="AQ65" s="2"/>
      <c r="AR65" s="2"/>
      <c r="AS65" s="1"/>
      <c r="AT65" s="2"/>
      <c r="AU65" s="2"/>
      <c r="AV65" s="1"/>
      <c r="AW65" s="1"/>
      <c r="AX65" s="1"/>
      <c r="AY65" s="1"/>
      <c r="AZ65" s="1"/>
      <c r="BA65" s="1"/>
      <c r="BB65" s="20" t="str">
        <f t="shared" si="6"/>
        <v>友好</v>
      </c>
      <c r="BC65" s="1" t="s">
        <v>277</v>
      </c>
      <c r="BD65" s="1" t="s">
        <v>283</v>
      </c>
    </row>
    <row r="66" spans="1:56" x14ac:dyDescent="0.15">
      <c r="A66" s="1">
        <f t="shared" si="3"/>
        <v>106008</v>
      </c>
      <c r="B66" s="3">
        <v>106</v>
      </c>
      <c r="C66" s="4" t="s">
        <v>4</v>
      </c>
      <c r="D66" s="5" t="s">
        <v>209</v>
      </c>
      <c r="E66" s="2">
        <f t="shared" ref="E66:F66" si="127">E55</f>
        <v>8</v>
      </c>
      <c r="F66" s="2" t="str">
        <f t="shared" si="127"/>
        <v>信任</v>
      </c>
      <c r="G66" s="2">
        <f t="shared" si="13"/>
        <v>80</v>
      </c>
      <c r="H66" s="2">
        <v>415008</v>
      </c>
      <c r="I66" s="2" t="s">
        <v>70</v>
      </c>
      <c r="J66" s="33">
        <f>VLOOKUP(H66,[1]stuff!$A:$C,3,FALSE)</f>
        <v>40000</v>
      </c>
      <c r="K66" s="2">
        <v>10</v>
      </c>
      <c r="L66" s="2">
        <f t="shared" si="119"/>
        <v>607001</v>
      </c>
      <c r="M66" s="2" t="str">
        <f t="shared" si="119"/>
        <v>白银</v>
      </c>
      <c r="N66" s="33">
        <f>VLOOKUP(L66,[1]stuff!$A:$C,3,FALSE)</f>
        <v>100</v>
      </c>
      <c r="O66" s="5">
        <v>90000</v>
      </c>
      <c r="P66" s="21">
        <f t="shared" si="103"/>
        <v>400000</v>
      </c>
      <c r="Q66" s="23">
        <f t="shared" si="104"/>
        <v>9000000</v>
      </c>
      <c r="R66" s="27">
        <f t="shared" si="125"/>
        <v>300000</v>
      </c>
      <c r="S66" s="27">
        <f t="shared" si="126"/>
        <v>150000</v>
      </c>
      <c r="T66" s="20" t="str">
        <f t="shared" si="11"/>
        <v>信任</v>
      </c>
      <c r="U66" s="2">
        <v>501004</v>
      </c>
      <c r="V66" s="2" t="s">
        <v>191</v>
      </c>
      <c r="W66" s="33">
        <f>VLOOKUP(U66,[1]stuff!$A:$C,3,FALSE)</f>
        <v>1000</v>
      </c>
      <c r="X66" s="2">
        <v>300</v>
      </c>
      <c r="Y66" s="2">
        <v>606001</v>
      </c>
      <c r="Z66" s="2" t="s">
        <v>81</v>
      </c>
      <c r="AA66" s="25">
        <f>VLOOKUP(Y66,[1]stuff!$A:$C,3,FALSE)</f>
        <v>3</v>
      </c>
      <c r="AB66" s="2">
        <v>50000</v>
      </c>
      <c r="AC66" s="4" t="s">
        <v>4</v>
      </c>
      <c r="AD66" s="7">
        <f t="shared" si="19"/>
        <v>8</v>
      </c>
      <c r="AE66" s="2">
        <v>304002</v>
      </c>
      <c r="AF66" s="2" t="s">
        <v>171</v>
      </c>
      <c r="AG66" s="1">
        <v>110</v>
      </c>
      <c r="AH66" s="2">
        <v>609001</v>
      </c>
      <c r="AI66" s="2" t="s">
        <v>142</v>
      </c>
      <c r="AJ66" s="1">
        <v>110</v>
      </c>
      <c r="AK66" s="2"/>
      <c r="AL66" s="2"/>
      <c r="AM66" s="1"/>
      <c r="AN66" s="2"/>
      <c r="AO66" s="2"/>
      <c r="AP66" s="1"/>
      <c r="AQ66" s="2"/>
      <c r="AR66" s="2"/>
      <c r="AS66" s="1"/>
      <c r="AT66" s="2"/>
      <c r="AU66" s="2"/>
      <c r="AV66" s="1"/>
      <c r="AW66" s="1"/>
      <c r="AX66" s="1"/>
      <c r="AY66" s="1"/>
      <c r="AZ66" s="1"/>
      <c r="BA66" s="1"/>
      <c r="BB66" s="20" t="str">
        <f t="shared" si="6"/>
        <v>信任</v>
      </c>
      <c r="BC66" s="1" t="s">
        <v>276</v>
      </c>
      <c r="BD66" s="1" t="s">
        <v>283</v>
      </c>
    </row>
    <row r="67" spans="1:56" x14ac:dyDescent="0.15">
      <c r="A67" s="1">
        <f t="shared" si="3"/>
        <v>106009</v>
      </c>
      <c r="B67" s="3">
        <v>106</v>
      </c>
      <c r="C67" s="4" t="s">
        <v>4</v>
      </c>
      <c r="D67" s="5" t="s">
        <v>209</v>
      </c>
      <c r="E67" s="2">
        <f t="shared" ref="E67:F67" si="128">E56</f>
        <v>9</v>
      </c>
      <c r="F67" s="2" t="str">
        <f t="shared" si="128"/>
        <v>同盟</v>
      </c>
      <c r="G67" s="2">
        <f t="shared" si="13"/>
        <v>90</v>
      </c>
      <c r="H67" s="2">
        <v>415009</v>
      </c>
      <c r="I67" s="2" t="s">
        <v>71</v>
      </c>
      <c r="J67" s="33">
        <f>VLOOKUP(H67,[1]stuff!$A:$C,3,FALSE)</f>
        <v>88888</v>
      </c>
      <c r="K67" s="2">
        <v>5</v>
      </c>
      <c r="L67" s="2">
        <f t="shared" si="119"/>
        <v>607001</v>
      </c>
      <c r="M67" s="2" t="str">
        <f t="shared" si="119"/>
        <v>白银</v>
      </c>
      <c r="N67" s="33">
        <f>VLOOKUP(L67,[1]stuff!$A:$C,3,FALSE)</f>
        <v>100</v>
      </c>
      <c r="O67" s="5">
        <v>100000</v>
      </c>
      <c r="P67" s="21">
        <f t="shared" si="103"/>
        <v>444440</v>
      </c>
      <c r="Q67" s="23">
        <f t="shared" si="104"/>
        <v>10000000</v>
      </c>
      <c r="R67" s="27">
        <f t="shared" si="125"/>
        <v>99999999</v>
      </c>
      <c r="S67" s="27">
        <f t="shared" si="126"/>
        <v>10000000</v>
      </c>
      <c r="T67" s="20" t="str">
        <f t="shared" si="11"/>
        <v>同盟</v>
      </c>
      <c r="U67" s="2">
        <v>410001</v>
      </c>
      <c r="V67" s="2" t="s">
        <v>64</v>
      </c>
      <c r="W67" s="33">
        <f>VLOOKUP(U67,[1]stuff!$A:$C,3,FALSE)</f>
        <v>99999999</v>
      </c>
      <c r="X67" s="2">
        <v>1</v>
      </c>
      <c r="Y67" s="2">
        <v>608001</v>
      </c>
      <c r="Z67" s="2" t="s">
        <v>90</v>
      </c>
      <c r="AA67" s="25">
        <f>VLOOKUP(Y67,[1]stuff!$A:$C,3,FALSE)</f>
        <v>1000</v>
      </c>
      <c r="AB67" s="2">
        <v>10000</v>
      </c>
      <c r="AC67" s="4" t="s">
        <v>4</v>
      </c>
      <c r="AD67" s="7">
        <f t="shared" si="19"/>
        <v>9</v>
      </c>
      <c r="AE67" s="2">
        <v>304002</v>
      </c>
      <c r="AF67" s="2" t="s">
        <v>171</v>
      </c>
      <c r="AG67" s="1">
        <v>100</v>
      </c>
      <c r="AH67" s="2">
        <v>609001</v>
      </c>
      <c r="AI67" s="2" t="s">
        <v>142</v>
      </c>
      <c r="AJ67" s="1">
        <v>105</v>
      </c>
      <c r="AK67" s="2"/>
      <c r="AL67" s="2"/>
      <c r="AM67" s="1"/>
      <c r="AN67" s="2"/>
      <c r="AO67" s="2"/>
      <c r="AP67" s="1"/>
      <c r="AQ67" s="2"/>
      <c r="AR67" s="2"/>
      <c r="AS67" s="1"/>
      <c r="AT67" s="2"/>
      <c r="AU67" s="2"/>
      <c r="AV67" s="1"/>
      <c r="AW67" s="1"/>
      <c r="AX67" s="1"/>
      <c r="AY67" s="1"/>
      <c r="AZ67" s="1"/>
      <c r="BA67" s="1"/>
      <c r="BB67" s="20" t="str">
        <f t="shared" si="6"/>
        <v>同盟</v>
      </c>
      <c r="BC67" s="1" t="s">
        <v>274</v>
      </c>
      <c r="BD67" s="6" t="s">
        <v>284</v>
      </c>
    </row>
    <row r="68" spans="1:56" x14ac:dyDescent="0.15">
      <c r="A68" s="1">
        <f t="shared" ref="A68:A79" si="129">B68*1000+E68</f>
        <v>106010</v>
      </c>
      <c r="B68" s="3">
        <v>106</v>
      </c>
      <c r="C68" s="4" t="s">
        <v>4</v>
      </c>
      <c r="D68" s="5" t="s">
        <v>209</v>
      </c>
      <c r="E68" s="2">
        <f t="shared" ref="E68" si="130">E57</f>
        <v>10</v>
      </c>
      <c r="F68" s="2" t="s">
        <v>204</v>
      </c>
      <c r="G68" s="2">
        <f t="shared" si="13"/>
        <v>100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20" t="str">
        <f t="shared" si="11"/>
        <v>王位支持者</v>
      </c>
      <c r="U68" s="41"/>
      <c r="V68" s="41"/>
      <c r="W68" s="41"/>
      <c r="X68" s="41"/>
      <c r="Y68" s="41"/>
      <c r="Z68" s="41"/>
      <c r="AA68" s="41"/>
      <c r="AB68" s="41"/>
      <c r="AC68" s="41"/>
      <c r="AD68" s="7">
        <f t="shared" si="19"/>
        <v>10</v>
      </c>
      <c r="AE68" s="2">
        <v>304002</v>
      </c>
      <c r="AF68" s="2" t="s">
        <v>171</v>
      </c>
      <c r="AG68" s="1">
        <v>95</v>
      </c>
      <c r="AH68" s="2">
        <v>609001</v>
      </c>
      <c r="AI68" s="2" t="s">
        <v>142</v>
      </c>
      <c r="AJ68" s="1">
        <v>100</v>
      </c>
      <c r="AK68" s="2"/>
      <c r="AL68" s="2"/>
      <c r="AM68" s="1"/>
      <c r="AN68" s="2"/>
      <c r="AO68" s="2"/>
      <c r="AP68" s="1"/>
      <c r="AQ68" s="2"/>
      <c r="AR68" s="2"/>
      <c r="AS68" s="1"/>
      <c r="AT68" s="2"/>
      <c r="AU68" s="2"/>
      <c r="AV68" s="1"/>
      <c r="AW68" s="41"/>
      <c r="AX68" s="41"/>
      <c r="AY68" s="41"/>
      <c r="AZ68" s="41"/>
      <c r="BA68" s="41"/>
      <c r="BB68" s="20" t="str">
        <f t="shared" ref="BB68:BB79" si="131">F68</f>
        <v>王位支持者</v>
      </c>
      <c r="BC68" s="6" t="s">
        <v>275</v>
      </c>
      <c r="BD68" s="1"/>
    </row>
    <row r="69" spans="1:56" ht="67.5" x14ac:dyDescent="0.15">
      <c r="A69" s="1">
        <f t="shared" si="129"/>
        <v>107000</v>
      </c>
      <c r="B69" s="3">
        <v>107</v>
      </c>
      <c r="C69" s="2" t="s">
        <v>293</v>
      </c>
      <c r="D69" s="5" t="s">
        <v>207</v>
      </c>
      <c r="E69" s="2">
        <f t="shared" ref="E69:F69" si="132">E58</f>
        <v>0</v>
      </c>
      <c r="F69" s="2" t="str">
        <f t="shared" si="132"/>
        <v>敌对</v>
      </c>
      <c r="G69" s="2">
        <f t="shared" si="13"/>
        <v>0</v>
      </c>
      <c r="H69" s="2">
        <f t="shared" si="13"/>
        <v>607001</v>
      </c>
      <c r="I69" s="2" t="str">
        <f t="shared" si="13"/>
        <v>白银</v>
      </c>
      <c r="J69" s="33">
        <f>VLOOKUP(H69,[1]stuff!$A:$C,3,FALSE)</f>
        <v>100</v>
      </c>
      <c r="K69" s="2">
        <f t="shared" ref="K69:M69" si="133">K58</f>
        <v>500000</v>
      </c>
      <c r="L69" s="2">
        <f t="shared" si="133"/>
        <v>812000</v>
      </c>
      <c r="M69" s="2" t="str">
        <f t="shared" si="133"/>
        <v>矮人</v>
      </c>
      <c r="N69" s="33">
        <f>VLOOKUP(L69,[1]stuff!$A:$C,3,FALSE)</f>
        <v>0</v>
      </c>
      <c r="O69" s="2">
        <v>500</v>
      </c>
      <c r="P69" s="21">
        <f>J69*K69</f>
        <v>50000000</v>
      </c>
      <c r="Q69" s="23">
        <f>N69*O69</f>
        <v>0</v>
      </c>
      <c r="R69" s="27">
        <f t="shared" ref="R69" si="134">W69*X69</f>
        <v>5</v>
      </c>
      <c r="S69" s="27">
        <f t="shared" ref="S69:S78" si="135">AA69*AB69</f>
        <v>2</v>
      </c>
      <c r="T69" s="20" t="str">
        <f t="shared" si="11"/>
        <v>敌对</v>
      </c>
      <c r="U69" s="2">
        <f>U58</f>
        <v>401001</v>
      </c>
      <c r="V69" s="2" t="str">
        <f>V58</f>
        <v>烈酒</v>
      </c>
      <c r="W69" s="33">
        <f>VLOOKUP(U69,[1]stuff!$A:$C,3,FALSE)</f>
        <v>5</v>
      </c>
      <c r="X69" s="2">
        <f>X58</f>
        <v>1</v>
      </c>
      <c r="Y69" s="2">
        <f>Y58</f>
        <v>305001</v>
      </c>
      <c r="Z69" s="2" t="str">
        <f>Z58</f>
        <v>简单食物</v>
      </c>
      <c r="AA69" s="25">
        <f>VLOOKUP(Y69,[1]stuff!$A:$C,3,FALSE)</f>
        <v>2</v>
      </c>
      <c r="AB69" s="2">
        <v>1</v>
      </c>
      <c r="AC69" s="7" t="str">
        <f>C69</f>
        <v>商王</v>
      </c>
      <c r="AD69" s="7">
        <f t="shared" si="19"/>
        <v>0</v>
      </c>
      <c r="AE69" s="2">
        <v>612</v>
      </c>
      <c r="AF69" s="5" t="s">
        <v>202</v>
      </c>
      <c r="AG69" s="1">
        <v>150</v>
      </c>
      <c r="AH69" s="2">
        <v>306001</v>
      </c>
      <c r="AI69" s="5" t="s">
        <v>201</v>
      </c>
      <c r="AJ69" s="1">
        <v>200</v>
      </c>
      <c r="AK69" s="2"/>
      <c r="AL69" s="5"/>
      <c r="AM69" s="1"/>
      <c r="AN69" s="2"/>
      <c r="AO69" s="5"/>
      <c r="AP69" s="1"/>
      <c r="AQ69" s="2"/>
      <c r="AR69" s="5"/>
      <c r="AS69" s="1"/>
      <c r="AT69" s="2"/>
      <c r="AU69" s="5"/>
      <c r="AV69" s="1"/>
      <c r="AW69" s="8" t="s">
        <v>23</v>
      </c>
      <c r="AX69" s="7" t="s">
        <v>27</v>
      </c>
      <c r="AY69" s="8" t="s">
        <v>24</v>
      </c>
      <c r="AZ69" s="8" t="s">
        <v>26</v>
      </c>
      <c r="BA69" s="8" t="s">
        <v>39</v>
      </c>
      <c r="BB69" s="20" t="str">
        <f t="shared" si="131"/>
        <v>敌对</v>
      </c>
      <c r="BC69" s="36" t="s">
        <v>249</v>
      </c>
      <c r="BD69" s="6" t="s">
        <v>250</v>
      </c>
    </row>
    <row r="70" spans="1:56" x14ac:dyDescent="0.15">
      <c r="A70" s="1">
        <f t="shared" si="129"/>
        <v>107001</v>
      </c>
      <c r="B70" s="3">
        <v>107</v>
      </c>
      <c r="C70" s="2" t="s">
        <v>293</v>
      </c>
      <c r="D70" s="5" t="s">
        <v>207</v>
      </c>
      <c r="E70" s="2">
        <f t="shared" ref="E70:F70" si="136">E59</f>
        <v>1</v>
      </c>
      <c r="F70" s="2" t="str">
        <f t="shared" si="136"/>
        <v>对立</v>
      </c>
      <c r="G70" s="2">
        <f t="shared" si="13"/>
        <v>10</v>
      </c>
      <c r="H70" s="2">
        <f t="shared" si="13"/>
        <v>401001</v>
      </c>
      <c r="I70" s="2" t="str">
        <f t="shared" si="13"/>
        <v>烈酒</v>
      </c>
      <c r="J70" s="33">
        <f>VLOOKUP(H70,[1]stuff!$A:$C,3,FALSE)</f>
        <v>5</v>
      </c>
      <c r="K70" s="2">
        <f t="shared" ref="K70:M70" si="137">K59</f>
        <v>10000</v>
      </c>
      <c r="L70" s="2">
        <f t="shared" si="137"/>
        <v>607001</v>
      </c>
      <c r="M70" s="2" t="str">
        <f t="shared" si="137"/>
        <v>白银</v>
      </c>
      <c r="N70" s="33">
        <f>VLOOKUP(L70,[1]stuff!$A:$C,3,FALSE)</f>
        <v>100</v>
      </c>
      <c r="O70" s="5">
        <v>20000</v>
      </c>
      <c r="P70" s="21">
        <f>J70*K70</f>
        <v>50000</v>
      </c>
      <c r="Q70" s="23">
        <f>N70*O70</f>
        <v>2000000</v>
      </c>
      <c r="R70" s="27">
        <f t="shared" ref="R70:R78" si="138">W70*X70</f>
        <v>4</v>
      </c>
      <c r="S70" s="27">
        <f t="shared" si="135"/>
        <v>5</v>
      </c>
      <c r="T70" s="20" t="str">
        <f t="shared" si="11"/>
        <v>对立</v>
      </c>
      <c r="U70" s="2">
        <f t="shared" ref="U70:V70" si="139">U59</f>
        <v>305002</v>
      </c>
      <c r="V70" s="2" t="str">
        <f t="shared" si="139"/>
        <v>精致食物</v>
      </c>
      <c r="W70" s="33">
        <f>VLOOKUP(U70,[1]stuff!$A:$C,3,FALSE)</f>
        <v>4</v>
      </c>
      <c r="X70" s="2">
        <f t="shared" ref="X70:Z70" si="140">X59</f>
        <v>1</v>
      </c>
      <c r="Y70" s="2">
        <f t="shared" si="140"/>
        <v>401001</v>
      </c>
      <c r="Z70" s="2" t="str">
        <f t="shared" si="140"/>
        <v>烈酒</v>
      </c>
      <c r="AA70" s="25">
        <f>VLOOKUP(Y70,[1]stuff!$A:$C,3,FALSE)</f>
        <v>5</v>
      </c>
      <c r="AB70" s="2">
        <v>1</v>
      </c>
      <c r="AC70" s="7" t="str">
        <f t="shared" ref="AC70:AC78" si="141">C70</f>
        <v>商王</v>
      </c>
      <c r="AD70" s="7">
        <f t="shared" si="19"/>
        <v>1</v>
      </c>
      <c r="AE70" s="2">
        <v>612</v>
      </c>
      <c r="AF70" s="5" t="s">
        <v>202</v>
      </c>
      <c r="AG70" s="1">
        <v>140</v>
      </c>
      <c r="AH70" s="2">
        <v>306001</v>
      </c>
      <c r="AI70" s="5" t="s">
        <v>201</v>
      </c>
      <c r="AJ70" s="1">
        <v>190</v>
      </c>
      <c r="AK70" s="2"/>
      <c r="AL70" s="5"/>
      <c r="AM70" s="1"/>
      <c r="AN70" s="2"/>
      <c r="AO70" s="5"/>
      <c r="AP70" s="1"/>
      <c r="AQ70" s="2"/>
      <c r="AR70" s="5"/>
      <c r="AS70" s="1"/>
      <c r="AT70" s="2"/>
      <c r="AU70" s="5"/>
      <c r="AV70" s="1"/>
      <c r="AW70" s="1"/>
      <c r="AX70" s="1"/>
      <c r="AY70" s="1"/>
      <c r="AZ70" s="1"/>
      <c r="BA70" s="1"/>
      <c r="BB70" s="20" t="str">
        <f t="shared" si="131"/>
        <v>对立</v>
      </c>
      <c r="BC70" s="7" t="s">
        <v>251</v>
      </c>
      <c r="BD70" s="6" t="s">
        <v>265</v>
      </c>
    </row>
    <row r="71" spans="1:56" x14ac:dyDescent="0.15">
      <c r="A71" s="1">
        <f t="shared" si="129"/>
        <v>107002</v>
      </c>
      <c r="B71" s="3">
        <v>107</v>
      </c>
      <c r="C71" s="2" t="s">
        <v>293</v>
      </c>
      <c r="D71" s="5" t="s">
        <v>207</v>
      </c>
      <c r="E71" s="2">
        <f t="shared" ref="E71:F71" si="142">E60</f>
        <v>2</v>
      </c>
      <c r="F71" s="2" t="str">
        <f t="shared" si="142"/>
        <v>厌恶</v>
      </c>
      <c r="G71" s="2">
        <f t="shared" si="13"/>
        <v>20</v>
      </c>
      <c r="H71" s="2">
        <f t="shared" si="13"/>
        <v>305002</v>
      </c>
      <c r="I71" s="2" t="str">
        <f t="shared" si="13"/>
        <v>精致食物</v>
      </c>
      <c r="J71" s="33">
        <f>VLOOKUP(H71,[1]stuff!$A:$C,3,FALSE)</f>
        <v>4</v>
      </c>
      <c r="K71" s="2">
        <f t="shared" ref="K71:M71" si="143">K60</f>
        <v>10000</v>
      </c>
      <c r="L71" s="2">
        <f t="shared" si="143"/>
        <v>607001</v>
      </c>
      <c r="M71" s="2" t="str">
        <f t="shared" si="143"/>
        <v>白银</v>
      </c>
      <c r="N71" s="33">
        <f>VLOOKUP(L71,[1]stuff!$A:$C,3,FALSE)</f>
        <v>100</v>
      </c>
      <c r="O71" s="5">
        <v>30000</v>
      </c>
      <c r="P71" s="21">
        <f>J71*K71</f>
        <v>40000</v>
      </c>
      <c r="Q71" s="23">
        <f>N71*O71</f>
        <v>3000000</v>
      </c>
      <c r="R71" s="27">
        <f t="shared" si="138"/>
        <v>10000</v>
      </c>
      <c r="S71" s="27">
        <f t="shared" si="135"/>
        <v>1000</v>
      </c>
      <c r="T71" s="20" t="str">
        <f t="shared" si="11"/>
        <v>厌恶</v>
      </c>
      <c r="U71" s="2">
        <f t="shared" ref="U71:V71" si="144">U60</f>
        <v>412003</v>
      </c>
      <c r="V71" s="2" t="str">
        <f t="shared" si="144"/>
        <v>糖</v>
      </c>
      <c r="W71" s="33">
        <f>VLOOKUP(U71,[1]stuff!$A:$C,3,FALSE)</f>
        <v>10</v>
      </c>
      <c r="X71" s="2">
        <v>1000</v>
      </c>
      <c r="Y71" s="2">
        <v>608001</v>
      </c>
      <c r="Z71" s="2" t="s">
        <v>90</v>
      </c>
      <c r="AA71" s="25">
        <f>VLOOKUP(Y71,[1]stuff!$A:$C,3,FALSE)</f>
        <v>1000</v>
      </c>
      <c r="AB71" s="2">
        <v>1</v>
      </c>
      <c r="AC71" s="7" t="str">
        <f t="shared" si="141"/>
        <v>商王</v>
      </c>
      <c r="AD71" s="7">
        <f t="shared" si="19"/>
        <v>2</v>
      </c>
      <c r="AE71" s="2">
        <v>612</v>
      </c>
      <c r="AF71" s="5" t="s">
        <v>202</v>
      </c>
      <c r="AG71" s="1">
        <v>130</v>
      </c>
      <c r="AH71" s="2">
        <v>306001</v>
      </c>
      <c r="AI71" s="5" t="s">
        <v>201</v>
      </c>
      <c r="AJ71" s="1">
        <v>180</v>
      </c>
      <c r="AK71" s="2"/>
      <c r="AL71" s="5"/>
      <c r="AM71" s="1"/>
      <c r="AN71" s="2"/>
      <c r="AO71" s="5"/>
      <c r="AP71" s="1"/>
      <c r="AQ71" s="2"/>
      <c r="AR71" s="5"/>
      <c r="AS71" s="1"/>
      <c r="AT71" s="2"/>
      <c r="AU71" s="5"/>
      <c r="AV71" s="1"/>
      <c r="AW71" s="1"/>
      <c r="AX71" s="1"/>
      <c r="AY71" s="1"/>
      <c r="AZ71" s="1"/>
      <c r="BA71" s="1"/>
      <c r="BB71" s="20" t="str">
        <f t="shared" si="131"/>
        <v>厌恶</v>
      </c>
      <c r="BC71" s="1" t="s">
        <v>252</v>
      </c>
      <c r="BD71" s="1" t="s">
        <v>266</v>
      </c>
    </row>
    <row r="72" spans="1:56" x14ac:dyDescent="0.15">
      <c r="A72" s="1">
        <f t="shared" si="129"/>
        <v>107003</v>
      </c>
      <c r="B72" s="3">
        <v>107</v>
      </c>
      <c r="C72" s="2" t="s">
        <v>293</v>
      </c>
      <c r="D72" s="5" t="s">
        <v>207</v>
      </c>
      <c r="E72" s="2">
        <f t="shared" ref="E72:F72" si="145">E61</f>
        <v>3</v>
      </c>
      <c r="F72" s="2" t="str">
        <f t="shared" si="145"/>
        <v>讨厌</v>
      </c>
      <c r="G72" s="2">
        <f t="shared" si="13"/>
        <v>30</v>
      </c>
      <c r="H72" s="2">
        <f t="shared" ref="H72:I78" si="146">H61</f>
        <v>617001</v>
      </c>
      <c r="I72" s="2" t="str">
        <f t="shared" si="146"/>
        <v>牧草</v>
      </c>
      <c r="J72" s="33">
        <f>VLOOKUP(H72,[1]stuff!$A:$C,3,FALSE)</f>
        <v>1</v>
      </c>
      <c r="K72" s="2">
        <v>10000</v>
      </c>
      <c r="L72" s="2">
        <f t="shared" ref="K72:M78" si="147">L61</f>
        <v>607001</v>
      </c>
      <c r="M72" s="2" t="str">
        <f t="shared" si="147"/>
        <v>白银</v>
      </c>
      <c r="N72" s="33">
        <f>VLOOKUP(L72,[1]stuff!$A:$C,3,FALSE)</f>
        <v>100</v>
      </c>
      <c r="O72" s="5">
        <v>40000</v>
      </c>
      <c r="P72" s="21">
        <f t="shared" ref="P72:P78" si="148">J72*K72</f>
        <v>10000</v>
      </c>
      <c r="Q72" s="23">
        <f t="shared" ref="Q72:Q78" si="149">N72*O72</f>
        <v>4000000</v>
      </c>
      <c r="R72" s="27">
        <f t="shared" si="138"/>
        <v>100000</v>
      </c>
      <c r="S72" s="27">
        <f>AA72*AB72</f>
        <v>100000</v>
      </c>
      <c r="T72" s="20" t="str">
        <f t="shared" si="11"/>
        <v>讨厌</v>
      </c>
      <c r="U72" s="2">
        <v>421001</v>
      </c>
      <c r="V72" s="2" t="s">
        <v>195</v>
      </c>
      <c r="W72" s="33">
        <f>VLOOKUP(U72,[1]stuff!$A:$C,3,FALSE)</f>
        <v>10</v>
      </c>
      <c r="X72" s="2">
        <v>10000</v>
      </c>
      <c r="Y72" s="2">
        <v>608001</v>
      </c>
      <c r="Z72" s="2" t="s">
        <v>90</v>
      </c>
      <c r="AA72" s="25">
        <f>VLOOKUP(Y72,[1]stuff!$A:$C,3,FALSE)</f>
        <v>1000</v>
      </c>
      <c r="AB72" s="2">
        <v>100</v>
      </c>
      <c r="AC72" s="7" t="str">
        <f t="shared" si="141"/>
        <v>商王</v>
      </c>
      <c r="AD72" s="7">
        <f t="shared" si="19"/>
        <v>3</v>
      </c>
      <c r="AE72" s="2">
        <v>612</v>
      </c>
      <c r="AF72" s="5" t="s">
        <v>202</v>
      </c>
      <c r="AG72" s="1">
        <v>120</v>
      </c>
      <c r="AH72" s="2">
        <v>306001</v>
      </c>
      <c r="AI72" s="5" t="s">
        <v>201</v>
      </c>
      <c r="AJ72" s="1">
        <v>170</v>
      </c>
      <c r="AK72" s="2"/>
      <c r="AL72" s="5"/>
      <c r="AM72" s="1"/>
      <c r="AN72" s="2"/>
      <c r="AO72" s="5"/>
      <c r="AP72" s="1"/>
      <c r="AQ72" s="2"/>
      <c r="AR72" s="5"/>
      <c r="AS72" s="1"/>
      <c r="AT72" s="2"/>
      <c r="AU72" s="5"/>
      <c r="AV72" s="1"/>
      <c r="AW72" s="1"/>
      <c r="AX72" s="1"/>
      <c r="AY72" s="1"/>
      <c r="AZ72" s="1"/>
      <c r="BA72" s="1"/>
      <c r="BB72" s="20" t="str">
        <f t="shared" si="131"/>
        <v>讨厌</v>
      </c>
      <c r="BC72" s="1" t="s">
        <v>253</v>
      </c>
      <c r="BD72" s="6" t="s">
        <v>267</v>
      </c>
    </row>
    <row r="73" spans="1:56" x14ac:dyDescent="0.15">
      <c r="A73" s="1">
        <f t="shared" si="129"/>
        <v>107004</v>
      </c>
      <c r="B73" s="3">
        <v>107</v>
      </c>
      <c r="C73" s="2" t="s">
        <v>293</v>
      </c>
      <c r="D73" s="5" t="s">
        <v>207</v>
      </c>
      <c r="E73" s="2">
        <f t="shared" ref="E73:F73" si="150">E62</f>
        <v>4</v>
      </c>
      <c r="F73" s="2" t="str">
        <f t="shared" si="150"/>
        <v>中立</v>
      </c>
      <c r="G73" s="2">
        <f t="shared" si="13"/>
        <v>40</v>
      </c>
      <c r="H73" s="2">
        <v>612001</v>
      </c>
      <c r="I73" s="2" t="s">
        <v>93</v>
      </c>
      <c r="J73" s="33">
        <f>VLOOKUP(H73,[1]stuff!$A:$C,3,FALSE)</f>
        <v>500</v>
      </c>
      <c r="K73" s="2">
        <v>1000</v>
      </c>
      <c r="L73" s="2">
        <f t="shared" si="147"/>
        <v>607001</v>
      </c>
      <c r="M73" s="2" t="str">
        <f t="shared" si="147"/>
        <v>白银</v>
      </c>
      <c r="N73" s="33">
        <f>VLOOKUP(L73,[1]stuff!$A:$C,3,FALSE)</f>
        <v>100</v>
      </c>
      <c r="O73" s="5">
        <v>50000</v>
      </c>
      <c r="P73" s="21">
        <f t="shared" si="148"/>
        <v>500000</v>
      </c>
      <c r="Q73" s="23">
        <f t="shared" si="149"/>
        <v>5000000</v>
      </c>
      <c r="R73" s="27">
        <f t="shared" si="138"/>
        <v>100000</v>
      </c>
      <c r="S73" s="27">
        <f t="shared" si="135"/>
        <v>0</v>
      </c>
      <c r="T73" s="20" t="str">
        <f t="shared" si="11"/>
        <v>中立</v>
      </c>
      <c r="U73" s="2">
        <v>412001</v>
      </c>
      <c r="V73" s="5" t="s">
        <v>84</v>
      </c>
      <c r="W73" s="33">
        <f>VLOOKUP(U73,[1]stuff!$A:$C,3,FALSE)</f>
        <v>10</v>
      </c>
      <c r="X73" s="2">
        <v>10000</v>
      </c>
      <c r="Y73" s="2">
        <v>812009</v>
      </c>
      <c r="Z73" s="18" t="s">
        <v>103</v>
      </c>
      <c r="AA73" s="25">
        <f>VLOOKUP(Y73,[1]stuff!$A:$C,3,FALSE)</f>
        <v>0</v>
      </c>
      <c r="AB73" s="2">
        <v>100</v>
      </c>
      <c r="AC73" s="7" t="str">
        <f t="shared" si="141"/>
        <v>商王</v>
      </c>
      <c r="AD73" s="7">
        <f t="shared" si="19"/>
        <v>4</v>
      </c>
      <c r="AE73" s="2">
        <v>612</v>
      </c>
      <c r="AF73" s="5" t="s">
        <v>202</v>
      </c>
      <c r="AG73" s="1">
        <v>110</v>
      </c>
      <c r="AH73" s="2">
        <v>306001</v>
      </c>
      <c r="AI73" s="5" t="s">
        <v>201</v>
      </c>
      <c r="AJ73" s="1">
        <v>160</v>
      </c>
      <c r="AK73" s="2"/>
      <c r="AL73" s="5"/>
      <c r="AM73" s="1"/>
      <c r="AN73" s="2"/>
      <c r="AO73" s="5"/>
      <c r="AP73" s="1"/>
      <c r="AQ73" s="2"/>
      <c r="AR73" s="5"/>
      <c r="AS73" s="1"/>
      <c r="AT73" s="2"/>
      <c r="AU73" s="5"/>
      <c r="AV73" s="1"/>
      <c r="AW73" s="1"/>
      <c r="AX73" s="1"/>
      <c r="AY73" s="1"/>
      <c r="AZ73" s="1"/>
      <c r="BA73" s="1"/>
      <c r="BB73" s="20" t="str">
        <f t="shared" si="131"/>
        <v>中立</v>
      </c>
      <c r="BC73" s="1" t="s">
        <v>254</v>
      </c>
      <c r="BD73" s="1" t="s">
        <v>255</v>
      </c>
    </row>
    <row r="74" spans="1:56" x14ac:dyDescent="0.15">
      <c r="A74" s="1">
        <f t="shared" si="129"/>
        <v>107005</v>
      </c>
      <c r="B74" s="3">
        <v>107</v>
      </c>
      <c r="C74" s="2" t="s">
        <v>293</v>
      </c>
      <c r="D74" s="5" t="s">
        <v>207</v>
      </c>
      <c r="E74" s="2">
        <f t="shared" ref="E74:F74" si="151">E63</f>
        <v>5</v>
      </c>
      <c r="F74" s="2" t="str">
        <f t="shared" si="151"/>
        <v>往来</v>
      </c>
      <c r="G74" s="2">
        <f t="shared" si="13"/>
        <v>50</v>
      </c>
      <c r="H74" s="2">
        <v>426001</v>
      </c>
      <c r="I74" s="5" t="s">
        <v>196</v>
      </c>
      <c r="J74" s="33">
        <f>VLOOKUP(H74,[1]stuff!$A:$C,3,FALSE)</f>
        <v>2000</v>
      </c>
      <c r="K74" s="2">
        <v>500</v>
      </c>
      <c r="L74" s="2">
        <f t="shared" si="147"/>
        <v>607001</v>
      </c>
      <c r="M74" s="2" t="str">
        <f t="shared" si="147"/>
        <v>白银</v>
      </c>
      <c r="N74" s="33">
        <f>VLOOKUP(L74,[1]stuff!$A:$C,3,FALSE)</f>
        <v>100</v>
      </c>
      <c r="O74" s="5">
        <v>60000</v>
      </c>
      <c r="P74" s="21">
        <f t="shared" si="148"/>
        <v>1000000</v>
      </c>
      <c r="Q74" s="23">
        <f t="shared" si="149"/>
        <v>6000000</v>
      </c>
      <c r="R74" s="27">
        <f t="shared" si="138"/>
        <v>100000</v>
      </c>
      <c r="S74" s="27">
        <f t="shared" si="135"/>
        <v>0</v>
      </c>
      <c r="T74" s="20" t="str">
        <f t="shared" si="11"/>
        <v>往来</v>
      </c>
      <c r="U74" s="2">
        <v>412002</v>
      </c>
      <c r="V74" s="5" t="s">
        <v>200</v>
      </c>
      <c r="W74" s="33">
        <f>VLOOKUP(U74,[1]stuff!$A:$C,3,FALSE)</f>
        <v>10</v>
      </c>
      <c r="X74" s="2">
        <v>10000</v>
      </c>
      <c r="Y74" s="2">
        <v>812007</v>
      </c>
      <c r="Z74" s="18" t="s">
        <v>102</v>
      </c>
      <c r="AA74" s="25">
        <f>VLOOKUP(Y74,[1]stuff!$A:$C,3,FALSE)</f>
        <v>0</v>
      </c>
      <c r="AB74" s="2">
        <v>100</v>
      </c>
      <c r="AC74" s="7" t="str">
        <f t="shared" si="141"/>
        <v>商王</v>
      </c>
      <c r="AD74" s="7">
        <f t="shared" si="19"/>
        <v>5</v>
      </c>
      <c r="AE74" s="15">
        <v>612</v>
      </c>
      <c r="AF74" s="16" t="s">
        <v>202</v>
      </c>
      <c r="AG74" s="49">
        <v>109</v>
      </c>
      <c r="AH74" s="15">
        <v>306001</v>
      </c>
      <c r="AI74" s="16" t="s">
        <v>201</v>
      </c>
      <c r="AJ74" s="1">
        <v>150</v>
      </c>
      <c r="AK74" s="2"/>
      <c r="AL74" s="5"/>
      <c r="AM74" s="1"/>
      <c r="AN74" s="2"/>
      <c r="AO74" s="5"/>
      <c r="AP74" s="1"/>
      <c r="AQ74" s="2"/>
      <c r="AR74" s="5"/>
      <c r="AS74" s="1"/>
      <c r="AT74" s="2"/>
      <c r="AU74" s="5"/>
      <c r="AV74" s="1"/>
      <c r="AW74" s="1"/>
      <c r="AX74" s="1"/>
      <c r="AY74" s="1"/>
      <c r="AZ74" s="1"/>
      <c r="BA74" s="1"/>
      <c r="BB74" s="20" t="str">
        <f t="shared" si="131"/>
        <v>往来</v>
      </c>
      <c r="BC74" s="47" t="s">
        <v>256</v>
      </c>
      <c r="BD74" t="s">
        <v>257</v>
      </c>
    </row>
    <row r="75" spans="1:56" x14ac:dyDescent="0.15">
      <c r="A75" s="1">
        <f t="shared" si="129"/>
        <v>107006</v>
      </c>
      <c r="B75" s="3">
        <v>107</v>
      </c>
      <c r="C75" s="2" t="s">
        <v>293</v>
      </c>
      <c r="D75" s="5" t="s">
        <v>207</v>
      </c>
      <c r="E75" s="2">
        <f t="shared" ref="E75:F75" si="152">E64</f>
        <v>6</v>
      </c>
      <c r="F75" s="2" t="str">
        <f t="shared" si="152"/>
        <v>合作</v>
      </c>
      <c r="G75" s="2">
        <f t="shared" si="13"/>
        <v>60</v>
      </c>
      <c r="H75" s="2">
        <v>427001</v>
      </c>
      <c r="I75" s="5" t="s">
        <v>197</v>
      </c>
      <c r="J75" s="33">
        <f>VLOOKUP(H75,[1]stuff!$A:$C,3,FALSE)</f>
        <v>2500</v>
      </c>
      <c r="K75" s="2">
        <f t="shared" si="147"/>
        <v>700</v>
      </c>
      <c r="L75" s="2">
        <f t="shared" si="147"/>
        <v>607001</v>
      </c>
      <c r="M75" s="2" t="str">
        <f t="shared" si="147"/>
        <v>白银</v>
      </c>
      <c r="N75" s="33">
        <f>VLOOKUP(L75,[1]stuff!$A:$C,3,FALSE)</f>
        <v>100</v>
      </c>
      <c r="O75" s="5">
        <v>70000</v>
      </c>
      <c r="P75" s="21">
        <f t="shared" si="148"/>
        <v>1750000</v>
      </c>
      <c r="Q75" s="23">
        <f t="shared" si="149"/>
        <v>7000000</v>
      </c>
      <c r="R75" s="27">
        <f t="shared" si="138"/>
        <v>500000</v>
      </c>
      <c r="S75" s="27">
        <f t="shared" si="135"/>
        <v>150000</v>
      </c>
      <c r="T75" s="20" t="str">
        <f t="shared" si="11"/>
        <v>合作</v>
      </c>
      <c r="U75" s="2">
        <v>612001</v>
      </c>
      <c r="V75" s="2" t="s">
        <v>93</v>
      </c>
      <c r="W75" s="33">
        <f>VLOOKUP(U75,[1]stuff!$A:$C,3,FALSE)</f>
        <v>500</v>
      </c>
      <c r="X75" s="2">
        <v>1000</v>
      </c>
      <c r="Y75" s="2">
        <v>306001</v>
      </c>
      <c r="Z75" s="5" t="s">
        <v>201</v>
      </c>
      <c r="AA75" s="25">
        <f>VLOOKUP(Y75,[1]stuff!$A:$C,3,FALSE)</f>
        <v>3</v>
      </c>
      <c r="AB75" s="2">
        <v>50000</v>
      </c>
      <c r="AC75" s="7" t="str">
        <f t="shared" si="141"/>
        <v>商王</v>
      </c>
      <c r="AD75" s="7">
        <f t="shared" si="19"/>
        <v>6</v>
      </c>
      <c r="AE75" s="2">
        <v>612</v>
      </c>
      <c r="AF75" s="5" t="s">
        <v>202</v>
      </c>
      <c r="AG75" s="1">
        <v>108</v>
      </c>
      <c r="AH75" s="2">
        <v>306001</v>
      </c>
      <c r="AI75" s="5" t="s">
        <v>201</v>
      </c>
      <c r="AJ75" s="1">
        <v>140</v>
      </c>
      <c r="AK75" s="2"/>
      <c r="AL75" s="5"/>
      <c r="AM75" s="1"/>
      <c r="AN75" s="2"/>
      <c r="AO75" s="5"/>
      <c r="AP75" s="1"/>
      <c r="AQ75" s="2"/>
      <c r="AR75" s="5"/>
      <c r="AS75" s="1"/>
      <c r="AT75" s="2"/>
      <c r="AU75" s="5"/>
      <c r="AV75" s="1"/>
      <c r="AW75" s="1"/>
      <c r="AX75" s="1"/>
      <c r="AY75" s="1"/>
      <c r="AZ75" s="1"/>
      <c r="BA75" s="1"/>
      <c r="BB75" s="20" t="str">
        <f t="shared" si="131"/>
        <v>合作</v>
      </c>
      <c r="BC75" s="1" t="s">
        <v>247</v>
      </c>
      <c r="BD75" s="1" t="s">
        <v>258</v>
      </c>
    </row>
    <row r="76" spans="1:56" x14ac:dyDescent="0.15">
      <c r="A76" s="1">
        <f t="shared" si="129"/>
        <v>107007</v>
      </c>
      <c r="B76" s="3">
        <v>107</v>
      </c>
      <c r="C76" s="2" t="s">
        <v>293</v>
      </c>
      <c r="D76" s="5" t="s">
        <v>207</v>
      </c>
      <c r="E76" s="2">
        <f t="shared" ref="E76:F76" si="153">E65</f>
        <v>7</v>
      </c>
      <c r="F76" s="2" t="str">
        <f t="shared" si="153"/>
        <v>友好</v>
      </c>
      <c r="G76" s="2">
        <f t="shared" si="13"/>
        <v>70</v>
      </c>
      <c r="H76" s="2">
        <f t="shared" si="146"/>
        <v>415007</v>
      </c>
      <c r="I76" s="2" t="str">
        <f t="shared" si="146"/>
        <v>极品盔甲</v>
      </c>
      <c r="J76" s="33">
        <f>VLOOKUP(H76,[1]stuff!$A:$C,3,FALSE)</f>
        <v>15000</v>
      </c>
      <c r="K76" s="2">
        <v>25</v>
      </c>
      <c r="L76" s="2">
        <f t="shared" si="147"/>
        <v>607001</v>
      </c>
      <c r="M76" s="2" t="str">
        <f t="shared" si="147"/>
        <v>白银</v>
      </c>
      <c r="N76" s="33">
        <f>VLOOKUP(L76,[1]stuff!$A:$C,3,FALSE)</f>
        <v>100</v>
      </c>
      <c r="O76" s="5">
        <v>80000</v>
      </c>
      <c r="P76" s="21">
        <f t="shared" si="148"/>
        <v>375000</v>
      </c>
      <c r="Q76" s="23">
        <f t="shared" si="149"/>
        <v>8000000</v>
      </c>
      <c r="R76" s="27">
        <f t="shared" si="138"/>
        <v>500000</v>
      </c>
      <c r="S76" s="27">
        <f t="shared" si="135"/>
        <v>150000</v>
      </c>
      <c r="T76" s="20" t="str">
        <f t="shared" si="11"/>
        <v>友好</v>
      </c>
      <c r="U76" s="2">
        <v>612002</v>
      </c>
      <c r="V76" s="2" t="s">
        <v>189</v>
      </c>
      <c r="W76" s="33">
        <f>VLOOKUP(U76,[1]stuff!$A:$C,3,FALSE)</f>
        <v>500</v>
      </c>
      <c r="X76" s="2">
        <v>1000</v>
      </c>
      <c r="Y76" s="2">
        <f t="shared" ref="Y76:Z76" si="154">Y65</f>
        <v>606002</v>
      </c>
      <c r="Z76" s="2" t="str">
        <f t="shared" si="154"/>
        <v>羊毛</v>
      </c>
      <c r="AA76" s="25">
        <f>VLOOKUP(Y76,[1]stuff!$A:$C,3,FALSE)</f>
        <v>3</v>
      </c>
      <c r="AB76" s="2">
        <v>50000</v>
      </c>
      <c r="AC76" s="7" t="str">
        <f t="shared" si="141"/>
        <v>商王</v>
      </c>
      <c r="AD76" s="7">
        <f t="shared" si="19"/>
        <v>7</v>
      </c>
      <c r="AE76" s="2">
        <v>612</v>
      </c>
      <c r="AF76" s="5" t="s">
        <v>202</v>
      </c>
      <c r="AG76" s="1">
        <v>107</v>
      </c>
      <c r="AH76" s="2">
        <v>306001</v>
      </c>
      <c r="AI76" s="5" t="s">
        <v>201</v>
      </c>
      <c r="AJ76" s="1">
        <v>130</v>
      </c>
      <c r="AK76" s="2"/>
      <c r="AL76" s="5"/>
      <c r="AM76" s="1"/>
      <c r="AN76" s="2"/>
      <c r="AO76" s="5"/>
      <c r="AP76" s="1"/>
      <c r="AQ76" s="2"/>
      <c r="AR76" s="5"/>
      <c r="AS76" s="1"/>
      <c r="AT76" s="2"/>
      <c r="AU76" s="5"/>
      <c r="AV76" s="1"/>
      <c r="AW76" s="1"/>
      <c r="AX76" s="1"/>
      <c r="AY76" s="1"/>
      <c r="AZ76" s="1"/>
      <c r="BA76" s="1"/>
      <c r="BB76" s="20" t="str">
        <f t="shared" si="131"/>
        <v>友好</v>
      </c>
      <c r="BC76" s="1" t="s">
        <v>248</v>
      </c>
      <c r="BD76" s="1" t="s">
        <v>259</v>
      </c>
    </row>
    <row r="77" spans="1:56" x14ac:dyDescent="0.15">
      <c r="A77" s="1">
        <f t="shared" si="129"/>
        <v>107008</v>
      </c>
      <c r="B77" s="3">
        <v>107</v>
      </c>
      <c r="C77" s="2" t="s">
        <v>293</v>
      </c>
      <c r="D77" s="5" t="s">
        <v>207</v>
      </c>
      <c r="E77" s="2">
        <f t="shared" ref="E77:F77" si="155">E66</f>
        <v>8</v>
      </c>
      <c r="F77" s="2" t="str">
        <f t="shared" si="155"/>
        <v>信任</v>
      </c>
      <c r="G77" s="2">
        <f t="shared" si="13"/>
        <v>80</v>
      </c>
      <c r="H77" s="2">
        <f t="shared" si="146"/>
        <v>415008</v>
      </c>
      <c r="I77" s="2" t="str">
        <f t="shared" si="146"/>
        <v>传说盔甲</v>
      </c>
      <c r="J77" s="33">
        <f>VLOOKUP(H77,[1]stuff!$A:$C,3,FALSE)</f>
        <v>40000</v>
      </c>
      <c r="K77" s="2">
        <v>10</v>
      </c>
      <c r="L77" s="2">
        <f t="shared" si="147"/>
        <v>607001</v>
      </c>
      <c r="M77" s="2" t="str">
        <f t="shared" si="147"/>
        <v>白银</v>
      </c>
      <c r="N77" s="33">
        <f>VLOOKUP(L77,[1]stuff!$A:$C,3,FALSE)</f>
        <v>100</v>
      </c>
      <c r="O77" s="5">
        <v>90000</v>
      </c>
      <c r="P77" s="21">
        <f t="shared" si="148"/>
        <v>400000</v>
      </c>
      <c r="Q77" s="23">
        <f t="shared" si="149"/>
        <v>9000000</v>
      </c>
      <c r="R77" s="27">
        <f t="shared" si="138"/>
        <v>500000</v>
      </c>
      <c r="S77" s="27">
        <f t="shared" si="135"/>
        <v>300000</v>
      </c>
      <c r="T77" s="20" t="str">
        <f t="shared" si="11"/>
        <v>信任</v>
      </c>
      <c r="U77" s="2">
        <v>612003</v>
      </c>
      <c r="V77" s="2" t="s">
        <v>94</v>
      </c>
      <c r="W77" s="33">
        <f>VLOOKUP(U77,[1]stuff!$A:$C,3,FALSE)</f>
        <v>500</v>
      </c>
      <c r="X77" s="2">
        <v>1000</v>
      </c>
      <c r="Y77" s="2">
        <v>602002</v>
      </c>
      <c r="Z77" s="2" t="s">
        <v>80</v>
      </c>
      <c r="AA77" s="25">
        <f>VLOOKUP(Y77,[1]stuff!$A:$C,3,FALSE)</f>
        <v>15</v>
      </c>
      <c r="AB77" s="2">
        <v>20000</v>
      </c>
      <c r="AC77" s="7" t="str">
        <f t="shared" si="141"/>
        <v>商王</v>
      </c>
      <c r="AD77" s="7">
        <f t="shared" si="19"/>
        <v>8</v>
      </c>
      <c r="AE77" s="2">
        <v>612</v>
      </c>
      <c r="AF77" s="5" t="s">
        <v>202</v>
      </c>
      <c r="AG77" s="1">
        <v>106</v>
      </c>
      <c r="AH77" s="2">
        <v>306001</v>
      </c>
      <c r="AI77" s="5" t="s">
        <v>201</v>
      </c>
      <c r="AJ77" s="1">
        <v>120</v>
      </c>
      <c r="AK77" s="2"/>
      <c r="AL77" s="5"/>
      <c r="AM77" s="1"/>
      <c r="AN77" s="2"/>
      <c r="AO77" s="5"/>
      <c r="AP77" s="1"/>
      <c r="AQ77" s="2"/>
      <c r="AR77" s="5"/>
      <c r="AS77" s="1"/>
      <c r="AT77" s="2"/>
      <c r="AU77" s="5"/>
      <c r="AV77" s="1"/>
      <c r="AW77" s="1"/>
      <c r="AX77" s="1"/>
      <c r="AY77" s="1"/>
      <c r="AZ77" s="1"/>
      <c r="BA77" s="1"/>
      <c r="BB77" s="20" t="str">
        <f t="shared" si="131"/>
        <v>信任</v>
      </c>
      <c r="BC77" s="1" t="s">
        <v>260</v>
      </c>
      <c r="BD77" s="1" t="s">
        <v>268</v>
      </c>
    </row>
    <row r="78" spans="1:56" x14ac:dyDescent="0.15">
      <c r="A78" s="1">
        <f t="shared" si="129"/>
        <v>107009</v>
      </c>
      <c r="B78" s="3">
        <v>107</v>
      </c>
      <c r="C78" s="2" t="s">
        <v>293</v>
      </c>
      <c r="D78" s="5" t="s">
        <v>207</v>
      </c>
      <c r="E78" s="2">
        <f t="shared" ref="E78:F78" si="156">E67</f>
        <v>9</v>
      </c>
      <c r="F78" s="2" t="str">
        <f t="shared" si="156"/>
        <v>同盟</v>
      </c>
      <c r="G78" s="2">
        <f t="shared" si="13"/>
        <v>90</v>
      </c>
      <c r="H78" s="2">
        <f t="shared" si="146"/>
        <v>415009</v>
      </c>
      <c r="I78" s="2" t="str">
        <f t="shared" si="146"/>
        <v>史诗盔甲</v>
      </c>
      <c r="J78" s="33">
        <f>VLOOKUP(H78,[1]stuff!$A:$C,3,FALSE)</f>
        <v>88888</v>
      </c>
      <c r="K78" s="2">
        <v>5</v>
      </c>
      <c r="L78" s="2">
        <f t="shared" si="147"/>
        <v>607001</v>
      </c>
      <c r="M78" s="2" t="str">
        <f t="shared" si="147"/>
        <v>白银</v>
      </c>
      <c r="N78" s="33">
        <f>VLOOKUP(L78,[1]stuff!$A:$C,3,FALSE)</f>
        <v>100</v>
      </c>
      <c r="O78" s="5">
        <v>100000</v>
      </c>
      <c r="P78" s="21">
        <f t="shared" si="148"/>
        <v>444440</v>
      </c>
      <c r="Q78" s="23">
        <f t="shared" si="149"/>
        <v>10000000</v>
      </c>
      <c r="R78" s="27">
        <f t="shared" si="138"/>
        <v>99999999</v>
      </c>
      <c r="S78" s="27">
        <f t="shared" si="135"/>
        <v>10000000</v>
      </c>
      <c r="T78" s="20" t="str">
        <f t="shared" ref="T78:T79" si="157">F78</f>
        <v>同盟</v>
      </c>
      <c r="U78" s="2">
        <v>410002</v>
      </c>
      <c r="V78" s="2" t="s">
        <v>65</v>
      </c>
      <c r="W78" s="33">
        <f>VLOOKUP(U78,[1]stuff!$A:$C,3,FALSE)</f>
        <v>99999999</v>
      </c>
      <c r="X78" s="2">
        <v>1</v>
      </c>
      <c r="Y78" s="2">
        <v>608001</v>
      </c>
      <c r="Z78" s="2" t="s">
        <v>90</v>
      </c>
      <c r="AA78" s="25">
        <f>VLOOKUP(Y78,[1]stuff!$A:$C,3,FALSE)</f>
        <v>1000</v>
      </c>
      <c r="AB78" s="2">
        <v>10000</v>
      </c>
      <c r="AC78" s="7" t="str">
        <f t="shared" si="141"/>
        <v>商王</v>
      </c>
      <c r="AD78" s="7">
        <f t="shared" si="19"/>
        <v>9</v>
      </c>
      <c r="AE78" s="2">
        <v>612</v>
      </c>
      <c r="AF78" s="5" t="s">
        <v>202</v>
      </c>
      <c r="AG78" s="1">
        <v>105</v>
      </c>
      <c r="AH78" s="2">
        <v>306001</v>
      </c>
      <c r="AI78" s="5" t="s">
        <v>201</v>
      </c>
      <c r="AJ78" s="1">
        <v>110</v>
      </c>
      <c r="AK78" s="2"/>
      <c r="AL78" s="5"/>
      <c r="AM78" s="1"/>
      <c r="AN78" s="2"/>
      <c r="AO78" s="5"/>
      <c r="AP78" s="1"/>
      <c r="AQ78" s="2"/>
      <c r="AR78" s="5"/>
      <c r="AS78" s="1"/>
      <c r="AT78" s="2"/>
      <c r="AU78" s="5"/>
      <c r="AV78" s="1"/>
      <c r="AW78" s="1"/>
      <c r="AX78" s="1"/>
      <c r="AY78" s="1"/>
      <c r="AZ78" s="1"/>
      <c r="BA78" s="1"/>
      <c r="BB78" s="20" t="str">
        <f t="shared" si="131"/>
        <v>同盟</v>
      </c>
      <c r="BC78" s="1" t="s">
        <v>261</v>
      </c>
      <c r="BD78" s="6" t="s">
        <v>263</v>
      </c>
    </row>
    <row r="79" spans="1:56" x14ac:dyDescent="0.15">
      <c r="A79" s="1">
        <f t="shared" si="129"/>
        <v>107010</v>
      </c>
      <c r="B79" s="3">
        <v>107</v>
      </c>
      <c r="C79" s="2" t="s">
        <v>293</v>
      </c>
      <c r="D79" s="5" t="s">
        <v>207</v>
      </c>
      <c r="E79" s="2">
        <f t="shared" ref="E79:G79" si="158">E68</f>
        <v>10</v>
      </c>
      <c r="F79" s="20" t="s">
        <v>212</v>
      </c>
      <c r="G79" s="2">
        <f t="shared" si="158"/>
        <v>100</v>
      </c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20" t="str">
        <f t="shared" si="157"/>
        <v>王位争夺者</v>
      </c>
      <c r="U79" s="41"/>
      <c r="V79" s="41"/>
      <c r="W79" s="41"/>
      <c r="X79" s="41"/>
      <c r="Y79" s="41"/>
      <c r="Z79" s="41"/>
      <c r="AA79" s="41"/>
      <c r="AB79" s="41"/>
      <c r="AC79" s="41"/>
      <c r="AD79" s="7">
        <f t="shared" ref="AD79" si="159">AD68</f>
        <v>10</v>
      </c>
      <c r="AE79" s="2">
        <v>612</v>
      </c>
      <c r="AF79" s="5" t="s">
        <v>202</v>
      </c>
      <c r="AG79" s="1">
        <v>200</v>
      </c>
      <c r="AH79" s="2">
        <v>306001</v>
      </c>
      <c r="AI79" s="5" t="s">
        <v>201</v>
      </c>
      <c r="AJ79" s="1">
        <v>100</v>
      </c>
      <c r="AK79" s="2"/>
      <c r="AL79" s="5"/>
      <c r="AM79" s="1"/>
      <c r="AN79" s="2"/>
      <c r="AO79" s="5"/>
      <c r="AP79" s="1"/>
      <c r="AQ79" s="2"/>
      <c r="AR79" s="5"/>
      <c r="AS79" s="1"/>
      <c r="AT79" s="2"/>
      <c r="AU79" s="5"/>
      <c r="AV79" s="1"/>
      <c r="AW79" s="41"/>
      <c r="AX79" s="41"/>
      <c r="AY79" s="41"/>
      <c r="AZ79" s="41"/>
      <c r="BA79" s="41"/>
      <c r="BB79" s="20" t="str">
        <f t="shared" si="131"/>
        <v>王位争夺者</v>
      </c>
      <c r="BC79" s="6" t="s">
        <v>264</v>
      </c>
      <c r="BD79" s="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6" sqref="C36"/>
    </sheetView>
  </sheetViews>
  <sheetFormatPr defaultRowHeight="13.5" x14ac:dyDescent="0.1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diplomacy</vt:lpstr>
      <vt:lpstr>!tmp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 MI</dc:creator>
  <cp:lastModifiedBy>Looming MI</cp:lastModifiedBy>
  <dcterms:created xsi:type="dcterms:W3CDTF">2022-04-25T14:14:00Z</dcterms:created>
  <dcterms:modified xsi:type="dcterms:W3CDTF">2026-01-04T13:57:35Z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